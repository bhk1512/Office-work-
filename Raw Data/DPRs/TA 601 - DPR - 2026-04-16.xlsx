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13_ncr:1_{19C3FB4B-2F27-4C63-8AC6-7898AF79F0F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Sheet'!$A$27:$X$28</definedName>
    <definedName name="_xlnm._FilterDatabase" localSheetId="2" hidden="1">'Progress Sheet '!$A$12:$DD$141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'!$A$1:$Q$265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" i="2" l="1"/>
  <c r="B140" i="2"/>
  <c r="I16" i="11"/>
  <c r="H16" i="11"/>
  <c r="H10" i="11"/>
  <c r="I10" i="11" s="1"/>
  <c r="I11" i="1"/>
  <c r="A72" i="12"/>
  <c r="A71" i="12"/>
  <c r="A70" i="12"/>
  <c r="A69" i="12"/>
  <c r="F39" i="4"/>
  <c r="L41" i="1"/>
  <c r="K40" i="1"/>
  <c r="L40" i="1" s="1"/>
  <c r="G41" i="1"/>
  <c r="G40" i="1"/>
  <c r="G39" i="1"/>
  <c r="K39" i="1"/>
  <c r="L39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47" i="2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<sst xmlns="http://schemas.openxmlformats.org/spreadsheetml/2006/main" count="3734" uniqueCount="821">
  <si>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</si>
  <si>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</si>
  <si>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</si>
  <si>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</si>
  <si>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</si>
  <si>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</si>
  <si>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</si>
  <si>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</si>
  <si>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</si>
  <si>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</si>
  <si>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</si>
  <si>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</si>
  <si>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</si>
  <si>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</si>
  <si>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</si>
  <si>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</si>
  <si>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</si>
  <si>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</si>
  <si>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</si>
  <si>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</si>
  <si>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</si>
  <si>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</si>
  <si>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</si>
  <si>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</si>
  <si>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</si>
  <si>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</si>
  <si>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</si>
  <si>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</si>
  <si>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</si>
  <si>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</si>
  <si>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</si>
  <si>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</si>
  <si>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</si>
  <si>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</si>
  <si>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</si>
  <si>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</si>
  <si>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</si>
  <si>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</si>
  <si>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</si>
  <si>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</si>
  <si>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</si>
  <si>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</si>
  <si>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</si>
  <si>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</si>
  <si>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</si>
  <si>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</si>
  <si>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</si>
  <si>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</si>
  <si>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</si>
  <si>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</si>
  <si>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</si>
  <si>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</si>
  <si>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</si>
  <si>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</si>
  <si>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</si>
  <si>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</si>
  <si>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</si>
  <si>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</si>
  <si>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</si>
  <si>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</si>
  <si>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</si>
  <si>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</si>
  <si>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</si>
  <si>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</si>
  <si>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</si>
  <si>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</si>
  <si>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</si>
  <si>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</si>
  <si>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</si>
  <si>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</si>
  <si>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</si>
  <si>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</si>
  <si>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</si>
  <si>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</si>
  <si>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</si>
  <si>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</si>
  <si>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</si>
  <si>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</si>
  <si>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</si>
  <si>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</si>
  <si>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</si>
  <si>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</si>
  <si>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</si>
  <si>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</si>
  <si>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</si>
  <si>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</si>
  <si>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</si>
  <si>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</si>
  <si>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</si>
  <si>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</si>
  <si>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</si>
  <si>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</si>
  <si>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</si>
  <si>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</si>
  <si>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</si>
  <si>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</si>
  <si>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</si>
  <si>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</si>
  <si>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</si>
  <si>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</si>
  <si>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</si>
  <si>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</si>
  <si>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</si>
  <si>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</si>
  <si>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</si>
  <si>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</si>
  <si>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</si>
  <si>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</si>
  <si>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</si>
  <si>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</si>
  <si>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</si>
  <si>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</si>
  <si>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</si>
  <si>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</si>
  <si>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</si>
  <si>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</si>
  <si>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</si>
  <si>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</si>
  <si>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</si>
  <si>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</si>
  <si>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</si>
  <si>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</si>
  <si>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</si>
  <si>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</si>
  <si>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</si>
  <si>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</si>
  <si>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</si>
  <si>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</si>
  <si>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</si>
  <si>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</si>
  <si>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</si>
  <si>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</si>
  <si>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</si>
  <si>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</si>
  <si>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</si>
  <si>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</si>
  <si>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</si>
  <si>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</si>
  <si>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</si>
  <si>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</si>
  <si>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</si>
  <si>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</si>
  <si>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</si>
  <si>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</si>
  <si>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</si>
  <si>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</si>
  <si>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</si>
  <si>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</si>
  <si>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</si>
  <si>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</si>
  <si>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</si>
  <si>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</si>
  <si>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</si>
  <si>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</si>
  <si>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</si>
  <si>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</si>
  <si>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</si>
  <si>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</si>
  <si>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</si>
  <si>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</si>
  <si>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</si>
  <si>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</si>
  <si>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</si>
  <si>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</si>
  <si>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</si>
  <si>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</si>
  <si>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</si>
  <si>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</si>
  <si>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</si>
  <si>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</si>
  <si>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</si>
  <si>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</si>
  <si>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</si>
  <si>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</si>
  <si>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</si>
  <si>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</si>
  <si>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</si>
  <si>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</si>
  <si>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</si>
  <si>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</si>
  <si>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</si>
  <si>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</si>
  <si>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</si>
  <si>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</si>
  <si>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</si>
  <si>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</si>
  <si>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</si>
  <si>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</si>
  <si>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</si>
  <si>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</si>
  <si>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</si>
  <si>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</si>
  <si>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</si>
  <si>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</si>
  <si>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</si>
  <si>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</si>
  <si>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</si>
  <si>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</si>
  <si>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</si>
  <si>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</si>
  <si>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</si>
  <si>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</si>
  <si>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</si>
  <si>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</si>
  <si>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</si>
  <si>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</si>
  <si>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</si>
  <si>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</si>
  <si>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</si>
  <si>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</si>
  <si>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</si>
  <si>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</si>
  <si>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</si>
  <si>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</si>
  <si>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</si>
  <si>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</si>
  <si>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</si>
  <si>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</si>
  <si>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</si>
  <si>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</si>
  <si>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</si>
  <si>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</si>
  <si>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</si>
  <si>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</si>
  <si>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</si>
  <si>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</si>
  <si>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</si>
  <si>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</si>
  <si>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</si>
  <si>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</si>
  <si>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</si>
  <si>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</si>
  <si>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</si>
  <si>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</si>
  <si>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</si>
  <si>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</si>
  <si>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</si>
  <si>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</si>
  <si>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</si>
  <si>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</si>
  <si>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</si>
  <si>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</si>
  <si>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</si>
  <si>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</si>
  <si>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</si>
  <si>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</si>
  <si>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</si>
  <si>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</si>
  <si>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</si>
  <si>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</si>
  <si>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</si>
  <si>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</si>
  <si>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</si>
  <si>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</si>
  <si>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</si>
  <si>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</si>
  <si>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</si>
  <si>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</si>
  <si>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</si>
  <si>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</si>
  <si>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</si>
  <si>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</si>
  <si>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</si>
  <si>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</si>
  <si>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</si>
  <si>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</si>
  <si>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</si>
  <si>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</si>
  <si>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</si>
  <si>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</si>
  <si>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</si>
  <si>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</si>
  <si>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</si>
  <si>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</si>
  <si>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</si>
  <si>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</si>
  <si>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</si>
  <si>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</si>
  <si>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</si>
  <si>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</si>
  <si>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</si>
  <si>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</si>
  <si>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</si>
  <si>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</si>
  <si>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</si>
  <si>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</si>
  <si>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</si>
  <si>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</si>
  <si>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</si>
  <si>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</si>
  <si>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</si>
  <si>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</si>
  <si>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</si>
  <si>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</si>
  <si>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</si>
  <si>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</si>
  <si>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</si>
  <si>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</si>
  <si>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</si>
  <si>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</si>
  <si>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</si>
  <si>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</si>
  <si>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</si>
  <si>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</si>
  <si>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</si>
  <si>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</si>
  <si>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</si>
  <si>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</si>
  <si>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</si>
  <si>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</si>
  <si>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</si>
  <si>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</si>
  <si>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</si>
  <si>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</si>
  <si>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</si>
  <si>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</si>
  <si>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</si>
  <si>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</si>
  <si>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</si>
  <si>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</si>
  <si>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</si>
  <si>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</si>
  <si>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</si>
  <si>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</si>
  <si>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</si>
  <si>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</si>
  <si>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</si>
  <si>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</si>
  <si>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</si>
  <si>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</si>
  <si>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</si>
  <si>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</si>
  <si>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</si>
  <si>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</si>
  <si>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</si>
  <si>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</si>
  <si>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</si>
  <si>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</si>
  <si>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</si>
  <si>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</si>
  <si>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</si>
  <si>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</si>
  <si>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</si>
  <si>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</si>
  <si>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</si>
  <si>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</si>
  <si>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</si>
  <si>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</si>
  <si>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</si>
  <si>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</si>
  <si>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</si>
  <si>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</si>
  <si>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</si>
  <si>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</si>
  <si>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</si>
  <si>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</si>
  <si>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</si>
  <si>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</si>
  <si>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</si>
  <si>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</si>
  <si>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</si>
  <si>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</si>
  <si>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</si>
  <si>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</si>
  <si>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</si>
  <si>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</si>
  <si>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</si>
  <si>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</si>
  <si>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</si>
  <si>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</si>
  <si>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</si>
  <si>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</si>
  <si>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</si>
  <si>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</si>
  <si>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</si>
  <si>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</si>
  <si>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</si>
  <si>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</si>
  <si>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</si>
  <si>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</si>
  <si>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</si>
  <si>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</si>
  <si>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</si>
  <si>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</si>
  <si>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</si>
  <si>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</si>
  <si>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</si>
  <si>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</si>
  <si>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</si>
  <si>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</si>
  <si>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</si>
  <si>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</si>
  <si>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</si>
  <si>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</si>
  <si>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</si>
  <si>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</si>
  <si>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</si>
  <si>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</si>
  <si>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</si>
  <si>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</si>
  <si>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</si>
  <si>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</si>
  <si>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</si>
  <si>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</si>
  <si>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</si>
  <si>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</si>
  <si>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</si>
  <si>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</si>
  <si>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</si>
  <si>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</si>
  <si>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</si>
  <si>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</si>
  <si>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</si>
  <si>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</si>
  <si>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</si>
  <si>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</si>
  <si>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</si>
  <si>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</si>
  <si>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</si>
  <si>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</si>
  <si>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</si>
  <si>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</si>
  <si>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</si>
  <si>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</si>
  <si>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</si>
  <si>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</si>
  <si>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</si>
  <si>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</si>
  <si>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</si>
  <si>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</si>
  <si>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</si>
  <si>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</si>
  <si>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</si>
  <si>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</si>
  <si>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</si>
  <si>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</si>
  <si>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</si>
  <si>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</si>
  <si>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</si>
  <si>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</si>
  <si>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</si>
  <si>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</si>
  <si>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</si>
  <si>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</si>
  <si>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</si>
  <si>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</si>
  <si>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</si>
  <si>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</si>
  <si>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</si>
  <si>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</si>
  <si>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</si>
  <si>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</si>
  <si>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</si>
  <si>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</si>
  <si>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</si>
  <si>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</si>
  <si>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</si>
  <si>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</si>
  <si>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</si>
  <si>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</si>
  <si>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</si>
  <si>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</si>
  <si>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</si>
  <si>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</si>
  <si>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</si>
  <si>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</si>
  <si>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</si>
  <si>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</si>
  <si>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</si>
  <si>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</si>
  <si>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</si>
  <si>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</si>
  <si>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</si>
  <si>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</si>
  <si>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</si>
  <si>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</si>
  <si>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</si>
  <si>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</si>
  <si>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</si>
  <si>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</si>
  <si>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</si>
  <si>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</si>
  <si>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</si>
  <si>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</si>
  <si>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</si>
  <si>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</si>
  <si>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</si>
  <si>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</si>
  <si>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</si>
  <si>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</si>
  <si>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</si>
  <si>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</si>
  <si>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</si>
  <si>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</si>
  <si>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</si>
  <si>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</si>
  <si>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</si>
  <si>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</si>
  <si>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</si>
  <si>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</si>
  <si>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</si>
  <si>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</si>
  <si>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</si>
  <si>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</si>
  <si>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</si>
  <si>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</si>
  <si>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</si>
  <si>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</si>
  <si>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</si>
  <si>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</si>
  <si>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</si>
  <si>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</si>
  <si>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</si>
  <si>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</si>
  <si>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</si>
  <si>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</si>
  <si>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</si>
  <si>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</si>
  <si>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</si>
  <si>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</si>
  <si>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</si>
  <si>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</si>
  <si>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</si>
  <si>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</si>
  <si>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</si>
  <si>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</si>
  <si>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</si>
  <si>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</si>
  <si>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</si>
  <si>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</si>
  <si>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</si>
  <si>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</si>
  <si>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</si>
  <si>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</si>
  <si>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</si>
  <si>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</si>
  <si>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</si>
  <si>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</si>
  <si>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</si>
  <si>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</si>
  <si>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</si>
  <si>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</si>
  <si>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</si>
  <si>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</si>
  <si>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</si>
  <si>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</si>
  <si>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</si>
  <si>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</si>
  <si>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</si>
  <si>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</si>
  <si>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</si>
  <si>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</si>
  <si>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</si>
  <si>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</si>
  <si>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</si>
  <si>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</si>
  <si>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</si>
  <si>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</si>
  <si>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</si>
  <si>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</si>
  <si>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</si>
  <si>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</si>
  <si>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</si>
  <si>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</si>
  <si>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</si>
  <si>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</si>
  <si>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</si>
  <si>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</si>
  <si>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</si>
  <si>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</si>
  <si>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</si>
  <si>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</si>
  <si>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</si>
  <si>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</si>
  <si>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</si>
  <si>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</si>
  <si>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</si>
  <si>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</si>
  <si>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</si>
  <si>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</si>
  <si>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</si>
  <si>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</si>
  <si>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</si>
  <si>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</si>
  <si>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</si>
  <si>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</si>
  <si>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</si>
  <si>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</si>
  <si>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</si>
  <si>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</si>
  <si>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</si>
  <si>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</si>
  <si>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</si>
  <si>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</si>
  <si>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</si>
  <si>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</si>
  <si>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</si>
  <si>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</si>
  <si>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</si>
  <si>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</si>
  <si>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</si>
  <si>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</si>
  <si>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</si>
  <si>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</si>
  <si>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</si>
  <si>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</si>
  <si>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</si>
  <si>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</si>
  <si>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</si>
  <si>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</si>
  <si>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</si>
  <si>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</si>
  <si>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</si>
  <si>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</si>
  <si>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</si>
  <si>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</si>
  <si>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</si>
  <si>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</si>
  <si>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</si>
  <si>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</si>
  <si>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</si>
  <si>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</si>
  <si>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</si>
  <si>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</si>
  <si>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</si>
  <si>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</si>
  <si>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</si>
  <si>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</si>
  <si>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</si>
  <si>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</si>
  <si>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</si>
  <si>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</si>
  <si>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</si>
  <si>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</si>
  <si>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</si>
  <si>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</si>
  <si>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</si>
  <si>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</si>
  <si>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</si>
  <si>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</si>
  <si>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</si>
  <si>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</si>
  <si>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</si>
  <si>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</si>
  <si>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</si>
  <si>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</si>
  <si>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</si>
  <si>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</si>
  <si>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</si>
  <si>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</si>
  <si>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</si>
  <si>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</si>
  <si>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</si>
  <si>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</si>
  <si>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</si>
  <si>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</si>
  <si>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</si>
  <si>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</si>
  <si>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</si>
  <si>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</si>
  <si>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</si>
  <si>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</si>
  <si>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</si>
  <si>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</si>
  <si>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</si>
  <si>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</si>
  <si>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</si>
  <si>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</si>
  <si>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</si>
  <si>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</si>
  <si>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</si>
  <si>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</si>
  <si>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</si>
  <si>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</si>
  <si>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</si>
  <si>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</si>
  <si>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</si>
  <si>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</si>
  <si>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</si>
  <si>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</si>
  <si>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</si>
  <si>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</si>
  <si>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</si>
  <si>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</si>
  <si>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</si>
  <si>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</si>
  <si>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</si>
  <si>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</si>
  <si>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</si>
  <si>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</si>
  <si>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</si>
  <si>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</si>
  <si>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</si>
  <si>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</si>
  <si>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</si>
  <si>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</si>
  <si>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</si>
  <si>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</si>
  <si>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</si>
  <si>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</si>
  <si>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</si>
  <si>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</si>
  <si>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</si>
  <si>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</si>
  <si>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</si>
  <si>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</si>
  <si>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</si>
  <si>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</si>
  <si>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</si>
  <si>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</si>
  <si>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</si>
  <si>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</si>
  <si>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</si>
  <si>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</si>
  <si>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</si>
  <si>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</si>
  <si>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</si>
  <si>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</si>
  <si>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</si>
  <si>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</si>
  <si>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</si>
  <si>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</si>
  <si>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</si>
  <si>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</si>
  <si>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</si>
  <si>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</si>
  <si>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</si>
  <si>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</si>
  <si>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</si>
  <si>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</si>
  <si>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</si>
  <si>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</si>
  <si>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</si>
  <si>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</si>
  <si>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</si>
  <si>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</si>
  <si>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</si>
  <si>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</si>
  <si>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</si>
  <si>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</si>
  <si>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</si>
  <si>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</si>
  <si>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</si>
  <si>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</si>
  <si>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</si>
  <si>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</si>
  <si>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</si>
  <si>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</si>
  <si>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</si>
  <si>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</si>
  <si>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</si>
  <si>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</si>
  <si>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</si>
  <si>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</si>
  <si>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</si>
  <si>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</si>
  <si>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</si>
  <si>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</si>
  <si>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</si>
  <si>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</si>
  <si>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</si>
  <si>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</si>
  <si>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</si>
  <si>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</si>
  <si>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</si>
  <si>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</si>
  <si>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</si>
  <si>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</si>
  <si>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</si>
  <si>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</si>
  <si>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</si>
  <si>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</si>
  <si>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</si>
  <si>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</si>
  <si>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</si>
  <si>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</si>
  <si>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</si>
  <si>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</si>
  <si>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</si>
  <si>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</si>
  <si>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</si>
  <si>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</si>
  <si>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</si>
  <si>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</si>
  <si>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</si>
  <si>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</si>
  <si>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</si>
  <si>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</si>
  <si>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</si>
  <si>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</si>
  <si>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</si>
  <si>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</si>
  <si>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</si>
  <si>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</si>
  <si>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</si>
  <si>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</si>
  <si>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</si>
  <si>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</si>
  <si>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</si>
  <si>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</si>
  <si>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</si>
  <si>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</si>
  <si>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</si>
  <si>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</si>
  <si>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</si>
  <si>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</si>
  <si>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</si>
  <si>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1076 Drums Received</t>
  </si>
  <si>
    <t>DFR/WFR</t>
  </si>
  <si>
    <t>G12</t>
  </si>
  <si>
    <t>WIP: Trial Pit</t>
  </si>
  <si>
    <t>BALAJI Services</t>
  </si>
  <si>
    <t>Excavation</t>
  </si>
  <si>
    <t>3DCT+0</t>
  </si>
  <si>
    <t>3DD60+6</t>
  </si>
  <si>
    <t>Balaji Service</t>
  </si>
  <si>
    <t>Hold</t>
  </si>
  <si>
    <t>Completed</t>
  </si>
  <si>
    <t xml:space="preserve">PCC </t>
  </si>
  <si>
    <t>WIP:  Excavated</t>
  </si>
  <si>
    <t>WIP: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</si>
</sst>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9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1" fillId="0" borderId="74"/>
    <xf numFmtId="0" fontId="1" fillId="0" borderId="74"/>
  </cellStyleXfs>
  <cellXfs count="1295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4" xfId="0" applyFont="1" applyBorder="1" applyAlignment="1">
      <alignment wrapText="1"/>
    </xf>
    <xf numFmtId="0" fontId="57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6" fillId="0" borderId="74" xfId="3" applyFont="1"/>
    <xf numFmtId="0" fontId="32" fillId="0" borderId="0" xfId="0" applyFont="1"/>
    <xf numFmtId="0" fontId="77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8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8" xfId="0" applyFont="1" applyBorder="1" applyAlignment="1">
      <alignment horizontal="center" vertical="center" wrapText="1"/>
    </xf>
    <xf numFmtId="1" fontId="82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2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4" xfId="0" applyFont="1" applyBorder="1" applyAlignment="1">
      <alignment horizontal="center" vertical="center" wrapText="1"/>
    </xf>
    <xf numFmtId="0" fontId="75" fillId="0" borderId="74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1" fillId="0" borderId="119" xfId="0" applyFont="1" applyBorder="1"/>
    <xf numFmtId="14" fontId="61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1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1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70" fillId="3" borderId="74" xfId="4" applyFont="1" applyFill="1"/>
    <xf numFmtId="0" fontId="61" fillId="16" borderId="125" xfId="4" applyFill="1" applyBorder="1"/>
    <xf numFmtId="0" fontId="13" fillId="7" borderId="119" xfId="4" applyFont="1" applyFill="1" applyBorder="1" applyAlignment="1">
      <alignment vertical="center"/>
    </xf>
    <xf numFmtId="0" fontId="61" fillId="17" borderId="74" xfId="4" applyFill="1"/>
    <xf numFmtId="164" fontId="61" fillId="0" borderId="74" xfId="4" applyNumberFormat="1"/>
    <xf numFmtId="0" fontId="61" fillId="0" borderId="74" xfId="4" applyAlignment="1">
      <alignment horizontal="center"/>
    </xf>
    <xf numFmtId="2" fontId="61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4" xfId="4" applyNumberFormat="1"/>
    <xf numFmtId="0" fontId="4" fillId="17" borderId="74" xfId="4" applyFont="1" applyFill="1" applyAlignment="1">
      <alignment horizontal="center" vertical="center"/>
    </xf>
    <xf numFmtId="0" fontId="63" fillId="0" borderId="74" xfId="4" applyFont="1"/>
    <xf numFmtId="0" fontId="63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4" fillId="24" borderId="127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3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19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4" xfId="0" applyFont="1" applyBorder="1" applyAlignment="1">
      <alignment horizontal="left" vertical="top"/>
    </xf>
    <xf numFmtId="14" fontId="98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5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5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4" xfId="0" applyFont="1" applyBorder="1" applyAlignment="1">
      <alignment horizontal="left" vertical="center" wrapText="1"/>
    </xf>
    <xf numFmtId="0" fontId="100" fillId="0" borderId="74" xfId="4" applyFont="1" applyAlignment="1">
      <alignment horizontal="center"/>
    </xf>
    <xf numFmtId="0" fontId="100" fillId="0" borderId="141" xfId="4" applyFont="1" applyBorder="1" applyAlignment="1">
      <alignment horizontal="center"/>
    </xf>
    <xf numFmtId="0" fontId="100" fillId="23" borderId="74" xfId="4" applyFont="1" applyFill="1" applyAlignment="1">
      <alignment horizontal="center"/>
    </xf>
    <xf numFmtId="0" fontId="100" fillId="23" borderId="141" xfId="4" applyFont="1" applyFill="1" applyBorder="1" applyAlignment="1">
      <alignment horizontal="center"/>
    </xf>
    <xf numFmtId="0" fontId="100" fillId="0" borderId="119" xfId="4" applyFont="1" applyBorder="1" applyAlignment="1">
      <alignment horizontal="center"/>
    </xf>
    <xf numFmtId="0" fontId="93" fillId="0" borderId="119" xfId="4" applyFont="1" applyBorder="1" applyAlignment="1">
      <alignment horizontal="center"/>
    </xf>
    <xf numFmtId="0" fontId="93" fillId="17" borderId="119" xfId="4" applyFont="1" applyFill="1" applyBorder="1" applyAlignment="1">
      <alignment horizontal="center"/>
    </xf>
    <xf numFmtId="0" fontId="100" fillId="0" borderId="160" xfId="4" applyFont="1" applyBorder="1" applyAlignment="1">
      <alignment horizontal="center"/>
    </xf>
    <xf numFmtId="0" fontId="100" fillId="0" borderId="147" xfId="4" applyFont="1" applyBorder="1" applyAlignment="1">
      <alignment horizontal="center"/>
    </xf>
    <xf numFmtId="0" fontId="100" fillId="0" borderId="149" xfId="4" applyFont="1" applyBorder="1" applyAlignment="1">
      <alignment horizontal="center"/>
    </xf>
    <xf numFmtId="0" fontId="93" fillId="0" borderId="149" xfId="4" applyFont="1" applyBorder="1" applyAlignment="1">
      <alignment horizontal="center"/>
    </xf>
    <xf numFmtId="0" fontId="93" fillId="17" borderId="149" xfId="4" applyFont="1" applyFill="1" applyBorder="1" applyAlignment="1">
      <alignment horizontal="center"/>
    </xf>
    <xf numFmtId="0" fontId="93" fillId="0" borderId="113" xfId="4" applyFont="1" applyBorder="1" applyAlignment="1">
      <alignment horizontal="center"/>
    </xf>
    <xf numFmtId="0" fontId="93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5" fillId="0" borderId="74" xfId="0" applyFont="1" applyBorder="1" applyAlignment="1">
      <alignment vertical="top" wrapText="1"/>
    </xf>
    <xf numFmtId="0" fontId="0" fillId="34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101" fillId="17" borderId="119" xfId="0" applyNumberFormat="1" applyFont="1" applyFill="1" applyBorder="1" applyAlignment="1">
      <alignment horizontal="center" vertical="center"/>
    </xf>
    <xf numFmtId="1" fontId="101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5" fillId="0" borderId="74" xfId="0" applyFont="1" applyBorder="1" applyAlignment="1">
      <alignment horizontal="left" vertical="top" wrapText="1"/>
    </xf>
    <xf numFmtId="0" fontId="75" fillId="0" borderId="74" xfId="0" applyFont="1" applyBorder="1" applyAlignment="1">
      <alignment horizontal="left" wrapText="1"/>
    </xf>
    <xf numFmtId="165" fontId="75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1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102" fillId="0" borderId="74" xfId="0" applyFont="1" applyBorder="1" applyAlignment="1">
      <alignment horizontal="left" vertical="center" wrapText="1"/>
    </xf>
    <xf numFmtId="0" fontId="102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9" fillId="0" borderId="162" xfId="0" applyFont="1" applyBorder="1" applyAlignment="1">
      <alignment horizontal="left" indent="1"/>
    </xf>
    <xf numFmtId="0" fontId="79" fillId="0" borderId="163" xfId="0" applyFont="1" applyBorder="1" applyAlignment="1">
      <alignment horizontal="left" indent="1"/>
    </xf>
    <xf numFmtId="0" fontId="79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9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81" fillId="0" borderId="22" xfId="0" applyFont="1" applyBorder="1"/>
    <xf numFmtId="0" fontId="81" fillId="0" borderId="81" xfId="0" applyFont="1" applyBorder="1"/>
    <xf numFmtId="0" fontId="81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5" fillId="0" borderId="168" xfId="4" applyFont="1" applyBorder="1" applyAlignment="1">
      <alignment horizontal="center" vertical="center" wrapText="1"/>
    </xf>
    <xf numFmtId="0" fontId="106" fillId="0" borderId="168" xfId="4" applyFont="1" applyBorder="1" applyAlignment="1">
      <alignment horizontal="center" vertical="center" wrapText="1"/>
    </xf>
    <xf numFmtId="0" fontId="76" fillId="35" borderId="170" xfId="4" applyFont="1" applyFill="1" applyBorder="1" applyAlignment="1">
      <alignment horizontal="center" vertical="center"/>
    </xf>
    <xf numFmtId="0" fontId="76" fillId="35" borderId="171" xfId="4" applyFont="1" applyFill="1" applyBorder="1" applyAlignment="1">
      <alignment horizontal="center" vertical="center"/>
    </xf>
    <xf numFmtId="0" fontId="76" fillId="35" borderId="171" xfId="4" applyFont="1" applyFill="1" applyBorder="1" applyAlignment="1">
      <alignment horizontal="center" vertical="center" wrapText="1"/>
    </xf>
    <xf numFmtId="0" fontId="76" fillId="35" borderId="172" xfId="5" applyFont="1" applyFill="1" applyBorder="1" applyAlignment="1">
      <alignment horizontal="center" vertical="center" wrapText="1"/>
    </xf>
    <xf numFmtId="0" fontId="76" fillId="35" borderId="143" xfId="5" applyFont="1" applyFill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 wrapText="1"/>
    </xf>
    <xf numFmtId="0" fontId="76" fillId="35" borderId="172" xfId="4" applyFont="1" applyFill="1" applyBorder="1" applyAlignment="1">
      <alignment horizontal="center" vertical="center" wrapText="1"/>
    </xf>
    <xf numFmtId="0" fontId="76" fillId="35" borderId="156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100" fillId="0" borderId="175" xfId="4" applyFont="1" applyBorder="1" applyAlignment="1">
      <alignment horizontal="center"/>
    </xf>
    <xf numFmtId="0" fontId="100" fillId="0" borderId="124" xfId="4" applyFont="1" applyBorder="1" applyAlignment="1">
      <alignment horizontal="center"/>
    </xf>
    <xf numFmtId="0" fontId="93" fillId="0" borderId="124" xfId="4" applyFont="1" applyBorder="1" applyAlignment="1">
      <alignment horizontal="center"/>
    </xf>
    <xf numFmtId="0" fontId="93" fillId="17" borderId="124" xfId="4" applyFont="1" applyFill="1" applyBorder="1" applyAlignment="1">
      <alignment horizontal="center"/>
    </xf>
    <xf numFmtId="0" fontId="93" fillId="0" borderId="142" xfId="4" applyFont="1" applyBorder="1" applyAlignment="1">
      <alignment horizontal="center"/>
    </xf>
    <xf numFmtId="0" fontId="63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164" fontId="5" fillId="17" borderId="74" xfId="4" applyNumberFormat="1" applyFont="1" applyFill="1" applyAlignment="1">
      <alignment horizontal="center" vertical="center"/>
    </xf>
    <xf numFmtId="0" fontId="4" fillId="17" borderId="141" xfId="4" applyFont="1" applyFill="1" applyBorder="1" applyAlignment="1">
      <alignment horizontal="center" vertical="center"/>
    </xf>
    <xf numFmtId="0" fontId="13" fillId="30" borderId="74" xfId="4" applyFont="1" applyFill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4" fillId="17" borderId="141" xfId="4" applyFont="1" applyFill="1" applyBorder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5" fillId="17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0" fontId="74" fillId="17" borderId="74" xfId="4" applyFont="1" applyFill="1"/>
    <xf numFmtId="1" fontId="92" fillId="17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13" fillId="17" borderId="141" xfId="4" applyFont="1" applyFill="1" applyBorder="1" applyAlignment="1">
      <alignment vertical="center"/>
    </xf>
    <xf numFmtId="0" fontId="74" fillId="17" borderId="74" xfId="4" applyFont="1" applyFill="1" applyAlignment="1">
      <alignment horizontal="center" vertical="center"/>
    </xf>
    <xf numFmtId="0" fontId="93" fillId="17" borderId="159" xfId="4" applyFont="1" applyFill="1" applyBorder="1"/>
    <xf numFmtId="0" fontId="93" fillId="17" borderId="74" xfId="4" applyFont="1" applyFill="1"/>
    <xf numFmtId="0" fontId="93" fillId="17" borderId="141" xfId="4" applyFont="1" applyFill="1" applyBorder="1"/>
    <xf numFmtId="164" fontId="5" fillId="30" borderId="141" xfId="4" applyNumberFormat="1" applyFont="1" applyFill="1" applyBorder="1" applyAlignment="1">
      <alignment horizontal="center" vertical="center"/>
    </xf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1" fontId="4" fillId="17" borderId="180" xfId="4" applyNumberFormat="1" applyFont="1" applyFill="1" applyBorder="1" applyAlignment="1">
      <alignment horizontal="center"/>
    </xf>
    <xf numFmtId="0" fontId="9" fillId="17" borderId="74" xfId="4" applyFont="1" applyFill="1" applyAlignment="1">
      <alignment horizontal="center"/>
    </xf>
    <xf numFmtId="0" fontId="63" fillId="17" borderId="141" xfId="4" applyFont="1" applyFill="1" applyBorder="1"/>
    <xf numFmtId="1" fontId="4" fillId="17" borderId="74" xfId="4" applyNumberFormat="1" applyFont="1" applyFill="1" applyAlignment="1">
      <alignment horizontal="center"/>
    </xf>
    <xf numFmtId="0" fontId="61" fillId="17" borderId="74" xfId="4" applyFill="1" applyAlignment="1">
      <alignment horizontal="center" vertical="center"/>
    </xf>
    <xf numFmtId="0" fontId="63" fillId="17" borderId="74" xfId="4" applyFont="1" applyFill="1" applyAlignment="1">
      <alignment horizontal="center" vertical="center"/>
    </xf>
    <xf numFmtId="0" fontId="96" fillId="17" borderId="159" xfId="4" applyFont="1" applyFill="1" applyBorder="1" applyAlignment="1">
      <alignment horizontal="center" wrapText="1"/>
    </xf>
    <xf numFmtId="0" fontId="96" fillId="17" borderId="74" xfId="4" applyFont="1" applyFill="1" applyAlignment="1">
      <alignment horizontal="center" wrapText="1"/>
    </xf>
    <xf numFmtId="0" fontId="97" fillId="16" borderId="159" xfId="4" applyFont="1" applyFill="1" applyBorder="1" applyAlignment="1">
      <alignment horizontal="left"/>
    </xf>
    <xf numFmtId="0" fontId="93" fillId="16" borderId="74" xfId="4" applyFont="1" applyFill="1" applyAlignment="1">
      <alignment horizontal="center" wrapText="1"/>
    </xf>
    <xf numFmtId="0" fontId="63" fillId="16" borderId="74" xfId="4" applyFont="1" applyFill="1"/>
    <xf numFmtId="0" fontId="63" fillId="16" borderId="74" xfId="4" applyFont="1" applyFill="1" applyAlignment="1">
      <alignment horizontal="center" vertical="center"/>
    </xf>
    <xf numFmtId="0" fontId="61" fillId="16" borderId="74" xfId="4" applyFill="1"/>
    <xf numFmtId="0" fontId="63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5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5" fillId="19" borderId="119" xfId="0" applyFont="1" applyFill="1" applyBorder="1" applyAlignment="1">
      <alignment vertical="center" wrapText="1"/>
    </xf>
    <xf numFmtId="14" fontId="98" fillId="0" borderId="119" xfId="0" applyNumberFormat="1" applyFont="1" applyBorder="1" applyAlignment="1">
      <alignment horizontal="center" wrapText="1"/>
    </xf>
    <xf numFmtId="14" fontId="61" fillId="0" borderId="119" xfId="0" applyNumberFormat="1" applyFont="1" applyBorder="1" applyAlignment="1">
      <alignment horizontal="center"/>
    </xf>
    <xf numFmtId="0" fontId="61" fillId="0" borderId="119" xfId="0" applyFont="1" applyBorder="1" applyAlignment="1">
      <alignment horizontal="center"/>
    </xf>
    <xf numFmtId="0" fontId="85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5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1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7" fillId="9" borderId="2" xfId="0" applyNumberFormat="1" applyFont="1" applyFill="1" applyBorder="1" applyAlignment="1">
      <alignment horizontal="center"/>
    </xf>
    <xf numFmtId="14" fontId="107" fillId="9" borderId="18" xfId="0" applyNumberFormat="1" applyFont="1" applyFill="1" applyBorder="1" applyAlignment="1">
      <alignment horizontal="center"/>
    </xf>
    <xf numFmtId="14" fontId="107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5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9" fillId="0" borderId="125" xfId="0" applyFont="1" applyBorder="1" applyAlignment="1">
      <alignment horizontal="left" vertical="top"/>
    </xf>
    <xf numFmtId="0" fontId="89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6" xfId="0" applyFont="1" applyFill="1" applyBorder="1" applyAlignment="1">
      <alignment wrapText="1"/>
    </xf>
    <xf numFmtId="0" fontId="80" fillId="0" borderId="177" xfId="0" applyFont="1" applyBorder="1"/>
    <xf numFmtId="0" fontId="80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6" borderId="118" xfId="0" applyFont="1" applyFill="1" applyBorder="1" applyAlignment="1">
      <alignment horizontal="center" vertical="center" wrapText="1"/>
    </xf>
    <xf numFmtId="164" fontId="7" fillId="36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8" fillId="0" borderId="119" xfId="0" applyNumberFormat="1" applyFont="1" applyBorder="1" applyAlignment="1">
      <alignment horizontal="left" wrapText="1"/>
    </xf>
    <xf numFmtId="0" fontId="87" fillId="0" borderId="119" xfId="0" applyFont="1" applyBorder="1" applyAlignment="1">
      <alignment horizontal="left" indent="2"/>
    </xf>
    <xf numFmtId="14" fontId="88" fillId="0" borderId="119" xfId="0" applyNumberFormat="1" applyFont="1" applyBorder="1" applyAlignment="1">
      <alignment horizontal="center"/>
    </xf>
    <xf numFmtId="0" fontId="100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4" xfId="0" applyFont="1" applyFill="1" applyBorder="1" applyAlignment="1">
      <alignment vertical="center" wrapText="1"/>
    </xf>
    <xf numFmtId="0" fontId="4" fillId="19" borderId="74" xfId="4" applyFont="1" applyFill="1" applyAlignment="1">
      <alignment horizontal="center" vertical="center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8" fillId="3" borderId="119" xfId="0" applyFont="1" applyFill="1" applyBorder="1" applyAlignment="1">
      <alignment horizontal="center" vertical="center" wrapText="1"/>
    </xf>
    <xf numFmtId="14" fontId="88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8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9" fillId="0" borderId="123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9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10" fillId="0" borderId="119" xfId="0" applyFont="1" applyBorder="1" applyAlignment="1">
      <alignment horizontal="center" vertical="center" wrapText="1"/>
    </xf>
    <xf numFmtId="0" fontId="110" fillId="0" borderId="74" xfId="0" applyFont="1" applyBorder="1" applyAlignment="1">
      <alignment horizontal="center" vertical="center" wrapText="1"/>
    </xf>
    <xf numFmtId="0" fontId="61" fillId="17" borderId="0" xfId="0" applyFont="1" applyFill="1"/>
    <xf numFmtId="0" fontId="87" fillId="17" borderId="119" xfId="0" applyFont="1" applyFill="1" applyBorder="1" applyAlignment="1">
      <alignment horizontal="left" indent="2"/>
    </xf>
    <xf numFmtId="0" fontId="87" fillId="17" borderId="125" xfId="0" applyFont="1" applyFill="1" applyBorder="1" applyAlignment="1">
      <alignment vertical="center"/>
    </xf>
    <xf numFmtId="0" fontId="87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1" fillId="17" borderId="74" xfId="0" applyFont="1" applyFill="1" applyBorder="1"/>
    <xf numFmtId="14" fontId="98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1" fillId="17" borderId="119" xfId="0" applyFont="1" applyFill="1" applyBorder="1"/>
    <xf numFmtId="14" fontId="61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0" fontId="100" fillId="19" borderId="7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19" xfId="4" applyFill="1" applyBorder="1" applyAlignment="1">
      <alignment horizontal="center" vertical="center"/>
    </xf>
    <xf numFmtId="0" fontId="61" fillId="16" borderId="119" xfId="4" applyFill="1" applyBorder="1"/>
    <xf numFmtId="0" fontId="95" fillId="16" borderId="119" xfId="4" applyFont="1" applyFill="1" applyBorder="1"/>
    <xf numFmtId="0" fontId="111" fillId="17" borderId="119" xfId="4" applyFont="1" applyFill="1" applyBorder="1" applyAlignment="1">
      <alignment horizontal="center" vertical="center"/>
    </xf>
    <xf numFmtId="0" fontId="5" fillId="17" borderId="119" xfId="4" applyFont="1" applyFill="1" applyBorder="1" applyAlignment="1">
      <alignment vertical="center"/>
    </xf>
    <xf numFmtId="0" fontId="5" fillId="17" borderId="119" xfId="4" applyFont="1" applyFill="1" applyBorder="1" applyAlignment="1">
      <alignment horizontal="left" vertical="center"/>
    </xf>
    <xf numFmtId="0" fontId="5" fillId="17" borderId="119" xfId="4" applyFont="1" applyFill="1" applyBorder="1" applyAlignment="1">
      <alignment horizontal="center" vertical="center"/>
    </xf>
    <xf numFmtId="0" fontId="111" fillId="17" borderId="119" xfId="4" applyFont="1" applyFill="1" applyBorder="1" applyAlignment="1">
      <alignment horizontal="center"/>
    </xf>
    <xf numFmtId="0" fontId="4" fillId="16" borderId="119" xfId="4" applyFont="1" applyFill="1" applyBorder="1" applyAlignment="1">
      <alignment vertical="center"/>
    </xf>
    <xf numFmtId="0" fontId="4" fillId="16" borderId="119" xfId="4" applyFont="1" applyFill="1" applyBorder="1" applyAlignment="1">
      <alignment horizontal="left" vertical="center"/>
    </xf>
    <xf numFmtId="0" fontId="95" fillId="16" borderId="119" xfId="4" applyFont="1" applyFill="1" applyBorder="1" applyAlignment="1">
      <alignment horizontal="center" vertical="center"/>
    </xf>
    <xf numFmtId="0" fontId="14" fillId="16" borderId="119" xfId="4" applyFont="1" applyFill="1" applyBorder="1" applyAlignment="1">
      <alignment vertical="center"/>
    </xf>
    <xf numFmtId="0" fontId="14" fillId="16" borderId="119" xfId="4" applyFont="1" applyFill="1" applyBorder="1" applyAlignment="1">
      <alignment horizontal="left" vertical="center"/>
    </xf>
    <xf numFmtId="0" fontId="14" fillId="16" borderId="119" xfId="4" applyFont="1" applyFill="1" applyBorder="1" applyAlignment="1">
      <alignment horizontal="center" vertical="center"/>
    </xf>
    <xf numFmtId="16" fontId="14" fillId="16" borderId="119" xfId="4" applyNumberFormat="1" applyFont="1" applyFill="1" applyBorder="1" applyAlignment="1">
      <alignment vertical="center"/>
    </xf>
    <xf numFmtId="0" fontId="111" fillId="17" borderId="119" xfId="4" applyFont="1" applyFill="1" applyBorder="1" applyAlignment="1">
      <alignment horizontal="left" vertical="center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12" fillId="19" borderId="74" xfId="0" applyFont="1" applyFill="1" applyBorder="1" applyAlignment="1">
      <alignment horizontal="center" vertical="center"/>
    </xf>
    <xf numFmtId="0" fontId="12" fillId="19" borderId="74" xfId="0" applyFont="1" applyFill="1" applyBorder="1" applyAlignment="1">
      <alignment horizontal="center" wrapText="1"/>
    </xf>
    <xf numFmtId="165" fontId="12" fillId="19" borderId="74" xfId="0" applyNumberFormat="1" applyFont="1" applyFill="1" applyBorder="1" applyAlignment="1">
      <alignment horizontal="center" wrapText="1"/>
    </xf>
    <xf numFmtId="0" fontId="12" fillId="19" borderId="74" xfId="0" applyFont="1" applyFill="1" applyBorder="1" applyAlignment="1">
      <alignment horizontal="center" vertical="center" wrapText="1"/>
    </xf>
    <xf numFmtId="0" fontId="13" fillId="25" borderId="74" xfId="0" applyFont="1" applyFill="1" applyBorder="1" applyAlignment="1">
      <alignment horizontal="center" vertical="center"/>
    </xf>
    <xf numFmtId="0" fontId="112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5" fillId="0" borderId="74" xfId="0" applyFont="1" applyBorder="1" applyAlignment="1">
      <alignment horizontal="center" vertical="center" wrapText="1"/>
    </xf>
    <xf numFmtId="0" fontId="85" fillId="0" borderId="74" xfId="0" applyFont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0" fontId="93" fillId="19" borderId="159" xfId="4" applyFont="1" applyFill="1" applyBorder="1" applyAlignment="1">
      <alignment horizontal="center" wrapText="1"/>
    </xf>
    <xf numFmtId="0" fontId="93" fillId="19" borderId="74" xfId="4" applyFont="1" applyFill="1" applyAlignment="1">
      <alignment horizontal="center" wrapText="1"/>
    </xf>
    <xf numFmtId="0" fontId="13" fillId="30" borderId="74" xfId="4" applyFont="1" applyFill="1" applyAlignment="1">
      <alignment horizontal="center" vertical="center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4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6" xfId="4" applyNumberFormat="1" applyFont="1" applyFill="1" applyBorder="1" applyAlignment="1">
      <alignment horizontal="center" vertical="center"/>
    </xf>
    <xf numFmtId="0" fontId="72" fillId="19" borderId="137" xfId="4" applyFont="1" applyFill="1" applyBorder="1"/>
    <xf numFmtId="2" fontId="109" fillId="19" borderId="18" xfId="4" applyNumberFormat="1" applyFont="1" applyFill="1" applyBorder="1" applyAlignment="1">
      <alignment horizontal="center" vertical="center"/>
    </xf>
    <xf numFmtId="0" fontId="109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23" borderId="136" xfId="4" applyNumberFormat="1" applyFont="1" applyFill="1" applyBorder="1" applyAlignment="1">
      <alignment horizontal="center" vertical="center"/>
    </xf>
    <xf numFmtId="0" fontId="72" fillId="23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7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6" xfId="4" applyNumberFormat="1" applyFont="1" applyFill="1" applyBorder="1" applyAlignment="1">
      <alignment horizontal="center" vertical="center"/>
    </xf>
    <xf numFmtId="0" fontId="83" fillId="17" borderId="137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2" fillId="0" borderId="137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0" fontId="93" fillId="17" borderId="159" xfId="4" applyFont="1" applyFill="1" applyBorder="1" applyAlignment="1">
      <alignment horizontal="center" wrapText="1"/>
    </xf>
    <xf numFmtId="0" fontId="93" fillId="17" borderId="74" xfId="4" applyFont="1" applyFill="1" applyAlignment="1">
      <alignment horizontal="center" wrapText="1"/>
    </xf>
    <xf numFmtId="2" fontId="83" fillId="17" borderId="137" xfId="4" applyNumberFormat="1" applyFont="1" applyFill="1" applyBorder="1" applyAlignment="1">
      <alignment horizontal="center" vertical="center"/>
    </xf>
    <xf numFmtId="0" fontId="93" fillId="17" borderId="141" xfId="4" applyFont="1" applyFill="1" applyBorder="1" applyAlignment="1">
      <alignment horizontal="center" wrapText="1"/>
    </xf>
    <xf numFmtId="2" fontId="103" fillId="23" borderId="18" xfId="4" applyNumberFormat="1" applyFont="1" applyFill="1" applyBorder="1" applyAlignment="1">
      <alignment horizontal="center" vertical="center"/>
    </xf>
    <xf numFmtId="0" fontId="103" fillId="23" borderId="33" xfId="4" applyFont="1" applyFill="1" applyBorder="1"/>
    <xf numFmtId="2" fontId="94" fillId="23" borderId="18" xfId="4" applyNumberFormat="1" applyFont="1" applyFill="1" applyBorder="1" applyAlignment="1">
      <alignment horizontal="center" vertical="center"/>
    </xf>
    <xf numFmtId="2" fontId="94" fillId="0" borderId="18" xfId="4" applyNumberFormat="1" applyFont="1" applyBorder="1" applyAlignment="1">
      <alignment horizontal="center" vertical="center"/>
    </xf>
    <xf numFmtId="2" fontId="94" fillId="0" borderId="33" xfId="4" applyNumberFormat="1" applyFont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35" fillId="17" borderId="137" xfId="4" applyNumberFormat="1" applyFont="1" applyFill="1" applyBorder="1" applyAlignment="1">
      <alignment horizontal="center" vertical="center"/>
    </xf>
    <xf numFmtId="2" fontId="71" fillId="17" borderId="136" xfId="4" applyNumberFormat="1" applyFont="1" applyFill="1" applyBorder="1" applyAlignment="1">
      <alignment horizontal="center" vertical="center"/>
    </xf>
    <xf numFmtId="0" fontId="71" fillId="17" borderId="137" xfId="4" applyFont="1" applyFill="1" applyBorder="1"/>
    <xf numFmtId="2" fontId="108" fillId="23" borderId="136" xfId="4" applyNumberFormat="1" applyFont="1" applyFill="1" applyBorder="1" applyAlignment="1">
      <alignment horizontal="center" vertical="center"/>
    </xf>
    <xf numFmtId="0" fontId="108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83" fillId="19" borderId="18" xfId="4" applyNumberFormat="1" applyFont="1" applyFill="1" applyBorder="1" applyAlignment="1">
      <alignment horizontal="center" vertical="center"/>
    </xf>
    <xf numFmtId="0" fontId="83" fillId="19" borderId="33" xfId="4" applyFont="1" applyFill="1" applyBorder="1"/>
    <xf numFmtId="0" fontId="5" fillId="23" borderId="137" xfId="4" applyFont="1" applyFill="1" applyBorder="1"/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104" fillId="16" borderId="18" xfId="4" applyNumberFormat="1" applyFont="1" applyFill="1" applyBorder="1" applyAlignment="1">
      <alignment horizontal="center" vertical="center"/>
    </xf>
    <xf numFmtId="0" fontId="104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45" xfId="4" quotePrefix="1" applyFont="1" applyFill="1" applyBorder="1" applyAlignment="1">
      <alignment horizontal="center" vertical="center" wrapText="1"/>
    </xf>
    <xf numFmtId="0" fontId="5" fillId="3" borderId="88" xfId="4" applyFont="1" applyFill="1" applyBorder="1" applyAlignment="1">
      <alignment horizontal="center"/>
    </xf>
    <xf numFmtId="0" fontId="9" fillId="0" borderId="79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39" xfId="4" applyFont="1" applyBorder="1"/>
    <xf numFmtId="0" fontId="95" fillId="16" borderId="123" xfId="4" applyFont="1" applyFill="1" applyBorder="1" applyAlignment="1">
      <alignment horizontal="left"/>
    </xf>
    <xf numFmtId="0" fontId="95" fillId="16" borderId="124" xfId="4" applyFont="1" applyFill="1" applyBorder="1" applyAlignment="1">
      <alignment horizontal="left"/>
    </xf>
    <xf numFmtId="0" fontId="111" fillId="17" borderId="123" xfId="4" applyFont="1" applyFill="1" applyBorder="1" applyAlignment="1">
      <alignment horizontal="left" vertical="center"/>
    </xf>
    <xf numFmtId="0" fontId="111" fillId="17" borderId="124" xfId="4" applyFont="1" applyFill="1" applyBorder="1" applyAlignment="1">
      <alignment horizontal="left" vertical="center"/>
    </xf>
    <xf numFmtId="0" fontId="61" fillId="16" borderId="123" xfId="4" applyFill="1" applyBorder="1" applyAlignment="1">
      <alignment horizontal="left"/>
    </xf>
    <xf numFmtId="0" fontId="61" fillId="16" borderId="124" xfId="4" applyFill="1" applyBorder="1" applyAlignment="1">
      <alignment horizontal="left"/>
    </xf>
    <xf numFmtId="0" fontId="99" fillId="23" borderId="175" xfId="4" applyFont="1" applyFill="1" applyBorder="1" applyAlignment="1">
      <alignment horizontal="center" vertical="center" wrapText="1"/>
    </xf>
    <xf numFmtId="0" fontId="99" fillId="23" borderId="142" xfId="4" applyFont="1" applyFill="1" applyBorder="1" applyAlignment="1">
      <alignment horizontal="center" vertical="center" wrapText="1"/>
    </xf>
    <xf numFmtId="0" fontId="99" fillId="23" borderId="160" xfId="4" applyFont="1" applyFill="1" applyBorder="1" applyAlignment="1">
      <alignment horizontal="center" vertical="center" wrapText="1"/>
    </xf>
    <xf numFmtId="0" fontId="99" fillId="23" borderId="113" xfId="4" applyFont="1" applyFill="1" applyBorder="1" applyAlignment="1">
      <alignment horizontal="center" vertical="center" wrapText="1"/>
    </xf>
    <xf numFmtId="0" fontId="99" fillId="23" borderId="147" xfId="4" applyFont="1" applyFill="1" applyBorder="1" applyAlignment="1">
      <alignment horizontal="center" vertical="center" wrapText="1"/>
    </xf>
    <xf numFmtId="0" fontId="99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1" fillId="0" borderId="81" xfId="4" applyFont="1" applyBorder="1"/>
    <xf numFmtId="0" fontId="91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2" fillId="0" borderId="177" xfId="4" applyFont="1" applyBorder="1"/>
    <xf numFmtId="0" fontId="62" fillId="0" borderId="178" xfId="4" applyFont="1" applyBorder="1"/>
    <xf numFmtId="0" fontId="27" fillId="3" borderId="45" xfId="4" applyFont="1" applyFill="1" applyBorder="1" applyAlignment="1">
      <alignment horizontal="center" vertical="center"/>
    </xf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5" fillId="3" borderId="45" xfId="4" quotePrefix="1" applyFont="1" applyFill="1" applyBorder="1" applyAlignment="1">
      <alignment horizontal="center" vertical="center"/>
    </xf>
    <xf numFmtId="0" fontId="67" fillId="17" borderId="86" xfId="4" applyFont="1" applyFill="1" applyBorder="1"/>
    <xf numFmtId="0" fontId="67" fillId="17" borderId="33" xfId="4" applyFont="1" applyFill="1" applyBorder="1"/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5" fillId="19" borderId="74" xfId="0" applyFont="1" applyFill="1" applyBorder="1" applyAlignment="1">
      <alignment horizontal="left" vertical="top"/>
    </xf>
    <xf numFmtId="0" fontId="75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102" fillId="0" borderId="74" xfId="0" applyFont="1" applyBorder="1" applyAlignment="1">
      <alignment horizontal="left" wrapText="1"/>
    </xf>
    <xf numFmtId="0" fontId="102" fillId="0" borderId="74" xfId="0" applyFont="1" applyBorder="1" applyAlignment="1">
      <alignment horizontal="left" vertical="center" wrapText="1"/>
    </xf>
    <xf numFmtId="0" fontId="75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5" fillId="19" borderId="119" xfId="0" applyFont="1" applyFill="1" applyBorder="1" applyAlignment="1">
      <alignment horizontal="left" vertical="center" wrapText="1" indent="2"/>
    </xf>
    <xf numFmtId="0" fontId="85" fillId="19" borderId="119" xfId="0" applyFont="1" applyFill="1" applyBorder="1" applyAlignment="1">
      <alignment horizontal="left" indent="2"/>
    </xf>
    <xf numFmtId="0" fontId="85" fillId="0" borderId="119" xfId="0" applyFont="1" applyBorder="1" applyAlignment="1">
      <alignment horizontal="center" vertical="center" wrapText="1"/>
    </xf>
    <xf numFmtId="0" fontId="85" fillId="0" borderId="119" xfId="0" applyFont="1" applyBorder="1" applyAlignment="1">
      <alignment horizontal="center" vertical="center"/>
    </xf>
    <xf numFmtId="0" fontId="89" fillId="0" borderId="123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9" fillId="0" borderId="124" xfId="0" applyFont="1" applyBorder="1" applyAlignment="1">
      <alignment vertical="top"/>
    </xf>
    <xf numFmtId="0" fontId="85" fillId="0" borderId="132" xfId="0" applyFont="1" applyBorder="1" applyAlignment="1">
      <alignment horizontal="center" vertical="center" wrapText="1"/>
    </xf>
    <xf numFmtId="0" fontId="85" fillId="0" borderId="133" xfId="0" applyFont="1" applyBorder="1" applyAlignment="1">
      <alignment horizontal="center" vertical="center"/>
    </xf>
    <xf numFmtId="0" fontId="85" fillId="0" borderId="134" xfId="0" applyFont="1" applyBorder="1" applyAlignment="1">
      <alignment horizontal="center" vertical="center"/>
    </xf>
    <xf numFmtId="0" fontId="85" fillId="0" borderId="123" xfId="0" applyFont="1" applyBorder="1" applyAlignment="1">
      <alignment horizontal="center" vertical="center" wrapText="1"/>
    </xf>
    <xf numFmtId="0" fontId="85" fillId="0" borderId="12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/>
    </xf>
    <xf numFmtId="0" fontId="90" fillId="3" borderId="155" xfId="0" applyFont="1" applyFill="1" applyBorder="1" applyAlignment="1">
      <alignment horizontal="center" wrapText="1"/>
    </xf>
    <xf numFmtId="0" fontId="90" fillId="3" borderId="156" xfId="0" applyFont="1" applyFill="1" applyBorder="1" applyAlignment="1">
      <alignment horizontal="center" wrapText="1"/>
    </xf>
    <xf numFmtId="0" fontId="90" fillId="3" borderId="157" xfId="0" applyFont="1" applyFill="1" applyBorder="1" applyAlignment="1">
      <alignment horizontal="center" wrapText="1"/>
    </xf>
    <xf numFmtId="0" fontId="87" fillId="0" borderId="119" xfId="0" applyFont="1" applyBorder="1" applyAlignment="1">
      <alignment horizontal="left" indent="2"/>
    </xf>
    <xf numFmtId="0" fontId="89" fillId="0" borderId="123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9" fillId="0" borderId="124" xfId="0" applyFont="1" applyBorder="1" applyAlignment="1">
      <alignment horizontal="left" vertical="top"/>
    </xf>
    <xf numFmtId="0" fontId="87" fillId="17" borderId="119" xfId="0" applyFont="1" applyFill="1" applyBorder="1" applyAlignment="1">
      <alignment horizontal="left" indent="2"/>
    </xf>
    <xf numFmtId="0" fontId="86" fillId="19" borderId="123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9" xfId="0" applyFont="1" applyBorder="1" applyAlignment="1">
      <alignment horizontal="center" vertical="center"/>
    </xf>
    <xf numFmtId="0" fontId="85" fillId="0" borderId="130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5" fillId="0" borderId="82" xfId="0" applyFont="1" applyBorder="1" applyAlignment="1">
      <alignment horizontal="center" vertical="center" wrapText="1"/>
    </xf>
    <xf numFmtId="0" fontId="85" fillId="0" borderId="108" xfId="0" applyFont="1" applyBorder="1" applyAlignment="1">
      <alignment horizontal="center" vertical="center"/>
    </xf>
    <xf numFmtId="0" fontId="85" fillId="0" borderId="77" xfId="0" applyFont="1" applyBorder="1" applyAlignment="1">
      <alignment horizontal="center" vertical="center"/>
    </xf>
    <xf numFmtId="0" fontId="87" fillId="0" borderId="128" xfId="0" applyFont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19" borderId="123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79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7" fillId="19" borderId="128" xfId="0" applyFont="1" applyFill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19" xfId="0" applyFont="1" applyFill="1" applyBorder="1" applyAlignment="1">
      <alignment horizontal="left" indent="2"/>
    </xf>
    <xf numFmtId="0" fontId="87" fillId="0" borderId="166" xfId="0" applyFont="1" applyBorder="1" applyAlignment="1">
      <alignment horizontal="left" indent="2"/>
    </xf>
    <xf numFmtId="0" fontId="87" fillId="0" borderId="74" xfId="0" applyFont="1" applyBorder="1" applyAlignment="1">
      <alignment horizontal="left" indent="2"/>
    </xf>
    <xf numFmtId="0" fontId="87" fillId="0" borderId="167" xfId="0" applyFont="1" applyBorder="1" applyAlignment="1">
      <alignment horizontal="left" indent="2"/>
    </xf>
    <xf numFmtId="0" fontId="85" fillId="19" borderId="82" xfId="0" applyFont="1" applyFill="1" applyBorder="1" applyAlignment="1">
      <alignment horizontal="left" vertical="center" wrapText="1" indent="2"/>
    </xf>
    <xf numFmtId="0" fontId="85" fillId="19" borderId="108" xfId="0" applyFont="1" applyFill="1" applyBorder="1" applyAlignment="1">
      <alignment horizontal="left" indent="2"/>
    </xf>
    <xf numFmtId="0" fontId="85" fillId="19" borderId="77" xfId="0" applyFont="1" applyFill="1" applyBorder="1" applyAlignment="1">
      <alignment horizontal="left" indent="2"/>
    </xf>
    <xf numFmtId="0" fontId="85" fillId="0" borderId="127" xfId="0" applyFont="1" applyBorder="1" applyAlignment="1">
      <alignment horizontal="center" vertical="center" wrapText="1"/>
    </xf>
    <xf numFmtId="0" fontId="85" fillId="0" borderId="127" xfId="0" applyFont="1" applyBorder="1" applyAlignment="1">
      <alignment horizontal="center" vertical="center"/>
    </xf>
    <xf numFmtId="0" fontId="85" fillId="17" borderId="119" xfId="0" applyFont="1" applyFill="1" applyBorder="1" applyAlignment="1">
      <alignment horizontal="left" vertical="center" wrapText="1" indent="2"/>
    </xf>
    <xf numFmtId="0" fontId="85" fillId="17" borderId="119" xfId="0" applyFont="1" applyFill="1" applyBorder="1" applyAlignment="1">
      <alignment horizontal="left" indent="2"/>
    </xf>
    <xf numFmtId="0" fontId="85" fillId="19" borderId="127" xfId="0" applyFont="1" applyFill="1" applyBorder="1" applyAlignment="1">
      <alignment horizontal="left" vertical="center" wrapText="1" indent="2"/>
    </xf>
    <xf numFmtId="0" fontId="85" fillId="19" borderId="127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5" fillId="0" borderId="169" xfId="4" applyFont="1" applyBorder="1" applyAlignment="1">
      <alignment horizontal="center" vertical="center" wrapText="1"/>
    </xf>
    <xf numFmtId="0" fontId="105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17" fillId="19" borderId="124" xfId="0" applyFont="1" applyFill="1" applyBorder="1" applyAlignment="1">
      <alignment horizontal="center" vertical="center" wrapText="1"/>
    </xf>
    <xf numFmtId="2" fontId="7" fillId="16" borderId="136" xfId="4" applyNumberFormat="1" applyFont="1" applyFill="1" applyBorder="1" applyAlignment="1">
      <alignment horizontal="center" vertical="center"/>
    </xf>
    <xf numFmtId="0" fontId="113" fillId="16" borderId="137" xfId="4" applyFont="1" applyFill="1" applyBorder="1"/>
    <xf numFmtId="0" fontId="93" fillId="19" borderId="159" xfId="4" applyFont="1" applyFill="1" applyBorder="1" applyAlignment="1">
      <alignment wrapText="1"/>
    </xf>
    <xf numFmtId="0" fontId="93" fillId="19" borderId="74" xfId="4" applyFont="1" applyFill="1" applyAlignment="1">
      <alignment wrapText="1"/>
    </xf>
    <xf numFmtId="0" fontId="65" fillId="3" borderId="18" xfId="4" applyFont="1" applyFill="1" applyBorder="1" applyAlignment="1">
      <alignment horizontal="center" vertical="center"/>
    </xf>
    <xf numFmtId="0" fontId="68" fillId="3" borderId="18" xfId="4" applyFont="1" applyFill="1" applyBorder="1" applyAlignment="1">
      <alignment horizontal="center" vertical="center"/>
    </xf>
    <xf numFmtId="0" fontId="65" fillId="3" borderId="33" xfId="4" applyFont="1" applyFill="1" applyBorder="1" applyAlignment="1">
      <alignment horizontal="center" vertical="center"/>
    </xf>
    <xf numFmtId="0" fontId="68" fillId="3" borderId="33" xfId="4" applyFont="1" applyFill="1" applyBorder="1" applyAlignment="1">
      <alignment horizontal="center" vertical="center"/>
    </xf>
    <xf numFmtId="0" fontId="65" fillId="3" borderId="119" xfId="4" applyFont="1" applyFill="1" applyBorder="1" applyAlignment="1">
      <alignment horizontal="center" vertical="center"/>
    </xf>
    <xf numFmtId="0" fontId="61" fillId="0" borderId="119" xfId="4" applyBorder="1"/>
    <xf numFmtId="0" fontId="68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64" fillId="3" borderId="191" xfId="4" applyFont="1" applyFill="1" applyBorder="1" applyAlignment="1">
      <alignment horizontal="center" vertical="center" wrapText="1"/>
    </xf>
    <xf numFmtId="0" fontId="5" fillId="3" borderId="153" xfId="4" applyFont="1" applyFill="1" applyBorder="1" applyAlignment="1">
      <alignment vertical="center"/>
    </xf>
    <xf numFmtId="0" fontId="66" fillId="0" borderId="192" xfId="4" applyFont="1" applyBorder="1"/>
    <xf numFmtId="0" fontId="5" fillId="3" borderId="74" xfId="4" applyFont="1" applyFill="1" applyBorder="1" applyAlignment="1">
      <alignment vertical="center"/>
    </xf>
    <xf numFmtId="0" fontId="5" fillId="3" borderId="74" xfId="4" applyFont="1" applyFill="1" applyBorder="1"/>
    <xf numFmtId="0" fontId="9" fillId="0" borderId="74" xfId="4" applyFont="1" applyBorder="1"/>
    <xf numFmtId="0" fontId="5" fillId="3" borderId="141" xfId="4" applyFont="1" applyFill="1" applyBorder="1" applyAlignment="1">
      <alignment horizontal="center"/>
    </xf>
    <xf numFmtId="0" fontId="66" fillId="0" borderId="193" xfId="4" applyFont="1" applyBorder="1"/>
    <xf numFmtId="0" fontId="5" fillId="3" borderId="74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5" fillId="3" borderId="74" xfId="4" applyFont="1" applyFill="1" applyBorder="1" applyAlignment="1">
      <alignment wrapText="1"/>
    </xf>
    <xf numFmtId="0" fontId="27" fillId="3" borderId="161" xfId="4" applyFont="1" applyFill="1" applyBorder="1" applyAlignment="1">
      <alignment horizontal="center" vertical="center"/>
    </xf>
    <xf numFmtId="0" fontId="5" fillId="3" borderId="74" xfId="4" applyFont="1" applyFill="1" applyBorder="1" applyAlignment="1">
      <alignment horizontal="center" vertical="center"/>
    </xf>
    <xf numFmtId="0" fontId="15" fillId="3" borderId="74" xfId="4" applyFont="1" applyFill="1" applyBorder="1" applyAlignment="1">
      <alignment horizontal="center" wrapText="1"/>
    </xf>
    <xf numFmtId="0" fontId="15" fillId="3" borderId="74" xfId="4" applyFont="1" applyFill="1" applyBorder="1" applyAlignment="1">
      <alignment horizontal="center"/>
    </xf>
    <xf numFmtId="0" fontId="4" fillId="0" borderId="74" xfId="4" applyFont="1" applyBorder="1"/>
    <xf numFmtId="0" fontId="27" fillId="3" borderId="193" xfId="4" applyFont="1" applyFill="1" applyBorder="1" applyAlignment="1">
      <alignment horizontal="center" vertical="center"/>
    </xf>
    <xf numFmtId="0" fontId="69" fillId="3" borderId="74" xfId="4" applyFont="1" applyFill="1" applyBorder="1" applyAlignment="1">
      <alignment vertical="center" wrapText="1"/>
    </xf>
    <xf numFmtId="0" fontId="15" fillId="3" borderId="74" xfId="4" applyFont="1" applyFill="1" applyBorder="1" applyAlignment="1">
      <alignment horizontal="center" vertical="center"/>
    </xf>
    <xf numFmtId="0" fontId="61" fillId="0" borderId="74" xfId="4" applyBorder="1"/>
    <xf numFmtId="0" fontId="5" fillId="3" borderId="141" xfId="4" applyFont="1" applyFill="1" applyBorder="1" applyAlignment="1">
      <alignment vertical="center"/>
    </xf>
    <xf numFmtId="0" fontId="4" fillId="3" borderId="74" xfId="4" applyFont="1" applyFill="1" applyBorder="1" applyAlignment="1">
      <alignment wrapText="1"/>
    </xf>
    <xf numFmtId="0" fontId="15" fillId="3" borderId="74" xfId="4" applyFont="1" applyFill="1" applyBorder="1"/>
    <xf numFmtId="0" fontId="5" fillId="3" borderId="74" xfId="4" applyFont="1" applyFill="1" applyBorder="1" applyAlignment="1">
      <alignment horizontal="center" vertical="center"/>
    </xf>
    <xf numFmtId="0" fontId="27" fillId="3" borderId="150" xfId="4" applyFont="1" applyFill="1" applyBorder="1" applyAlignment="1">
      <alignment horizontal="center" vertical="center"/>
    </xf>
    <xf numFmtId="0" fontId="65" fillId="3" borderId="118" xfId="4" applyFont="1" applyFill="1" applyBorder="1" applyAlignment="1">
      <alignment horizontal="center" vertical="center"/>
    </xf>
    <xf numFmtId="0" fontId="68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9" fillId="0" borderId="126" xfId="4" applyFont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3" borderId="186" xfId="4" applyFont="1" applyFill="1" applyBorder="1" applyAlignment="1">
      <alignment horizontal="right" vertical="center"/>
    </xf>
    <xf numFmtId="0" fontId="5" fillId="7" borderId="41" xfId="4" applyFont="1" applyFill="1" applyBorder="1" applyAlignment="1">
      <alignment horizontal="left" vertical="center"/>
    </xf>
    <xf numFmtId="0" fontId="69" fillId="3" borderId="84" xfId="4" applyFont="1" applyFill="1" applyBorder="1" applyAlignment="1">
      <alignment horizontal="center" vertical="center" wrapText="1"/>
    </xf>
    <xf numFmtId="0" fontId="69" fillId="3" borderId="62" xfId="4" applyFont="1" applyFill="1" applyBorder="1" applyAlignment="1">
      <alignment horizontal="center" vertical="center" wrapText="1"/>
    </xf>
    <xf numFmtId="0" fontId="5" fillId="3" borderId="190" xfId="4" applyFont="1" applyFill="1" applyBorder="1" applyAlignment="1">
      <alignment horizontal="left" vertical="center"/>
    </xf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27" fillId="3" borderId="45" xfId="4" quotePrefix="1" applyNumberFormat="1" applyFont="1" applyFill="1" applyBorder="1" applyAlignment="1">
      <alignment horizontal="center" vertical="center"/>
    </xf>
    <xf numFmtId="0" fontId="12" fillId="23" borderId="119" xfId="0" applyFont="1" applyFill="1" applyBorder="1" applyAlignment="1">
      <alignment horizontal="center" vertical="center" wrapText="1"/>
    </xf>
    <xf numFmtId="0" fontId="12" fillId="23" borderId="119" xfId="0" applyFont="1" applyFill="1" applyBorder="1" applyAlignment="1">
      <alignment horizontal="center" vertical="center"/>
    </xf>
    <xf numFmtId="165" fontId="12" fillId="23" borderId="119" xfId="0" applyNumberFormat="1" applyFont="1" applyFill="1" applyBorder="1" applyAlignment="1">
      <alignment horizontal="center" wrapText="1"/>
    </xf>
    <xf numFmtId="2" fontId="104" fillId="19" borderId="18" xfId="4" applyNumberFormat="1" applyFont="1" applyFill="1" applyBorder="1" applyAlignment="1">
      <alignment horizontal="center" vertical="center"/>
    </xf>
    <xf numFmtId="0" fontId="104" fillId="19" borderId="33" xfId="4" applyFont="1" applyFill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17</xdr:row>
      <xdr:rowOff>165237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9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165237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797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165237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08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17</xdr:row>
      <xdr:rowOff>165237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419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17</xdr:row>
      <xdr:rowOff>165237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4208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17</xdr:row>
      <xdr:rowOff>165237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327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165237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233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165237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14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17</xdr:row>
      <xdr:rowOff>165237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4952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165237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687425" y="316561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165237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695363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26</xdr:row>
      <xdr:rowOff>165237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4952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26</xdr:row>
      <xdr:rowOff>165237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14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165237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34450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26988</xdr:colOff>
      <xdr:row>26</xdr:row>
      <xdr:rowOff>165237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16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26</xdr:row>
      <xdr:rowOff>165237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26988</xdr:colOff>
      <xdr:row>26</xdr:row>
      <xdr:rowOff>165237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7036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26</xdr:row>
      <xdr:rowOff>165237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973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26</xdr:row>
      <xdr:rowOff>165237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9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165237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84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165237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08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165237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609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165237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420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36771" y="63980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3312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23488" y="7804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165237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32863" y="77947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165237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4925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165237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3078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165237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24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53</xdr:row>
      <xdr:rowOff>165237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32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165237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38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165237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34450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165237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2507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165237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175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165237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05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165237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1855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53778" y="217412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165237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69695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165237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5320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530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79738" y="244269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141</xdr:row>
      <xdr:rowOff>165237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800225" y="2442541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165237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165237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1950" y="25968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146187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492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165237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1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165237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15550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9127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13896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05742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165237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60007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205</xdr:row>
      <xdr:rowOff>165237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0632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214</xdr:row>
      <xdr:rowOff>165237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496800" y="369412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23488" y="31718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26</xdr:row>
      <xdr:rowOff>165237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25075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651474" y="1821994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36596" y="244422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64721" y="275283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30871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992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45" t="s">
        <v>164</v>
      </c>
      <c r="C1" s="1046"/>
      <c r="D1" s="1046"/>
      <c r="E1" s="1046"/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6"/>
      <c r="Q1" s="1046"/>
      <c r="R1" s="1046"/>
      <c r="S1" s="1046"/>
      <c r="T1" s="1046"/>
      <c r="U1" s="1046"/>
      <c r="V1" s="1046"/>
      <c r="W1" s="1046"/>
      <c r="X1" s="1046"/>
      <c r="Y1" s="1047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48" t="s">
        <v>415</v>
      </c>
      <c r="C2" s="1049"/>
      <c r="D2" s="1049"/>
      <c r="E2" s="1049"/>
      <c r="F2" s="1049"/>
      <c r="G2" s="1049"/>
      <c r="H2" s="1049"/>
      <c r="I2" s="1049"/>
      <c r="J2" s="1049"/>
      <c r="K2" s="1049"/>
      <c r="L2" s="1049"/>
      <c r="M2" s="1049"/>
      <c r="N2" s="1049"/>
      <c r="O2" s="1049"/>
      <c r="P2" s="1049"/>
      <c r="Q2" s="1049"/>
      <c r="R2" s="1049"/>
      <c r="S2" s="1049"/>
      <c r="T2" s="1049"/>
      <c r="U2" s="1049"/>
      <c r="V2" s="1049"/>
      <c r="W2" s="1049"/>
      <c r="X2" s="1049"/>
      <c r="Y2" s="1050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70" t="s">
        <v>165</v>
      </c>
      <c r="C3" s="1052"/>
      <c r="D3" s="159">
        <f>H15</f>
        <v>0</v>
      </c>
      <c r="E3" s="160" t="s">
        <v>416</v>
      </c>
      <c r="F3" s="1051" t="s">
        <v>166</v>
      </c>
      <c r="G3" s="1052"/>
      <c r="H3" s="161"/>
      <c r="I3" s="162" t="s">
        <v>416</v>
      </c>
      <c r="J3" s="1053" t="s">
        <v>167</v>
      </c>
      <c r="K3" s="1052"/>
      <c r="L3" s="161"/>
      <c r="M3" s="160" t="s">
        <v>416</v>
      </c>
      <c r="N3" s="1051" t="s">
        <v>168</v>
      </c>
      <c r="O3" s="1052"/>
      <c r="P3" s="163"/>
      <c r="Q3" s="162">
        <v>113.292</v>
      </c>
      <c r="R3" s="1051" t="s">
        <v>169</v>
      </c>
      <c r="S3" s="1052"/>
      <c r="T3" s="159"/>
      <c r="U3" s="162">
        <v>113.292</v>
      </c>
      <c r="V3" s="164" t="s">
        <v>170</v>
      </c>
      <c r="W3" s="1054">
        <f>'Master Sheet'!H2</f>
        <v>46128</v>
      </c>
      <c r="X3" s="1055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82" t="s">
        <v>171</v>
      </c>
      <c r="C4" s="1071" t="s">
        <v>417</v>
      </c>
      <c r="D4" s="1071" t="s">
        <v>172</v>
      </c>
      <c r="E4" s="1071" t="s">
        <v>173</v>
      </c>
      <c r="F4" s="1073" t="s">
        <v>174</v>
      </c>
      <c r="G4" s="1074" t="s">
        <v>175</v>
      </c>
      <c r="H4" s="1056" t="s">
        <v>176</v>
      </c>
      <c r="I4" s="1059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60"/>
      <c r="C5" s="1060"/>
      <c r="D5" s="1060"/>
      <c r="E5" s="1060"/>
      <c r="F5" s="1060"/>
      <c r="G5" s="1060"/>
      <c r="H5" s="1057"/>
      <c r="I5" s="1060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61"/>
      <c r="W5" s="1062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72"/>
      <c r="C6" s="1072"/>
      <c r="D6" s="1072"/>
      <c r="E6" s="1072"/>
      <c r="F6" s="1072"/>
      <c r="G6" s="1072"/>
      <c r="H6" s="1058"/>
      <c r="I6" s="1060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65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66"/>
      <c r="W7" s="1062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64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67" t="s">
        <v>198</v>
      </c>
      <c r="W13" s="1062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68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75" t="s">
        <v>203</v>
      </c>
      <c r="C15" s="1076"/>
      <c r="D15" s="1076"/>
      <c r="E15" s="1076"/>
      <c r="F15" s="1076"/>
      <c r="G15" s="1077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69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83"/>
      <c r="C19" s="225">
        <v>411</v>
      </c>
      <c r="D19" s="1078"/>
      <c r="E19" s="226">
        <v>432</v>
      </c>
      <c r="F19" s="1078"/>
      <c r="G19" s="227">
        <v>408</v>
      </c>
      <c r="H19" s="1078"/>
      <c r="I19" s="228">
        <v>433</v>
      </c>
      <c r="J19" s="1078"/>
      <c r="K19" s="228">
        <v>409</v>
      </c>
      <c r="L19" s="1078"/>
      <c r="M19" s="228">
        <v>432</v>
      </c>
      <c r="N19" s="1078"/>
      <c r="O19" s="229">
        <v>375</v>
      </c>
      <c r="P19" s="1063"/>
      <c r="Q19" s="225">
        <v>414</v>
      </c>
      <c r="R19" s="1063"/>
      <c r="S19" s="225">
        <v>403</v>
      </c>
      <c r="T19" s="1063"/>
      <c r="U19" s="226">
        <v>406</v>
      </c>
      <c r="V19" s="1078"/>
      <c r="W19" s="228">
        <v>319</v>
      </c>
      <c r="X19" s="1078"/>
      <c r="Y19" s="230">
        <v>384</v>
      </c>
    </row>
    <row r="20" spans="1:27" ht="15.6" x14ac:dyDescent="0.3">
      <c r="A20" s="156"/>
      <c r="B20" s="1084"/>
      <c r="C20" s="221"/>
      <c r="D20" s="1079"/>
      <c r="E20" s="221"/>
      <c r="F20" s="1079"/>
      <c r="G20" s="231"/>
      <c r="H20" s="1079"/>
      <c r="I20" s="221"/>
      <c r="J20" s="1079"/>
      <c r="K20" s="221"/>
      <c r="L20" s="1079"/>
      <c r="M20" s="221"/>
      <c r="N20" s="1079"/>
      <c r="O20" s="221"/>
      <c r="P20" s="1064"/>
      <c r="Q20" s="221"/>
      <c r="R20" s="1064"/>
      <c r="S20" s="221"/>
      <c r="T20" s="1064"/>
      <c r="U20" s="221"/>
      <c r="V20" s="1079"/>
      <c r="W20" s="221"/>
      <c r="X20" s="1079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80"/>
      <c r="C25" s="226">
        <v>385</v>
      </c>
      <c r="D25" s="1081"/>
      <c r="E25" s="228">
        <v>409</v>
      </c>
      <c r="F25" s="1081"/>
      <c r="G25" s="240">
        <v>369</v>
      </c>
      <c r="H25" s="1081"/>
      <c r="I25" s="240">
        <v>350</v>
      </c>
      <c r="J25" s="1081"/>
      <c r="K25" s="225">
        <v>395</v>
      </c>
      <c r="L25" s="1078"/>
      <c r="M25" s="241">
        <v>412</v>
      </c>
      <c r="N25" s="1080"/>
      <c r="O25" s="242">
        <v>366</v>
      </c>
      <c r="P25" s="1080"/>
      <c r="Q25" s="243">
        <v>383</v>
      </c>
      <c r="R25" s="1081"/>
      <c r="S25" s="228">
        <v>300</v>
      </c>
      <c r="T25" s="1078"/>
      <c r="U25" s="244">
        <v>393</v>
      </c>
      <c r="V25" s="1081"/>
      <c r="W25" s="244">
        <v>414</v>
      </c>
      <c r="X25" s="1078"/>
      <c r="Y25" s="245">
        <v>412</v>
      </c>
    </row>
    <row r="26" spans="1:27" ht="15.6" x14ac:dyDescent="0.3">
      <c r="A26" s="156"/>
      <c r="B26" s="1064"/>
      <c r="C26" s="221"/>
      <c r="D26" s="1079"/>
      <c r="E26" s="221"/>
      <c r="F26" s="1079"/>
      <c r="G26" s="221"/>
      <c r="H26" s="1079"/>
      <c r="I26" s="179"/>
      <c r="J26" s="1079"/>
      <c r="K26" s="221"/>
      <c r="L26" s="1079"/>
      <c r="M26" s="231"/>
      <c r="N26" s="1064"/>
      <c r="O26" s="231"/>
      <c r="P26" s="1064"/>
      <c r="Q26" s="231"/>
      <c r="R26" s="1079"/>
      <c r="S26" s="231"/>
      <c r="T26" s="1079"/>
      <c r="U26" s="231"/>
      <c r="V26" s="1079"/>
      <c r="W26" s="231"/>
      <c r="X26" s="1079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63"/>
      <c r="C32" s="243">
        <v>377</v>
      </c>
      <c r="D32" s="1081"/>
      <c r="E32" s="244">
        <v>369</v>
      </c>
      <c r="F32" s="1081"/>
      <c r="G32" s="244">
        <v>369</v>
      </c>
      <c r="H32" s="1081"/>
      <c r="I32" s="244">
        <v>403</v>
      </c>
      <c r="J32" s="1081"/>
      <c r="K32" s="244">
        <v>374</v>
      </c>
      <c r="L32" s="1081"/>
      <c r="M32" s="244">
        <v>416</v>
      </c>
      <c r="N32" s="1081"/>
      <c r="O32" s="244">
        <v>424</v>
      </c>
      <c r="P32" s="1081"/>
      <c r="Q32" s="244">
        <v>401</v>
      </c>
      <c r="R32" s="1081"/>
      <c r="S32" s="228">
        <v>437</v>
      </c>
      <c r="T32" s="1081"/>
      <c r="U32" s="244">
        <v>369</v>
      </c>
      <c r="V32" s="1063"/>
      <c r="W32" s="255">
        <v>361</v>
      </c>
      <c r="X32" s="1063"/>
      <c r="Y32" s="256">
        <v>458</v>
      </c>
    </row>
    <row r="33" spans="1:27" ht="15.6" x14ac:dyDescent="0.3">
      <c r="A33" s="156"/>
      <c r="B33" s="1064"/>
      <c r="C33" s="231"/>
      <c r="D33" s="1079"/>
      <c r="E33" s="231"/>
      <c r="F33" s="1079"/>
      <c r="G33" s="231"/>
      <c r="H33" s="1079"/>
      <c r="I33" s="231"/>
      <c r="J33" s="1079"/>
      <c r="K33" s="221"/>
      <c r="L33" s="1079"/>
      <c r="M33" s="231"/>
      <c r="N33" s="1079"/>
      <c r="O33" s="231"/>
      <c r="P33" s="1079"/>
      <c r="Q33" s="221"/>
      <c r="R33" s="1079"/>
      <c r="S33" s="221"/>
      <c r="T33" s="1079"/>
      <c r="U33" s="221"/>
      <c r="V33" s="1064"/>
      <c r="W33" s="231"/>
      <c r="X33" s="1064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63"/>
      <c r="C39" s="225">
        <v>355</v>
      </c>
      <c r="D39" s="1080"/>
      <c r="E39" s="225">
        <v>347</v>
      </c>
      <c r="F39" s="1063"/>
      <c r="G39" s="226">
        <v>430</v>
      </c>
      <c r="H39" s="1081"/>
      <c r="I39" s="244">
        <v>408</v>
      </c>
      <c r="J39" s="1081"/>
      <c r="K39" s="262">
        <v>402</v>
      </c>
      <c r="L39" s="1078"/>
      <c r="M39" s="228">
        <v>411</v>
      </c>
      <c r="N39" s="1078"/>
      <c r="O39" s="244">
        <v>397</v>
      </c>
      <c r="P39" s="1078"/>
      <c r="Q39" s="244">
        <v>404</v>
      </c>
      <c r="R39" s="1081"/>
      <c r="S39" s="255">
        <v>398</v>
      </c>
      <c r="T39" s="1081"/>
      <c r="U39" s="244">
        <v>430</v>
      </c>
      <c r="V39" s="1078"/>
      <c r="W39" s="244">
        <v>320</v>
      </c>
      <c r="X39" s="1081"/>
      <c r="Y39" s="230">
        <v>230</v>
      </c>
    </row>
    <row r="40" spans="1:27" ht="15.6" x14ac:dyDescent="0.3">
      <c r="A40" s="156"/>
      <c r="B40" s="1064"/>
      <c r="C40" s="231"/>
      <c r="D40" s="1064"/>
      <c r="E40" s="231"/>
      <c r="F40" s="1064"/>
      <c r="G40" s="231"/>
      <c r="H40" s="1079"/>
      <c r="I40" s="231"/>
      <c r="J40" s="1079"/>
      <c r="K40" s="231"/>
      <c r="L40" s="1079"/>
      <c r="M40" s="231"/>
      <c r="N40" s="1079"/>
      <c r="O40" s="231"/>
      <c r="P40" s="1079"/>
      <c r="Q40" s="221"/>
      <c r="R40" s="1079"/>
      <c r="S40" s="231"/>
      <c r="T40" s="1079"/>
      <c r="U40" s="221"/>
      <c r="V40" s="1079"/>
      <c r="W40" s="221"/>
      <c r="X40" s="1079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63"/>
      <c r="C46" s="242">
        <v>339</v>
      </c>
      <c r="D46" s="1063"/>
      <c r="E46" s="242">
        <v>365</v>
      </c>
      <c r="F46" s="1063"/>
      <c r="G46" s="243">
        <v>409</v>
      </c>
      <c r="H46" s="1081"/>
      <c r="I46" s="244">
        <v>343</v>
      </c>
      <c r="J46" s="1081"/>
      <c r="K46" s="255">
        <v>352</v>
      </c>
      <c r="L46" s="1063"/>
      <c r="M46" s="242">
        <v>419</v>
      </c>
      <c r="N46" s="1063"/>
      <c r="O46" s="266">
        <v>410</v>
      </c>
      <c r="P46" s="1085"/>
      <c r="Q46" s="242">
        <v>413</v>
      </c>
      <c r="R46" s="1063"/>
      <c r="S46" s="243">
        <v>407</v>
      </c>
      <c r="T46" s="1085"/>
      <c r="U46" s="243">
        <v>352</v>
      </c>
      <c r="V46" s="1085"/>
      <c r="W46" s="244">
        <v>405</v>
      </c>
      <c r="X46" s="1085"/>
      <c r="Y46" s="267">
        <v>393</v>
      </c>
    </row>
    <row r="47" spans="1:27" ht="15.6" x14ac:dyDescent="0.3">
      <c r="A47" s="156"/>
      <c r="B47" s="1064"/>
      <c r="C47" s="221"/>
      <c r="D47" s="1064"/>
      <c r="E47" s="221"/>
      <c r="F47" s="1064"/>
      <c r="G47" s="221"/>
      <c r="H47" s="1079"/>
      <c r="I47" s="221"/>
      <c r="J47" s="1079"/>
      <c r="K47" s="231"/>
      <c r="L47" s="1064"/>
      <c r="M47" s="221"/>
      <c r="N47" s="1064"/>
      <c r="O47" s="231"/>
      <c r="P47" s="1072"/>
      <c r="Q47" s="231"/>
      <c r="R47" s="1064"/>
      <c r="S47" s="231"/>
      <c r="T47" s="1072"/>
      <c r="U47" s="231"/>
      <c r="V47" s="1072"/>
      <c r="W47" s="231"/>
      <c r="X47" s="1072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63"/>
      <c r="C53" s="242">
        <v>439</v>
      </c>
      <c r="D53" s="1085"/>
      <c r="E53" s="243">
        <v>398</v>
      </c>
      <c r="F53" s="1063"/>
      <c r="G53" s="244">
        <v>445</v>
      </c>
      <c r="H53" s="1063"/>
      <c r="I53" s="228">
        <v>355</v>
      </c>
      <c r="J53" s="1081"/>
      <c r="K53" s="244">
        <v>447</v>
      </c>
      <c r="L53" s="1081"/>
      <c r="M53" s="270">
        <v>215</v>
      </c>
      <c r="N53" s="1081"/>
      <c r="O53" s="255">
        <v>498</v>
      </c>
      <c r="P53" s="1063"/>
      <c r="Q53" s="255">
        <v>325</v>
      </c>
      <c r="R53" s="1081"/>
      <c r="S53" s="228">
        <v>388</v>
      </c>
      <c r="T53" s="1081"/>
      <c r="U53" s="244">
        <v>381</v>
      </c>
      <c r="V53" s="1063"/>
      <c r="W53" s="240">
        <v>349</v>
      </c>
      <c r="X53" s="1063"/>
      <c r="Y53" s="256">
        <v>373</v>
      </c>
    </row>
    <row r="54" spans="1:25" ht="15.6" x14ac:dyDescent="0.3">
      <c r="A54" s="156"/>
      <c r="B54" s="1064"/>
      <c r="C54" s="231"/>
      <c r="D54" s="1072"/>
      <c r="E54" s="231"/>
      <c r="F54" s="1064"/>
      <c r="G54" s="231"/>
      <c r="H54" s="1064"/>
      <c r="I54" s="221"/>
      <c r="J54" s="1079"/>
      <c r="K54" s="271"/>
      <c r="L54" s="1079"/>
      <c r="M54" s="221"/>
      <c r="N54" s="1079"/>
      <c r="O54" s="221"/>
      <c r="P54" s="1064"/>
      <c r="Q54" s="221"/>
      <c r="R54" s="1079"/>
      <c r="S54" s="221"/>
      <c r="T54" s="1079"/>
      <c r="U54" s="221"/>
      <c r="V54" s="1064"/>
      <c r="W54" s="231"/>
      <c r="X54" s="1064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63"/>
      <c r="C60" s="275">
        <v>386</v>
      </c>
      <c r="D60" s="1063"/>
      <c r="E60" s="275">
        <v>429</v>
      </c>
      <c r="F60" s="1081"/>
      <c r="G60" s="262">
        <v>377</v>
      </c>
      <c r="H60" s="1081"/>
      <c r="I60" s="262">
        <v>405</v>
      </c>
      <c r="J60" s="1081"/>
      <c r="K60" s="262">
        <v>425</v>
      </c>
      <c r="L60" s="1081"/>
      <c r="M60" s="276">
        <v>344</v>
      </c>
      <c r="N60" s="1081"/>
      <c r="O60" s="276">
        <v>399</v>
      </c>
      <c r="P60" s="1081"/>
      <c r="Q60" s="262">
        <v>439</v>
      </c>
      <c r="R60" s="1081"/>
      <c r="S60" s="277">
        <v>403</v>
      </c>
      <c r="T60" s="1081"/>
      <c r="U60" s="262">
        <v>480</v>
      </c>
      <c r="V60" s="1081"/>
      <c r="W60" s="262">
        <v>535</v>
      </c>
      <c r="X60" s="1081"/>
      <c r="Y60" s="245">
        <v>389</v>
      </c>
    </row>
    <row r="61" spans="1:25" ht="15.6" x14ac:dyDescent="0.3">
      <c r="A61" s="156"/>
      <c r="B61" s="1064"/>
      <c r="C61" s="231"/>
      <c r="D61" s="1064"/>
      <c r="E61" s="231"/>
      <c r="F61" s="1079"/>
      <c r="G61" s="231"/>
      <c r="H61" s="1079"/>
      <c r="I61" s="231"/>
      <c r="J61" s="1079"/>
      <c r="K61" s="231"/>
      <c r="L61" s="1079"/>
      <c r="M61" s="231"/>
      <c r="N61" s="1079"/>
      <c r="O61" s="231"/>
      <c r="P61" s="1079"/>
      <c r="Q61" s="231"/>
      <c r="R61" s="1079"/>
      <c r="S61" s="231"/>
      <c r="T61" s="1079"/>
      <c r="U61" s="219"/>
      <c r="V61" s="1079"/>
      <c r="W61" s="219"/>
      <c r="X61" s="1079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63"/>
      <c r="C67" s="242">
        <v>454</v>
      </c>
      <c r="D67" s="1086"/>
      <c r="E67" s="278">
        <v>247</v>
      </c>
      <c r="F67" s="1081"/>
      <c r="G67" s="244">
        <v>373</v>
      </c>
      <c r="H67" s="1081"/>
      <c r="I67" s="244">
        <v>401</v>
      </c>
      <c r="J67" s="1087"/>
      <c r="K67" s="255">
        <v>388</v>
      </c>
      <c r="L67" s="1088"/>
      <c r="M67" s="242">
        <v>328</v>
      </c>
      <c r="N67" s="1088"/>
      <c r="O67" s="279">
        <v>330</v>
      </c>
      <c r="P67" s="1081"/>
      <c r="Q67" s="242">
        <v>331</v>
      </c>
      <c r="R67" s="1081"/>
      <c r="S67" s="244">
        <v>361</v>
      </c>
      <c r="T67" s="1081"/>
      <c r="U67" s="244">
        <v>306</v>
      </c>
      <c r="V67" s="1081"/>
      <c r="W67" s="244">
        <v>336</v>
      </c>
      <c r="X67" s="1081"/>
      <c r="Y67" s="280">
        <v>278</v>
      </c>
    </row>
    <row r="68" spans="1:25" ht="15.6" x14ac:dyDescent="0.3">
      <c r="A68" s="156"/>
      <c r="B68" s="1064"/>
      <c r="C68" s="221"/>
      <c r="D68" s="1064"/>
      <c r="E68" s="221"/>
      <c r="F68" s="1079"/>
      <c r="G68" s="221"/>
      <c r="H68" s="1079"/>
      <c r="I68" s="221"/>
      <c r="J68" s="1079"/>
      <c r="K68" s="231"/>
      <c r="L68" s="1064"/>
      <c r="M68" s="221"/>
      <c r="N68" s="1064"/>
      <c r="O68" s="231"/>
      <c r="P68" s="1079"/>
      <c r="Q68" s="231"/>
      <c r="R68" s="1079"/>
      <c r="S68" s="231"/>
      <c r="T68" s="1079"/>
      <c r="U68" s="231"/>
      <c r="V68" s="1079"/>
      <c r="W68" s="231"/>
      <c r="X68" s="1079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63"/>
      <c r="C74" s="242">
        <v>439</v>
      </c>
      <c r="D74" s="1089"/>
      <c r="E74" s="243">
        <v>401</v>
      </c>
      <c r="F74" s="1089"/>
      <c r="G74" s="244">
        <v>350</v>
      </c>
      <c r="H74" s="1081"/>
      <c r="I74" s="244">
        <v>335</v>
      </c>
      <c r="J74" s="1081"/>
      <c r="K74" s="244">
        <v>314</v>
      </c>
      <c r="L74" s="1081"/>
      <c r="M74" s="244">
        <v>421</v>
      </c>
      <c r="N74" s="1081"/>
      <c r="O74" s="244">
        <v>466</v>
      </c>
      <c r="P74" s="1081"/>
      <c r="Q74" s="244">
        <v>352</v>
      </c>
      <c r="R74" s="1081"/>
      <c r="S74" s="244">
        <v>403</v>
      </c>
      <c r="T74" s="1081"/>
      <c r="U74" s="244">
        <v>373</v>
      </c>
      <c r="V74" s="1081"/>
      <c r="W74" s="255">
        <v>362</v>
      </c>
      <c r="X74" s="1081"/>
      <c r="Y74" s="256">
        <v>351</v>
      </c>
    </row>
    <row r="75" spans="1:25" ht="15.6" x14ac:dyDescent="0.3">
      <c r="A75" s="156"/>
      <c r="B75" s="1064"/>
      <c r="C75" s="231"/>
      <c r="D75" s="1090"/>
      <c r="E75" s="231"/>
      <c r="F75" s="1090"/>
      <c r="G75" s="231"/>
      <c r="H75" s="1079"/>
      <c r="I75" s="221"/>
      <c r="J75" s="1079"/>
      <c r="K75" s="221"/>
      <c r="L75" s="1079"/>
      <c r="M75" s="221"/>
      <c r="N75" s="1079"/>
      <c r="O75" s="221"/>
      <c r="P75" s="1079"/>
      <c r="Q75" s="221"/>
      <c r="R75" s="1079"/>
      <c r="S75" s="221"/>
      <c r="T75" s="1079"/>
      <c r="U75" s="221"/>
      <c r="V75" s="1079"/>
      <c r="W75" s="231"/>
      <c r="X75" s="1079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63"/>
      <c r="C81" s="242">
        <v>361</v>
      </c>
      <c r="D81" s="1089"/>
      <c r="E81" s="242">
        <v>375</v>
      </c>
      <c r="F81" s="1089"/>
      <c r="G81" s="255">
        <v>425</v>
      </c>
      <c r="H81" s="1063"/>
      <c r="I81" s="243">
        <v>429</v>
      </c>
      <c r="J81" s="1081"/>
      <c r="K81" s="244">
        <v>350</v>
      </c>
      <c r="L81" s="1081"/>
      <c r="M81" s="244">
        <v>483</v>
      </c>
      <c r="N81" s="1081"/>
      <c r="O81" s="244">
        <v>453</v>
      </c>
      <c r="P81" s="1081"/>
      <c r="Q81" s="244">
        <v>388</v>
      </c>
      <c r="R81" s="1081"/>
      <c r="S81" s="255">
        <v>317</v>
      </c>
      <c r="T81" s="1081"/>
      <c r="U81" s="244">
        <v>324</v>
      </c>
      <c r="V81" s="1087"/>
      <c r="W81" s="244">
        <v>485</v>
      </c>
      <c r="X81" s="1081"/>
      <c r="Y81" s="245">
        <v>249</v>
      </c>
    </row>
    <row r="82" spans="1:25" ht="15.6" x14ac:dyDescent="0.3">
      <c r="A82" s="156"/>
      <c r="B82" s="1064"/>
      <c r="C82" s="231"/>
      <c r="D82" s="1090"/>
      <c r="E82" s="231"/>
      <c r="F82" s="1090"/>
      <c r="G82" s="231"/>
      <c r="H82" s="1064"/>
      <c r="I82" s="231"/>
      <c r="J82" s="1079"/>
      <c r="K82" s="231"/>
      <c r="L82" s="1079"/>
      <c r="M82" s="231"/>
      <c r="N82" s="1079"/>
      <c r="O82" s="231"/>
      <c r="P82" s="1079"/>
      <c r="Q82" s="231"/>
      <c r="R82" s="1079"/>
      <c r="S82" s="231"/>
      <c r="T82" s="1079"/>
      <c r="U82" s="221"/>
      <c r="V82" s="1079"/>
      <c r="W82" s="221"/>
      <c r="X82" s="1079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63"/>
      <c r="C88" s="242">
        <v>429</v>
      </c>
      <c r="D88" s="1087"/>
      <c r="E88" s="243">
        <v>399</v>
      </c>
      <c r="F88" s="1081"/>
      <c r="G88" s="244">
        <v>435</v>
      </c>
      <c r="H88" s="1081"/>
      <c r="I88" s="244">
        <v>404</v>
      </c>
      <c r="J88" s="1063"/>
      <c r="K88" s="287">
        <v>374</v>
      </c>
      <c r="L88" s="1063"/>
      <c r="M88" s="278">
        <v>250</v>
      </c>
      <c r="N88" s="1081"/>
      <c r="O88" s="255">
        <v>398</v>
      </c>
      <c r="P88" s="1085"/>
      <c r="Q88" s="242">
        <v>364</v>
      </c>
      <c r="R88" s="1063"/>
      <c r="S88" s="244">
        <v>380</v>
      </c>
      <c r="T88" s="1081"/>
      <c r="U88" s="270">
        <v>459</v>
      </c>
      <c r="V88" s="1081"/>
      <c r="W88" s="244">
        <v>206</v>
      </c>
      <c r="X88" s="1081"/>
      <c r="Y88" s="280">
        <v>385</v>
      </c>
    </row>
    <row r="89" spans="1:25" ht="15.6" x14ac:dyDescent="0.3">
      <c r="A89" s="156"/>
      <c r="B89" s="1064"/>
      <c r="C89" s="221"/>
      <c r="D89" s="1079"/>
      <c r="E89" s="221"/>
      <c r="F89" s="1079"/>
      <c r="G89" s="221"/>
      <c r="H89" s="1079"/>
      <c r="I89" s="221"/>
      <c r="J89" s="1064"/>
      <c r="K89" s="231"/>
      <c r="L89" s="1064"/>
      <c r="M89" s="221"/>
      <c r="N89" s="1079"/>
      <c r="O89" s="231"/>
      <c r="P89" s="1072"/>
      <c r="Q89" s="231"/>
      <c r="R89" s="1064"/>
      <c r="S89" s="231"/>
      <c r="T89" s="1079"/>
      <c r="U89" s="231"/>
      <c r="V89" s="1079"/>
      <c r="W89" s="231"/>
      <c r="X89" s="1079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95"/>
      <c r="C95" s="291">
        <v>372</v>
      </c>
      <c r="D95" s="1063"/>
      <c r="E95" s="292">
        <v>384</v>
      </c>
      <c r="F95" s="1081"/>
      <c r="G95" s="293">
        <v>400</v>
      </c>
      <c r="H95" s="1081"/>
      <c r="I95" s="294">
        <v>386</v>
      </c>
      <c r="J95" s="1081"/>
      <c r="K95" s="294">
        <v>398</v>
      </c>
      <c r="L95" s="1081"/>
      <c r="M95" s="244">
        <v>393</v>
      </c>
      <c r="N95" s="1081"/>
      <c r="O95" s="243">
        <v>387</v>
      </c>
      <c r="P95" s="1081"/>
      <c r="Q95" s="244">
        <v>378</v>
      </c>
      <c r="R95" s="1081"/>
      <c r="S95" s="244">
        <v>410</v>
      </c>
      <c r="T95" s="1081"/>
      <c r="U95" s="244">
        <v>368</v>
      </c>
      <c r="V95" s="1081"/>
      <c r="W95" s="255">
        <v>396</v>
      </c>
      <c r="X95" s="1081"/>
      <c r="Y95" s="295">
        <v>395</v>
      </c>
    </row>
    <row r="96" spans="1:25" ht="15.6" x14ac:dyDescent="0.3">
      <c r="A96" s="156"/>
      <c r="B96" s="1064"/>
      <c r="C96" s="296"/>
      <c r="D96" s="1064"/>
      <c r="E96" s="257"/>
      <c r="F96" s="1079"/>
      <c r="G96" s="296"/>
      <c r="H96" s="1079"/>
      <c r="I96" s="257"/>
      <c r="J96" s="1079"/>
      <c r="K96" s="257"/>
      <c r="L96" s="1079"/>
      <c r="M96" s="221"/>
      <c r="N96" s="1079"/>
      <c r="O96" s="221"/>
      <c r="P96" s="1079"/>
      <c r="Q96" s="221"/>
      <c r="R96" s="1079"/>
      <c r="S96" s="221"/>
      <c r="T96" s="1079"/>
      <c r="U96" s="221"/>
      <c r="V96" s="1079"/>
      <c r="W96" s="231"/>
      <c r="X96" s="1079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63"/>
      <c r="C103" s="242">
        <v>414</v>
      </c>
      <c r="D103" s="1080"/>
      <c r="E103" s="242">
        <v>350</v>
      </c>
      <c r="F103" s="1078"/>
      <c r="G103" s="244">
        <v>356</v>
      </c>
      <c r="H103" s="1078"/>
      <c r="I103" s="244">
        <v>460</v>
      </c>
      <c r="J103" s="1078"/>
      <c r="K103" s="244">
        <v>379</v>
      </c>
      <c r="L103" s="1078"/>
      <c r="M103" s="244">
        <v>383</v>
      </c>
      <c r="N103" s="1078"/>
      <c r="O103" s="270">
        <v>400</v>
      </c>
      <c r="P103" s="1078"/>
      <c r="Q103" s="244">
        <v>421</v>
      </c>
      <c r="R103" s="1081"/>
      <c r="S103" s="255">
        <v>323</v>
      </c>
      <c r="T103" s="1063"/>
      <c r="U103" s="244">
        <v>312</v>
      </c>
      <c r="V103" s="1081"/>
      <c r="W103" s="270">
        <v>360</v>
      </c>
      <c r="X103" s="1081"/>
      <c r="Y103" s="245">
        <v>301</v>
      </c>
    </row>
    <row r="104" spans="1:27" ht="15.6" x14ac:dyDescent="0.3">
      <c r="A104" s="156"/>
      <c r="B104" s="1064"/>
      <c r="C104" s="231"/>
      <c r="D104" s="1064"/>
      <c r="E104" s="231"/>
      <c r="F104" s="1079"/>
      <c r="G104" s="231"/>
      <c r="H104" s="1079"/>
      <c r="I104" s="231"/>
      <c r="J104" s="1079"/>
      <c r="K104" s="231"/>
      <c r="L104" s="1079"/>
      <c r="M104" s="231"/>
      <c r="N104" s="1079"/>
      <c r="O104" s="231"/>
      <c r="P104" s="1079"/>
      <c r="Q104" s="231"/>
      <c r="R104" s="1079"/>
      <c r="S104" s="231"/>
      <c r="T104" s="1064"/>
      <c r="U104" s="221"/>
      <c r="V104" s="1079"/>
      <c r="W104" s="221"/>
      <c r="X104" s="1079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63"/>
      <c r="C110" s="242">
        <v>379</v>
      </c>
      <c r="D110" s="1063"/>
      <c r="E110" s="243">
        <v>394</v>
      </c>
      <c r="F110" s="1081"/>
      <c r="G110" s="244">
        <v>410</v>
      </c>
      <c r="H110" s="1096"/>
      <c r="I110" s="244">
        <v>404</v>
      </c>
      <c r="J110" s="1081"/>
      <c r="K110" s="255">
        <v>436</v>
      </c>
      <c r="L110" s="1081"/>
      <c r="M110" s="242">
        <v>437</v>
      </c>
      <c r="N110" s="1097"/>
      <c r="O110" s="266">
        <v>406</v>
      </c>
      <c r="P110" s="1080"/>
      <c r="Q110" s="242">
        <v>438</v>
      </c>
      <c r="R110" s="1063"/>
      <c r="S110" s="243">
        <v>412</v>
      </c>
      <c r="T110" s="1063"/>
      <c r="U110" s="244">
        <v>413</v>
      </c>
      <c r="V110" s="1063"/>
      <c r="W110" s="244">
        <v>328</v>
      </c>
      <c r="X110" s="1063"/>
      <c r="Y110" s="303">
        <v>385</v>
      </c>
    </row>
    <row r="111" spans="1:27" ht="15.6" x14ac:dyDescent="0.3">
      <c r="A111" s="156"/>
      <c r="B111" s="1064"/>
      <c r="C111" s="221"/>
      <c r="D111" s="1064"/>
      <c r="E111" s="221"/>
      <c r="F111" s="1079"/>
      <c r="G111" s="221"/>
      <c r="H111" s="1079"/>
      <c r="I111" s="221"/>
      <c r="J111" s="1079"/>
      <c r="K111" s="231"/>
      <c r="L111" s="1079"/>
      <c r="M111" s="221"/>
      <c r="N111" s="1079"/>
      <c r="O111" s="304"/>
      <c r="P111" s="1064"/>
      <c r="Q111" s="231"/>
      <c r="R111" s="1064"/>
      <c r="S111" s="231"/>
      <c r="T111" s="1064"/>
      <c r="U111" s="231"/>
      <c r="V111" s="1064"/>
      <c r="W111" s="231"/>
      <c r="X111" s="1064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63"/>
      <c r="C117" s="242">
        <v>415</v>
      </c>
      <c r="D117" s="1080"/>
      <c r="E117" s="243">
        <v>394</v>
      </c>
      <c r="F117" s="1063"/>
      <c r="G117" s="255">
        <v>362</v>
      </c>
      <c r="H117" s="1081"/>
      <c r="I117" s="244">
        <v>386</v>
      </c>
      <c r="J117" s="1078"/>
      <c r="K117" s="244">
        <v>425</v>
      </c>
      <c r="L117" s="1081"/>
      <c r="M117" s="244">
        <v>412</v>
      </c>
      <c r="N117" s="1081"/>
      <c r="O117" s="244">
        <v>337</v>
      </c>
      <c r="P117" s="1081"/>
      <c r="Q117" s="255">
        <v>323</v>
      </c>
      <c r="R117" s="1063"/>
      <c r="S117" s="255">
        <v>329</v>
      </c>
      <c r="T117" s="1081"/>
      <c r="U117" s="244">
        <v>315</v>
      </c>
      <c r="V117" s="1081"/>
      <c r="W117" s="255">
        <v>465</v>
      </c>
      <c r="X117" s="1063"/>
      <c r="Y117" s="256">
        <v>374</v>
      </c>
    </row>
    <row r="118" spans="1:25" ht="15.6" x14ac:dyDescent="0.3">
      <c r="A118" s="156"/>
      <c r="B118" s="1064"/>
      <c r="C118" s="231"/>
      <c r="D118" s="1064"/>
      <c r="E118" s="231"/>
      <c r="F118" s="1064"/>
      <c r="G118" s="231"/>
      <c r="H118" s="1079"/>
      <c r="I118" s="221"/>
      <c r="J118" s="1079"/>
      <c r="K118" s="221"/>
      <c r="L118" s="1079"/>
      <c r="M118" s="221"/>
      <c r="N118" s="1079"/>
      <c r="O118" s="221"/>
      <c r="P118" s="1079"/>
      <c r="Q118" s="221"/>
      <c r="R118" s="1064"/>
      <c r="S118" s="221"/>
      <c r="T118" s="1079"/>
      <c r="U118" s="221"/>
      <c r="V118" s="1079"/>
      <c r="W118" s="231"/>
      <c r="X118" s="1064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63"/>
      <c r="C124" s="242">
        <v>400</v>
      </c>
      <c r="D124" s="1080"/>
      <c r="E124" s="243">
        <v>359</v>
      </c>
      <c r="F124" s="1063"/>
      <c r="G124" s="255">
        <v>468</v>
      </c>
      <c r="H124" s="1081"/>
      <c r="I124" s="244">
        <v>287</v>
      </c>
      <c r="J124" s="1078"/>
      <c r="K124" s="244">
        <v>416</v>
      </c>
      <c r="L124" s="1081"/>
      <c r="M124" s="244">
        <v>352</v>
      </c>
      <c r="N124" s="1081"/>
      <c r="O124" s="244">
        <v>361</v>
      </c>
      <c r="P124" s="1081"/>
      <c r="Q124" s="255">
        <v>426</v>
      </c>
      <c r="R124" s="1063"/>
      <c r="S124" s="255">
        <v>394</v>
      </c>
      <c r="T124" s="1081"/>
      <c r="U124" s="244">
        <v>384</v>
      </c>
      <c r="V124" s="1081"/>
      <c r="W124" s="255">
        <v>414</v>
      </c>
      <c r="X124" s="1063"/>
      <c r="Y124" s="256">
        <v>480</v>
      </c>
    </row>
    <row r="125" spans="1:25" ht="15.6" x14ac:dyDescent="0.3">
      <c r="A125" s="156"/>
      <c r="B125" s="1064"/>
      <c r="C125" s="231"/>
      <c r="D125" s="1064"/>
      <c r="E125" s="231"/>
      <c r="F125" s="1064"/>
      <c r="G125" s="231"/>
      <c r="H125" s="1079"/>
      <c r="I125" s="221"/>
      <c r="J125" s="1079"/>
      <c r="K125" s="221"/>
      <c r="L125" s="1079"/>
      <c r="M125" s="221"/>
      <c r="N125" s="1079"/>
      <c r="O125" s="221"/>
      <c r="P125" s="1079"/>
      <c r="Q125" s="221"/>
      <c r="R125" s="1064"/>
      <c r="S125" s="221"/>
      <c r="T125" s="1079"/>
      <c r="U125" s="221"/>
      <c r="V125" s="1079"/>
      <c r="W125" s="231"/>
      <c r="X125" s="1064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63"/>
      <c r="C131" s="242">
        <v>395</v>
      </c>
      <c r="D131" s="1080"/>
      <c r="E131" s="243">
        <v>329</v>
      </c>
      <c r="F131" s="1063"/>
      <c r="G131" s="255">
        <v>418</v>
      </c>
      <c r="H131" s="1081"/>
      <c r="I131" s="244">
        <v>467</v>
      </c>
      <c r="J131" s="1078"/>
      <c r="K131" s="244">
        <v>443</v>
      </c>
      <c r="L131" s="1081"/>
      <c r="M131" s="244">
        <v>311</v>
      </c>
      <c r="N131" s="1081"/>
      <c r="O131" s="244">
        <v>479</v>
      </c>
      <c r="P131" s="1081"/>
      <c r="Q131" s="255">
        <v>321</v>
      </c>
      <c r="R131" s="1063"/>
      <c r="S131" s="255">
        <v>506</v>
      </c>
      <c r="T131" s="1081"/>
      <c r="U131" s="244">
        <v>421</v>
      </c>
      <c r="V131" s="1081"/>
      <c r="W131" s="255">
        <v>421</v>
      </c>
      <c r="X131" s="1063"/>
      <c r="Y131" s="256">
        <v>406</v>
      </c>
    </row>
    <row r="132" spans="1:32" ht="15.6" x14ac:dyDescent="0.3">
      <c r="A132" s="156"/>
      <c r="B132" s="1064"/>
      <c r="C132" s="231"/>
      <c r="D132" s="1064"/>
      <c r="E132" s="231"/>
      <c r="F132" s="1064"/>
      <c r="G132" s="231"/>
      <c r="H132" s="1079"/>
      <c r="I132" s="221"/>
      <c r="J132" s="1079"/>
      <c r="K132" s="221"/>
      <c r="L132" s="1079"/>
      <c r="M132" s="221"/>
      <c r="N132" s="1079"/>
      <c r="O132" s="221"/>
      <c r="P132" s="1079"/>
      <c r="Q132" s="221"/>
      <c r="R132" s="1064"/>
      <c r="S132" s="221"/>
      <c r="T132" s="1079"/>
      <c r="U132" s="221"/>
      <c r="V132" s="1079"/>
      <c r="W132" s="231"/>
      <c r="X132" s="1064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92"/>
      <c r="C138" s="311">
        <v>435</v>
      </c>
      <c r="D138" s="1093"/>
      <c r="E138" s="312">
        <v>533</v>
      </c>
      <c r="F138" s="1092"/>
      <c r="G138" s="313">
        <v>265</v>
      </c>
      <c r="H138" s="1091"/>
      <c r="I138" s="314">
        <v>484</v>
      </c>
      <c r="J138" s="1094"/>
      <c r="K138" s="314">
        <v>611</v>
      </c>
      <c r="L138" s="1091"/>
      <c r="M138" s="314">
        <v>367</v>
      </c>
      <c r="N138" s="1091"/>
      <c r="O138" s="314">
        <v>469</v>
      </c>
      <c r="P138" s="1091"/>
      <c r="Q138" s="313">
        <v>371</v>
      </c>
      <c r="R138" s="1092"/>
      <c r="S138" s="313">
        <v>370</v>
      </c>
      <c r="T138" s="1091"/>
      <c r="U138" s="314">
        <v>327</v>
      </c>
      <c r="V138" s="1091"/>
      <c r="W138" s="313">
        <v>318</v>
      </c>
      <c r="X138" s="1092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64"/>
      <c r="C139" s="308"/>
      <c r="D139" s="1064"/>
      <c r="E139" s="308"/>
      <c r="F139" s="1064"/>
      <c r="G139" s="308"/>
      <c r="H139" s="1079"/>
      <c r="I139" s="316"/>
      <c r="J139" s="1079"/>
      <c r="K139" s="316"/>
      <c r="L139" s="1079"/>
      <c r="M139" s="316"/>
      <c r="N139" s="1079"/>
      <c r="O139" s="316"/>
      <c r="P139" s="1079"/>
      <c r="Q139" s="316"/>
      <c r="R139" s="1064"/>
      <c r="S139" s="316"/>
      <c r="T139" s="1079"/>
      <c r="U139" s="316"/>
      <c r="V139" s="1079"/>
      <c r="W139" s="308"/>
      <c r="X139" s="1064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92"/>
      <c r="C144" s="311">
        <v>396</v>
      </c>
      <c r="D144" s="1093"/>
      <c r="E144" s="312">
        <v>377</v>
      </c>
      <c r="F144" s="1092"/>
      <c r="G144" s="313">
        <v>398</v>
      </c>
      <c r="H144" s="1091"/>
      <c r="I144" s="314">
        <v>393</v>
      </c>
      <c r="J144" s="1094"/>
      <c r="K144" s="314">
        <v>374</v>
      </c>
      <c r="L144" s="1091"/>
      <c r="M144" s="314">
        <v>363</v>
      </c>
      <c r="N144" s="1091"/>
      <c r="O144" s="314">
        <v>349</v>
      </c>
      <c r="P144" s="1091"/>
      <c r="Q144" s="313">
        <v>386</v>
      </c>
      <c r="R144" s="1092"/>
      <c r="S144" s="313">
        <v>390</v>
      </c>
      <c r="T144" s="1091"/>
      <c r="U144" s="314">
        <v>417</v>
      </c>
      <c r="V144" s="1091"/>
      <c r="W144" s="313">
        <v>423</v>
      </c>
      <c r="X144" s="1092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64"/>
      <c r="C145" s="308"/>
      <c r="D145" s="1064"/>
      <c r="E145" s="308"/>
      <c r="F145" s="1064"/>
      <c r="G145" s="308"/>
      <c r="H145" s="1079"/>
      <c r="I145" s="316"/>
      <c r="J145" s="1079"/>
      <c r="K145" s="316"/>
      <c r="L145" s="1079"/>
      <c r="M145" s="316"/>
      <c r="N145" s="1079"/>
      <c r="O145" s="316"/>
      <c r="P145" s="1079"/>
      <c r="Q145" s="316"/>
      <c r="R145" s="1064"/>
      <c r="S145" s="316"/>
      <c r="T145" s="1079"/>
      <c r="U145" s="316"/>
      <c r="V145" s="1079"/>
      <c r="W145" s="308"/>
      <c r="X145" s="1064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92"/>
      <c r="C150" s="311">
        <v>365</v>
      </c>
      <c r="D150" s="1093"/>
      <c r="E150" s="312">
        <v>403</v>
      </c>
      <c r="F150" s="1092"/>
      <c r="G150" s="313">
        <v>382</v>
      </c>
      <c r="H150" s="1091"/>
      <c r="I150" s="314">
        <v>395</v>
      </c>
      <c r="J150" s="1094"/>
      <c r="K150" s="314">
        <v>385</v>
      </c>
      <c r="L150" s="1091"/>
      <c r="M150" s="314">
        <v>381</v>
      </c>
      <c r="N150" s="1091"/>
      <c r="O150" s="314">
        <v>395</v>
      </c>
      <c r="P150" s="1091"/>
      <c r="Q150" s="313">
        <v>403</v>
      </c>
      <c r="R150" s="1092"/>
      <c r="S150" s="313">
        <v>383</v>
      </c>
      <c r="T150" s="1091"/>
      <c r="U150" s="314">
        <v>386</v>
      </c>
      <c r="V150" s="1091"/>
      <c r="W150" s="313">
        <v>397</v>
      </c>
      <c r="X150" s="1092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64"/>
      <c r="C151" s="308"/>
      <c r="D151" s="1064"/>
      <c r="E151" s="308"/>
      <c r="F151" s="1064"/>
      <c r="G151" s="308"/>
      <c r="H151" s="1079"/>
      <c r="I151" s="316"/>
      <c r="J151" s="1079"/>
      <c r="K151" s="316"/>
      <c r="L151" s="1079"/>
      <c r="M151" s="316"/>
      <c r="N151" s="1079"/>
      <c r="O151" s="316"/>
      <c r="P151" s="1079"/>
      <c r="Q151" s="316"/>
      <c r="R151" s="1064"/>
      <c r="S151" s="316"/>
      <c r="T151" s="1079"/>
      <c r="U151" s="316"/>
      <c r="V151" s="1079"/>
      <c r="W151" s="308"/>
      <c r="X151" s="1064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92"/>
      <c r="C156" s="311">
        <v>422</v>
      </c>
      <c r="D156" s="1093"/>
      <c r="E156" s="312">
        <v>417</v>
      </c>
      <c r="F156" s="1092"/>
      <c r="G156" s="313">
        <v>400</v>
      </c>
      <c r="H156" s="1091"/>
      <c r="I156" s="314">
        <v>421</v>
      </c>
      <c r="J156" s="1094"/>
      <c r="K156" s="314">
        <v>419</v>
      </c>
      <c r="L156" s="1091"/>
      <c r="M156" s="314">
        <v>402</v>
      </c>
      <c r="N156" s="1091"/>
      <c r="O156" s="314">
        <v>402</v>
      </c>
      <c r="P156" s="1091"/>
      <c r="Q156" s="313">
        <v>411</v>
      </c>
      <c r="R156" s="1092"/>
      <c r="S156" s="313">
        <v>355</v>
      </c>
      <c r="T156" s="1091"/>
      <c r="U156" s="314">
        <v>390</v>
      </c>
      <c r="V156" s="1091"/>
      <c r="W156" s="313">
        <v>380</v>
      </c>
      <c r="X156" s="1092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64"/>
      <c r="C157" s="308"/>
      <c r="D157" s="1064"/>
      <c r="E157" s="308"/>
      <c r="F157" s="1064"/>
      <c r="G157" s="308"/>
      <c r="H157" s="1079"/>
      <c r="I157" s="316"/>
      <c r="J157" s="1079"/>
      <c r="K157" s="316"/>
      <c r="L157" s="1079"/>
      <c r="M157" s="316"/>
      <c r="N157" s="1079"/>
      <c r="O157" s="316"/>
      <c r="P157" s="1079"/>
      <c r="Q157" s="316"/>
      <c r="R157" s="1064"/>
      <c r="S157" s="316"/>
      <c r="T157" s="1079"/>
      <c r="U157" s="316"/>
      <c r="V157" s="1079"/>
      <c r="W157" s="308"/>
      <c r="X157" s="1064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92"/>
      <c r="C162" s="311">
        <v>422</v>
      </c>
      <c r="D162" s="1093"/>
      <c r="E162" s="312">
        <v>417</v>
      </c>
      <c r="F162" s="1092"/>
      <c r="G162" s="313">
        <v>400</v>
      </c>
      <c r="H162" s="1091"/>
      <c r="I162" s="314">
        <v>421</v>
      </c>
      <c r="J162" s="1094"/>
      <c r="K162" s="314">
        <v>419</v>
      </c>
      <c r="L162" s="1091"/>
      <c r="M162" s="314">
        <v>402</v>
      </c>
      <c r="N162" s="1091"/>
      <c r="O162" s="314">
        <v>402</v>
      </c>
      <c r="P162" s="1091"/>
      <c r="Q162" s="313">
        <v>411</v>
      </c>
      <c r="R162" s="1092"/>
      <c r="S162" s="313">
        <v>355</v>
      </c>
      <c r="T162" s="1091"/>
      <c r="U162" s="314">
        <v>390</v>
      </c>
      <c r="V162" s="1091"/>
      <c r="W162" s="313">
        <v>380</v>
      </c>
      <c r="X162" s="1092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64"/>
      <c r="C163" s="308"/>
      <c r="D163" s="1064"/>
      <c r="E163" s="308"/>
      <c r="F163" s="1064"/>
      <c r="G163" s="308"/>
      <c r="H163" s="1079"/>
      <c r="I163" s="316"/>
      <c r="J163" s="1079"/>
      <c r="K163" s="316"/>
      <c r="L163" s="1079"/>
      <c r="M163" s="316"/>
      <c r="N163" s="1079"/>
      <c r="O163" s="316"/>
      <c r="P163" s="1079"/>
      <c r="Q163" s="316"/>
      <c r="R163" s="1064"/>
      <c r="S163" s="316"/>
      <c r="T163" s="1079"/>
      <c r="U163" s="316"/>
      <c r="V163" s="1079"/>
      <c r="W163" s="308"/>
      <c r="X163" s="1064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2"/>
  <sheetViews>
    <sheetView showGridLines="0" tabSelected="1" zoomScale="63" zoomScaleNormal="100" workbookViewId="0">
      <selection activeCell="M28" sqref="M28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04"/>
      <c r="C2" s="496" t="s">
        <v>0</v>
      </c>
      <c r="D2" s="1105" t="s">
        <v>1</v>
      </c>
      <c r="E2" s="1076"/>
      <c r="F2" s="1077"/>
      <c r="G2" s="3" t="s">
        <v>2</v>
      </c>
      <c r="H2" s="448">
        <v>46128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60"/>
      <c r="C3" s="496" t="s">
        <v>5</v>
      </c>
      <c r="D3" s="1106" t="s">
        <v>6</v>
      </c>
      <c r="E3" s="1076"/>
      <c r="F3" s="1077"/>
      <c r="G3" s="3" t="s">
        <v>7</v>
      </c>
      <c r="H3" s="4" t="s">
        <v>8</v>
      </c>
      <c r="I3" s="3" t="s">
        <v>9</v>
      </c>
      <c r="J3" s="5" t="s">
        <v>797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60"/>
      <c r="C4" s="496" t="s">
        <v>10</v>
      </c>
      <c r="D4" s="1106" t="s">
        <v>11</v>
      </c>
      <c r="E4" s="1076"/>
      <c r="F4" s="1077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72"/>
      <c r="C5" s="496" t="s">
        <v>16</v>
      </c>
      <c r="D5" s="1106" t="s">
        <v>17</v>
      </c>
      <c r="E5" s="1076"/>
      <c r="F5" s="1077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44" t="s">
        <v>21</v>
      </c>
      <c r="C8" s="845"/>
      <c r="D8" s="845"/>
      <c r="E8" s="845"/>
      <c r="F8" s="845"/>
      <c r="G8" s="845"/>
      <c r="H8" s="845"/>
      <c r="I8" s="845"/>
      <c r="J8" s="845"/>
      <c r="K8" s="845"/>
      <c r="L8" s="845"/>
      <c r="M8" s="846"/>
      <c r="N8" s="656"/>
      <c r="O8" s="863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47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48" t="s">
        <v>33</v>
      </c>
      <c r="N9" s="656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49" t="s">
        <v>34</v>
      </c>
      <c r="C10" s="839" t="s">
        <v>35</v>
      </c>
      <c r="D10" s="840">
        <v>113.286</v>
      </c>
      <c r="E10" s="841">
        <v>113.286</v>
      </c>
      <c r="F10" s="841">
        <v>113.286</v>
      </c>
      <c r="G10" s="841">
        <v>113.286</v>
      </c>
      <c r="H10" s="840">
        <v>0</v>
      </c>
      <c r="I10" s="840">
        <v>0</v>
      </c>
      <c r="J10" s="840">
        <v>0</v>
      </c>
      <c r="K10" s="843">
        <v>0</v>
      </c>
      <c r="L10" s="842">
        <v>113.286</v>
      </c>
      <c r="M10" s="855"/>
      <c r="N10" s="656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50" t="s">
        <v>36</v>
      </c>
      <c r="C11" s="851" t="s">
        <v>35</v>
      </c>
      <c r="D11" s="852">
        <v>113.286</v>
      </c>
      <c r="E11" s="853">
        <v>113.286</v>
      </c>
      <c r="F11" s="854">
        <v>113.286</v>
      </c>
      <c r="G11" s="854">
        <v>106.43900000000005</v>
      </c>
      <c r="H11" s="852">
        <f>E11-F11</f>
        <v>0</v>
      </c>
      <c r="I11" s="852">
        <f>F11-G11+2.17</f>
        <v>9.0169999999999515</v>
      </c>
      <c r="J11" s="852">
        <v>0.4</v>
      </c>
      <c r="K11" s="866">
        <v>0</v>
      </c>
      <c r="L11" s="854">
        <v>113.26600000000001</v>
      </c>
      <c r="M11" s="856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692" t="s">
        <v>80</v>
      </c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693"/>
      <c r="O14" s="69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02" t="s">
        <v>40</v>
      </c>
      <c r="I15" s="480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212</v>
      </c>
      <c r="E16" s="454">
        <v>101</v>
      </c>
      <c r="F16" s="454">
        <v>40</v>
      </c>
      <c r="G16" s="454">
        <v>40</v>
      </c>
      <c r="H16" s="910">
        <v>2</v>
      </c>
      <c r="I16" s="455">
        <v>6</v>
      </c>
      <c r="J16" s="454">
        <v>252</v>
      </c>
      <c r="K16" s="485">
        <f>E16+I16</f>
        <v>107</v>
      </c>
      <c r="L16" s="454">
        <f>292-K16</f>
        <v>185</v>
      </c>
      <c r="M16" s="590">
        <v>6</v>
      </c>
      <c r="N16" s="590">
        <v>3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212</v>
      </c>
      <c r="E17" s="454">
        <v>67</v>
      </c>
      <c r="F17" s="454">
        <v>40</v>
      </c>
      <c r="G17" s="454">
        <v>40</v>
      </c>
      <c r="H17" s="910">
        <v>0</v>
      </c>
      <c r="I17" s="455">
        <v>5</v>
      </c>
      <c r="J17" s="454">
        <f>J16</f>
        <v>252</v>
      </c>
      <c r="K17" s="485">
        <f>E17+I17</f>
        <v>72</v>
      </c>
      <c r="L17" s="588">
        <f t="shared" ref="L17:L25" si="0">C17-K17</f>
        <v>220</v>
      </c>
      <c r="M17" s="589"/>
      <c r="N17" s="589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155</v>
      </c>
      <c r="E18" s="454">
        <v>66</v>
      </c>
      <c r="F18" s="457">
        <v>35</v>
      </c>
      <c r="G18" s="454">
        <v>15</v>
      </c>
      <c r="H18" s="910">
        <v>0</v>
      </c>
      <c r="I18" s="455">
        <v>4</v>
      </c>
      <c r="J18" s="454">
        <v>190</v>
      </c>
      <c r="K18" s="485">
        <f>E18+I18</f>
        <v>70</v>
      </c>
      <c r="L18" s="454">
        <f t="shared" si="0"/>
        <v>222</v>
      </c>
      <c r="M18" s="488"/>
      <c r="N18" s="488"/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7</v>
      </c>
      <c r="E19" s="454">
        <v>0</v>
      </c>
      <c r="F19" s="455">
        <v>10</v>
      </c>
      <c r="G19" s="454">
        <v>0</v>
      </c>
      <c r="H19" s="702">
        <v>0</v>
      </c>
      <c r="I19" s="455">
        <v>0</v>
      </c>
      <c r="J19" s="454">
        <v>17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7</v>
      </c>
      <c r="E20" s="454">
        <v>0</v>
      </c>
      <c r="F20" s="455">
        <v>10</v>
      </c>
      <c r="G20" s="454">
        <v>0</v>
      </c>
      <c r="H20" s="457">
        <v>0</v>
      </c>
      <c r="I20" s="455">
        <v>0</v>
      </c>
      <c r="J20" s="454">
        <v>17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7</v>
      </c>
      <c r="E21" s="454">
        <v>0</v>
      </c>
      <c r="F21" s="455">
        <v>10</v>
      </c>
      <c r="G21" s="454">
        <v>0</v>
      </c>
      <c r="H21" s="457">
        <v>0</v>
      </c>
      <c r="I21" s="455">
        <v>0</v>
      </c>
      <c r="J21" s="454">
        <v>17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72" t="s">
        <v>693</v>
      </c>
      <c r="C27" s="673" t="s">
        <v>689</v>
      </c>
      <c r="D27" s="674" t="s">
        <v>690</v>
      </c>
      <c r="E27" s="675" t="s">
        <v>691</v>
      </c>
      <c r="F27" s="673" t="s">
        <v>692</v>
      </c>
      <c r="G27" s="676" t="s">
        <v>694</v>
      </c>
      <c r="H27" s="367"/>
      <c r="I27" s="484"/>
      <c r="J27" s="484"/>
      <c r="K27" s="930"/>
      <c r="L27" s="931"/>
      <c r="M27" s="932"/>
      <c r="N27" s="932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1291" t="s">
        <v>421</v>
      </c>
      <c r="C28" s="1290" t="s">
        <v>817</v>
      </c>
      <c r="D28" s="1290" t="s">
        <v>817</v>
      </c>
      <c r="E28" s="1290" t="s">
        <v>817</v>
      </c>
      <c r="F28" s="1290" t="s">
        <v>817</v>
      </c>
      <c r="G28" s="1292" t="s">
        <v>769</v>
      </c>
      <c r="H28" s="367"/>
      <c r="I28" s="484"/>
      <c r="J28" s="484"/>
      <c r="K28" s="933"/>
      <c r="L28" s="934"/>
      <c r="M28" s="909"/>
      <c r="N28" s="909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887" t="s">
        <v>225</v>
      </c>
      <c r="C29" s="885" t="s">
        <v>812</v>
      </c>
      <c r="D29" s="885" t="s">
        <v>812</v>
      </c>
      <c r="E29" s="885" t="s">
        <v>812</v>
      </c>
      <c r="F29" s="885" t="s">
        <v>812</v>
      </c>
      <c r="G29" s="886" t="s">
        <v>769</v>
      </c>
      <c r="H29" s="367"/>
      <c r="I29" s="484"/>
      <c r="J29" s="484"/>
      <c r="K29" s="933"/>
      <c r="L29" s="934"/>
      <c r="M29" s="909"/>
      <c r="N29" s="909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887" t="s">
        <v>224</v>
      </c>
      <c r="C30" s="885" t="s">
        <v>812</v>
      </c>
      <c r="D30" s="885" t="s">
        <v>812</v>
      </c>
      <c r="E30" s="885" t="s">
        <v>812</v>
      </c>
      <c r="F30" s="885" t="s">
        <v>812</v>
      </c>
      <c r="G30" s="886" t="s">
        <v>769</v>
      </c>
      <c r="H30" s="367"/>
      <c r="I30" s="484"/>
      <c r="J30" s="484"/>
      <c r="K30" s="933"/>
      <c r="L30" s="934"/>
      <c r="M30" s="909"/>
      <c r="N30" s="90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07" t="s">
        <v>206</v>
      </c>
      <c r="C31" s="907" t="s">
        <v>812</v>
      </c>
      <c r="D31" s="907" t="s">
        <v>812</v>
      </c>
      <c r="E31" s="907" t="s">
        <v>812</v>
      </c>
      <c r="F31" s="907" t="s">
        <v>812</v>
      </c>
      <c r="G31" s="928" t="s">
        <v>811</v>
      </c>
      <c r="H31" s="367"/>
      <c r="I31" s="484"/>
      <c r="J31" s="484"/>
      <c r="K31" s="861"/>
      <c r="L31" s="861"/>
      <c r="M31" s="861"/>
      <c r="N31" s="861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907" t="s">
        <v>208</v>
      </c>
      <c r="C32" s="907" t="s">
        <v>812</v>
      </c>
      <c r="D32" s="907" t="s">
        <v>812</v>
      </c>
      <c r="E32" s="907" t="s">
        <v>812</v>
      </c>
      <c r="F32" s="907" t="s">
        <v>812</v>
      </c>
      <c r="G32" s="928" t="s">
        <v>811</v>
      </c>
      <c r="H32" s="367"/>
      <c r="I32" s="484"/>
      <c r="J32" s="484"/>
      <c r="K32" s="861"/>
      <c r="L32" s="861"/>
      <c r="M32" s="861"/>
      <c r="N32" s="861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1290" t="s">
        <v>314</v>
      </c>
      <c r="C33" s="1290" t="s">
        <v>817</v>
      </c>
      <c r="D33" s="1290" t="s">
        <v>817</v>
      </c>
      <c r="E33" s="1290" t="s">
        <v>817</v>
      </c>
      <c r="F33" s="1290" t="s">
        <v>817</v>
      </c>
      <c r="G33" s="1290" t="s">
        <v>799</v>
      </c>
      <c r="H33" s="367"/>
      <c r="I33" s="484"/>
      <c r="J33" s="484"/>
      <c r="K33" s="861"/>
      <c r="L33" s="861"/>
      <c r="M33" s="861"/>
      <c r="N33" s="861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907" t="s">
        <v>313</v>
      </c>
      <c r="C34" s="907" t="s">
        <v>818</v>
      </c>
      <c r="D34" s="907" t="s">
        <v>818</v>
      </c>
      <c r="E34" s="907" t="s">
        <v>818</v>
      </c>
      <c r="F34" s="907" t="s">
        <v>818</v>
      </c>
      <c r="G34" s="928" t="s">
        <v>799</v>
      </c>
      <c r="H34" s="367"/>
      <c r="I34" s="484"/>
      <c r="J34" s="484"/>
      <c r="K34" s="861"/>
      <c r="L34" s="861"/>
      <c r="M34" s="861"/>
      <c r="N34" s="861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68"/>
      <c r="B35" s="907" t="s">
        <v>301</v>
      </c>
      <c r="C35" s="907" t="s">
        <v>812</v>
      </c>
      <c r="D35" s="907" t="s">
        <v>812</v>
      </c>
      <c r="E35" s="907" t="s">
        <v>812</v>
      </c>
      <c r="F35" s="907" t="s">
        <v>812</v>
      </c>
      <c r="G35" s="928" t="s">
        <v>799</v>
      </c>
      <c r="H35" s="367"/>
      <c r="I35" s="484"/>
      <c r="J35" s="484"/>
      <c r="K35" s="861"/>
      <c r="L35" s="861"/>
      <c r="M35" s="861"/>
      <c r="N35" s="861"/>
      <c r="O35" s="1"/>
      <c r="P35" s="1"/>
      <c r="Q35" s="1"/>
      <c r="R35" s="1"/>
      <c r="S35" s="1"/>
      <c r="T35" s="1"/>
      <c r="U35" s="1"/>
      <c r="V35" s="1"/>
      <c r="W35" s="1"/>
    </row>
    <row r="36" spans="1:24" ht="13.5" customHeight="1" thickBot="1" x14ac:dyDescent="0.45">
      <c r="A36" s="368"/>
      <c r="B36" s="656"/>
      <c r="C36" s="656"/>
      <c r="D36" s="656"/>
      <c r="E36" s="656"/>
      <c r="F36" s="656"/>
      <c r="G36" s="656"/>
      <c r="H36" s="366"/>
      <c r="I36" s="367"/>
      <c r="J36" s="363"/>
      <c r="K36" s="364"/>
      <c r="L36" s="664"/>
      <c r="M36" s="664"/>
      <c r="N36" s="35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1" x14ac:dyDescent="0.4">
      <c r="A37" s="1"/>
      <c r="B37" s="657" t="s">
        <v>55</v>
      </c>
      <c r="C37" s="658"/>
      <c r="D37" s="658"/>
      <c r="E37" s="658"/>
      <c r="F37" s="658"/>
      <c r="G37" s="658"/>
      <c r="H37" s="658"/>
      <c r="I37" s="658"/>
      <c r="J37" s="658"/>
      <c r="K37" s="658"/>
      <c r="L37" s="658"/>
      <c r="M37" s="659"/>
      <c r="N37" s="6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8.6" customHeight="1" x14ac:dyDescent="0.3">
      <c r="A38" s="1"/>
      <c r="B38" s="660" t="s">
        <v>22</v>
      </c>
      <c r="C38" s="12" t="s">
        <v>23</v>
      </c>
      <c r="D38" s="12" t="s">
        <v>24</v>
      </c>
      <c r="E38" s="12" t="s">
        <v>25</v>
      </c>
      <c r="F38" s="12" t="s">
        <v>56</v>
      </c>
      <c r="G38" s="12" t="s">
        <v>57</v>
      </c>
      <c r="H38" s="12" t="s">
        <v>58</v>
      </c>
      <c r="I38" s="12" t="s">
        <v>59</v>
      </c>
      <c r="J38" s="12" t="s">
        <v>60</v>
      </c>
      <c r="K38" s="12" t="s">
        <v>61</v>
      </c>
      <c r="L38" s="654" t="s">
        <v>550</v>
      </c>
      <c r="M38" s="661" t="s">
        <v>33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.4" customHeight="1" x14ac:dyDescent="0.3">
      <c r="A39" s="1"/>
      <c r="B39" s="662" t="s">
        <v>63</v>
      </c>
      <c r="C39" s="8" t="s">
        <v>64</v>
      </c>
      <c r="D39" s="8">
        <v>292</v>
      </c>
      <c r="E39" s="8">
        <v>292</v>
      </c>
      <c r="F39" s="8">
        <v>235</v>
      </c>
      <c r="G39" s="8">
        <f>D39-F39</f>
        <v>57</v>
      </c>
      <c r="H39" s="474">
        <v>0</v>
      </c>
      <c r="I39" s="474">
        <v>0</v>
      </c>
      <c r="J39" s="8">
        <v>0</v>
      </c>
      <c r="K39" s="652">
        <f>F39+J39</f>
        <v>235</v>
      </c>
      <c r="L39" s="655">
        <f>E39+H39-K39</f>
        <v>57</v>
      </c>
      <c r="M39" s="663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1.2" customHeight="1" x14ac:dyDescent="0.3">
      <c r="A40" s="1"/>
      <c r="B40" s="662" t="s">
        <v>65</v>
      </c>
      <c r="C40" s="475" t="s">
        <v>66</v>
      </c>
      <c r="D40" s="475">
        <v>292</v>
      </c>
      <c r="E40" s="475">
        <v>230</v>
      </c>
      <c r="F40" s="475">
        <v>221</v>
      </c>
      <c r="G40" s="475">
        <f>D40-F40</f>
        <v>71</v>
      </c>
      <c r="H40" s="476">
        <v>0</v>
      </c>
      <c r="I40" s="476">
        <v>0</v>
      </c>
      <c r="J40" s="475">
        <v>0</v>
      </c>
      <c r="K40" s="653">
        <f>F40+J40</f>
        <v>221</v>
      </c>
      <c r="L40" s="655">
        <f>E40+H40-K40</f>
        <v>9</v>
      </c>
      <c r="M40" s="663"/>
      <c r="N40" s="355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4.4" customHeight="1" thickBot="1" x14ac:dyDescent="0.35">
      <c r="A41" s="1"/>
      <c r="B41" s="473" t="s">
        <v>683</v>
      </c>
      <c r="C41" s="477" t="s">
        <v>35</v>
      </c>
      <c r="D41" s="477">
        <v>4314</v>
      </c>
      <c r="E41" s="477">
        <v>2700</v>
      </c>
      <c r="F41" s="477">
        <v>2870.6149999999998</v>
      </c>
      <c r="G41" s="477">
        <f>D41-F41</f>
        <v>1443.3850000000002</v>
      </c>
      <c r="H41" s="477">
        <v>300</v>
      </c>
      <c r="I41" s="477">
        <v>300</v>
      </c>
      <c r="J41" s="477">
        <v>331.822</v>
      </c>
      <c r="K41" s="478">
        <v>3202.4369999999999</v>
      </c>
      <c r="L41" s="477">
        <f>E41+H41-K41</f>
        <v>-202.4369999999999</v>
      </c>
      <c r="M41" s="884" t="s">
        <v>807</v>
      </c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customHeight="1" x14ac:dyDescent="0.3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650"/>
      <c r="M42" s="651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5">
      <c r="A43" s="1"/>
      <c r="B43" s="410" t="s">
        <v>677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 t="s">
        <v>758</v>
      </c>
      <c r="C44" s="411"/>
      <c r="D44" s="411"/>
      <c r="E44" s="409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1" t="s">
        <v>759</v>
      </c>
      <c r="C45" s="411"/>
      <c r="D45" s="411"/>
      <c r="E45" s="409"/>
      <c r="F45" s="409"/>
      <c r="G45" s="408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1" t="s">
        <v>764</v>
      </c>
      <c r="C46" s="411"/>
      <c r="D46" s="411"/>
      <c r="E46" s="409"/>
      <c r="F46" s="409"/>
      <c r="G46" s="408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1"/>
      <c r="C47" s="409"/>
      <c r="D47" s="409"/>
      <c r="E47" s="409"/>
      <c r="F47" s="409"/>
      <c r="G47" s="408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596"/>
      <c r="M52" s="1100"/>
      <c r="N52" s="1100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484"/>
      <c r="K53" s="595"/>
      <c r="L53" s="634"/>
      <c r="M53" s="1103"/>
      <c r="N53" s="1103"/>
      <c r="O53" s="368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411"/>
      <c r="D54" s="411"/>
      <c r="E54" s="411"/>
      <c r="F54" s="2"/>
      <c r="G54" s="2"/>
      <c r="H54" s="484"/>
      <c r="I54" s="595"/>
      <c r="J54" s="596"/>
      <c r="K54" s="634"/>
      <c r="L54" s="595"/>
      <c r="M54" s="596"/>
      <c r="N54" s="1100"/>
      <c r="O54" s="1100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484"/>
      <c r="I55" s="603"/>
      <c r="J55" s="603"/>
      <c r="K55" s="484"/>
      <c r="L55" s="630"/>
      <c r="M55" s="631"/>
      <c r="N55" s="1101"/>
      <c r="O55" s="110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4"/>
      <c r="G56" s="595"/>
      <c r="H56" s="596"/>
      <c r="I56" s="1100"/>
      <c r="J56" s="1100"/>
      <c r="K56" s="484"/>
      <c r="L56" s="630"/>
      <c r="M56" s="631"/>
      <c r="N56" s="1102"/>
      <c r="O56" s="1102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4"/>
      <c r="G57" s="595"/>
      <c r="H57" s="596"/>
      <c r="I57" s="634"/>
      <c r="J57" s="634"/>
      <c r="K57" s="484"/>
      <c r="L57" s="629"/>
      <c r="M57" s="629"/>
      <c r="N57" s="1102"/>
      <c r="O57" s="1102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4"/>
      <c r="G58" s="603"/>
      <c r="H58" s="603"/>
      <c r="I58" s="597"/>
      <c r="J58" s="597"/>
      <c r="K58" s="484"/>
      <c r="L58" s="603"/>
      <c r="M58" s="603"/>
      <c r="N58" s="1102"/>
      <c r="O58" s="1102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484"/>
      <c r="G59" s="603"/>
      <c r="H59" s="484"/>
      <c r="I59" s="595"/>
      <c r="J59" s="596"/>
      <c r="K59" s="484"/>
      <c r="L59" s="629"/>
      <c r="M59" s="603"/>
      <c r="N59" s="1101"/>
      <c r="O59" s="110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C60" s="2"/>
      <c r="D60" s="2"/>
      <c r="E60" s="2"/>
      <c r="F60" s="484"/>
      <c r="G60" s="603"/>
      <c r="H60" s="484"/>
      <c r="I60" s="630"/>
      <c r="J60" s="631"/>
      <c r="K60" s="484"/>
      <c r="L60" s="629"/>
      <c r="M60" s="629"/>
      <c r="N60" s="1102"/>
      <c r="O60" s="1102"/>
      <c r="P60" s="1"/>
      <c r="Q60" s="1"/>
      <c r="R60" s="1"/>
      <c r="S60" s="1"/>
      <c r="T60" s="1"/>
      <c r="U60" s="1"/>
      <c r="V60" s="1"/>
      <c r="W60" s="1"/>
      <c r="X60" s="1"/>
    </row>
    <row r="61" spans="1:24" ht="15.6" customHeight="1" x14ac:dyDescent="0.3">
      <c r="A61" s="1"/>
      <c r="C61" s="2"/>
      <c r="D61" s="2"/>
      <c r="E61" s="2"/>
      <c r="F61" s="484"/>
      <c r="G61" s="620"/>
      <c r="H61" s="484"/>
      <c r="I61" s="629"/>
      <c r="J61" s="628"/>
      <c r="K61" s="484"/>
      <c r="L61" s="629"/>
      <c r="M61" s="629"/>
      <c r="N61" s="1102"/>
      <c r="O61" s="1102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4"/>
      <c r="G62" s="620"/>
      <c r="H62" s="484"/>
      <c r="I62" s="629"/>
      <c r="J62" s="629"/>
      <c r="K62" s="484"/>
      <c r="L62" s="640"/>
      <c r="M62" s="591"/>
      <c r="N62" s="368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484"/>
      <c r="G63" s="620"/>
      <c r="H63" s="484"/>
      <c r="I63" s="629"/>
      <c r="J63" s="628"/>
      <c r="K63" s="640"/>
      <c r="L63" s="640"/>
      <c r="M63" s="1099"/>
      <c r="N63" s="1099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4"/>
      <c r="I64" s="603"/>
      <c r="J64" s="603"/>
      <c r="K64" s="640"/>
      <c r="L64" s="640"/>
      <c r="M64" s="487"/>
      <c r="N64" s="486"/>
      <c r="O64" s="594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4"/>
      <c r="I65" s="603"/>
      <c r="J65" s="603"/>
      <c r="K65" s="640"/>
      <c r="L65" s="641"/>
      <c r="M65" s="1098"/>
      <c r="N65" s="1098"/>
      <c r="O65" s="1"/>
      <c r="P65" s="368"/>
      <c r="Q65" s="1"/>
      <c r="R65" s="1"/>
      <c r="S65" s="1"/>
      <c r="T65" s="1"/>
      <c r="U65" s="1"/>
      <c r="V65" s="1"/>
      <c r="W65" s="1"/>
      <c r="X65" s="1"/>
    </row>
    <row r="66" spans="1:24" ht="15.6" customHeight="1" x14ac:dyDescent="0.3">
      <c r="A66" s="1"/>
      <c r="C66" s="2"/>
      <c r="D66" s="2"/>
      <c r="E66" s="2"/>
      <c r="F66" s="2"/>
      <c r="G66" s="2"/>
      <c r="H66" s="484"/>
      <c r="I66" s="629"/>
      <c r="J66" s="603"/>
      <c r="K66" s="641"/>
      <c r="L66" s="640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2"/>
      <c r="G67" s="2"/>
      <c r="H67" s="484"/>
      <c r="I67" s="629"/>
      <c r="J67" s="629"/>
      <c r="K67" s="640"/>
      <c r="L67" s="35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352"/>
      <c r="I68" s="352"/>
      <c r="J68" s="352"/>
      <c r="K68" s="35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</sheetData>
  <mergeCells count="18">
    <mergeCell ref="M53:N53"/>
    <mergeCell ref="M52:N52"/>
    <mergeCell ref="B2:B5"/>
    <mergeCell ref="D2:F2"/>
    <mergeCell ref="D3:F3"/>
    <mergeCell ref="D4:F4"/>
    <mergeCell ref="D5:F5"/>
    <mergeCell ref="I56:J56"/>
    <mergeCell ref="N56:O56"/>
    <mergeCell ref="N57:O57"/>
    <mergeCell ref="N58:O58"/>
    <mergeCell ref="N59:O59"/>
    <mergeCell ref="M65:N65"/>
    <mergeCell ref="M63:N63"/>
    <mergeCell ref="N54:O54"/>
    <mergeCell ref="N55:O55"/>
    <mergeCell ref="N60:O60"/>
    <mergeCell ref="N61:O61"/>
  </mergeCells>
  <phoneticPr fontId="58" type="noConversion"/>
  <conditionalFormatting sqref="K28:K30">
    <cfRule type="duplicateValues" dxfId="13" priority="3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64"/>
  <sheetViews>
    <sheetView topLeftCell="B1" zoomScale="77" zoomScaleNormal="91" workbookViewId="0">
      <selection activeCell="G142" sqref="G142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146" t="s">
        <v>21</v>
      </c>
      <c r="C2" s="1147"/>
      <c r="D2" s="1147"/>
      <c r="E2" s="1147"/>
      <c r="F2" s="1147"/>
      <c r="G2" s="1147"/>
      <c r="H2" s="1147"/>
      <c r="I2" s="1147"/>
      <c r="J2" s="1147"/>
      <c r="K2" s="1147"/>
      <c r="L2" s="1147"/>
      <c r="M2" s="1147"/>
      <c r="N2" s="1148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9.0169999999999515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149" t="s">
        <v>68</v>
      </c>
      <c r="C7" s="1150"/>
      <c r="D7" s="1150"/>
      <c r="E7" s="1150"/>
      <c r="F7" s="1150"/>
      <c r="G7" s="1150"/>
      <c r="H7" s="1151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152" t="s">
        <v>70</v>
      </c>
      <c r="D8" s="1077"/>
      <c r="E8" s="1153" t="s">
        <v>71</v>
      </c>
      <c r="F8" s="1154"/>
      <c r="G8" s="1152" t="s">
        <v>72</v>
      </c>
      <c r="H8" s="1077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155"/>
      <c r="D9" s="1077"/>
      <c r="E9" s="1155"/>
      <c r="F9" s="1077"/>
      <c r="G9" s="1156"/>
      <c r="H9" s="1077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677">
        <f>COUNTIFS($I$13:$L$141,"Foundation Completed.")</f>
        <v>107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160" t="s">
        <v>73</v>
      </c>
      <c r="C11" s="1161"/>
      <c r="D11" s="1161"/>
      <c r="E11" s="1161"/>
      <c r="F11" s="1161"/>
      <c r="G11" s="1161"/>
      <c r="H11" s="1161"/>
      <c r="I11" s="1161"/>
      <c r="J11" s="1162"/>
      <c r="K11" s="1161"/>
      <c r="L11" s="1162"/>
      <c r="M11" s="1161"/>
      <c r="N11" s="1161"/>
      <c r="O11" s="1161"/>
      <c r="P11" s="1161"/>
      <c r="Q11" s="1163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164" t="s">
        <v>80</v>
      </c>
      <c r="J12" s="1165"/>
      <c r="K12" s="1165"/>
      <c r="L12" s="1166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808">
        <v>26.43</v>
      </c>
      <c r="I13" s="1157" t="s">
        <v>553</v>
      </c>
      <c r="J13" s="1158"/>
      <c r="K13" s="1158"/>
      <c r="L13" s="1159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810">
        <v>22.4</v>
      </c>
      <c r="I14" s="1157" t="s">
        <v>553</v>
      </c>
      <c r="J14" s="1158"/>
      <c r="K14" s="1158"/>
      <c r="L14" s="1159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157" t="s">
        <v>553</v>
      </c>
      <c r="J15" s="1158"/>
      <c r="K15" s="1158"/>
      <c r="L15" s="1159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157" t="s">
        <v>553</v>
      </c>
      <c r="J16" s="1158"/>
      <c r="K16" s="1158"/>
      <c r="L16" s="1159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157" t="s">
        <v>553</v>
      </c>
      <c r="J17" s="1158"/>
      <c r="K17" s="1158"/>
      <c r="L17" s="1159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157" t="s">
        <v>553</v>
      </c>
      <c r="J18" s="1158"/>
      <c r="K18" s="1158"/>
      <c r="L18" s="1159"/>
      <c r="M18" s="515">
        <v>45949</v>
      </c>
      <c r="N18" s="490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157" t="s">
        <v>553</v>
      </c>
      <c r="J19" s="1158"/>
      <c r="K19" s="1158"/>
      <c r="L19" s="1159"/>
      <c r="M19" s="515">
        <v>45949</v>
      </c>
      <c r="N19" s="489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157" t="s">
        <v>553</v>
      </c>
      <c r="J20" s="1158"/>
      <c r="K20" s="1158"/>
      <c r="L20" s="1159"/>
      <c r="M20" s="518">
        <v>45951</v>
      </c>
      <c r="N20" s="490" t="s">
        <v>705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157" t="s">
        <v>553</v>
      </c>
      <c r="J21" s="1158"/>
      <c r="K21" s="1158"/>
      <c r="L21" s="1159"/>
      <c r="M21" s="519">
        <v>45954</v>
      </c>
      <c r="N21" s="489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157" t="s">
        <v>553</v>
      </c>
      <c r="J22" s="1158"/>
      <c r="K22" s="1158"/>
      <c r="L22" s="1159"/>
      <c r="M22" s="519">
        <v>45955</v>
      </c>
      <c r="N22" s="490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157" t="s">
        <v>553</v>
      </c>
      <c r="J23" s="1158"/>
      <c r="K23" s="1158"/>
      <c r="L23" s="1159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157" t="s">
        <v>553</v>
      </c>
      <c r="J24" s="1158"/>
      <c r="K24" s="1158"/>
      <c r="L24" s="1159"/>
      <c r="M24" s="505">
        <v>45961</v>
      </c>
      <c r="N24" s="489" t="s">
        <v>704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157" t="s">
        <v>553</v>
      </c>
      <c r="J25" s="1158"/>
      <c r="K25" s="1158"/>
      <c r="L25" s="1159"/>
      <c r="M25" s="519">
        <v>45966</v>
      </c>
      <c r="N25" s="489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157" t="s">
        <v>553</v>
      </c>
      <c r="J26" s="1158"/>
      <c r="K26" s="1158"/>
      <c r="L26" s="1159"/>
      <c r="M26" s="519">
        <v>45969</v>
      </c>
      <c r="N26" s="490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157" t="s">
        <v>553</v>
      </c>
      <c r="J27" s="1158"/>
      <c r="K27" s="1158"/>
      <c r="L27" s="1159"/>
      <c r="M27" s="519">
        <v>45970</v>
      </c>
      <c r="N27" s="489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157" t="s">
        <v>553</v>
      </c>
      <c r="J28" s="1158"/>
      <c r="K28" s="1158"/>
      <c r="L28" s="1159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157" t="s">
        <v>553</v>
      </c>
      <c r="J29" s="1158"/>
      <c r="K29" s="1158"/>
      <c r="L29" s="1159"/>
      <c r="M29" s="519">
        <v>45976</v>
      </c>
      <c r="N29" s="490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157" t="s">
        <v>553</v>
      </c>
      <c r="J30" s="1158"/>
      <c r="K30" s="1158"/>
      <c r="L30" s="1159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808">
        <v>26.43</v>
      </c>
      <c r="I31" s="1157" t="s">
        <v>553</v>
      </c>
      <c r="J31" s="1158"/>
      <c r="K31" s="1158"/>
      <c r="L31" s="1159"/>
      <c r="M31" s="519">
        <v>45984</v>
      </c>
      <c r="N31" s="490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157" t="s">
        <v>553</v>
      </c>
      <c r="J32" s="1158"/>
      <c r="K32" s="1158"/>
      <c r="L32" s="1159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157" t="s">
        <v>553</v>
      </c>
      <c r="J33" s="1158"/>
      <c r="K33" s="1158"/>
      <c r="L33" s="1159"/>
      <c r="M33" s="519">
        <v>45990</v>
      </c>
      <c r="N33" s="490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157" t="s">
        <v>553</v>
      </c>
      <c r="J34" s="1158"/>
      <c r="K34" s="1158"/>
      <c r="L34" s="1159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157" t="s">
        <v>553</v>
      </c>
      <c r="J35" s="1158"/>
      <c r="K35" s="1158"/>
      <c r="L35" s="1159"/>
      <c r="M35" s="519">
        <v>45994</v>
      </c>
      <c r="N35" s="490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157" t="s">
        <v>553</v>
      </c>
      <c r="J36" s="1158"/>
      <c r="K36" s="1158"/>
      <c r="L36" s="1159"/>
      <c r="M36" s="519">
        <v>45999</v>
      </c>
      <c r="N36" s="490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810">
        <v>22.4</v>
      </c>
      <c r="I37" s="1157" t="s">
        <v>553</v>
      </c>
      <c r="J37" s="1158"/>
      <c r="K37" s="1158"/>
      <c r="L37" s="1159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157" t="s">
        <v>553</v>
      </c>
      <c r="J38" s="1158"/>
      <c r="K38" s="1158"/>
      <c r="L38" s="1159"/>
      <c r="M38" s="519">
        <v>46005</v>
      </c>
      <c r="N38" s="490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143" t="s">
        <v>555</v>
      </c>
      <c r="J39" s="1144"/>
      <c r="K39" s="1144"/>
      <c r="L39" s="1145"/>
      <c r="M39" s="519">
        <v>46006</v>
      </c>
      <c r="N39" s="490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157" t="s">
        <v>553</v>
      </c>
      <c r="J40" s="1158"/>
      <c r="K40" s="1158"/>
      <c r="L40" s="1159"/>
      <c r="M40" s="519">
        <v>46009</v>
      </c>
      <c r="N40" s="490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143" t="s">
        <v>555</v>
      </c>
      <c r="J41" s="1144"/>
      <c r="K41" s="1144"/>
      <c r="L41" s="1145"/>
      <c r="M41" s="519">
        <v>46010</v>
      </c>
      <c r="N41" s="490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143" t="s">
        <v>555</v>
      </c>
      <c r="J42" s="1144"/>
      <c r="K42" s="1144"/>
      <c r="L42" s="1145"/>
      <c r="M42" s="519">
        <v>46011</v>
      </c>
      <c r="N42" s="490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143" t="s">
        <v>555</v>
      </c>
      <c r="J43" s="1144"/>
      <c r="K43" s="1144"/>
      <c r="L43" s="1145"/>
      <c r="M43" s="519">
        <v>46014</v>
      </c>
      <c r="N43" s="490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810">
        <v>22.4</v>
      </c>
      <c r="I44" s="1157" t="s">
        <v>553</v>
      </c>
      <c r="J44" s="1158"/>
      <c r="K44" s="1158"/>
      <c r="L44" s="1159"/>
      <c r="M44" s="521">
        <v>46015</v>
      </c>
      <c r="N44" s="490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808">
        <v>26.43</v>
      </c>
      <c r="I45" s="1143" t="s">
        <v>555</v>
      </c>
      <c r="J45" s="1144"/>
      <c r="K45" s="1144"/>
      <c r="L45" s="1145"/>
      <c r="M45" s="524">
        <v>46015</v>
      </c>
      <c r="N45" s="490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676</v>
      </c>
      <c r="F46" s="514"/>
      <c r="G46" s="514">
        <v>45997</v>
      </c>
      <c r="H46" s="433">
        <v>38.979999999999997</v>
      </c>
      <c r="I46" s="1143" t="s">
        <v>555</v>
      </c>
      <c r="J46" s="1144"/>
      <c r="K46" s="1144"/>
      <c r="L46" s="1145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143" t="s">
        <v>555</v>
      </c>
      <c r="J47" s="1144"/>
      <c r="K47" s="1144"/>
      <c r="L47" s="1145"/>
      <c r="M47" s="519">
        <v>46017</v>
      </c>
      <c r="N47" s="490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143" t="s">
        <v>555</v>
      </c>
      <c r="J48" s="1144"/>
      <c r="K48" s="1144"/>
      <c r="L48" s="1145"/>
      <c r="M48" s="519">
        <v>46018</v>
      </c>
      <c r="N48" s="490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167" t="s">
        <v>555</v>
      </c>
      <c r="J49" s="1168"/>
      <c r="K49" s="1168"/>
      <c r="L49" s="1169"/>
      <c r="M49" s="518">
        <v>46020</v>
      </c>
      <c r="N49" s="490" t="s">
        <v>674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808">
        <v>26.43</v>
      </c>
      <c r="I50" s="1143" t="s">
        <v>555</v>
      </c>
      <c r="J50" s="1144"/>
      <c r="K50" s="1144"/>
      <c r="L50" s="1145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143" t="s">
        <v>555</v>
      </c>
      <c r="J51" s="1144"/>
      <c r="K51" s="1144"/>
      <c r="L51" s="1145"/>
      <c r="M51" s="519">
        <v>46022</v>
      </c>
      <c r="N51" s="490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143" t="s">
        <v>555</v>
      </c>
      <c r="J52" s="1144"/>
      <c r="K52" s="1144"/>
      <c r="L52" s="1145"/>
      <c r="M52" s="519">
        <v>46022</v>
      </c>
      <c r="N52" s="490" t="s">
        <v>705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167" t="s">
        <v>555</v>
      </c>
      <c r="J53" s="1168"/>
      <c r="K53" s="1168"/>
      <c r="L53" s="1169"/>
      <c r="M53" s="519">
        <v>46022</v>
      </c>
      <c r="N53" s="490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810">
        <v>22.4</v>
      </c>
      <c r="I54" s="1170" t="s">
        <v>555</v>
      </c>
      <c r="J54" s="1170"/>
      <c r="K54" s="1170"/>
      <c r="L54" s="1170"/>
      <c r="M54" s="519">
        <v>46022</v>
      </c>
      <c r="N54" s="490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808">
        <v>26.43</v>
      </c>
      <c r="I55" s="1143" t="s">
        <v>555</v>
      </c>
      <c r="J55" s="1144"/>
      <c r="K55" s="1144"/>
      <c r="L55" s="1145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676</v>
      </c>
      <c r="F56" s="514"/>
      <c r="G56" s="514">
        <v>45992</v>
      </c>
      <c r="H56" s="433">
        <v>38.979999999999997</v>
      </c>
      <c r="I56" s="1170" t="s">
        <v>555</v>
      </c>
      <c r="J56" s="1170"/>
      <c r="K56" s="1170"/>
      <c r="L56" s="1170"/>
      <c r="M56" s="519">
        <v>46028</v>
      </c>
      <c r="N56" s="490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123" t="s">
        <v>555</v>
      </c>
      <c r="J57" s="1123"/>
      <c r="K57" s="1123"/>
      <c r="L57" s="1123"/>
      <c r="M57" s="519">
        <v>46028</v>
      </c>
      <c r="N57" s="490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167" t="s">
        <v>555</v>
      </c>
      <c r="J58" s="1168"/>
      <c r="K58" s="1168"/>
      <c r="L58" s="1169"/>
      <c r="M58" s="519">
        <v>46030</v>
      </c>
      <c r="N58" s="490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123" t="s">
        <v>555</v>
      </c>
      <c r="J59" s="1123"/>
      <c r="K59" s="1123"/>
      <c r="L59" s="1123"/>
      <c r="M59" s="519">
        <v>46032</v>
      </c>
      <c r="N59" s="490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812">
        <v>26.43</v>
      </c>
      <c r="I60" s="1123" t="s">
        <v>555</v>
      </c>
      <c r="J60" s="1123"/>
      <c r="K60" s="1123"/>
      <c r="L60" s="1123"/>
      <c r="M60" s="519">
        <v>46034</v>
      </c>
      <c r="N60" s="490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123" t="s">
        <v>555</v>
      </c>
      <c r="J61" s="1123"/>
      <c r="K61" s="1123"/>
      <c r="L61" s="1123"/>
      <c r="M61" s="519">
        <v>46034</v>
      </c>
      <c r="N61" s="490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66" t="s">
        <v>407</v>
      </c>
      <c r="D62" s="667" t="s">
        <v>87</v>
      </c>
      <c r="E62" s="666" t="s">
        <v>92</v>
      </c>
      <c r="F62" s="668"/>
      <c r="G62" s="668">
        <v>46032</v>
      </c>
      <c r="H62" s="678">
        <v>23.27</v>
      </c>
      <c r="I62" s="1171" t="s">
        <v>555</v>
      </c>
      <c r="J62" s="1172"/>
      <c r="K62" s="1172"/>
      <c r="L62" s="1173"/>
      <c r="M62" s="669">
        <v>46036</v>
      </c>
      <c r="N62" s="670" t="s">
        <v>674</v>
      </c>
      <c r="O62" s="671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680</v>
      </c>
      <c r="E63" s="433" t="s">
        <v>92</v>
      </c>
      <c r="F63" s="665"/>
      <c r="G63" s="514">
        <v>46028</v>
      </c>
      <c r="H63" s="433">
        <v>55.74</v>
      </c>
      <c r="I63" s="1123" t="s">
        <v>555</v>
      </c>
      <c r="J63" s="1123"/>
      <c r="K63" s="1123"/>
      <c r="L63" s="1123"/>
      <c r="M63" s="519">
        <v>46036</v>
      </c>
      <c r="N63" s="490" t="s">
        <v>89</v>
      </c>
      <c r="O63" s="373"/>
      <c r="P63" s="862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140" t="s">
        <v>555</v>
      </c>
      <c r="J64" s="1141"/>
      <c r="K64" s="1141"/>
      <c r="L64" s="1142"/>
      <c r="M64" s="518">
        <v>46038</v>
      </c>
      <c r="N64" s="490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140" t="s">
        <v>555</v>
      </c>
      <c r="J65" s="1141"/>
      <c r="K65" s="1141"/>
      <c r="L65" s="1142"/>
      <c r="M65" s="519">
        <v>46039</v>
      </c>
      <c r="N65" s="490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32" t="s">
        <v>265</v>
      </c>
      <c r="D66" s="375" t="s">
        <v>87</v>
      </c>
      <c r="E66" s="433" t="s">
        <v>88</v>
      </c>
      <c r="F66" s="514"/>
      <c r="G66" s="624">
        <v>46039</v>
      </c>
      <c r="H66" s="810">
        <v>22.4</v>
      </c>
      <c r="I66" s="1123" t="s">
        <v>555</v>
      </c>
      <c r="J66" s="1123"/>
      <c r="K66" s="1123"/>
      <c r="L66" s="1123"/>
      <c r="M66" s="519">
        <v>46043</v>
      </c>
      <c r="N66" s="490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699</v>
      </c>
      <c r="F67" s="514"/>
      <c r="G67" s="514">
        <v>46028</v>
      </c>
      <c r="H67" s="811">
        <v>33.655000000000001</v>
      </c>
      <c r="I67" s="1140" t="s">
        <v>555</v>
      </c>
      <c r="J67" s="1141"/>
      <c r="K67" s="1141"/>
      <c r="L67" s="1142"/>
      <c r="M67" s="526">
        <v>46044</v>
      </c>
      <c r="N67" s="490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32" t="s">
        <v>414</v>
      </c>
      <c r="D68" s="375" t="s">
        <v>87</v>
      </c>
      <c r="E68" s="433" t="s">
        <v>92</v>
      </c>
      <c r="F68" s="514"/>
      <c r="G68" s="624">
        <v>46040</v>
      </c>
      <c r="H68" s="504">
        <v>23.27</v>
      </c>
      <c r="I68" s="1123" t="s">
        <v>555</v>
      </c>
      <c r="J68" s="1123"/>
      <c r="K68" s="1123"/>
      <c r="L68" s="1123"/>
      <c r="M68" s="526">
        <v>46044</v>
      </c>
      <c r="N68" s="491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123" t="s">
        <v>555</v>
      </c>
      <c r="J69" s="1123"/>
      <c r="K69" s="1123"/>
      <c r="L69" s="1123"/>
      <c r="M69" s="525">
        <v>46045</v>
      </c>
      <c r="N69" s="490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32" t="s">
        <v>408</v>
      </c>
      <c r="D70" s="375" t="s">
        <v>87</v>
      </c>
      <c r="E70" s="433" t="s">
        <v>92</v>
      </c>
      <c r="F70" s="514"/>
      <c r="G70" s="624">
        <v>46043</v>
      </c>
      <c r="H70" s="504">
        <v>23.27</v>
      </c>
      <c r="I70" s="1140" t="s">
        <v>555</v>
      </c>
      <c r="J70" s="1141"/>
      <c r="K70" s="1141"/>
      <c r="L70" s="1142"/>
      <c r="M70" s="519">
        <v>46046</v>
      </c>
      <c r="N70" s="490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32" t="s">
        <v>469</v>
      </c>
      <c r="D71" s="375" t="s">
        <v>565</v>
      </c>
      <c r="E71" s="433" t="s">
        <v>92</v>
      </c>
      <c r="F71" s="514"/>
      <c r="G71" s="624">
        <v>46044</v>
      </c>
      <c r="H71" s="433">
        <v>55.74</v>
      </c>
      <c r="I71" s="1123" t="s">
        <v>555</v>
      </c>
      <c r="J71" s="1123"/>
      <c r="K71" s="1123"/>
      <c r="L71" s="1123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681</v>
      </c>
      <c r="E72" s="433" t="s">
        <v>92</v>
      </c>
      <c r="F72" s="514"/>
      <c r="G72" s="514">
        <v>46029</v>
      </c>
      <c r="H72" s="433">
        <v>61.57</v>
      </c>
      <c r="I72" s="1140" t="s">
        <v>555</v>
      </c>
      <c r="J72" s="1141"/>
      <c r="K72" s="1141"/>
      <c r="L72" s="1142"/>
      <c r="M72" s="525">
        <v>46048</v>
      </c>
      <c r="N72" s="490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32" t="s">
        <v>632</v>
      </c>
      <c r="D73" s="375" t="s">
        <v>87</v>
      </c>
      <c r="E73" s="433" t="s">
        <v>92</v>
      </c>
      <c r="F73" s="514"/>
      <c r="G73" s="624">
        <v>46044</v>
      </c>
      <c r="H73" s="504">
        <v>23.27</v>
      </c>
      <c r="I73" s="1140" t="s">
        <v>555</v>
      </c>
      <c r="J73" s="1141"/>
      <c r="K73" s="1141"/>
      <c r="L73" s="1142"/>
      <c r="M73" s="519">
        <v>46048</v>
      </c>
      <c r="N73" s="490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32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123" t="s">
        <v>555</v>
      </c>
      <c r="J74" s="1123"/>
      <c r="K74" s="1123"/>
      <c r="L74" s="1123"/>
      <c r="M74" s="592">
        <v>46049</v>
      </c>
      <c r="N74" s="490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32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123" t="s">
        <v>555</v>
      </c>
      <c r="J75" s="1123"/>
      <c r="K75" s="1123"/>
      <c r="L75" s="1123"/>
      <c r="M75" s="519">
        <v>46050</v>
      </c>
      <c r="N75" s="491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32" t="s">
        <v>255</v>
      </c>
      <c r="D76" s="375" t="s">
        <v>87</v>
      </c>
      <c r="E76" s="433" t="s">
        <v>548</v>
      </c>
      <c r="F76" s="514"/>
      <c r="G76" s="624">
        <v>46047</v>
      </c>
      <c r="H76" s="504">
        <v>21.96</v>
      </c>
      <c r="I76" s="1143" t="s">
        <v>555</v>
      </c>
      <c r="J76" s="1144"/>
      <c r="K76" s="1144"/>
      <c r="L76" s="1145"/>
      <c r="M76" s="519">
        <v>46050</v>
      </c>
      <c r="N76" s="490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32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123" t="s">
        <v>555</v>
      </c>
      <c r="J77" s="1123"/>
      <c r="K77" s="1123"/>
      <c r="L77" s="1123"/>
      <c r="M77" s="519">
        <v>46052</v>
      </c>
      <c r="N77" s="490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32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123" t="s">
        <v>555</v>
      </c>
      <c r="J78" s="1123"/>
      <c r="K78" s="1123"/>
      <c r="L78" s="1123"/>
      <c r="M78" s="519">
        <v>46053</v>
      </c>
      <c r="N78" s="490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32" t="s">
        <v>423</v>
      </c>
      <c r="D79" s="375" t="s">
        <v>700</v>
      </c>
      <c r="E79" s="433" t="s">
        <v>92</v>
      </c>
      <c r="F79" s="514"/>
      <c r="G79" s="514">
        <v>46045</v>
      </c>
      <c r="H79" s="433">
        <v>55.59</v>
      </c>
      <c r="I79" s="1123" t="s">
        <v>555</v>
      </c>
      <c r="J79" s="1123"/>
      <c r="K79" s="1123"/>
      <c r="L79" s="1123"/>
      <c r="M79" s="526">
        <v>46053</v>
      </c>
      <c r="N79" s="490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32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123" t="s">
        <v>555</v>
      </c>
      <c r="J80" s="1123"/>
      <c r="K80" s="1123"/>
      <c r="L80" s="1123"/>
      <c r="M80" s="526">
        <v>46053</v>
      </c>
      <c r="N80" s="491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123" t="s">
        <v>555</v>
      </c>
      <c r="J81" s="1123"/>
      <c r="K81" s="1123"/>
      <c r="L81" s="1123"/>
      <c r="M81" s="519">
        <v>46053</v>
      </c>
      <c r="N81" s="490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808">
        <v>26.43</v>
      </c>
      <c r="I82" s="1123" t="s">
        <v>555</v>
      </c>
      <c r="J82" s="1123"/>
      <c r="K82" s="1123"/>
      <c r="L82" s="1123"/>
      <c r="M82" s="526">
        <v>46058</v>
      </c>
      <c r="N82" s="490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123" t="s">
        <v>555</v>
      </c>
      <c r="J83" s="1123"/>
      <c r="K83" s="1123"/>
      <c r="L83" s="1123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808">
        <v>26.43</v>
      </c>
      <c r="I84" s="1123" t="s">
        <v>555</v>
      </c>
      <c r="J84" s="1123"/>
      <c r="K84" s="1123"/>
      <c r="L84" s="1123"/>
      <c r="M84" s="526">
        <v>46061</v>
      </c>
      <c r="N84" s="490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123" t="s">
        <v>555</v>
      </c>
      <c r="J85" s="1123"/>
      <c r="K85" s="1123"/>
      <c r="L85" s="1123"/>
      <c r="M85" s="526">
        <v>46061</v>
      </c>
      <c r="N85" s="490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22" t="s">
        <v>87</v>
      </c>
      <c r="E86" s="433" t="s">
        <v>92</v>
      </c>
      <c r="F86" s="514"/>
      <c r="G86" s="514">
        <v>46055</v>
      </c>
      <c r="H86" s="433">
        <v>23.27</v>
      </c>
      <c r="I86" s="1123" t="s">
        <v>555</v>
      </c>
      <c r="J86" s="1123"/>
      <c r="K86" s="1123"/>
      <c r="L86" s="1123"/>
      <c r="M86" s="592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21" t="s">
        <v>87</v>
      </c>
      <c r="E87" s="635" t="s">
        <v>92</v>
      </c>
      <c r="F87" s="514"/>
      <c r="G87" s="514">
        <v>46055</v>
      </c>
      <c r="H87" s="504">
        <v>23.27</v>
      </c>
      <c r="I87" s="1123" t="s">
        <v>555</v>
      </c>
      <c r="J87" s="1123"/>
      <c r="K87" s="1123"/>
      <c r="L87" s="1123"/>
      <c r="M87" s="592">
        <v>46064</v>
      </c>
      <c r="N87" s="490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42" t="s">
        <v>87</v>
      </c>
      <c r="E88" s="541" t="s">
        <v>92</v>
      </c>
      <c r="F88" s="643"/>
      <c r="G88" s="643">
        <v>46060</v>
      </c>
      <c r="H88" s="644">
        <v>23.27</v>
      </c>
      <c r="I88" s="1123" t="s">
        <v>555</v>
      </c>
      <c r="J88" s="1123"/>
      <c r="K88" s="1123"/>
      <c r="L88" s="1123"/>
      <c r="M88" s="592">
        <v>46065</v>
      </c>
      <c r="N88" s="646" t="s">
        <v>705</v>
      </c>
      <c r="O88" s="647"/>
      <c r="P88" s="648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22" t="s">
        <v>87</v>
      </c>
      <c r="E89" s="433" t="s">
        <v>548</v>
      </c>
      <c r="F89" s="514"/>
      <c r="G89" s="514">
        <v>46055</v>
      </c>
      <c r="H89" s="504">
        <v>21.96</v>
      </c>
      <c r="I89" s="1123" t="s">
        <v>555</v>
      </c>
      <c r="J89" s="1123"/>
      <c r="K89" s="1123"/>
      <c r="L89" s="1123"/>
      <c r="M89" s="592">
        <v>46067</v>
      </c>
      <c r="N89" s="491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22" t="s">
        <v>87</v>
      </c>
      <c r="E90" s="433" t="s">
        <v>92</v>
      </c>
      <c r="F90" s="514"/>
      <c r="G90" s="514">
        <v>46055</v>
      </c>
      <c r="H90" s="504">
        <v>23.27</v>
      </c>
      <c r="I90" s="1123" t="s">
        <v>555</v>
      </c>
      <c r="J90" s="1123"/>
      <c r="K90" s="1123"/>
      <c r="L90" s="1123"/>
      <c r="M90" s="592">
        <v>46067</v>
      </c>
      <c r="N90" s="490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22" t="s">
        <v>87</v>
      </c>
      <c r="E91" s="433" t="s">
        <v>92</v>
      </c>
      <c r="F91" s="514"/>
      <c r="G91" s="514">
        <v>46061</v>
      </c>
      <c r="H91" s="504">
        <v>23.27</v>
      </c>
      <c r="I91" s="1123" t="s">
        <v>555</v>
      </c>
      <c r="J91" s="1123"/>
      <c r="K91" s="1123"/>
      <c r="L91" s="1123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42" t="s">
        <v>87</v>
      </c>
      <c r="E92" s="541" t="s">
        <v>676</v>
      </c>
      <c r="F92" s="643"/>
      <c r="G92" s="643">
        <v>46059</v>
      </c>
      <c r="H92" s="809">
        <v>34.299999999999997</v>
      </c>
      <c r="I92" s="1123" t="s">
        <v>555</v>
      </c>
      <c r="J92" s="1123"/>
      <c r="K92" s="1123"/>
      <c r="L92" s="1123"/>
      <c r="M92" s="526">
        <v>46070</v>
      </c>
      <c r="N92" s="646" t="s">
        <v>705</v>
      </c>
      <c r="O92" s="647"/>
      <c r="P92" s="648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42" t="s">
        <v>87</v>
      </c>
      <c r="E93" s="433" t="s">
        <v>92</v>
      </c>
      <c r="F93" s="643"/>
      <c r="G93" s="643">
        <v>46062</v>
      </c>
      <c r="H93" s="504">
        <v>23.27</v>
      </c>
      <c r="I93" s="1123" t="s">
        <v>555</v>
      </c>
      <c r="J93" s="1123"/>
      <c r="K93" s="1123"/>
      <c r="L93" s="1123"/>
      <c r="M93" s="526">
        <v>46075</v>
      </c>
      <c r="N93" s="649" t="s">
        <v>673</v>
      </c>
      <c r="O93" s="647"/>
      <c r="P93" s="648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123" t="s">
        <v>555</v>
      </c>
      <c r="J94" s="1123"/>
      <c r="K94" s="1123"/>
      <c r="L94" s="1123"/>
      <c r="M94" s="526">
        <v>46077</v>
      </c>
      <c r="N94" s="490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676</v>
      </c>
      <c r="F95" s="514"/>
      <c r="G95" s="514">
        <v>46049</v>
      </c>
      <c r="H95" s="433">
        <v>38.979999999999997</v>
      </c>
      <c r="I95" s="1123" t="s">
        <v>555</v>
      </c>
      <c r="J95" s="1123"/>
      <c r="K95" s="1123"/>
      <c r="L95" s="1123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43"/>
      <c r="G96" s="643">
        <v>46065</v>
      </c>
      <c r="H96" s="504">
        <v>23.27</v>
      </c>
      <c r="I96" s="1123" t="s">
        <v>555</v>
      </c>
      <c r="J96" s="1123"/>
      <c r="K96" s="1123"/>
      <c r="L96" s="1123"/>
      <c r="M96" s="798">
        <v>46079</v>
      </c>
      <c r="N96" s="490" t="s">
        <v>703</v>
      </c>
      <c r="O96" s="647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690" t="s">
        <v>625</v>
      </c>
      <c r="D97" s="642" t="s">
        <v>87</v>
      </c>
      <c r="E97" s="433" t="s">
        <v>92</v>
      </c>
      <c r="F97" s="643"/>
      <c r="G97" s="643">
        <v>46069</v>
      </c>
      <c r="H97" s="504">
        <v>23.27</v>
      </c>
      <c r="I97" s="1123" t="s">
        <v>555</v>
      </c>
      <c r="J97" s="1123"/>
      <c r="K97" s="1123"/>
      <c r="L97" s="1123"/>
      <c r="M97" s="798">
        <v>46081</v>
      </c>
      <c r="N97" s="649" t="s">
        <v>673</v>
      </c>
      <c r="O97" s="647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690" t="s">
        <v>411</v>
      </c>
      <c r="D98" s="375" t="s">
        <v>91</v>
      </c>
      <c r="E98" s="433" t="s">
        <v>92</v>
      </c>
      <c r="F98" s="514"/>
      <c r="G98" s="514">
        <v>46049</v>
      </c>
      <c r="H98" s="808">
        <v>26.43</v>
      </c>
      <c r="I98" s="1123" t="s">
        <v>555</v>
      </c>
      <c r="J98" s="1123"/>
      <c r="K98" s="1123"/>
      <c r="L98" s="1123"/>
      <c r="M98" s="798">
        <v>46081</v>
      </c>
      <c r="N98" s="490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895" customFormat="1" ht="13.8" x14ac:dyDescent="0.3">
      <c r="A99" s="890"/>
      <c r="B99" s="37">
        <f t="shared" si="1"/>
        <v>87</v>
      </c>
      <c r="C99" s="632" t="s">
        <v>358</v>
      </c>
      <c r="D99" s="622" t="s">
        <v>87</v>
      </c>
      <c r="E99" s="433" t="s">
        <v>92</v>
      </c>
      <c r="F99" s="514"/>
      <c r="G99" s="514">
        <v>46076</v>
      </c>
      <c r="H99" s="504">
        <v>23.27</v>
      </c>
      <c r="I99" s="1127" t="s">
        <v>555</v>
      </c>
      <c r="J99" s="1127"/>
      <c r="K99" s="1127"/>
      <c r="L99" s="1127"/>
      <c r="M99" s="896">
        <v>46084</v>
      </c>
      <c r="N99" s="490" t="s">
        <v>89</v>
      </c>
      <c r="O99" s="373"/>
      <c r="P99" s="374">
        <v>18</v>
      </c>
      <c r="Q99" s="894"/>
      <c r="R99" s="894"/>
      <c r="S99" s="894"/>
      <c r="T99" s="894"/>
      <c r="U99" s="894"/>
      <c r="V99" s="894"/>
      <c r="W99" s="894"/>
      <c r="X99" s="894"/>
      <c r="Y99" s="894"/>
      <c r="Z99" s="894"/>
    </row>
    <row r="100" spans="1:26" s="406" customFormat="1" ht="13.8" x14ac:dyDescent="0.3">
      <c r="A100" s="398"/>
      <c r="B100" s="37">
        <f t="shared" ref="B100:B137" si="2">B99+1</f>
        <v>88</v>
      </c>
      <c r="C100" s="690" t="s">
        <v>250</v>
      </c>
      <c r="D100" s="622" t="s">
        <v>87</v>
      </c>
      <c r="E100" s="541" t="s">
        <v>676</v>
      </c>
      <c r="F100" s="514"/>
      <c r="G100" s="514">
        <v>46058</v>
      </c>
      <c r="H100" s="809">
        <v>34.299999999999997</v>
      </c>
      <c r="I100" s="1123" t="s">
        <v>555</v>
      </c>
      <c r="J100" s="1123"/>
      <c r="K100" s="1123"/>
      <c r="L100" s="1123"/>
      <c r="M100" s="798">
        <v>46087</v>
      </c>
      <c r="N100" s="490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690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123" t="s">
        <v>555</v>
      </c>
      <c r="J101" s="1123"/>
      <c r="K101" s="1123"/>
      <c r="L101" s="1123"/>
      <c r="M101" s="526">
        <v>46089</v>
      </c>
      <c r="N101" s="490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690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123" t="s">
        <v>555</v>
      </c>
      <c r="J102" s="1123"/>
      <c r="K102" s="1123"/>
      <c r="L102" s="1123"/>
      <c r="M102" s="857">
        <v>46092</v>
      </c>
      <c r="N102" s="490" t="s">
        <v>767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690" t="s">
        <v>238</v>
      </c>
      <c r="D103" s="793" t="s">
        <v>218</v>
      </c>
      <c r="E103" s="433" t="s">
        <v>92</v>
      </c>
      <c r="F103" s="514"/>
      <c r="G103" s="514">
        <v>46087</v>
      </c>
      <c r="H103" s="812">
        <v>26.43</v>
      </c>
      <c r="I103" s="1123" t="s">
        <v>555</v>
      </c>
      <c r="J103" s="1123"/>
      <c r="K103" s="1123"/>
      <c r="L103" s="1123"/>
      <c r="M103" s="798">
        <v>46094</v>
      </c>
      <c r="N103" s="490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690" t="s">
        <v>227</v>
      </c>
      <c r="D104" s="642" t="s">
        <v>87</v>
      </c>
      <c r="E104" s="433" t="s">
        <v>547</v>
      </c>
      <c r="F104" s="514"/>
      <c r="G104" s="514">
        <v>46077</v>
      </c>
      <c r="H104" s="433">
        <v>33.01</v>
      </c>
      <c r="I104" s="1123" t="s">
        <v>555</v>
      </c>
      <c r="J104" s="1123"/>
      <c r="K104" s="1123"/>
      <c r="L104" s="1123"/>
      <c r="M104" s="798">
        <v>46095</v>
      </c>
      <c r="N104" s="490" t="s">
        <v>767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690" t="s">
        <v>239</v>
      </c>
      <c r="D105" s="793" t="s">
        <v>87</v>
      </c>
      <c r="E105" s="433" t="s">
        <v>92</v>
      </c>
      <c r="F105" s="514"/>
      <c r="G105" s="514">
        <v>46088</v>
      </c>
      <c r="H105" s="504">
        <v>23.27</v>
      </c>
      <c r="I105" s="1123" t="s">
        <v>555</v>
      </c>
      <c r="J105" s="1123"/>
      <c r="K105" s="1123"/>
      <c r="L105" s="1123"/>
      <c r="M105" s="798">
        <v>46095</v>
      </c>
      <c r="N105" s="490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690" t="s">
        <v>241</v>
      </c>
      <c r="D106" s="793" t="s">
        <v>87</v>
      </c>
      <c r="E106" s="433" t="s">
        <v>676</v>
      </c>
      <c r="F106" s="514"/>
      <c r="G106" s="514">
        <v>46090</v>
      </c>
      <c r="H106" s="809">
        <v>34.299999999999997</v>
      </c>
      <c r="I106" s="859" t="s">
        <v>555</v>
      </c>
      <c r="J106" s="837"/>
      <c r="K106" s="837"/>
      <c r="L106" s="838"/>
      <c r="M106" s="798">
        <v>46098</v>
      </c>
      <c r="N106" s="490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690" t="s">
        <v>476</v>
      </c>
      <c r="D107" s="793" t="s">
        <v>700</v>
      </c>
      <c r="E107" s="433" t="s">
        <v>92</v>
      </c>
      <c r="F107" s="514"/>
      <c r="G107" s="514">
        <v>46087</v>
      </c>
      <c r="H107" s="433">
        <v>55.59</v>
      </c>
      <c r="I107" s="859" t="s">
        <v>555</v>
      </c>
      <c r="J107" s="837"/>
      <c r="K107" s="837"/>
      <c r="L107" s="838"/>
      <c r="M107" s="857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690" t="s">
        <v>486</v>
      </c>
      <c r="D108" s="793" t="s">
        <v>242</v>
      </c>
      <c r="E108" s="433" t="s">
        <v>92</v>
      </c>
      <c r="F108" s="514"/>
      <c r="G108" s="514">
        <v>46105</v>
      </c>
      <c r="H108" s="433">
        <v>55.59</v>
      </c>
      <c r="I108" s="859" t="s">
        <v>555</v>
      </c>
      <c r="J108" s="837"/>
      <c r="K108" s="837"/>
      <c r="L108" s="838"/>
      <c r="M108" s="857">
        <v>46099</v>
      </c>
      <c r="N108" s="490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690" t="s">
        <v>237</v>
      </c>
      <c r="D109" s="793" t="s">
        <v>91</v>
      </c>
      <c r="E109" s="433" t="s">
        <v>92</v>
      </c>
      <c r="F109" s="514"/>
      <c r="G109" s="514">
        <v>46092</v>
      </c>
      <c r="H109" s="812">
        <v>26.43</v>
      </c>
      <c r="I109" s="859" t="s">
        <v>555</v>
      </c>
      <c r="J109" s="837"/>
      <c r="K109" s="837"/>
      <c r="L109" s="838"/>
      <c r="M109" s="798">
        <v>46100</v>
      </c>
      <c r="N109" s="490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690" t="s">
        <v>243</v>
      </c>
      <c r="D110" s="793" t="s">
        <v>113</v>
      </c>
      <c r="E110" s="433" t="s">
        <v>92</v>
      </c>
      <c r="F110" s="514"/>
      <c r="G110" s="514">
        <v>46098</v>
      </c>
      <c r="H110" s="812">
        <v>26.43</v>
      </c>
      <c r="I110" s="859" t="s">
        <v>555</v>
      </c>
      <c r="J110" s="837"/>
      <c r="K110" s="837"/>
      <c r="L110" s="838"/>
      <c r="M110" s="857">
        <v>46103</v>
      </c>
      <c r="N110" s="490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793" t="s">
        <v>91</v>
      </c>
      <c r="E111" s="433" t="s">
        <v>92</v>
      </c>
      <c r="F111" s="514"/>
      <c r="G111" s="514">
        <v>46101</v>
      </c>
      <c r="H111" s="812">
        <v>26.43</v>
      </c>
      <c r="I111" s="859" t="s">
        <v>555</v>
      </c>
      <c r="J111" s="837"/>
      <c r="K111" s="837"/>
      <c r="L111" s="838"/>
      <c r="M111" s="857">
        <v>46106</v>
      </c>
      <c r="N111" s="490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793" t="s">
        <v>87</v>
      </c>
      <c r="E112" s="433" t="s">
        <v>92</v>
      </c>
      <c r="F112" s="514"/>
      <c r="G112" s="514">
        <v>46102</v>
      </c>
      <c r="H112" s="504">
        <v>23.27</v>
      </c>
      <c r="I112" s="859" t="s">
        <v>555</v>
      </c>
      <c r="J112" s="837"/>
      <c r="K112" s="837"/>
      <c r="L112" s="838"/>
      <c r="M112" s="857">
        <v>46108</v>
      </c>
      <c r="N112" s="490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895" customFormat="1" ht="13.8" x14ac:dyDescent="0.3">
      <c r="A113" s="890"/>
      <c r="B113" s="37">
        <f t="shared" si="2"/>
        <v>101</v>
      </c>
      <c r="C113" s="375" t="s">
        <v>249</v>
      </c>
      <c r="D113" s="793" t="s">
        <v>91</v>
      </c>
      <c r="E113" s="433" t="s">
        <v>676</v>
      </c>
      <c r="F113" s="514"/>
      <c r="G113" s="624">
        <v>46106</v>
      </c>
      <c r="H113" s="433">
        <v>38.979999999999997</v>
      </c>
      <c r="I113" s="891" t="s">
        <v>555</v>
      </c>
      <c r="J113" s="892"/>
      <c r="K113" s="892"/>
      <c r="L113" s="893"/>
      <c r="M113" s="519">
        <v>46112</v>
      </c>
      <c r="N113" s="490" t="s">
        <v>705</v>
      </c>
      <c r="O113" s="374"/>
      <c r="P113" s="374">
        <v>20</v>
      </c>
      <c r="Q113" s="894"/>
      <c r="R113" s="894"/>
      <c r="S113" s="894"/>
      <c r="T113" s="894"/>
      <c r="U113" s="894"/>
      <c r="V113" s="894"/>
      <c r="W113" s="894"/>
      <c r="X113" s="894"/>
      <c r="Y113" s="894"/>
      <c r="Z113" s="894"/>
    </row>
    <row r="114" spans="1:26" s="895" customFormat="1" ht="13.8" x14ac:dyDescent="0.3">
      <c r="A114" s="890"/>
      <c r="B114" s="37">
        <f t="shared" si="2"/>
        <v>102</v>
      </c>
      <c r="C114" s="375" t="s">
        <v>435</v>
      </c>
      <c r="D114" s="793" t="s">
        <v>700</v>
      </c>
      <c r="E114" s="433" t="s">
        <v>92</v>
      </c>
      <c r="F114" s="514"/>
      <c r="G114" s="514">
        <v>46097</v>
      </c>
      <c r="H114" s="433">
        <v>55.59</v>
      </c>
      <c r="I114" s="891" t="s">
        <v>555</v>
      </c>
      <c r="J114" s="892"/>
      <c r="K114" s="892"/>
      <c r="L114" s="893"/>
      <c r="M114" s="798">
        <v>46118</v>
      </c>
      <c r="N114" s="490" t="s">
        <v>688</v>
      </c>
      <c r="O114" s="373"/>
      <c r="P114" s="374">
        <v>20</v>
      </c>
      <c r="Q114" s="894"/>
      <c r="R114" s="894"/>
      <c r="S114" s="894"/>
      <c r="T114" s="894"/>
      <c r="U114" s="894"/>
      <c r="V114" s="894"/>
      <c r="W114" s="894"/>
      <c r="X114" s="894"/>
      <c r="Y114" s="894"/>
      <c r="Z114" s="894"/>
    </row>
    <row r="115" spans="1:26" s="895" customFormat="1" ht="13.8" x14ac:dyDescent="0.3">
      <c r="A115" s="890"/>
      <c r="B115" s="37">
        <f t="shared" si="2"/>
        <v>103</v>
      </c>
      <c r="C115" s="375" t="s">
        <v>311</v>
      </c>
      <c r="D115" s="793" t="s">
        <v>113</v>
      </c>
      <c r="E115" s="433" t="s">
        <v>92</v>
      </c>
      <c r="F115" s="514"/>
      <c r="G115" s="514">
        <v>46106</v>
      </c>
      <c r="H115" s="812">
        <v>26.43</v>
      </c>
      <c r="I115" s="891" t="s">
        <v>555</v>
      </c>
      <c r="J115" s="892"/>
      <c r="K115" s="892"/>
      <c r="L115" s="893"/>
      <c r="M115" s="798">
        <v>46123</v>
      </c>
      <c r="N115" s="490" t="s">
        <v>799</v>
      </c>
      <c r="O115" s="373"/>
      <c r="P115" s="374">
        <v>30</v>
      </c>
      <c r="Q115" s="894"/>
      <c r="R115" s="894"/>
      <c r="S115" s="894"/>
      <c r="T115" s="894"/>
      <c r="U115" s="894"/>
      <c r="V115" s="894"/>
      <c r="W115" s="894"/>
      <c r="X115" s="894"/>
      <c r="Y115" s="894"/>
      <c r="Z115" s="894"/>
    </row>
    <row r="116" spans="1:26" s="895" customFormat="1" ht="13.8" x14ac:dyDescent="0.3">
      <c r="A116" s="890"/>
      <c r="B116" s="37">
        <f t="shared" si="2"/>
        <v>104</v>
      </c>
      <c r="C116" s="375" t="s">
        <v>312</v>
      </c>
      <c r="D116" s="793" t="s">
        <v>87</v>
      </c>
      <c r="E116" s="433" t="s">
        <v>92</v>
      </c>
      <c r="F116" s="514"/>
      <c r="G116" s="514">
        <v>46107</v>
      </c>
      <c r="H116" s="504">
        <v>23.27</v>
      </c>
      <c r="I116" s="891" t="s">
        <v>555</v>
      </c>
      <c r="J116" s="892"/>
      <c r="K116" s="892"/>
      <c r="L116" s="893"/>
      <c r="M116" s="798">
        <v>46125</v>
      </c>
      <c r="N116" s="490" t="s">
        <v>799</v>
      </c>
      <c r="O116" s="373"/>
      <c r="P116" s="374">
        <v>30</v>
      </c>
      <c r="Q116" s="894"/>
      <c r="R116" s="894"/>
      <c r="S116" s="894"/>
      <c r="T116" s="894"/>
      <c r="U116" s="894"/>
      <c r="V116" s="894"/>
      <c r="W116" s="894"/>
      <c r="X116" s="894"/>
      <c r="Y116" s="894"/>
      <c r="Z116" s="894"/>
    </row>
    <row r="117" spans="1:26" s="895" customFormat="1" ht="13.8" x14ac:dyDescent="0.3">
      <c r="A117" s="890"/>
      <c r="B117" s="37">
        <f t="shared" si="2"/>
        <v>105</v>
      </c>
      <c r="C117" s="375" t="s">
        <v>426</v>
      </c>
      <c r="D117" s="793" t="s">
        <v>792</v>
      </c>
      <c r="E117" s="433" t="s">
        <v>808</v>
      </c>
      <c r="F117" s="514"/>
      <c r="G117" s="514">
        <v>46111</v>
      </c>
      <c r="H117" s="812">
        <v>52.21</v>
      </c>
      <c r="I117" s="891" t="s">
        <v>555</v>
      </c>
      <c r="J117" s="882"/>
      <c r="K117" s="882"/>
      <c r="L117" s="883"/>
      <c r="M117" s="798">
        <v>46125</v>
      </c>
      <c r="N117" s="490" t="s">
        <v>795</v>
      </c>
      <c r="O117" s="373"/>
      <c r="P117" s="374">
        <v>20</v>
      </c>
      <c r="Q117" s="894"/>
      <c r="R117" s="894"/>
      <c r="S117" s="894"/>
      <c r="T117" s="894"/>
      <c r="U117" s="894"/>
      <c r="V117" s="894"/>
      <c r="W117" s="894"/>
      <c r="X117" s="894"/>
      <c r="Y117" s="894"/>
      <c r="Z117" s="894"/>
    </row>
    <row r="118" spans="1:26" s="895" customFormat="1" ht="13.8" x14ac:dyDescent="0.3">
      <c r="A118" s="890"/>
      <c r="B118" s="37">
        <f t="shared" si="2"/>
        <v>106</v>
      </c>
      <c r="C118" s="541" t="s">
        <v>421</v>
      </c>
      <c r="D118" s="577" t="s">
        <v>231</v>
      </c>
      <c r="E118" s="869" t="s">
        <v>547</v>
      </c>
      <c r="F118" s="514"/>
      <c r="G118" s="514">
        <v>46077</v>
      </c>
      <c r="H118" s="433">
        <v>99.96</v>
      </c>
      <c r="I118" s="891" t="s">
        <v>555</v>
      </c>
      <c r="J118" s="882"/>
      <c r="K118" s="882"/>
      <c r="L118" s="883"/>
      <c r="M118" s="798">
        <v>46128</v>
      </c>
      <c r="N118" s="490" t="s">
        <v>767</v>
      </c>
      <c r="O118" s="373"/>
      <c r="P118" s="374">
        <v>10</v>
      </c>
      <c r="Q118" s="894"/>
      <c r="R118" s="894"/>
      <c r="S118" s="894"/>
      <c r="T118" s="894"/>
      <c r="U118" s="894"/>
      <c r="V118" s="894"/>
      <c r="W118" s="894"/>
      <c r="X118" s="894"/>
      <c r="Y118" s="894"/>
      <c r="Z118" s="894"/>
    </row>
    <row r="119" spans="1:26" s="406" customFormat="1" ht="13.8" x14ac:dyDescent="0.3">
      <c r="A119" s="398"/>
      <c r="B119" s="37">
        <f t="shared" si="2"/>
        <v>107</v>
      </c>
      <c r="C119" s="375" t="s">
        <v>314</v>
      </c>
      <c r="D119" s="793" t="s">
        <v>95</v>
      </c>
      <c r="E119" s="433" t="s">
        <v>92</v>
      </c>
      <c r="F119" s="514"/>
      <c r="G119" s="514">
        <v>46107</v>
      </c>
      <c r="H119" s="812">
        <v>26.43</v>
      </c>
      <c r="I119" s="891" t="s">
        <v>555</v>
      </c>
      <c r="J119" s="882"/>
      <c r="K119" s="882"/>
      <c r="L119" s="883"/>
      <c r="M119" s="798">
        <v>46128</v>
      </c>
      <c r="N119" s="490" t="s">
        <v>799</v>
      </c>
      <c r="O119" s="373"/>
      <c r="P119" s="374">
        <v>30</v>
      </c>
      <c r="Q119" s="927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433" t="s">
        <v>114</v>
      </c>
      <c r="D120" s="375" t="s">
        <v>87</v>
      </c>
      <c r="E120" s="433"/>
      <c r="F120" s="514"/>
      <c r="G120" s="514"/>
      <c r="H120" s="433"/>
      <c r="I120" s="1128" t="s">
        <v>702</v>
      </c>
      <c r="J120" s="1129"/>
      <c r="K120" s="1129"/>
      <c r="L120" s="1130"/>
      <c r="M120" s="373"/>
      <c r="N120" s="490" t="s">
        <v>703</v>
      </c>
      <c r="O120" s="373"/>
      <c r="P120" s="374"/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633" t="s">
        <v>280</v>
      </c>
      <c r="D121" s="375" t="s">
        <v>87</v>
      </c>
      <c r="E121" s="433"/>
      <c r="F121" s="514"/>
      <c r="G121" s="514"/>
      <c r="H121" s="433"/>
      <c r="I121" s="1128" t="s">
        <v>701</v>
      </c>
      <c r="J121" s="1129"/>
      <c r="K121" s="1129"/>
      <c r="L121" s="1130"/>
      <c r="M121" s="373"/>
      <c r="N121" s="490" t="s">
        <v>798</v>
      </c>
      <c r="O121" s="373"/>
      <c r="P121" s="374">
        <v>15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433" t="s">
        <v>622</v>
      </c>
      <c r="D122" s="375" t="s">
        <v>87</v>
      </c>
      <c r="E122" s="433"/>
      <c r="F122" s="514"/>
      <c r="G122" s="514">
        <v>46052</v>
      </c>
      <c r="H122" s="433"/>
      <c r="I122" s="1124" t="s">
        <v>789</v>
      </c>
      <c r="J122" s="1125"/>
      <c r="K122" s="1125"/>
      <c r="L122" s="1126"/>
      <c r="M122" s="527" t="s">
        <v>180</v>
      </c>
      <c r="N122" s="491"/>
      <c r="O122" s="373"/>
      <c r="P122" s="374">
        <v>11</v>
      </c>
      <c r="Q122" s="877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541" t="s">
        <v>471</v>
      </c>
      <c r="D123" s="375" t="s">
        <v>565</v>
      </c>
      <c r="E123" s="433"/>
      <c r="F123" s="514"/>
      <c r="G123" s="514">
        <v>46067</v>
      </c>
      <c r="H123" s="433"/>
      <c r="I123" s="1111" t="s">
        <v>761</v>
      </c>
      <c r="J123" s="1112"/>
      <c r="K123" s="1112"/>
      <c r="L123" s="1113"/>
      <c r="M123" s="645" t="s">
        <v>180</v>
      </c>
      <c r="N123" s="490"/>
      <c r="O123" s="373"/>
      <c r="P123" s="374">
        <v>18</v>
      </c>
      <c r="Q123" s="927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541" t="s">
        <v>359</v>
      </c>
      <c r="D124" s="375" t="s">
        <v>91</v>
      </c>
      <c r="E124" s="433"/>
      <c r="F124" s="514"/>
      <c r="G124" s="514">
        <v>46077</v>
      </c>
      <c r="H124" s="433"/>
      <c r="I124" s="1111" t="s">
        <v>761</v>
      </c>
      <c r="J124" s="1112"/>
      <c r="K124" s="1112"/>
      <c r="L124" s="1113"/>
      <c r="M124" s="645" t="s">
        <v>180</v>
      </c>
      <c r="N124" s="490"/>
      <c r="O124" s="373"/>
      <c r="P124" s="374">
        <v>18</v>
      </c>
      <c r="Q124" s="927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541" t="s">
        <v>766</v>
      </c>
      <c r="D125" s="793" t="s">
        <v>242</v>
      </c>
      <c r="E125" s="433"/>
      <c r="F125" s="514"/>
      <c r="G125" s="514">
        <v>46090</v>
      </c>
      <c r="H125" s="433"/>
      <c r="I125" s="1111" t="s">
        <v>761</v>
      </c>
      <c r="J125" s="1112"/>
      <c r="K125" s="1112"/>
      <c r="L125" s="1113"/>
      <c r="M125" s="645" t="s">
        <v>180</v>
      </c>
      <c r="N125" s="490"/>
      <c r="O125" s="373"/>
      <c r="P125" s="374">
        <v>10</v>
      </c>
      <c r="Q125" s="927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632" t="s">
        <v>361</v>
      </c>
      <c r="D126" s="793" t="s">
        <v>91</v>
      </c>
      <c r="E126" s="433" t="s">
        <v>92</v>
      </c>
      <c r="F126" s="514"/>
      <c r="G126" s="514">
        <v>46083</v>
      </c>
      <c r="H126" s="812">
        <v>26.43</v>
      </c>
      <c r="I126" s="1124" t="s">
        <v>793</v>
      </c>
      <c r="J126" s="1125"/>
      <c r="K126" s="1125"/>
      <c r="L126" s="1126"/>
      <c r="M126" s="645" t="s">
        <v>180</v>
      </c>
      <c r="N126" s="490"/>
      <c r="O126" s="373"/>
      <c r="P126" s="374">
        <v>18</v>
      </c>
      <c r="Q126" s="927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632" t="s">
        <v>360</v>
      </c>
      <c r="D127" s="793" t="s">
        <v>87</v>
      </c>
      <c r="E127" s="433"/>
      <c r="F127" s="514"/>
      <c r="G127" s="514">
        <v>46079</v>
      </c>
      <c r="H127" s="433"/>
      <c r="I127" s="1124" t="s">
        <v>793</v>
      </c>
      <c r="J127" s="1125"/>
      <c r="K127" s="1125"/>
      <c r="L127" s="1126"/>
      <c r="M127" s="645" t="s">
        <v>180</v>
      </c>
      <c r="N127" s="490"/>
      <c r="O127" s="373"/>
      <c r="P127" s="374">
        <v>18</v>
      </c>
      <c r="Q127" s="927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375" t="s">
        <v>397</v>
      </c>
      <c r="D128" s="793" t="s">
        <v>87</v>
      </c>
      <c r="E128" s="433"/>
      <c r="F128" s="514"/>
      <c r="G128" s="514">
        <v>46094</v>
      </c>
      <c r="H128" s="809"/>
      <c r="I128" s="1111" t="s">
        <v>768</v>
      </c>
      <c r="J128" s="1112"/>
      <c r="K128" s="1112"/>
      <c r="L128" s="1113"/>
      <c r="M128" s="645" t="s">
        <v>180</v>
      </c>
      <c r="N128" s="490"/>
      <c r="O128" s="373"/>
      <c r="P128" s="374">
        <v>16</v>
      </c>
      <c r="Q128" s="927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375" t="s">
        <v>223</v>
      </c>
      <c r="D129" s="793" t="s">
        <v>87</v>
      </c>
      <c r="E129" s="433"/>
      <c r="F129" s="514"/>
      <c r="G129" s="514">
        <v>46112</v>
      </c>
      <c r="H129" s="812"/>
      <c r="I129" s="1111" t="s">
        <v>761</v>
      </c>
      <c r="J129" s="1112"/>
      <c r="K129" s="1112"/>
      <c r="L129" s="1113"/>
      <c r="M129" s="645" t="s">
        <v>180</v>
      </c>
      <c r="N129" s="490" t="s">
        <v>767</v>
      </c>
      <c r="O129" s="373"/>
      <c r="P129" s="374">
        <v>10</v>
      </c>
      <c r="Q129" s="927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375" t="s">
        <v>267</v>
      </c>
      <c r="D130" s="793" t="s">
        <v>87</v>
      </c>
      <c r="E130" s="433"/>
      <c r="F130" s="514"/>
      <c r="G130" s="514">
        <v>46122</v>
      </c>
      <c r="H130" s="812"/>
      <c r="I130" s="881" t="s">
        <v>810</v>
      </c>
      <c r="J130" s="882"/>
      <c r="K130" s="882"/>
      <c r="L130" s="883"/>
      <c r="M130" s="645" t="s">
        <v>180</v>
      </c>
      <c r="N130" s="490" t="s">
        <v>795</v>
      </c>
      <c r="O130" s="373"/>
      <c r="P130" s="374">
        <v>20</v>
      </c>
      <c r="Q130" s="927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375" t="s">
        <v>262</v>
      </c>
      <c r="D131" s="793" t="s">
        <v>91</v>
      </c>
      <c r="E131" s="433"/>
      <c r="F131" s="514"/>
      <c r="G131" s="514">
        <v>46121</v>
      </c>
      <c r="H131" s="812"/>
      <c r="I131" s="1111" t="s">
        <v>768</v>
      </c>
      <c r="J131" s="1112"/>
      <c r="K131" s="1112"/>
      <c r="L131" s="1113"/>
      <c r="M131" s="645" t="s">
        <v>180</v>
      </c>
      <c r="N131" s="490" t="s">
        <v>795</v>
      </c>
      <c r="O131" s="373"/>
      <c r="P131" s="374">
        <v>20</v>
      </c>
      <c r="Q131" s="927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375" t="s">
        <v>313</v>
      </c>
      <c r="D132" s="793" t="s">
        <v>87</v>
      </c>
      <c r="E132" s="433"/>
      <c r="F132" s="514"/>
      <c r="G132" s="514">
        <v>46121</v>
      </c>
      <c r="H132" s="812"/>
      <c r="I132" s="881" t="s">
        <v>820</v>
      </c>
      <c r="J132" s="882"/>
      <c r="K132" s="882"/>
      <c r="L132" s="883"/>
      <c r="M132" s="645" t="s">
        <v>180</v>
      </c>
      <c r="N132" s="490" t="s">
        <v>799</v>
      </c>
      <c r="O132" s="373"/>
      <c r="P132" s="374">
        <v>30</v>
      </c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375" t="s">
        <v>212</v>
      </c>
      <c r="D133" s="793" t="s">
        <v>87</v>
      </c>
      <c r="E133" s="433"/>
      <c r="F133" s="514"/>
      <c r="G133" s="514"/>
      <c r="H133" s="812"/>
      <c r="I133" s="881" t="s">
        <v>810</v>
      </c>
      <c r="J133" s="882"/>
      <c r="K133" s="882"/>
      <c r="L133" s="883"/>
      <c r="M133" s="645" t="s">
        <v>180</v>
      </c>
      <c r="N133" s="490" t="s">
        <v>767</v>
      </c>
      <c r="O133" s="373"/>
      <c r="P133" s="374">
        <v>10</v>
      </c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375" t="s">
        <v>205</v>
      </c>
      <c r="D134" s="793" t="s">
        <v>95</v>
      </c>
      <c r="E134" s="433"/>
      <c r="F134" s="514"/>
      <c r="G134" s="514">
        <v>46125</v>
      </c>
      <c r="H134" s="812"/>
      <c r="I134" s="1111" t="s">
        <v>793</v>
      </c>
      <c r="J134" s="1112"/>
      <c r="K134" s="1112"/>
      <c r="L134" s="1113"/>
      <c r="M134" s="645" t="s">
        <v>180</v>
      </c>
      <c r="N134" s="490" t="s">
        <v>811</v>
      </c>
      <c r="O134" s="373"/>
      <c r="P134" s="374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375" t="s">
        <v>207</v>
      </c>
      <c r="D135" s="793" t="s">
        <v>95</v>
      </c>
      <c r="E135" s="433"/>
      <c r="F135" s="514"/>
      <c r="G135" s="514">
        <v>46127</v>
      </c>
      <c r="H135" s="812"/>
      <c r="I135" s="1111" t="s">
        <v>819</v>
      </c>
      <c r="J135" s="1112"/>
      <c r="K135" s="1112"/>
      <c r="L135" s="1113"/>
      <c r="M135" s="645" t="s">
        <v>180</v>
      </c>
      <c r="N135" s="490" t="s">
        <v>811</v>
      </c>
      <c r="O135" s="373"/>
      <c r="P135" s="374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375" t="s">
        <v>224</v>
      </c>
      <c r="D136" s="793" t="s">
        <v>87</v>
      </c>
      <c r="E136" s="433"/>
      <c r="F136" s="514"/>
      <c r="G136" s="514">
        <v>46128</v>
      </c>
      <c r="H136" s="812"/>
      <c r="I136" s="1111" t="s">
        <v>768</v>
      </c>
      <c r="J136" s="1112"/>
      <c r="K136" s="1112"/>
      <c r="L136" s="1113"/>
      <c r="M136" s="645" t="s">
        <v>180</v>
      </c>
      <c r="N136" s="490" t="s">
        <v>767</v>
      </c>
      <c r="O136" s="373"/>
      <c r="P136" s="374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225</v>
      </c>
      <c r="D137" s="793" t="s">
        <v>87</v>
      </c>
      <c r="E137" s="433"/>
      <c r="F137" s="514"/>
      <c r="G137" s="514">
        <v>46127</v>
      </c>
      <c r="H137" s="812"/>
      <c r="I137" s="1111" t="s">
        <v>768</v>
      </c>
      <c r="J137" s="1112"/>
      <c r="K137" s="1112"/>
      <c r="L137" s="1113"/>
      <c r="M137" s="645" t="s">
        <v>180</v>
      </c>
      <c r="N137" s="490" t="s">
        <v>767</v>
      </c>
      <c r="O137" s="373"/>
      <c r="P137" s="374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>B137+1</f>
        <v>126</v>
      </c>
      <c r="C138" s="375" t="s">
        <v>211</v>
      </c>
      <c r="D138" s="793" t="s">
        <v>87</v>
      </c>
      <c r="E138" s="433"/>
      <c r="F138" s="514"/>
      <c r="G138" s="514"/>
      <c r="H138" s="812"/>
      <c r="I138" s="1111" t="s">
        <v>761</v>
      </c>
      <c r="J138" s="1112"/>
      <c r="K138" s="1112"/>
      <c r="L138" s="1113"/>
      <c r="M138" s="645"/>
      <c r="N138" s="490"/>
      <c r="O138" s="373"/>
      <c r="P138" s="374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>
        <f t="shared" ref="B139:B140" si="3">B138+1</f>
        <v>127</v>
      </c>
      <c r="C139" s="375" t="s">
        <v>206</v>
      </c>
      <c r="D139" s="793" t="s">
        <v>87</v>
      </c>
      <c r="E139" s="433"/>
      <c r="F139" s="514"/>
      <c r="G139" s="514">
        <v>46128</v>
      </c>
      <c r="H139" s="812"/>
      <c r="I139" s="1111" t="s">
        <v>768</v>
      </c>
      <c r="J139" s="1112"/>
      <c r="K139" s="1112"/>
      <c r="L139" s="1113"/>
      <c r="M139" s="645"/>
      <c r="N139" s="490"/>
      <c r="O139" s="373"/>
      <c r="P139" s="374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37">
        <f t="shared" si="3"/>
        <v>128</v>
      </c>
      <c r="C140" s="375" t="s">
        <v>208</v>
      </c>
      <c r="D140" s="793" t="s">
        <v>91</v>
      </c>
      <c r="E140" s="433"/>
      <c r="F140" s="514"/>
      <c r="G140" s="514">
        <v>46128</v>
      </c>
      <c r="H140" s="812"/>
      <c r="I140" s="1111" t="s">
        <v>768</v>
      </c>
      <c r="J140" s="1112"/>
      <c r="K140" s="1112"/>
      <c r="L140" s="1113"/>
      <c r="M140" s="645"/>
      <c r="N140" s="490"/>
      <c r="O140" s="373"/>
      <c r="P140" s="374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6" customFormat="1" ht="13.8" x14ac:dyDescent="0.3">
      <c r="A141" s="398"/>
      <c r="B141" s="37"/>
      <c r="C141" s="481" t="s">
        <v>685</v>
      </c>
      <c r="D141" s="375"/>
      <c r="E141" s="433"/>
      <c r="F141" s="514"/>
      <c r="G141" s="514"/>
      <c r="H141" s="433"/>
      <c r="I141" s="1111"/>
      <c r="J141" s="1112"/>
      <c r="K141" s="1112"/>
      <c r="L141" s="1113"/>
      <c r="M141" s="519"/>
      <c r="N141" s="491"/>
      <c r="O141" s="373"/>
      <c r="P141" s="374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6" customFormat="1" ht="13.8" x14ac:dyDescent="0.3">
      <c r="A142" s="398"/>
      <c r="B142" s="404"/>
      <c r="C142" s="872"/>
      <c r="D142" s="404"/>
      <c r="E142" s="873"/>
      <c r="F142" s="874"/>
      <c r="G142" s="874"/>
      <c r="H142" s="873"/>
      <c r="I142" s="875"/>
      <c r="J142" s="875"/>
      <c r="K142" s="875"/>
      <c r="L142" s="875"/>
      <c r="M142" s="876"/>
      <c r="N142" s="877"/>
      <c r="O142" s="878"/>
      <c r="P142" s="879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ht="14.4" thickBot="1" x14ac:dyDescent="0.35"/>
    <row r="144" spans="1:26" ht="15" customHeight="1" thickBot="1" x14ac:dyDescent="0.35">
      <c r="B144" s="534" t="s">
        <v>97</v>
      </c>
      <c r="C144" s="437"/>
      <c r="D144" s="437"/>
      <c r="E144" s="437"/>
      <c r="F144" s="437"/>
      <c r="G144" s="437"/>
      <c r="H144" s="437"/>
      <c r="I144" s="437"/>
      <c r="J144" s="437"/>
      <c r="K144" s="437"/>
      <c r="L144" s="437"/>
      <c r="M144" s="437"/>
      <c r="N144" s="437"/>
      <c r="O144" s="437"/>
      <c r="P144" s="404"/>
      <c r="Q144" s="368"/>
      <c r="R144" s="1"/>
      <c r="S144" s="1"/>
      <c r="T144" s="1"/>
      <c r="U144" s="1"/>
      <c r="V144" s="1"/>
      <c r="W144" s="1"/>
      <c r="X144" s="1"/>
      <c r="Y144" s="1"/>
      <c r="Z144" s="1"/>
    </row>
    <row r="145" spans="1:97" ht="13.8" x14ac:dyDescent="0.3">
      <c r="B145" s="36" t="s">
        <v>98</v>
      </c>
      <c r="C145" s="36" t="s">
        <v>74</v>
      </c>
      <c r="D145" s="36" t="s">
        <v>75</v>
      </c>
      <c r="E145" s="36" t="s">
        <v>76</v>
      </c>
      <c r="F145" s="36" t="s">
        <v>77</v>
      </c>
      <c r="G145" s="36" t="s">
        <v>78</v>
      </c>
      <c r="H145" s="1134" t="s">
        <v>99</v>
      </c>
      <c r="I145" s="1135"/>
      <c r="J145" s="1135"/>
      <c r="K145" s="1136"/>
      <c r="L145" s="36" t="s">
        <v>81</v>
      </c>
      <c r="M145" s="36" t="s">
        <v>82</v>
      </c>
      <c r="N145" s="44" t="s">
        <v>100</v>
      </c>
      <c r="O145" s="395" t="s">
        <v>760</v>
      </c>
      <c r="P145" s="434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97" s="406" customFormat="1" ht="13.8" x14ac:dyDescent="0.3">
      <c r="A146" s="398"/>
      <c r="B146" s="378">
        <v>1</v>
      </c>
      <c r="C146" s="537" t="s">
        <v>86</v>
      </c>
      <c r="D146" s="379" t="s">
        <v>87</v>
      </c>
      <c r="E146" s="379" t="s">
        <v>88</v>
      </c>
      <c r="F146" s="528">
        <v>45848</v>
      </c>
      <c r="G146" s="380">
        <v>45908</v>
      </c>
      <c r="H146" s="1137" t="s">
        <v>554</v>
      </c>
      <c r="I146" s="1138"/>
      <c r="J146" s="1138"/>
      <c r="K146" s="1139"/>
      <c r="L146" s="380">
        <v>45908</v>
      </c>
      <c r="M146" s="492" t="s">
        <v>89</v>
      </c>
      <c r="N146" s="382"/>
      <c r="O146" s="382"/>
      <c r="P146" s="375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97" s="520" customFormat="1" ht="13.8" x14ac:dyDescent="0.3">
      <c r="A147" s="398"/>
      <c r="B147" s="378">
        <f>B146+1</f>
        <v>2</v>
      </c>
      <c r="C147" s="385" t="s">
        <v>96</v>
      </c>
      <c r="D147" s="388" t="s">
        <v>87</v>
      </c>
      <c r="E147" s="386" t="s">
        <v>548</v>
      </c>
      <c r="F147" s="529">
        <v>45898</v>
      </c>
      <c r="G147" s="387">
        <v>45924</v>
      </c>
      <c r="H147" s="1114" t="s">
        <v>554</v>
      </c>
      <c r="I147" s="1115"/>
      <c r="J147" s="1115"/>
      <c r="K147" s="1116"/>
      <c r="L147" s="387">
        <v>45924</v>
      </c>
      <c r="M147" s="493" t="s">
        <v>89</v>
      </c>
      <c r="N147" s="384"/>
      <c r="O147" s="396"/>
      <c r="P147" s="37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  <c r="AA147" s="406"/>
      <c r="AB147" s="406"/>
      <c r="AC147" s="406"/>
      <c r="AD147" s="406"/>
      <c r="AE147" s="406"/>
      <c r="AF147" s="406"/>
      <c r="AG147" s="406"/>
      <c r="AH147" s="406"/>
      <c r="AI147" s="406"/>
      <c r="AJ147" s="406"/>
      <c r="AK147" s="406"/>
      <c r="AL147" s="406"/>
      <c r="AM147" s="406"/>
      <c r="AN147" s="406"/>
      <c r="AO147" s="406"/>
      <c r="AP147" s="406"/>
      <c r="AQ147" s="406"/>
      <c r="AR147" s="406"/>
      <c r="AS147" s="406"/>
      <c r="AT147" s="406"/>
      <c r="AU147" s="406"/>
      <c r="AV147" s="406"/>
      <c r="AW147" s="406"/>
      <c r="AX147" s="406"/>
      <c r="AY147" s="406"/>
      <c r="AZ147" s="406"/>
      <c r="BA147" s="406"/>
      <c r="BB147" s="406"/>
      <c r="BC147" s="406"/>
      <c r="BD147" s="406"/>
      <c r="BE147" s="406"/>
      <c r="BF147" s="406"/>
      <c r="BG147" s="406"/>
      <c r="BH147" s="406"/>
      <c r="BI147" s="406"/>
      <c r="BJ147" s="406"/>
      <c r="BK147" s="406"/>
      <c r="BL147" s="406"/>
      <c r="BM147" s="406"/>
      <c r="BN147" s="406"/>
      <c r="BO147" s="406"/>
      <c r="BP147" s="406"/>
      <c r="BQ147" s="406"/>
      <c r="BR147" s="406"/>
      <c r="BS147" s="406"/>
      <c r="BT147" s="406"/>
      <c r="BU147" s="406"/>
      <c r="BV147" s="406"/>
      <c r="BW147" s="406"/>
      <c r="BX147" s="406"/>
      <c r="BY147" s="406"/>
      <c r="BZ147" s="406"/>
      <c r="CA147" s="406"/>
      <c r="CB147" s="406"/>
      <c r="CC147" s="406"/>
      <c r="CD147" s="406"/>
      <c r="CE147" s="406"/>
      <c r="CF147" s="406"/>
      <c r="CG147" s="406"/>
      <c r="CH147" s="406"/>
      <c r="CI147" s="406"/>
      <c r="CJ147" s="406"/>
      <c r="CK147" s="406"/>
      <c r="CL147" s="406"/>
      <c r="CM147" s="406"/>
      <c r="CN147" s="406"/>
      <c r="CO147" s="406"/>
      <c r="CP147" s="406"/>
      <c r="CQ147" s="406"/>
      <c r="CR147" s="406"/>
      <c r="CS147" s="530"/>
    </row>
    <row r="148" spans="1:97" s="406" customFormat="1" ht="13.8" x14ac:dyDescent="0.3">
      <c r="A148" s="398"/>
      <c r="B148" s="378">
        <f t="shared" ref="B148:B213" si="4">B147+1</f>
        <v>3</v>
      </c>
      <c r="C148" s="385" t="s">
        <v>278</v>
      </c>
      <c r="D148" s="386" t="s">
        <v>95</v>
      </c>
      <c r="E148" s="386" t="s">
        <v>548</v>
      </c>
      <c r="F148" s="529">
        <v>45933</v>
      </c>
      <c r="G148" s="387">
        <v>45949</v>
      </c>
      <c r="H148" s="1117" t="s">
        <v>554</v>
      </c>
      <c r="I148" s="1118"/>
      <c r="J148" s="1118"/>
      <c r="K148" s="1119"/>
      <c r="L148" s="387">
        <v>45949</v>
      </c>
      <c r="M148" s="490" t="s">
        <v>686</v>
      </c>
      <c r="N148" s="384"/>
      <c r="O148" s="384"/>
      <c r="P148" s="37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97" s="406" customFormat="1" ht="13.8" x14ac:dyDescent="0.3">
      <c r="A149" s="398"/>
      <c r="B149" s="378">
        <f t="shared" si="4"/>
        <v>4</v>
      </c>
      <c r="C149" s="385" t="s">
        <v>323</v>
      </c>
      <c r="D149" s="386" t="s">
        <v>87</v>
      </c>
      <c r="E149" s="386" t="s">
        <v>548</v>
      </c>
      <c r="F149" s="387"/>
      <c r="G149" s="387">
        <v>45992</v>
      </c>
      <c r="H149" s="1117" t="s">
        <v>554</v>
      </c>
      <c r="I149" s="1118"/>
      <c r="J149" s="1118"/>
      <c r="K149" s="1119"/>
      <c r="L149" s="387">
        <v>45992</v>
      </c>
      <c r="M149" s="490" t="s">
        <v>89</v>
      </c>
      <c r="N149" s="384"/>
      <c r="O149" s="384"/>
      <c r="P149" s="375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97" s="406" customFormat="1" ht="13.8" x14ac:dyDescent="0.3">
      <c r="A150" s="398"/>
      <c r="B150" s="378">
        <f t="shared" si="4"/>
        <v>5</v>
      </c>
      <c r="C150" s="385" t="s">
        <v>325</v>
      </c>
      <c r="D150" s="386" t="s">
        <v>87</v>
      </c>
      <c r="E150" s="386" t="s">
        <v>548</v>
      </c>
      <c r="F150" s="387"/>
      <c r="G150" s="387">
        <v>46010</v>
      </c>
      <c r="H150" s="1117" t="s">
        <v>554</v>
      </c>
      <c r="I150" s="1118"/>
      <c r="J150" s="1118"/>
      <c r="K150" s="1119"/>
      <c r="L150" s="387">
        <v>46010</v>
      </c>
      <c r="M150" s="490" t="s">
        <v>89</v>
      </c>
      <c r="N150" s="384"/>
      <c r="O150" s="384"/>
      <c r="P150" s="375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97" s="406" customFormat="1" ht="13.8" x14ac:dyDescent="0.3">
      <c r="A151" s="398"/>
      <c r="B151" s="378">
        <f t="shared" si="4"/>
        <v>6</v>
      </c>
      <c r="C151" s="538" t="s">
        <v>329</v>
      </c>
      <c r="D151" s="386" t="s">
        <v>87</v>
      </c>
      <c r="E151" s="375" t="s">
        <v>88</v>
      </c>
      <c r="F151" s="387"/>
      <c r="G151" s="387">
        <v>46011</v>
      </c>
      <c r="H151" s="1117" t="s">
        <v>554</v>
      </c>
      <c r="I151" s="1118"/>
      <c r="J151" s="1118"/>
      <c r="K151" s="1119"/>
      <c r="L151" s="387">
        <v>46011</v>
      </c>
      <c r="M151" s="490" t="s">
        <v>89</v>
      </c>
      <c r="N151" s="375"/>
      <c r="O151" s="385"/>
      <c r="P151" s="38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97" s="406" customFormat="1" ht="15.6" customHeight="1" x14ac:dyDescent="0.3">
      <c r="A152" s="398"/>
      <c r="B152" s="378">
        <f t="shared" si="4"/>
        <v>7</v>
      </c>
      <c r="C152" s="691" t="s">
        <v>260</v>
      </c>
      <c r="D152" s="386" t="s">
        <v>87</v>
      </c>
      <c r="E152" s="384" t="s">
        <v>92</v>
      </c>
      <c r="F152" s="438"/>
      <c r="G152" s="438">
        <v>46016</v>
      </c>
      <c r="H152" s="1117" t="s">
        <v>554</v>
      </c>
      <c r="I152" s="1118"/>
      <c r="J152" s="1118"/>
      <c r="K152" s="1119"/>
      <c r="L152" s="438">
        <v>46016</v>
      </c>
      <c r="M152" s="490" t="s">
        <v>686</v>
      </c>
      <c r="N152" s="424"/>
      <c r="O152" s="424"/>
      <c r="P152" s="424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406" customFormat="1" ht="15.6" customHeight="1" x14ac:dyDescent="0.3">
      <c r="A153" s="398"/>
      <c r="B153" s="378">
        <f t="shared" si="4"/>
        <v>8</v>
      </c>
      <c r="C153" s="385" t="s">
        <v>337</v>
      </c>
      <c r="D153" s="386" t="s">
        <v>91</v>
      </c>
      <c r="E153" s="384" t="s">
        <v>676</v>
      </c>
      <c r="F153" s="438"/>
      <c r="G153" s="438">
        <v>46020</v>
      </c>
      <c r="H153" s="1131" t="s">
        <v>554</v>
      </c>
      <c r="I153" s="1132"/>
      <c r="J153" s="1132"/>
      <c r="K153" s="1133"/>
      <c r="L153" s="438">
        <v>46020</v>
      </c>
      <c r="M153" s="492" t="s">
        <v>89</v>
      </c>
      <c r="N153" s="424"/>
      <c r="O153" s="424"/>
      <c r="P153" s="424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97" s="406" customFormat="1" ht="15.6" customHeight="1" x14ac:dyDescent="0.3">
      <c r="A154" s="398"/>
      <c r="B154" s="378">
        <f t="shared" si="4"/>
        <v>9</v>
      </c>
      <c r="C154" s="539" t="s">
        <v>94</v>
      </c>
      <c r="D154" s="436" t="s">
        <v>95</v>
      </c>
      <c r="E154" s="442" t="s">
        <v>547</v>
      </c>
      <c r="F154" s="443"/>
      <c r="G154" s="443">
        <v>46021</v>
      </c>
      <c r="H154" s="1131" t="s">
        <v>554</v>
      </c>
      <c r="I154" s="1132"/>
      <c r="J154" s="1132"/>
      <c r="K154" s="1133"/>
      <c r="L154" s="443">
        <v>46021</v>
      </c>
      <c r="M154" s="492" t="s">
        <v>89</v>
      </c>
      <c r="N154" s="444"/>
      <c r="O154" s="444"/>
      <c r="P154" s="444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5.6" customHeight="1" x14ac:dyDescent="0.3">
      <c r="A155" s="398"/>
      <c r="B155" s="378">
        <f t="shared" si="4"/>
        <v>10</v>
      </c>
      <c r="C155" s="385" t="s">
        <v>401</v>
      </c>
      <c r="D155" s="386" t="s">
        <v>87</v>
      </c>
      <c r="E155" s="384" t="s">
        <v>548</v>
      </c>
      <c r="F155" s="438"/>
      <c r="G155" s="438">
        <v>46023</v>
      </c>
      <c r="H155" s="1117" t="s">
        <v>554</v>
      </c>
      <c r="I155" s="1118"/>
      <c r="J155" s="1118"/>
      <c r="K155" s="1119"/>
      <c r="L155" s="438">
        <v>46023</v>
      </c>
      <c r="M155" s="490" t="s">
        <v>674</v>
      </c>
      <c r="N155" s="424"/>
      <c r="O155" s="424"/>
      <c r="P155" s="424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5.6" customHeight="1" x14ac:dyDescent="0.3">
      <c r="A156" s="398"/>
      <c r="B156" s="378">
        <f t="shared" si="4"/>
        <v>11</v>
      </c>
      <c r="C156" s="385" t="s">
        <v>400</v>
      </c>
      <c r="D156" s="386" t="s">
        <v>87</v>
      </c>
      <c r="E156" s="384" t="s">
        <v>92</v>
      </c>
      <c r="F156" s="438"/>
      <c r="G156" s="438">
        <v>46028</v>
      </c>
      <c r="H156" s="1117" t="s">
        <v>554</v>
      </c>
      <c r="I156" s="1118"/>
      <c r="J156" s="1118"/>
      <c r="K156" s="1119"/>
      <c r="L156" s="438">
        <v>46028</v>
      </c>
      <c r="M156" s="490" t="s">
        <v>674</v>
      </c>
      <c r="N156" s="424"/>
      <c r="O156" s="424"/>
      <c r="P156" s="424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5.6" customHeight="1" x14ac:dyDescent="0.3">
      <c r="A157" s="398"/>
      <c r="B157" s="378">
        <f t="shared" si="4"/>
        <v>12</v>
      </c>
      <c r="C157" s="385" t="s">
        <v>402</v>
      </c>
      <c r="D157" s="386" t="s">
        <v>87</v>
      </c>
      <c r="E157" s="384" t="s">
        <v>92</v>
      </c>
      <c r="F157" s="438"/>
      <c r="G157" s="438">
        <v>46028</v>
      </c>
      <c r="H157" s="1117" t="s">
        <v>554</v>
      </c>
      <c r="I157" s="1118"/>
      <c r="J157" s="1118"/>
      <c r="K157" s="1119"/>
      <c r="L157" s="438">
        <v>46028</v>
      </c>
      <c r="M157" s="490" t="s">
        <v>674</v>
      </c>
      <c r="N157" s="424"/>
      <c r="O157" s="424"/>
      <c r="P157" s="424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4"/>
        <v>13</v>
      </c>
      <c r="C158" s="385" t="s">
        <v>403</v>
      </c>
      <c r="D158" s="386" t="s">
        <v>87</v>
      </c>
      <c r="E158" s="384" t="s">
        <v>92</v>
      </c>
      <c r="F158" s="438"/>
      <c r="G158" s="438">
        <v>46028</v>
      </c>
      <c r="H158" s="1109" t="s">
        <v>554</v>
      </c>
      <c r="I158" s="1110"/>
      <c r="J158" s="1110"/>
      <c r="K158" s="1110"/>
      <c r="L158" s="438">
        <v>46028</v>
      </c>
      <c r="M158" s="490" t="s">
        <v>674</v>
      </c>
      <c r="O158" s="424"/>
      <c r="P158" s="42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4"/>
        <v>14</v>
      </c>
      <c r="C159" s="385" t="s">
        <v>398</v>
      </c>
      <c r="D159" s="386" t="s">
        <v>87</v>
      </c>
      <c r="E159" s="384" t="s">
        <v>92</v>
      </c>
      <c r="F159" s="438"/>
      <c r="G159" s="438">
        <v>46029</v>
      </c>
      <c r="H159" s="1131" t="s">
        <v>554</v>
      </c>
      <c r="I159" s="1132"/>
      <c r="J159" s="1132"/>
      <c r="K159" s="1133"/>
      <c r="L159" s="438">
        <v>46029</v>
      </c>
      <c r="M159" s="490" t="s">
        <v>674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4"/>
        <v>15</v>
      </c>
      <c r="C160" s="385" t="s">
        <v>399</v>
      </c>
      <c r="D160" s="386" t="s">
        <v>87</v>
      </c>
      <c r="E160" s="384" t="s">
        <v>548</v>
      </c>
      <c r="F160" s="438"/>
      <c r="G160" s="438">
        <v>46029</v>
      </c>
      <c r="H160" s="1117" t="s">
        <v>554</v>
      </c>
      <c r="I160" s="1118"/>
      <c r="J160" s="1118"/>
      <c r="K160" s="1119"/>
      <c r="L160" s="438">
        <v>46029</v>
      </c>
      <c r="M160" s="490" t="s">
        <v>674</v>
      </c>
      <c r="N160" s="424"/>
      <c r="O160" s="424"/>
      <c r="P160" s="42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4"/>
        <v>16</v>
      </c>
      <c r="C161" s="385" t="s">
        <v>318</v>
      </c>
      <c r="D161" s="386" t="s">
        <v>95</v>
      </c>
      <c r="E161" s="384" t="s">
        <v>676</v>
      </c>
      <c r="F161" s="438"/>
      <c r="G161" s="438">
        <v>46033</v>
      </c>
      <c r="H161" s="1109" t="s">
        <v>554</v>
      </c>
      <c r="I161" s="1110"/>
      <c r="J161" s="1110"/>
      <c r="K161" s="1110"/>
      <c r="L161" s="438">
        <v>46033</v>
      </c>
      <c r="M161" s="490" t="s">
        <v>687</v>
      </c>
      <c r="N161" s="424"/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4"/>
        <v>17</v>
      </c>
      <c r="C162" s="385" t="s">
        <v>319</v>
      </c>
      <c r="D162" s="386" t="s">
        <v>87</v>
      </c>
      <c r="E162" s="384" t="s">
        <v>88</v>
      </c>
      <c r="F162" s="438"/>
      <c r="G162" s="438">
        <v>46033</v>
      </c>
      <c r="H162" s="1109" t="s">
        <v>554</v>
      </c>
      <c r="I162" s="1110"/>
      <c r="J162" s="1110"/>
      <c r="K162" s="1110"/>
      <c r="L162" s="438">
        <v>46033</v>
      </c>
      <c r="M162" s="490" t="s">
        <v>687</v>
      </c>
      <c r="N162" s="424"/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4"/>
        <v>18</v>
      </c>
      <c r="C163" s="691" t="s">
        <v>259</v>
      </c>
      <c r="D163" s="386" t="s">
        <v>91</v>
      </c>
      <c r="E163" s="384" t="s">
        <v>548</v>
      </c>
      <c r="F163" s="438"/>
      <c r="G163" s="438">
        <v>46037</v>
      </c>
      <c r="H163" s="1109" t="s">
        <v>554</v>
      </c>
      <c r="I163" s="1110"/>
      <c r="J163" s="1110"/>
      <c r="K163" s="1110"/>
      <c r="L163" s="438">
        <v>46037</v>
      </c>
      <c r="M163" s="490" t="s">
        <v>686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4"/>
        <v>19</v>
      </c>
      <c r="C164" s="691" t="s">
        <v>261</v>
      </c>
      <c r="D164" s="386" t="s">
        <v>91</v>
      </c>
      <c r="E164" s="384" t="s">
        <v>676</v>
      </c>
      <c r="F164" s="438"/>
      <c r="G164" s="438">
        <v>46037</v>
      </c>
      <c r="H164" s="1109" t="s">
        <v>554</v>
      </c>
      <c r="I164" s="1110"/>
      <c r="J164" s="1110"/>
      <c r="K164" s="1110"/>
      <c r="L164" s="438">
        <v>46037</v>
      </c>
      <c r="M164" s="490" t="s">
        <v>686</v>
      </c>
      <c r="N164" s="424"/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4"/>
        <v>20</v>
      </c>
      <c r="C165" s="691" t="s">
        <v>271</v>
      </c>
      <c r="D165" s="386" t="s">
        <v>87</v>
      </c>
      <c r="E165" s="384" t="s">
        <v>548</v>
      </c>
      <c r="F165" s="438"/>
      <c r="G165" s="438">
        <v>46038</v>
      </c>
      <c r="H165" s="1109" t="s">
        <v>554</v>
      </c>
      <c r="I165" s="1110"/>
      <c r="J165" s="1110"/>
      <c r="K165" s="1110"/>
      <c r="L165" s="438">
        <v>46038</v>
      </c>
      <c r="M165" s="490" t="s">
        <v>686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4"/>
        <v>21</v>
      </c>
      <c r="C166" s="691" t="s">
        <v>272</v>
      </c>
      <c r="D166" s="386" t="s">
        <v>87</v>
      </c>
      <c r="E166" s="384" t="s">
        <v>548</v>
      </c>
      <c r="F166" s="438"/>
      <c r="G166" s="438">
        <v>46038</v>
      </c>
      <c r="H166" s="1109" t="s">
        <v>554</v>
      </c>
      <c r="I166" s="1110"/>
      <c r="J166" s="1110"/>
      <c r="K166" s="1110"/>
      <c r="L166" s="438">
        <v>46038</v>
      </c>
      <c r="M166" s="490" t="s">
        <v>686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4"/>
        <v>22</v>
      </c>
      <c r="C167" s="691" t="s">
        <v>264</v>
      </c>
      <c r="D167" s="386" t="s">
        <v>565</v>
      </c>
      <c r="E167" s="384" t="s">
        <v>548</v>
      </c>
      <c r="F167" s="438"/>
      <c r="G167" s="438">
        <v>46040</v>
      </c>
      <c r="H167" s="1109" t="s">
        <v>554</v>
      </c>
      <c r="I167" s="1110"/>
      <c r="J167" s="1110"/>
      <c r="K167" s="1110"/>
      <c r="L167" s="438">
        <v>46040</v>
      </c>
      <c r="M167" s="490" t="s">
        <v>686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4"/>
        <v>23</v>
      </c>
      <c r="C168" s="691" t="s">
        <v>263</v>
      </c>
      <c r="D168" s="386" t="s">
        <v>87</v>
      </c>
      <c r="E168" s="384" t="s">
        <v>548</v>
      </c>
      <c r="F168" s="438"/>
      <c r="G168" s="438">
        <v>46043</v>
      </c>
      <c r="H168" s="1109" t="s">
        <v>554</v>
      </c>
      <c r="I168" s="1110"/>
      <c r="J168" s="1110"/>
      <c r="K168" s="1110"/>
      <c r="L168" s="438">
        <v>46043</v>
      </c>
      <c r="M168" s="490" t="s">
        <v>686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4"/>
        <v>24</v>
      </c>
      <c r="C169" s="691" t="s">
        <v>273</v>
      </c>
      <c r="D169" s="386" t="s">
        <v>87</v>
      </c>
      <c r="E169" s="384" t="s">
        <v>92</v>
      </c>
      <c r="F169" s="438"/>
      <c r="G169" s="438">
        <v>46044</v>
      </c>
      <c r="H169" s="1109" t="s">
        <v>554</v>
      </c>
      <c r="I169" s="1110"/>
      <c r="J169" s="1110"/>
      <c r="K169" s="1110"/>
      <c r="L169" s="438">
        <v>46044</v>
      </c>
      <c r="M169" s="490" t="s">
        <v>686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4"/>
        <v>25</v>
      </c>
      <c r="C170" s="691" t="s">
        <v>270</v>
      </c>
      <c r="D170" s="386" t="s">
        <v>95</v>
      </c>
      <c r="E170" s="384" t="s">
        <v>548</v>
      </c>
      <c r="F170" s="438"/>
      <c r="G170" s="438">
        <v>46044</v>
      </c>
      <c r="H170" s="1109" t="s">
        <v>554</v>
      </c>
      <c r="I170" s="1110"/>
      <c r="J170" s="1110"/>
      <c r="K170" s="1110"/>
      <c r="L170" s="438">
        <v>46044</v>
      </c>
      <c r="M170" s="490" t="s">
        <v>686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4"/>
        <v>26</v>
      </c>
      <c r="C171" s="385" t="s">
        <v>281</v>
      </c>
      <c r="D171" s="386" t="s">
        <v>87</v>
      </c>
      <c r="E171" s="384" t="s">
        <v>92</v>
      </c>
      <c r="F171" s="438"/>
      <c r="G171" s="438">
        <v>46045</v>
      </c>
      <c r="H171" s="1109" t="s">
        <v>554</v>
      </c>
      <c r="I171" s="1110"/>
      <c r="J171" s="1110"/>
      <c r="K171" s="1110"/>
      <c r="L171" s="438">
        <v>46045</v>
      </c>
      <c r="M171" s="490" t="s">
        <v>686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4"/>
        <v>27</v>
      </c>
      <c r="C172" s="385" t="s">
        <v>289</v>
      </c>
      <c r="D172" s="386" t="s">
        <v>91</v>
      </c>
      <c r="E172" s="384" t="s">
        <v>92</v>
      </c>
      <c r="F172" s="438"/>
      <c r="G172" s="438">
        <v>46046</v>
      </c>
      <c r="H172" s="1109" t="s">
        <v>554</v>
      </c>
      <c r="I172" s="1110"/>
      <c r="J172" s="1110"/>
      <c r="K172" s="1110"/>
      <c r="L172" s="438">
        <v>46046</v>
      </c>
      <c r="M172" s="490" t="s">
        <v>686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4"/>
        <v>28</v>
      </c>
      <c r="C173" s="691" t="s">
        <v>407</v>
      </c>
      <c r="D173" s="386" t="s">
        <v>91</v>
      </c>
      <c r="E173" s="384" t="s">
        <v>548</v>
      </c>
      <c r="F173" s="438"/>
      <c r="G173" s="438">
        <v>46045</v>
      </c>
      <c r="H173" s="1109" t="s">
        <v>554</v>
      </c>
      <c r="I173" s="1110"/>
      <c r="J173" s="1110"/>
      <c r="K173" s="1110"/>
      <c r="L173" s="438">
        <v>46047</v>
      </c>
      <c r="M173" s="490" t="s">
        <v>674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4"/>
        <v>29</v>
      </c>
      <c r="C174" s="433" t="s">
        <v>434</v>
      </c>
      <c r="D174" s="375" t="s">
        <v>681</v>
      </c>
      <c r="E174" s="433" t="s">
        <v>92</v>
      </c>
      <c r="F174" s="438"/>
      <c r="G174" s="438">
        <v>46050</v>
      </c>
      <c r="H174" s="1109" t="s">
        <v>554</v>
      </c>
      <c r="I174" s="1110"/>
      <c r="J174" s="1110"/>
      <c r="K174" s="1110"/>
      <c r="L174" s="438">
        <v>46050</v>
      </c>
      <c r="M174" s="490" t="s">
        <v>686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4"/>
        <v>30</v>
      </c>
      <c r="C175" s="433" t="s">
        <v>487</v>
      </c>
      <c r="D175" s="375" t="s">
        <v>565</v>
      </c>
      <c r="E175" s="433" t="s">
        <v>548</v>
      </c>
      <c r="G175" s="438">
        <v>46054</v>
      </c>
      <c r="H175" s="1109" t="s">
        <v>554</v>
      </c>
      <c r="I175" s="1110"/>
      <c r="J175" s="1110"/>
      <c r="K175" s="1110"/>
      <c r="L175" s="438">
        <v>46054</v>
      </c>
      <c r="M175" s="490" t="s">
        <v>674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4"/>
        <v>31</v>
      </c>
      <c r="C176" s="541" t="s">
        <v>409</v>
      </c>
      <c r="D176" s="375" t="s">
        <v>87</v>
      </c>
      <c r="E176" s="433" t="s">
        <v>92</v>
      </c>
      <c r="F176" s="438"/>
      <c r="G176" s="438">
        <v>46055</v>
      </c>
      <c r="H176" s="1109" t="s">
        <v>554</v>
      </c>
      <c r="I176" s="1110"/>
      <c r="J176" s="1110"/>
      <c r="K176" s="1110"/>
      <c r="L176" s="438">
        <v>46055</v>
      </c>
      <c r="M176" s="490" t="s">
        <v>674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4"/>
        <v>32</v>
      </c>
      <c r="C177" s="433" t="s">
        <v>423</v>
      </c>
      <c r="D177" s="375" t="s">
        <v>700</v>
      </c>
      <c r="E177" s="433" t="s">
        <v>92</v>
      </c>
      <c r="G177" s="438">
        <v>46056</v>
      </c>
      <c r="H177" s="1109" t="s">
        <v>554</v>
      </c>
      <c r="I177" s="1110"/>
      <c r="J177" s="1110"/>
      <c r="K177" s="1110"/>
      <c r="L177" s="438">
        <v>46056</v>
      </c>
      <c r="M177" s="490" t="s">
        <v>686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4"/>
        <v>33</v>
      </c>
      <c r="C178" s="433" t="s">
        <v>332</v>
      </c>
      <c r="D178" s="375" t="s">
        <v>87</v>
      </c>
      <c r="E178" s="433" t="s">
        <v>92</v>
      </c>
      <c r="G178" s="438">
        <v>46066</v>
      </c>
      <c r="H178" s="1109" t="s">
        <v>554</v>
      </c>
      <c r="I178" s="1110"/>
      <c r="J178" s="1110"/>
      <c r="K178" s="1110"/>
      <c r="L178" s="438">
        <v>46066</v>
      </c>
      <c r="M178" s="689" t="s">
        <v>89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4"/>
        <v>34</v>
      </c>
      <c r="C179" s="632" t="s">
        <v>632</v>
      </c>
      <c r="D179" s="375" t="s">
        <v>87</v>
      </c>
      <c r="E179" s="433" t="s">
        <v>92</v>
      </c>
      <c r="G179" s="438">
        <v>46067</v>
      </c>
      <c r="H179" s="1109" t="s">
        <v>554</v>
      </c>
      <c r="I179" s="1110"/>
      <c r="J179" s="1110"/>
      <c r="K179" s="1110"/>
      <c r="L179" s="438">
        <v>46067</v>
      </c>
      <c r="M179" s="689" t="s">
        <v>687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4"/>
        <v>35</v>
      </c>
      <c r="C180" s="541" t="s">
        <v>336</v>
      </c>
      <c r="D180" s="375" t="s">
        <v>87</v>
      </c>
      <c r="E180" s="433" t="s">
        <v>548</v>
      </c>
      <c r="G180" s="438">
        <v>46067</v>
      </c>
      <c r="H180" s="1109" t="s">
        <v>554</v>
      </c>
      <c r="I180" s="1110"/>
      <c r="J180" s="1110"/>
      <c r="K180" s="1110"/>
      <c r="L180" s="438">
        <v>46067</v>
      </c>
      <c r="M180" s="689" t="s">
        <v>89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4"/>
        <v>36</v>
      </c>
      <c r="C181" s="690" t="s">
        <v>228</v>
      </c>
      <c r="D181" s="375" t="s">
        <v>87</v>
      </c>
      <c r="E181" s="433" t="s">
        <v>92</v>
      </c>
      <c r="G181" s="438">
        <v>46068</v>
      </c>
      <c r="H181" s="1109" t="s">
        <v>554</v>
      </c>
      <c r="I181" s="1110"/>
      <c r="J181" s="1110"/>
      <c r="K181" s="1110"/>
      <c r="L181" s="438">
        <v>46068</v>
      </c>
      <c r="M181" s="490" t="s">
        <v>686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4"/>
        <v>37</v>
      </c>
      <c r="C182" s="690" t="s">
        <v>240</v>
      </c>
      <c r="D182" s="375" t="s">
        <v>91</v>
      </c>
      <c r="E182" s="433" t="s">
        <v>92</v>
      </c>
      <c r="G182" s="438">
        <v>46069</v>
      </c>
      <c r="H182" s="1109" t="s">
        <v>554</v>
      </c>
      <c r="I182" s="1110"/>
      <c r="J182" s="1110"/>
      <c r="K182" s="1110"/>
      <c r="L182" s="438">
        <v>46069</v>
      </c>
      <c r="M182" s="490" t="s">
        <v>686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4"/>
        <v>38</v>
      </c>
      <c r="C183" s="690" t="s">
        <v>247</v>
      </c>
      <c r="D183" s="375" t="s">
        <v>218</v>
      </c>
      <c r="E183" s="433" t="s">
        <v>92</v>
      </c>
      <c r="G183" s="438">
        <v>46070</v>
      </c>
      <c r="H183" s="1109" t="s">
        <v>554</v>
      </c>
      <c r="I183" s="1110"/>
      <c r="J183" s="1110"/>
      <c r="K183" s="1110"/>
      <c r="L183" s="438">
        <v>46070</v>
      </c>
      <c r="M183" s="490" t="s">
        <v>686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4"/>
        <v>39</v>
      </c>
      <c r="C184" s="433" t="s">
        <v>629</v>
      </c>
      <c r="D184" s="622" t="s">
        <v>87</v>
      </c>
      <c r="E184" s="433" t="s">
        <v>92</v>
      </c>
      <c r="G184" s="438">
        <v>46071</v>
      </c>
      <c r="H184" s="1109" t="s">
        <v>554</v>
      </c>
      <c r="I184" s="1110"/>
      <c r="J184" s="1110"/>
      <c r="K184" s="1110"/>
      <c r="L184" s="438">
        <v>46070</v>
      </c>
      <c r="M184" s="490" t="s">
        <v>703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4"/>
        <v>40</v>
      </c>
      <c r="C185" s="433" t="s">
        <v>229</v>
      </c>
      <c r="D185" s="642" t="s">
        <v>87</v>
      </c>
      <c r="E185" s="541" t="s">
        <v>676</v>
      </c>
      <c r="F185" s="438"/>
      <c r="G185" s="438">
        <v>46071</v>
      </c>
      <c r="H185" s="1109" t="s">
        <v>554</v>
      </c>
      <c r="I185" s="1110"/>
      <c r="J185" s="1110"/>
      <c r="K185" s="1110"/>
      <c r="L185" s="438">
        <v>46070</v>
      </c>
      <c r="M185" s="490" t="s">
        <v>686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4"/>
        <v>41</v>
      </c>
      <c r="C186" s="632" t="s">
        <v>265</v>
      </c>
      <c r="D186" s="375" t="s">
        <v>87</v>
      </c>
      <c r="E186" s="433" t="s">
        <v>88</v>
      </c>
      <c r="F186" s="438"/>
      <c r="G186" s="438">
        <v>46072</v>
      </c>
      <c r="H186" s="1109" t="s">
        <v>554</v>
      </c>
      <c r="I186" s="1110"/>
      <c r="J186" s="1110"/>
      <c r="K186" s="1110"/>
      <c r="L186" s="438">
        <v>46072</v>
      </c>
      <c r="M186" s="490" t="s">
        <v>686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4"/>
        <v>42</v>
      </c>
      <c r="C187" s="433" t="s">
        <v>266</v>
      </c>
      <c r="D187" s="375" t="s">
        <v>95</v>
      </c>
      <c r="E187" s="433" t="s">
        <v>548</v>
      </c>
      <c r="F187" s="438"/>
      <c r="G187" s="438">
        <v>46072</v>
      </c>
      <c r="H187" s="1109" t="s">
        <v>554</v>
      </c>
      <c r="I187" s="1110"/>
      <c r="J187" s="1110"/>
      <c r="K187" s="1110"/>
      <c r="L187" s="438">
        <v>46072</v>
      </c>
      <c r="M187" s="490" t="s">
        <v>686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4"/>
        <v>43</v>
      </c>
      <c r="C188" s="632" t="s">
        <v>248</v>
      </c>
      <c r="D188" s="375" t="s">
        <v>87</v>
      </c>
      <c r="E188" s="433" t="s">
        <v>548</v>
      </c>
      <c r="F188" s="438"/>
      <c r="G188" s="438">
        <v>46072</v>
      </c>
      <c r="H188" s="1109" t="s">
        <v>554</v>
      </c>
      <c r="I188" s="1110"/>
      <c r="J188" s="1110"/>
      <c r="K188" s="1110"/>
      <c r="L188" s="438">
        <v>46072</v>
      </c>
      <c r="M188" s="490" t="s">
        <v>686</v>
      </c>
      <c r="N188" s="424"/>
      <c r="O188" s="424"/>
      <c r="P188" s="42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4"/>
        <v>44</v>
      </c>
      <c r="C189" s="632" t="s">
        <v>255</v>
      </c>
      <c r="D189" s="375" t="s">
        <v>87</v>
      </c>
      <c r="E189" s="433" t="s">
        <v>548</v>
      </c>
      <c r="F189" s="438"/>
      <c r="G189" s="438">
        <v>46072</v>
      </c>
      <c r="H189" s="1109" t="s">
        <v>554</v>
      </c>
      <c r="I189" s="1110"/>
      <c r="J189" s="1110"/>
      <c r="K189" s="1110"/>
      <c r="L189" s="438">
        <v>46072</v>
      </c>
      <c r="M189" s="490" t="s">
        <v>686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4"/>
        <v>45</v>
      </c>
      <c r="C190" s="447" t="s">
        <v>257</v>
      </c>
      <c r="D190" s="516" t="s">
        <v>87</v>
      </c>
      <c r="E190" s="447" t="s">
        <v>548</v>
      </c>
      <c r="F190" s="443"/>
      <c r="G190" s="443">
        <v>46075</v>
      </c>
      <c r="H190" s="1177" t="s">
        <v>554</v>
      </c>
      <c r="I190" s="1178"/>
      <c r="J190" s="1178"/>
      <c r="K190" s="1178"/>
      <c r="L190" s="443">
        <v>46075</v>
      </c>
      <c r="M190" s="696" t="s">
        <v>686</v>
      </c>
      <c r="N190" s="444"/>
      <c r="O190" s="444"/>
      <c r="P190" s="44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4"/>
        <v>46</v>
      </c>
      <c r="C191" s="433" t="s">
        <v>282</v>
      </c>
      <c r="D191" s="375" t="s">
        <v>95</v>
      </c>
      <c r="E191" s="433" t="s">
        <v>548</v>
      </c>
      <c r="F191" s="438"/>
      <c r="G191" s="438">
        <v>46075</v>
      </c>
      <c r="H191" s="1109" t="s">
        <v>554</v>
      </c>
      <c r="I191" s="1110"/>
      <c r="J191" s="1110"/>
      <c r="K191" s="1110"/>
      <c r="L191" s="438">
        <v>46075</v>
      </c>
      <c r="M191" s="490" t="s">
        <v>686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78">
        <f t="shared" si="4"/>
        <v>47</v>
      </c>
      <c r="C192" s="433" t="s">
        <v>279</v>
      </c>
      <c r="D192" s="375" t="s">
        <v>87</v>
      </c>
      <c r="E192" s="433" t="s">
        <v>548</v>
      </c>
      <c r="F192" s="438"/>
      <c r="G192" s="438">
        <v>46075</v>
      </c>
      <c r="H192" s="1109" t="s">
        <v>554</v>
      </c>
      <c r="I192" s="1110"/>
      <c r="J192" s="1110"/>
      <c r="K192" s="1110"/>
      <c r="L192" s="438">
        <v>46075</v>
      </c>
      <c r="M192" s="490" t="s">
        <v>686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78">
        <f t="shared" si="4"/>
        <v>48</v>
      </c>
      <c r="C193" s="433" t="s">
        <v>276</v>
      </c>
      <c r="D193" s="375" t="s">
        <v>87</v>
      </c>
      <c r="E193" s="433" t="s">
        <v>548</v>
      </c>
      <c r="F193" s="438"/>
      <c r="G193" s="438">
        <v>46075</v>
      </c>
      <c r="H193" s="1109" t="s">
        <v>554</v>
      </c>
      <c r="I193" s="1110"/>
      <c r="J193" s="1110"/>
      <c r="K193" s="1110"/>
      <c r="L193" s="438">
        <v>46075</v>
      </c>
      <c r="M193" s="490" t="s">
        <v>686</v>
      </c>
      <c r="N193" s="424"/>
      <c r="O193" s="424"/>
      <c r="P193" s="42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84">
        <f t="shared" si="4"/>
        <v>49</v>
      </c>
      <c r="C194" s="633" t="s">
        <v>345</v>
      </c>
      <c r="D194" s="622" t="s">
        <v>87</v>
      </c>
      <c r="E194" s="433" t="s">
        <v>92</v>
      </c>
      <c r="F194" s="438"/>
      <c r="G194" s="438">
        <v>46077</v>
      </c>
      <c r="H194" s="1109" t="s">
        <v>554</v>
      </c>
      <c r="I194" s="1110"/>
      <c r="J194" s="1110"/>
      <c r="K194" s="1110"/>
      <c r="L194" s="438">
        <v>46077</v>
      </c>
      <c r="M194" s="490" t="s">
        <v>89</v>
      </c>
      <c r="N194" s="424"/>
      <c r="O194" s="424"/>
      <c r="P194" s="42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84">
        <f t="shared" si="4"/>
        <v>50</v>
      </c>
      <c r="C195" s="433" t="s">
        <v>413</v>
      </c>
      <c r="D195" s="375" t="s">
        <v>87</v>
      </c>
      <c r="E195" s="433" t="s">
        <v>548</v>
      </c>
      <c r="F195" s="438"/>
      <c r="G195" s="438">
        <v>46083</v>
      </c>
      <c r="H195" s="1109" t="s">
        <v>554</v>
      </c>
      <c r="I195" s="1110"/>
      <c r="J195" s="1110"/>
      <c r="K195" s="1110"/>
      <c r="L195" s="438">
        <v>46083</v>
      </c>
      <c r="M195" s="490" t="s">
        <v>673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84">
        <f t="shared" si="4"/>
        <v>51</v>
      </c>
      <c r="C196" s="433" t="s">
        <v>414</v>
      </c>
      <c r="D196" s="621" t="s">
        <v>87</v>
      </c>
      <c r="E196" s="800" t="s">
        <v>92</v>
      </c>
      <c r="F196" s="438"/>
      <c r="G196" s="438">
        <v>46083</v>
      </c>
      <c r="H196" s="1109" t="s">
        <v>554</v>
      </c>
      <c r="I196" s="1110"/>
      <c r="J196" s="1110"/>
      <c r="K196" s="1110"/>
      <c r="L196" s="438">
        <v>46083</v>
      </c>
      <c r="M196" s="490" t="s">
        <v>673</v>
      </c>
      <c r="N196" s="424"/>
      <c r="O196" s="424"/>
      <c r="P196" s="42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84">
        <f t="shared" si="4"/>
        <v>52</v>
      </c>
      <c r="C197" s="433" t="s">
        <v>621</v>
      </c>
      <c r="D197" s="375" t="s">
        <v>87</v>
      </c>
      <c r="E197" s="433" t="s">
        <v>548</v>
      </c>
      <c r="F197" s="438"/>
      <c r="G197" s="438">
        <v>46083</v>
      </c>
      <c r="H197" s="1109" t="s">
        <v>554</v>
      </c>
      <c r="I197" s="1110"/>
      <c r="J197" s="1110"/>
      <c r="K197" s="1110"/>
      <c r="L197" s="438">
        <v>46083</v>
      </c>
      <c r="M197" s="490" t="s">
        <v>673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84">
        <f t="shared" si="4"/>
        <v>53</v>
      </c>
      <c r="C198" s="433" t="s">
        <v>623</v>
      </c>
      <c r="D198" s="622" t="s">
        <v>87</v>
      </c>
      <c r="E198" s="433" t="s">
        <v>548</v>
      </c>
      <c r="F198" s="438"/>
      <c r="G198" s="438">
        <v>46083</v>
      </c>
      <c r="H198" s="1109" t="s">
        <v>554</v>
      </c>
      <c r="I198" s="1110"/>
      <c r="J198" s="1110"/>
      <c r="K198" s="1110"/>
      <c r="L198" s="438">
        <v>46083</v>
      </c>
      <c r="M198" s="490" t="s">
        <v>673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84">
        <f t="shared" si="4"/>
        <v>54</v>
      </c>
      <c r="C199" s="433" t="s">
        <v>624</v>
      </c>
      <c r="D199" s="642" t="s">
        <v>87</v>
      </c>
      <c r="E199" s="433" t="s">
        <v>92</v>
      </c>
      <c r="F199" s="438"/>
      <c r="G199" s="438">
        <v>46084</v>
      </c>
      <c r="H199" s="1109" t="s">
        <v>554</v>
      </c>
      <c r="I199" s="1110"/>
      <c r="J199" s="1110"/>
      <c r="K199" s="1110"/>
      <c r="L199" s="438">
        <v>46084</v>
      </c>
      <c r="M199" s="490" t="s">
        <v>673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4"/>
        <v>55</v>
      </c>
      <c r="C200" s="690" t="s">
        <v>625</v>
      </c>
      <c r="D200" s="642" t="s">
        <v>87</v>
      </c>
      <c r="E200" s="433" t="s">
        <v>92</v>
      </c>
      <c r="F200" s="438"/>
      <c r="G200" s="438">
        <v>46084</v>
      </c>
      <c r="H200" s="1109" t="s">
        <v>554</v>
      </c>
      <c r="I200" s="1110"/>
      <c r="J200" s="1110"/>
      <c r="K200" s="1110"/>
      <c r="L200" s="438">
        <v>46084</v>
      </c>
      <c r="M200" s="490" t="s">
        <v>673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384">
        <f t="shared" si="4"/>
        <v>56</v>
      </c>
      <c r="C201" s="433" t="s">
        <v>412</v>
      </c>
      <c r="D201" s="375" t="s">
        <v>87</v>
      </c>
      <c r="E201" s="433" t="s">
        <v>92</v>
      </c>
      <c r="F201" s="438"/>
      <c r="G201" s="438">
        <v>46084</v>
      </c>
      <c r="H201" s="1109" t="s">
        <v>554</v>
      </c>
      <c r="I201" s="1110"/>
      <c r="J201" s="1110"/>
      <c r="K201" s="1110"/>
      <c r="L201" s="438">
        <v>46084</v>
      </c>
      <c r="M201" s="689" t="s">
        <v>687</v>
      </c>
      <c r="N201" s="424"/>
      <c r="O201" s="424"/>
      <c r="P201" s="42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4"/>
        <v>57</v>
      </c>
      <c r="C202" s="433" t="s">
        <v>410</v>
      </c>
      <c r="D202" s="375" t="s">
        <v>87</v>
      </c>
      <c r="E202" s="433" t="s">
        <v>92</v>
      </c>
      <c r="F202" s="695"/>
      <c r="G202" s="438">
        <v>46088</v>
      </c>
      <c r="H202" s="1109" t="s">
        <v>554</v>
      </c>
      <c r="I202" s="1110"/>
      <c r="J202" s="1110"/>
      <c r="K202" s="1110"/>
      <c r="L202" s="438">
        <v>46088</v>
      </c>
      <c r="M202" s="689" t="s">
        <v>687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442">
        <f t="shared" si="4"/>
        <v>58</v>
      </c>
      <c r="C203" s="636" t="s">
        <v>411</v>
      </c>
      <c r="D203" s="516" t="s">
        <v>91</v>
      </c>
      <c r="E203" s="447" t="s">
        <v>92</v>
      </c>
      <c r="F203" s="695"/>
      <c r="G203" s="443">
        <v>46088</v>
      </c>
      <c r="H203" s="1177" t="s">
        <v>554</v>
      </c>
      <c r="I203" s="1178"/>
      <c r="J203" s="1178"/>
      <c r="K203" s="1178"/>
      <c r="L203" s="443">
        <v>46088</v>
      </c>
      <c r="M203" s="833" t="s">
        <v>687</v>
      </c>
      <c r="N203" s="444"/>
      <c r="O203" s="444"/>
      <c r="P203" s="44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4"/>
        <v>59</v>
      </c>
      <c r="C204" s="632" t="s">
        <v>351</v>
      </c>
      <c r="D204" s="375" t="s">
        <v>113</v>
      </c>
      <c r="E204" s="433" t="s">
        <v>676</v>
      </c>
      <c r="F204" s="438"/>
      <c r="G204" s="438">
        <v>46089</v>
      </c>
      <c r="H204" s="1109" t="s">
        <v>554</v>
      </c>
      <c r="I204" s="1110"/>
      <c r="J204" s="1110"/>
      <c r="K204" s="1110"/>
      <c r="L204" s="438">
        <v>46089</v>
      </c>
      <c r="M204" s="689" t="s">
        <v>89</v>
      </c>
      <c r="N204" s="424"/>
      <c r="O204" s="424"/>
      <c r="P204" s="42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4"/>
        <v>60</v>
      </c>
      <c r="C205" s="541" t="s">
        <v>358</v>
      </c>
      <c r="D205" s="642" t="s">
        <v>87</v>
      </c>
      <c r="E205" s="433" t="s">
        <v>92</v>
      </c>
      <c r="F205" s="438"/>
      <c r="G205" s="438">
        <v>46094</v>
      </c>
      <c r="H205" s="1109" t="s">
        <v>554</v>
      </c>
      <c r="I205" s="1110"/>
      <c r="J205" s="1110"/>
      <c r="K205" s="1110"/>
      <c r="L205" s="438">
        <v>46094</v>
      </c>
      <c r="M205" s="689" t="s">
        <v>89</v>
      </c>
      <c r="N205" s="424"/>
      <c r="O205" s="424"/>
      <c r="P205" s="42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384">
        <f t="shared" si="4"/>
        <v>61</v>
      </c>
      <c r="C206" s="375" t="s">
        <v>238</v>
      </c>
      <c r="D206" s="793" t="s">
        <v>218</v>
      </c>
      <c r="E206" s="433" t="s">
        <v>92</v>
      </c>
      <c r="F206" s="514"/>
      <c r="G206" s="514">
        <v>46094</v>
      </c>
      <c r="H206" s="1109" t="s">
        <v>554</v>
      </c>
      <c r="I206" s="1110"/>
      <c r="J206" s="1110"/>
      <c r="K206" s="1110"/>
      <c r="L206" s="860">
        <v>46095</v>
      </c>
      <c r="M206" s="858" t="s">
        <v>795</v>
      </c>
      <c r="N206" s="490"/>
      <c r="O206" s="373"/>
      <c r="P206" s="37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384">
        <f t="shared" si="4"/>
        <v>62</v>
      </c>
      <c r="C207" s="375" t="s">
        <v>239</v>
      </c>
      <c r="D207" s="375" t="s">
        <v>239</v>
      </c>
      <c r="E207" s="793" t="s">
        <v>87</v>
      </c>
      <c r="F207" s="481" t="s">
        <v>92</v>
      </c>
      <c r="G207" s="514">
        <v>46098</v>
      </c>
      <c r="H207" s="1109" t="s">
        <v>554</v>
      </c>
      <c r="I207" s="1110"/>
      <c r="J207" s="1110"/>
      <c r="K207" s="1110"/>
      <c r="L207" s="514">
        <v>46098</v>
      </c>
      <c r="M207" s="858" t="s">
        <v>795</v>
      </c>
      <c r="N207" s="490"/>
      <c r="O207" s="373"/>
      <c r="P207" s="37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A208" s="398"/>
      <c r="B208" s="384">
        <f t="shared" si="4"/>
        <v>63</v>
      </c>
      <c r="C208" s="632" t="s">
        <v>486</v>
      </c>
      <c r="D208" s="793" t="s">
        <v>242</v>
      </c>
      <c r="E208" s="433" t="s">
        <v>92</v>
      </c>
      <c r="F208" s="514"/>
      <c r="G208" s="514">
        <v>46101</v>
      </c>
      <c r="H208" s="1109" t="s">
        <v>554</v>
      </c>
      <c r="I208" s="1110"/>
      <c r="J208" s="1110"/>
      <c r="K208" s="1110"/>
      <c r="L208" s="870">
        <v>46104</v>
      </c>
      <c r="M208" s="490" t="s">
        <v>672</v>
      </c>
      <c r="N208" s="490"/>
      <c r="O208" s="373"/>
      <c r="P208" s="37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406" customFormat="1" ht="15.6" customHeight="1" x14ac:dyDescent="0.3">
      <c r="A209" s="398"/>
      <c r="B209" s="384">
        <f t="shared" si="4"/>
        <v>64</v>
      </c>
      <c r="C209" s="871" t="s">
        <v>243</v>
      </c>
      <c r="D209" s="793" t="s">
        <v>113</v>
      </c>
      <c r="E209" s="433" t="s">
        <v>92</v>
      </c>
      <c r="F209" s="514">
        <v>46098</v>
      </c>
      <c r="G209" s="533">
        <v>46112</v>
      </c>
      <c r="H209" s="1109" t="s">
        <v>554</v>
      </c>
      <c r="I209" s="1110"/>
      <c r="J209" s="1110"/>
      <c r="K209" s="1110"/>
      <c r="L209" s="533">
        <v>46112</v>
      </c>
      <c r="M209" s="490" t="s">
        <v>705</v>
      </c>
      <c r="N209" s="490"/>
      <c r="O209" s="373"/>
      <c r="P209" s="374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s="406" customFormat="1" ht="15.6" customHeight="1" x14ac:dyDescent="0.3">
      <c r="B210" s="384">
        <f t="shared" si="4"/>
        <v>65</v>
      </c>
      <c r="C210" s="690" t="s">
        <v>237</v>
      </c>
      <c r="D210" s="793" t="s">
        <v>91</v>
      </c>
      <c r="E210" s="433" t="s">
        <v>92</v>
      </c>
      <c r="F210" s="517"/>
      <c r="G210" s="533">
        <v>46110</v>
      </c>
      <c r="H210" s="1109" t="s">
        <v>554</v>
      </c>
      <c r="I210" s="1110"/>
      <c r="J210" s="1110"/>
      <c r="K210" s="1110"/>
      <c r="L210" s="533">
        <v>46110</v>
      </c>
      <c r="M210" s="490" t="s">
        <v>705</v>
      </c>
      <c r="N210" s="490"/>
      <c r="O210" s="373"/>
      <c r="P210" s="374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s="889" customFormat="1" ht="15.6" customHeight="1" x14ac:dyDescent="0.3">
      <c r="B211" s="384">
        <f t="shared" si="4"/>
        <v>66</v>
      </c>
      <c r="C211" s="375" t="s">
        <v>230</v>
      </c>
      <c r="D211" s="793" t="s">
        <v>91</v>
      </c>
      <c r="E211" s="433" t="s">
        <v>92</v>
      </c>
      <c r="G211" s="533">
        <v>46110</v>
      </c>
      <c r="H211" s="1109" t="s">
        <v>554</v>
      </c>
      <c r="I211" s="1110"/>
      <c r="J211" s="1110"/>
      <c r="K211" s="1110"/>
      <c r="L211" s="533">
        <v>46110</v>
      </c>
      <c r="M211" s="490" t="s">
        <v>705</v>
      </c>
      <c r="N211" s="888"/>
      <c r="O211" s="888"/>
      <c r="P211" s="888"/>
    </row>
    <row r="212" spans="1:26" s="889" customFormat="1" ht="15.6" customHeight="1" x14ac:dyDescent="0.3">
      <c r="B212" s="384">
        <f t="shared" si="4"/>
        <v>67</v>
      </c>
      <c r="C212" s="375" t="s">
        <v>233</v>
      </c>
      <c r="D212" s="375" t="s">
        <v>233</v>
      </c>
      <c r="E212" s="793" t="s">
        <v>87</v>
      </c>
      <c r="F212" s="701" t="s">
        <v>92</v>
      </c>
      <c r="G212" s="533">
        <v>46112</v>
      </c>
      <c r="H212" s="1109" t="s">
        <v>554</v>
      </c>
      <c r="I212" s="1110"/>
      <c r="J212" s="1110"/>
      <c r="K212" s="1110"/>
      <c r="L212" s="533">
        <v>46112</v>
      </c>
      <c r="M212" s="490" t="s">
        <v>705</v>
      </c>
      <c r="N212" s="888"/>
      <c r="O212" s="888"/>
      <c r="P212" s="888"/>
    </row>
    <row r="213" spans="1:26" s="889" customFormat="1" ht="15.6" customHeight="1" x14ac:dyDescent="0.3">
      <c r="B213" s="384">
        <f t="shared" si="4"/>
        <v>68</v>
      </c>
      <c r="C213" s="375" t="s">
        <v>249</v>
      </c>
      <c r="D213" s="375" t="s">
        <v>249</v>
      </c>
      <c r="E213" s="793" t="s">
        <v>91</v>
      </c>
      <c r="F213" s="433" t="s">
        <v>676</v>
      </c>
      <c r="G213" s="533">
        <v>46125</v>
      </c>
      <c r="H213" s="1109" t="s">
        <v>554</v>
      </c>
      <c r="I213" s="1110"/>
      <c r="J213" s="1110"/>
      <c r="K213" s="1110"/>
      <c r="L213" s="533">
        <v>46125</v>
      </c>
      <c r="M213" s="490" t="s">
        <v>705</v>
      </c>
      <c r="N213" s="888"/>
      <c r="O213" s="888"/>
      <c r="P213" s="888"/>
    </row>
    <row r="214" spans="1:26" s="889" customFormat="1" ht="15.6" customHeight="1" x14ac:dyDescent="0.3">
      <c r="B214" s="384">
        <f t="shared" ref="B214:B217" si="5">B213+1</f>
        <v>69</v>
      </c>
      <c r="C214" s="375" t="s">
        <v>250</v>
      </c>
      <c r="D214" s="690" t="s">
        <v>250</v>
      </c>
      <c r="E214" s="622" t="s">
        <v>87</v>
      </c>
      <c r="F214" s="541" t="s">
        <v>676</v>
      </c>
      <c r="G214" s="533">
        <v>46125</v>
      </c>
      <c r="H214" s="1109" t="s">
        <v>554</v>
      </c>
      <c r="I214" s="1110"/>
      <c r="J214" s="1110"/>
      <c r="K214" s="1110"/>
      <c r="L214" s="533">
        <v>46125</v>
      </c>
      <c r="M214" s="490" t="s">
        <v>705</v>
      </c>
      <c r="N214" s="888"/>
      <c r="O214" s="888"/>
      <c r="P214" s="888"/>
    </row>
    <row r="215" spans="1:26" s="889" customFormat="1" ht="15.6" customHeight="1" x14ac:dyDescent="0.3">
      <c r="B215" s="384">
        <f t="shared" si="5"/>
        <v>70</v>
      </c>
      <c r="C215" s="375" t="s">
        <v>251</v>
      </c>
      <c r="D215" s="690" t="s">
        <v>251</v>
      </c>
      <c r="E215" s="393" t="s">
        <v>87</v>
      </c>
      <c r="F215" s="433" t="s">
        <v>548</v>
      </c>
      <c r="G215" s="533">
        <v>46125</v>
      </c>
      <c r="H215" s="1109" t="s">
        <v>554</v>
      </c>
      <c r="I215" s="1110"/>
      <c r="J215" s="1110"/>
      <c r="K215" s="1110"/>
      <c r="L215" s="533">
        <v>46125</v>
      </c>
      <c r="M215" s="490" t="s">
        <v>705</v>
      </c>
      <c r="N215" s="888"/>
      <c r="O215" s="888"/>
      <c r="P215" s="888"/>
    </row>
    <row r="216" spans="1:26" s="889" customFormat="1" ht="15.6" customHeight="1" x14ac:dyDescent="0.3">
      <c r="B216" s="384">
        <f t="shared" si="5"/>
        <v>71</v>
      </c>
      <c r="C216" s="375" t="s">
        <v>311</v>
      </c>
      <c r="D216" s="793" t="s">
        <v>113</v>
      </c>
      <c r="E216" s="433" t="s">
        <v>92</v>
      </c>
      <c r="F216" s="433"/>
      <c r="G216" s="533">
        <v>46125</v>
      </c>
      <c r="H216" s="1109" t="s">
        <v>554</v>
      </c>
      <c r="I216" s="1110"/>
      <c r="J216" s="1110"/>
      <c r="K216" s="1110"/>
      <c r="L216" s="533">
        <v>46125</v>
      </c>
      <c r="M216" s="490" t="s">
        <v>799</v>
      </c>
      <c r="N216" s="888"/>
      <c r="O216" s="888"/>
      <c r="P216" s="888"/>
    </row>
    <row r="217" spans="1:26" s="406" customFormat="1" ht="13.5" customHeight="1" x14ac:dyDescent="0.3">
      <c r="A217" s="398"/>
      <c r="B217" s="384">
        <f t="shared" si="5"/>
        <v>72</v>
      </c>
      <c r="C217" s="375" t="s">
        <v>435</v>
      </c>
      <c r="D217" s="793" t="s">
        <v>700</v>
      </c>
      <c r="E217" s="433" t="s">
        <v>92</v>
      </c>
      <c r="F217" s="873"/>
      <c r="G217" s="533">
        <v>46126</v>
      </c>
      <c r="H217" s="1109" t="s">
        <v>554</v>
      </c>
      <c r="I217" s="1110"/>
      <c r="J217" s="1110"/>
      <c r="K217" s="1110"/>
      <c r="L217" s="533">
        <v>46127</v>
      </c>
      <c r="M217" s="490" t="s">
        <v>705</v>
      </c>
      <c r="N217" s="404"/>
      <c r="O217" s="383"/>
      <c r="P217" s="383"/>
      <c r="Q217" s="368"/>
      <c r="R217" s="368"/>
      <c r="S217" s="368"/>
      <c r="T217" s="368"/>
      <c r="U217" s="368"/>
      <c r="V217" s="368"/>
      <c r="W217" s="368"/>
      <c r="X217" s="368"/>
      <c r="Y217" s="368"/>
      <c r="Z217" s="368"/>
    </row>
    <row r="218" spans="1:26" s="406" customFormat="1" ht="13.5" customHeight="1" thickBot="1" x14ac:dyDescent="0.35">
      <c r="A218" s="398"/>
      <c r="B218" s="403"/>
      <c r="C218" s="404"/>
      <c r="D218" s="577"/>
      <c r="E218" s="873"/>
      <c r="F218" s="873"/>
      <c r="G218" s="936"/>
      <c r="H218" s="937"/>
      <c r="I218" s="938"/>
      <c r="J218" s="938"/>
      <c r="K218" s="938"/>
      <c r="L218" s="936"/>
      <c r="M218" s="927"/>
      <c r="N218" s="404"/>
      <c r="O218" s="383"/>
      <c r="P218" s="383"/>
      <c r="Q218" s="368"/>
      <c r="R218" s="368"/>
      <c r="S218" s="368"/>
      <c r="T218" s="368"/>
      <c r="U218" s="368"/>
      <c r="V218" s="368"/>
      <c r="W218" s="368"/>
      <c r="X218" s="368"/>
      <c r="Y218" s="368"/>
      <c r="Z218" s="368"/>
    </row>
    <row r="219" spans="1:26" ht="13.5" customHeight="1" thickBot="1" x14ac:dyDescent="0.35">
      <c r="B219" s="536" t="s">
        <v>101</v>
      </c>
      <c r="C219" s="407"/>
      <c r="D219" s="407"/>
      <c r="E219" s="407"/>
      <c r="F219" s="407"/>
      <c r="G219" s="407"/>
      <c r="H219" s="407"/>
      <c r="I219" s="407"/>
      <c r="J219" s="407"/>
      <c r="K219" s="407"/>
      <c r="L219" s="407"/>
      <c r="M219" s="407"/>
      <c r="N219" s="407"/>
      <c r="O219" s="440"/>
      <c r="P219" s="17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B220" s="430" t="s">
        <v>69</v>
      </c>
      <c r="C220" s="429" t="s">
        <v>70</v>
      </c>
      <c r="D220" s="429" t="s">
        <v>71</v>
      </c>
      <c r="E220" s="429" t="s">
        <v>99</v>
      </c>
      <c r="F220" s="684"/>
      <c r="G220" s="684"/>
      <c r="H220" s="684"/>
      <c r="I220" s="684"/>
      <c r="J220" s="429" t="s">
        <v>82</v>
      </c>
      <c r="K220" s="429" t="s">
        <v>84</v>
      </c>
      <c r="L220" s="429" t="s">
        <v>102</v>
      </c>
      <c r="M220" s="429" t="s">
        <v>103</v>
      </c>
      <c r="N220" s="429" t="s">
        <v>104</v>
      </c>
      <c r="O220" s="17"/>
      <c r="P220" s="17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B221" s="425"/>
      <c r="C221" s="426"/>
      <c r="D221" s="427"/>
      <c r="E221" s="685"/>
      <c r="F221" s="681"/>
      <c r="G221" s="681"/>
      <c r="H221" s="681"/>
      <c r="I221" s="686"/>
      <c r="J221" s="426"/>
      <c r="K221" s="426"/>
      <c r="L221" s="425"/>
      <c r="M221" s="428"/>
      <c r="N221" s="428"/>
      <c r="O221" s="17"/>
      <c r="P221" s="17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thickBot="1" x14ac:dyDescent="0.35">
      <c r="B222" s="431"/>
      <c r="C222" s="48"/>
      <c r="D222" s="49"/>
      <c r="E222" s="50"/>
      <c r="F222" s="50"/>
      <c r="G222" s="50"/>
      <c r="H222" s="50"/>
      <c r="I222" s="50"/>
      <c r="J222" s="48"/>
      <c r="K222" s="48"/>
      <c r="L222" s="51"/>
      <c r="M222" s="17"/>
      <c r="N222" s="17"/>
      <c r="O222" s="17"/>
      <c r="P222" s="17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thickBot="1" x14ac:dyDescent="0.35">
      <c r="B223" s="535" t="s">
        <v>105</v>
      </c>
      <c r="C223" s="45"/>
      <c r="D223" s="45"/>
      <c r="E223" s="45"/>
      <c r="F223" s="45"/>
      <c r="G223" s="45"/>
      <c r="H223" s="45"/>
      <c r="I223" s="45"/>
      <c r="J223" s="45"/>
      <c r="K223" s="45"/>
      <c r="L223" s="46"/>
      <c r="M223" s="17"/>
      <c r="N223" s="17"/>
      <c r="O223" s="17"/>
      <c r="P223" s="17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B224" s="47" t="s">
        <v>69</v>
      </c>
      <c r="C224" s="47" t="s">
        <v>70</v>
      </c>
      <c r="D224" s="47" t="s">
        <v>71</v>
      </c>
      <c r="E224" s="688" t="s">
        <v>99</v>
      </c>
      <c r="F224" s="682"/>
      <c r="G224" s="682"/>
      <c r="H224" s="682"/>
      <c r="I224" s="683"/>
      <c r="J224" s="47" t="s">
        <v>82</v>
      </c>
      <c r="K224" s="47" t="s">
        <v>84</v>
      </c>
      <c r="L224" s="47" t="s">
        <v>33</v>
      </c>
      <c r="M224" s="17"/>
      <c r="N224" s="17"/>
      <c r="O224" s="17"/>
      <c r="P224" s="17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thickBot="1" x14ac:dyDescent="0.35">
      <c r="B225" s="381"/>
      <c r="C225" s="379"/>
      <c r="D225" s="598"/>
      <c r="E225" s="687"/>
      <c r="F225" s="679"/>
      <c r="G225" s="679"/>
      <c r="H225" s="679"/>
      <c r="I225" s="680"/>
      <c r="J225" s="41"/>
      <c r="K225" s="39"/>
      <c r="L225" s="37"/>
      <c r="M225" s="17"/>
      <c r="N225" s="17"/>
      <c r="O225" s="17"/>
      <c r="P225" s="17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5.6" customHeight="1" thickBot="1" x14ac:dyDescent="0.35">
      <c r="B226" s="1120" t="s">
        <v>106</v>
      </c>
      <c r="C226" s="1121"/>
      <c r="D226" s="112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432" t="s">
        <v>98</v>
      </c>
      <c r="C227" s="432" t="s">
        <v>74</v>
      </c>
      <c r="D227" s="432" t="s">
        <v>75</v>
      </c>
      <c r="E227" s="54" t="s">
        <v>76</v>
      </c>
      <c r="F227" s="54"/>
      <c r="G227" s="54" t="s">
        <v>78</v>
      </c>
      <c r="H227" s="54" t="s">
        <v>107</v>
      </c>
      <c r="I227" s="1183" t="s">
        <v>99</v>
      </c>
      <c r="J227" s="1076"/>
      <c r="K227" s="1076"/>
      <c r="L227" s="1077"/>
      <c r="M227" s="54" t="s">
        <v>81</v>
      </c>
      <c r="N227" s="54" t="s">
        <v>82</v>
      </c>
      <c r="O227" s="54" t="s">
        <v>84</v>
      </c>
      <c r="P227" s="54" t="s">
        <v>100</v>
      </c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v>1</v>
      </c>
      <c r="C228" s="423" t="s">
        <v>273</v>
      </c>
      <c r="D228" s="379" t="s">
        <v>87</v>
      </c>
      <c r="E228" s="379" t="s">
        <v>92</v>
      </c>
      <c r="F228" s="379"/>
      <c r="G228" s="528">
        <v>46006</v>
      </c>
      <c r="H228" s="531">
        <v>35.088999999999999</v>
      </c>
      <c r="I228" s="1174" t="s">
        <v>679</v>
      </c>
      <c r="J228" s="1175"/>
      <c r="K228" s="1175"/>
      <c r="L228" s="1176"/>
      <c r="M228" s="528">
        <v>46011</v>
      </c>
      <c r="N228" s="498" t="s">
        <v>678</v>
      </c>
      <c r="O228" s="379">
        <v>35</v>
      </c>
      <c r="P228" s="37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v>2</v>
      </c>
      <c r="C229" s="375" t="s">
        <v>276</v>
      </c>
      <c r="D229" s="386" t="s">
        <v>87</v>
      </c>
      <c r="E229" s="375" t="s">
        <v>548</v>
      </c>
      <c r="F229" s="375"/>
      <c r="G229" s="533">
        <v>46013</v>
      </c>
      <c r="H229" s="531">
        <v>35.088999999999999</v>
      </c>
      <c r="I229" s="1174" t="s">
        <v>679</v>
      </c>
      <c r="J229" s="1175"/>
      <c r="K229" s="1175"/>
      <c r="L229" s="1176"/>
      <c r="M229" s="438">
        <v>46018</v>
      </c>
      <c r="N229" s="498" t="s">
        <v>678</v>
      </c>
      <c r="O229" s="379">
        <v>35</v>
      </c>
      <c r="P229" s="424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v>3</v>
      </c>
      <c r="C230" s="435" t="s">
        <v>326</v>
      </c>
      <c r="D230" s="379" t="s">
        <v>87</v>
      </c>
      <c r="E230" s="379" t="s">
        <v>92</v>
      </c>
      <c r="F230" s="436"/>
      <c r="G230" s="532">
        <v>46013</v>
      </c>
      <c r="H230" s="531">
        <v>35.088999999999999</v>
      </c>
      <c r="I230" s="1174" t="s">
        <v>679</v>
      </c>
      <c r="J230" s="1175"/>
      <c r="K230" s="1175"/>
      <c r="L230" s="1176"/>
      <c r="M230" s="519">
        <v>46022</v>
      </c>
      <c r="N230" s="499" t="s">
        <v>708</v>
      </c>
      <c r="O230" s="386">
        <v>49</v>
      </c>
      <c r="P230" s="386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81">
        <v>4</v>
      </c>
      <c r="C231" s="385" t="s">
        <v>271</v>
      </c>
      <c r="D231" s="386" t="s">
        <v>87</v>
      </c>
      <c r="E231" s="375" t="s">
        <v>548</v>
      </c>
      <c r="F231" s="385"/>
      <c r="G231" s="387">
        <v>46016</v>
      </c>
      <c r="H231" s="531">
        <v>35.088999999999999</v>
      </c>
      <c r="I231" s="1107" t="s">
        <v>679</v>
      </c>
      <c r="J231" s="1108"/>
      <c r="K231" s="1108"/>
      <c r="L231" s="1108"/>
      <c r="M231" s="387">
        <v>46032</v>
      </c>
      <c r="N231" s="499" t="s">
        <v>678</v>
      </c>
      <c r="O231" s="386">
        <v>35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2" customHeight="1" x14ac:dyDescent="0.3">
      <c r="B232" s="381">
        <v>5</v>
      </c>
      <c r="C232" s="385" t="s">
        <v>325</v>
      </c>
      <c r="D232" s="386" t="s">
        <v>87</v>
      </c>
      <c r="E232" s="375" t="s">
        <v>548</v>
      </c>
      <c r="F232" s="385"/>
      <c r="G232" s="387">
        <v>46016</v>
      </c>
      <c r="H232" s="531">
        <v>35.088999999999999</v>
      </c>
      <c r="I232" s="1174" t="s">
        <v>679</v>
      </c>
      <c r="J232" s="1175"/>
      <c r="K232" s="1175"/>
      <c r="L232" s="1176"/>
      <c r="M232" s="387">
        <v>46030</v>
      </c>
      <c r="N232" s="499" t="s">
        <v>708</v>
      </c>
      <c r="O232" s="386">
        <v>49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2" customHeight="1" x14ac:dyDescent="0.3">
      <c r="B233" s="381">
        <v>6</v>
      </c>
      <c r="C233" s="385" t="s">
        <v>270</v>
      </c>
      <c r="D233" s="385" t="s">
        <v>95</v>
      </c>
      <c r="E233" s="375" t="s">
        <v>548</v>
      </c>
      <c r="F233" s="385"/>
      <c r="G233" s="387">
        <v>46024</v>
      </c>
      <c r="H233" s="497">
        <v>41.88</v>
      </c>
      <c r="I233" s="1107" t="s">
        <v>679</v>
      </c>
      <c r="J233" s="1108"/>
      <c r="K233" s="1108"/>
      <c r="L233" s="1108"/>
      <c r="M233" s="387">
        <v>46032</v>
      </c>
      <c r="N233" s="499" t="s">
        <v>678</v>
      </c>
      <c r="O233" s="386">
        <v>35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381">
        <v>7</v>
      </c>
      <c r="C234" s="385" t="s">
        <v>323</v>
      </c>
      <c r="D234" s="386" t="s">
        <v>87</v>
      </c>
      <c r="E234" s="375" t="s">
        <v>548</v>
      </c>
      <c r="F234" s="385"/>
      <c r="G234" s="387">
        <v>46023</v>
      </c>
      <c r="H234" s="531">
        <v>35.088999999999999</v>
      </c>
      <c r="I234" s="1107" t="s">
        <v>679</v>
      </c>
      <c r="J234" s="1108"/>
      <c r="K234" s="1108"/>
      <c r="L234" s="1108"/>
      <c r="M234" s="387">
        <v>46035</v>
      </c>
      <c r="N234" s="499" t="s">
        <v>708</v>
      </c>
      <c r="O234" s="386">
        <v>49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3.5" customHeight="1" x14ac:dyDescent="0.3">
      <c r="B235" s="381">
        <v>8</v>
      </c>
      <c r="C235" s="385" t="s">
        <v>272</v>
      </c>
      <c r="D235" s="386" t="s">
        <v>87</v>
      </c>
      <c r="E235" s="375" t="s">
        <v>548</v>
      </c>
      <c r="F235" s="385"/>
      <c r="G235" s="387">
        <v>46031</v>
      </c>
      <c r="H235" s="531">
        <v>35.088999999999999</v>
      </c>
      <c r="I235" s="1107" t="s">
        <v>679</v>
      </c>
      <c r="J235" s="1108"/>
      <c r="K235" s="1108"/>
      <c r="L235" s="1108"/>
      <c r="M235" s="387">
        <v>46036</v>
      </c>
      <c r="N235" s="499" t="s">
        <v>678</v>
      </c>
      <c r="O235" s="386">
        <v>35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ht="13.2" customHeight="1" x14ac:dyDescent="0.3">
      <c r="B236" s="381">
        <v>9</v>
      </c>
      <c r="C236" s="385" t="s">
        <v>327</v>
      </c>
      <c r="D236" s="446" t="s">
        <v>87</v>
      </c>
      <c r="E236" s="375" t="s">
        <v>548</v>
      </c>
      <c r="F236" s="445"/>
      <c r="G236" s="387">
        <v>46029</v>
      </c>
      <c r="H236" s="531">
        <v>35.088999999999999</v>
      </c>
      <c r="I236" s="1107" t="s">
        <v>679</v>
      </c>
      <c r="J236" s="1108"/>
      <c r="K236" s="1108"/>
      <c r="L236" s="1108"/>
      <c r="M236" s="387">
        <v>46038</v>
      </c>
      <c r="N236" s="500" t="s">
        <v>682</v>
      </c>
      <c r="O236" s="385">
        <v>21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ht="13.5" customHeight="1" x14ac:dyDescent="0.3">
      <c r="B237" s="381">
        <v>10</v>
      </c>
      <c r="C237" s="385" t="s">
        <v>86</v>
      </c>
      <c r="D237" s="386" t="s">
        <v>87</v>
      </c>
      <c r="E237" s="385" t="s">
        <v>88</v>
      </c>
      <c r="F237" s="385"/>
      <c r="G237" s="623">
        <v>46033</v>
      </c>
      <c r="H237" s="593">
        <v>35.088999999999999</v>
      </c>
      <c r="I237" s="1107" t="s">
        <v>679</v>
      </c>
      <c r="J237" s="1108"/>
      <c r="K237" s="1108"/>
      <c r="L237" s="1108"/>
      <c r="M237" s="387">
        <v>46038</v>
      </c>
      <c r="N237" s="500" t="s">
        <v>707</v>
      </c>
      <c r="O237" s="385">
        <v>31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2" customHeight="1" x14ac:dyDescent="0.3">
      <c r="B238" s="381">
        <v>11</v>
      </c>
      <c r="C238" s="385" t="s">
        <v>96</v>
      </c>
      <c r="D238" s="385" t="s">
        <v>87</v>
      </c>
      <c r="E238" s="385" t="s">
        <v>92</v>
      </c>
      <c r="F238" s="385"/>
      <c r="G238" s="623">
        <v>46037</v>
      </c>
      <c r="H238" s="593">
        <v>35.088999999999999</v>
      </c>
      <c r="I238" s="1107" t="s">
        <v>679</v>
      </c>
      <c r="J238" s="1108"/>
      <c r="K238" s="1108"/>
      <c r="L238" s="1108"/>
      <c r="M238" s="387">
        <v>46042</v>
      </c>
      <c r="N238" s="500" t="s">
        <v>707</v>
      </c>
      <c r="O238" s="385">
        <v>31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381">
        <v>12</v>
      </c>
      <c r="C239" s="539" t="s">
        <v>278</v>
      </c>
      <c r="D239" s="539" t="s">
        <v>95</v>
      </c>
      <c r="E239" s="539" t="s">
        <v>548</v>
      </c>
      <c r="F239" s="539"/>
      <c r="G239" s="387">
        <v>46037</v>
      </c>
      <c r="H239" s="618">
        <v>41.88</v>
      </c>
      <c r="I239" s="1181" t="s">
        <v>679</v>
      </c>
      <c r="J239" s="1182"/>
      <c r="K239" s="1182"/>
      <c r="L239" s="1182"/>
      <c r="M239" s="599">
        <v>46043</v>
      </c>
      <c r="N239" s="619" t="s">
        <v>678</v>
      </c>
      <c r="O239" s="436">
        <v>35</v>
      </c>
      <c r="P239" s="53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381">
        <v>13</v>
      </c>
      <c r="C240" s="385" t="s">
        <v>330</v>
      </c>
      <c r="D240" s="385" t="s">
        <v>87</v>
      </c>
      <c r="E240" s="385" t="s">
        <v>92</v>
      </c>
      <c r="F240" s="385"/>
      <c r="G240" s="623">
        <v>46039</v>
      </c>
      <c r="H240" s="593">
        <v>35.088999999999999</v>
      </c>
      <c r="I240" s="1107" t="s">
        <v>679</v>
      </c>
      <c r="J240" s="1108"/>
      <c r="K240" s="1108"/>
      <c r="L240" s="1108"/>
      <c r="M240" s="387">
        <v>46043</v>
      </c>
      <c r="N240" s="500" t="s">
        <v>682</v>
      </c>
      <c r="O240" s="385">
        <v>21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3.5" customHeight="1" x14ac:dyDescent="0.3">
      <c r="B241" s="381">
        <v>14</v>
      </c>
      <c r="C241" s="385" t="s">
        <v>347</v>
      </c>
      <c r="D241" s="385" t="s">
        <v>87</v>
      </c>
      <c r="E241" s="385" t="s">
        <v>548</v>
      </c>
      <c r="F241" s="385"/>
      <c r="G241" s="623">
        <v>46038</v>
      </c>
      <c r="H241" s="593">
        <v>35.088999999999999</v>
      </c>
      <c r="I241" s="1107" t="s">
        <v>679</v>
      </c>
      <c r="J241" s="1108"/>
      <c r="K241" s="1108"/>
      <c r="L241" s="1108"/>
      <c r="M241" s="387">
        <v>46043</v>
      </c>
      <c r="N241" s="500" t="s">
        <v>710</v>
      </c>
      <c r="O241" s="385">
        <v>32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3.5" customHeight="1" x14ac:dyDescent="0.3">
      <c r="B242" s="381">
        <v>15</v>
      </c>
      <c r="C242" s="385" t="s">
        <v>403</v>
      </c>
      <c r="D242" s="385" t="s">
        <v>87</v>
      </c>
      <c r="E242" s="385" t="s">
        <v>92</v>
      </c>
      <c r="F242" s="385"/>
      <c r="G242" s="623">
        <v>46039</v>
      </c>
      <c r="H242" s="593">
        <v>35.088999999999999</v>
      </c>
      <c r="I242" s="1107" t="s">
        <v>679</v>
      </c>
      <c r="J242" s="1108"/>
      <c r="K242" s="1108"/>
      <c r="L242" s="1108"/>
      <c r="M242" s="387">
        <v>46043</v>
      </c>
      <c r="N242" s="540" t="s">
        <v>709</v>
      </c>
      <c r="O242" s="385">
        <v>45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3.5" customHeight="1" x14ac:dyDescent="0.3">
      <c r="B243" s="381">
        <v>16</v>
      </c>
      <c r="C243" s="385" t="s">
        <v>348</v>
      </c>
      <c r="D243" s="386" t="s">
        <v>87</v>
      </c>
      <c r="E243" s="385" t="s">
        <v>548</v>
      </c>
      <c r="F243" s="385"/>
      <c r="G243" s="623">
        <v>46041</v>
      </c>
      <c r="H243" s="593">
        <v>35.088999999999999</v>
      </c>
      <c r="I243" s="1107" t="s">
        <v>679</v>
      </c>
      <c r="J243" s="1108"/>
      <c r="K243" s="1108"/>
      <c r="L243" s="1108"/>
      <c r="M243" s="387">
        <v>46046</v>
      </c>
      <c r="N243" s="500" t="s">
        <v>710</v>
      </c>
      <c r="O243" s="385">
        <v>32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3.5" customHeight="1" x14ac:dyDescent="0.3">
      <c r="B244" s="381">
        <v>17</v>
      </c>
      <c r="C244" s="385" t="s">
        <v>94</v>
      </c>
      <c r="D244" s="385" t="s">
        <v>95</v>
      </c>
      <c r="E244" s="385" t="s">
        <v>547</v>
      </c>
      <c r="F244" s="385"/>
      <c r="G244" s="623">
        <v>46041</v>
      </c>
      <c r="H244" s="497">
        <v>41.88</v>
      </c>
      <c r="I244" s="1107" t="s">
        <v>679</v>
      </c>
      <c r="J244" s="1108"/>
      <c r="K244" s="1108"/>
      <c r="L244" s="1108"/>
      <c r="M244" s="387">
        <v>46047</v>
      </c>
      <c r="N244" s="500" t="s">
        <v>707</v>
      </c>
      <c r="O244" s="385">
        <v>31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3.5" customHeight="1" x14ac:dyDescent="0.3">
      <c r="B245" s="381">
        <v>18</v>
      </c>
      <c r="C245" s="385" t="s">
        <v>279</v>
      </c>
      <c r="D245" s="386" t="s">
        <v>87</v>
      </c>
      <c r="E245" s="385" t="s">
        <v>548</v>
      </c>
      <c r="F245" s="385"/>
      <c r="G245" s="387">
        <v>46044</v>
      </c>
      <c r="H245" s="531">
        <v>35.088999999999999</v>
      </c>
      <c r="I245" s="1107" t="s">
        <v>679</v>
      </c>
      <c r="J245" s="1108"/>
      <c r="K245" s="1108"/>
      <c r="L245" s="1108"/>
      <c r="M245" s="387">
        <v>46049</v>
      </c>
      <c r="N245" s="500" t="s">
        <v>678</v>
      </c>
      <c r="O245" s="386">
        <v>35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3.5" customHeight="1" x14ac:dyDescent="0.3">
      <c r="B246" s="381">
        <v>19</v>
      </c>
      <c r="C246" s="385" t="s">
        <v>402</v>
      </c>
      <c r="D246" s="385" t="s">
        <v>87</v>
      </c>
      <c r="E246" s="385" t="s">
        <v>92</v>
      </c>
      <c r="F246" s="385"/>
      <c r="G246" s="623">
        <v>46045</v>
      </c>
      <c r="H246" s="593">
        <v>35.088999999999999</v>
      </c>
      <c r="I246" s="1107" t="s">
        <v>679</v>
      </c>
      <c r="J246" s="1108"/>
      <c r="K246" s="1108"/>
      <c r="L246" s="1108"/>
      <c r="M246" s="387">
        <v>46049</v>
      </c>
      <c r="N246" s="540" t="s">
        <v>709</v>
      </c>
      <c r="O246" s="385">
        <v>45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3.5" customHeight="1" x14ac:dyDescent="0.3">
      <c r="B247" s="381">
        <v>20</v>
      </c>
      <c r="C247" s="385" t="s">
        <v>346</v>
      </c>
      <c r="D247" s="385" t="s">
        <v>95</v>
      </c>
      <c r="E247" s="385" t="s">
        <v>548</v>
      </c>
      <c r="F247" s="385"/>
      <c r="G247" s="623">
        <v>46047</v>
      </c>
      <c r="H247" s="497">
        <v>41.88</v>
      </c>
      <c r="I247" s="1107" t="s">
        <v>679</v>
      </c>
      <c r="J247" s="1108"/>
      <c r="K247" s="1108"/>
      <c r="L247" s="1108"/>
      <c r="M247" s="387">
        <v>46050</v>
      </c>
      <c r="N247" s="500" t="s">
        <v>710</v>
      </c>
      <c r="O247" s="385">
        <v>32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3.5" customHeight="1" x14ac:dyDescent="0.3">
      <c r="B248" s="381">
        <v>21</v>
      </c>
      <c r="C248" s="385" t="s">
        <v>399</v>
      </c>
      <c r="D248" s="386" t="s">
        <v>87</v>
      </c>
      <c r="E248" s="375" t="s">
        <v>548</v>
      </c>
      <c r="F248" s="385"/>
      <c r="G248" s="387">
        <v>46034</v>
      </c>
      <c r="H248" s="593">
        <v>35.088999999999999</v>
      </c>
      <c r="I248" s="1107" t="s">
        <v>679</v>
      </c>
      <c r="J248" s="1108"/>
      <c r="K248" s="1108"/>
      <c r="L248" s="1108"/>
      <c r="M248" s="387">
        <v>46051</v>
      </c>
      <c r="N248" s="499" t="s">
        <v>708</v>
      </c>
      <c r="O248" s="386">
        <v>49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ht="13.5" customHeight="1" x14ac:dyDescent="0.3">
      <c r="B249" s="381">
        <v>22</v>
      </c>
      <c r="C249" s="385" t="s">
        <v>333</v>
      </c>
      <c r="D249" s="385" t="s">
        <v>91</v>
      </c>
      <c r="E249" s="385" t="s">
        <v>548</v>
      </c>
      <c r="F249" s="385"/>
      <c r="G249" s="623">
        <v>46048</v>
      </c>
      <c r="H249" s="497">
        <v>36.771000000000001</v>
      </c>
      <c r="I249" s="1107" t="s">
        <v>679</v>
      </c>
      <c r="J249" s="1108"/>
      <c r="K249" s="1108"/>
      <c r="L249" s="1108"/>
      <c r="M249" s="387">
        <v>46052</v>
      </c>
      <c r="N249" s="500" t="s">
        <v>682</v>
      </c>
      <c r="O249" s="385">
        <v>21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ht="13.5" customHeight="1" x14ac:dyDescent="0.3">
      <c r="B250" s="381">
        <v>23</v>
      </c>
      <c r="C250" s="385" t="s">
        <v>338</v>
      </c>
      <c r="D250" s="385" t="s">
        <v>95</v>
      </c>
      <c r="E250" s="385" t="s">
        <v>92</v>
      </c>
      <c r="F250" s="385"/>
      <c r="G250" s="623">
        <v>46049</v>
      </c>
      <c r="H250" s="497">
        <v>41.88</v>
      </c>
      <c r="I250" s="1107" t="s">
        <v>679</v>
      </c>
      <c r="J250" s="1108"/>
      <c r="K250" s="1108"/>
      <c r="L250" s="1108"/>
      <c r="M250" s="387">
        <v>46053</v>
      </c>
      <c r="N250" s="500" t="s">
        <v>707</v>
      </c>
      <c r="O250" s="385">
        <v>31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ht="14.4" customHeight="1" x14ac:dyDescent="0.3">
      <c r="B251" s="381">
        <v>24</v>
      </c>
      <c r="C251" s="385" t="s">
        <v>406</v>
      </c>
      <c r="D251" s="385" t="s">
        <v>91</v>
      </c>
      <c r="E251" s="385" t="s">
        <v>92</v>
      </c>
      <c r="F251" s="385"/>
      <c r="G251" s="387">
        <v>46049</v>
      </c>
      <c r="H251" s="497">
        <v>36.771000000000001</v>
      </c>
      <c r="I251" s="1107" t="s">
        <v>679</v>
      </c>
      <c r="J251" s="1108"/>
      <c r="K251" s="1108"/>
      <c r="L251" s="1108"/>
      <c r="M251" s="387">
        <v>46053</v>
      </c>
      <c r="N251" s="499" t="s">
        <v>709</v>
      </c>
      <c r="O251" s="385">
        <v>45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s="813" customFormat="1" ht="13.5" customHeight="1" x14ac:dyDescent="0.3">
      <c r="B252" s="381">
        <v>25</v>
      </c>
      <c r="C252" s="691" t="s">
        <v>281</v>
      </c>
      <c r="D252" s="691" t="s">
        <v>87</v>
      </c>
      <c r="E252" s="691" t="s">
        <v>92</v>
      </c>
      <c r="F252" s="691"/>
      <c r="G252" s="814">
        <v>46049</v>
      </c>
      <c r="H252" s="815">
        <v>35.088999999999999</v>
      </c>
      <c r="I252" s="1107" t="s">
        <v>679</v>
      </c>
      <c r="J252" s="1108"/>
      <c r="K252" s="1108"/>
      <c r="L252" s="1108"/>
      <c r="M252" s="814">
        <v>46055</v>
      </c>
      <c r="N252" s="816" t="s">
        <v>678</v>
      </c>
      <c r="O252" s="817">
        <v>35</v>
      </c>
      <c r="P252" s="691"/>
      <c r="Q252" s="818"/>
      <c r="R252" s="818"/>
      <c r="S252" s="818"/>
      <c r="T252" s="818"/>
      <c r="U252" s="818"/>
      <c r="V252" s="818"/>
      <c r="W252" s="818"/>
      <c r="X252" s="818"/>
      <c r="Y252" s="818"/>
      <c r="Z252" s="818"/>
    </row>
    <row r="253" spans="2:26" ht="13.5" customHeight="1" x14ac:dyDescent="0.3">
      <c r="B253" s="381">
        <v>26</v>
      </c>
      <c r="C253" s="385" t="s">
        <v>400</v>
      </c>
      <c r="D253" s="385" t="s">
        <v>87</v>
      </c>
      <c r="E253" s="385" t="s">
        <v>92</v>
      </c>
      <c r="F253" s="385"/>
      <c r="G253" s="387">
        <v>46052</v>
      </c>
      <c r="H253" s="593">
        <v>35.088999999999999</v>
      </c>
      <c r="I253" s="1107" t="s">
        <v>679</v>
      </c>
      <c r="J253" s="1108"/>
      <c r="K253" s="1108"/>
      <c r="L253" s="1108"/>
      <c r="M253" s="387">
        <v>46056</v>
      </c>
      <c r="N253" s="499" t="s">
        <v>708</v>
      </c>
      <c r="O253" s="386">
        <v>49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3.5" customHeight="1" x14ac:dyDescent="0.3">
      <c r="B254" s="381">
        <v>27</v>
      </c>
      <c r="C254" s="633" t="s">
        <v>352</v>
      </c>
      <c r="D254" s="375" t="s">
        <v>87</v>
      </c>
      <c r="E254" s="433" t="s">
        <v>699</v>
      </c>
      <c r="F254" s="385"/>
      <c r="G254" s="387">
        <v>46053</v>
      </c>
      <c r="H254" s="593">
        <v>35.088999999999999</v>
      </c>
      <c r="I254" s="1107" t="s">
        <v>679</v>
      </c>
      <c r="J254" s="1108"/>
      <c r="K254" s="1108"/>
      <c r="L254" s="1108"/>
      <c r="M254" s="387">
        <v>46056</v>
      </c>
      <c r="N254" s="500" t="s">
        <v>710</v>
      </c>
      <c r="O254" s="385">
        <v>32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3.5" customHeight="1" x14ac:dyDescent="0.3">
      <c r="B255" s="381">
        <v>28</v>
      </c>
      <c r="C255" s="433" t="s">
        <v>339</v>
      </c>
      <c r="D255" s="375" t="s">
        <v>113</v>
      </c>
      <c r="E255" s="433" t="s">
        <v>92</v>
      </c>
      <c r="F255" s="385"/>
      <c r="G255" s="387">
        <v>46054</v>
      </c>
      <c r="H255" s="593">
        <v>43.575000000000003</v>
      </c>
      <c r="I255" s="1107" t="s">
        <v>679</v>
      </c>
      <c r="J255" s="1108"/>
      <c r="K255" s="1108"/>
      <c r="L255" s="1108"/>
      <c r="M255" s="387">
        <v>46057</v>
      </c>
      <c r="N255" s="500" t="s">
        <v>707</v>
      </c>
      <c r="O255" s="385">
        <v>31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3.5" customHeight="1" x14ac:dyDescent="0.3">
      <c r="B256" s="381">
        <v>29</v>
      </c>
      <c r="C256" s="385" t="s">
        <v>349</v>
      </c>
      <c r="D256" s="385" t="s">
        <v>113</v>
      </c>
      <c r="E256" s="385" t="s">
        <v>548</v>
      </c>
      <c r="F256" s="385"/>
      <c r="G256" s="387">
        <v>46050</v>
      </c>
      <c r="H256" s="593">
        <v>43.575000000000003</v>
      </c>
      <c r="I256" s="1107" t="s">
        <v>679</v>
      </c>
      <c r="J256" s="1108"/>
      <c r="K256" s="1108"/>
      <c r="L256" s="1108"/>
      <c r="M256" s="387">
        <v>46058</v>
      </c>
      <c r="N256" s="500" t="s">
        <v>710</v>
      </c>
      <c r="O256" s="385">
        <v>32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customHeight="1" x14ac:dyDescent="0.3">
      <c r="B257" s="381">
        <v>30</v>
      </c>
      <c r="C257" s="433" t="s">
        <v>405</v>
      </c>
      <c r="D257" s="375" t="s">
        <v>91</v>
      </c>
      <c r="E257" s="433" t="s">
        <v>547</v>
      </c>
      <c r="F257" s="385"/>
      <c r="G257" s="387">
        <v>46052</v>
      </c>
      <c r="H257" s="497">
        <v>36.771000000000001</v>
      </c>
      <c r="I257" s="1107" t="s">
        <v>679</v>
      </c>
      <c r="J257" s="1108"/>
      <c r="K257" s="1108"/>
      <c r="L257" s="1108"/>
      <c r="M257" s="387">
        <v>46058</v>
      </c>
      <c r="N257" s="499" t="s">
        <v>709</v>
      </c>
      <c r="O257" s="385">
        <v>45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B258" s="381">
        <v>31</v>
      </c>
      <c r="C258" s="632" t="s">
        <v>265</v>
      </c>
      <c r="D258" s="375" t="s">
        <v>87</v>
      </c>
      <c r="E258" s="433" t="s">
        <v>88</v>
      </c>
      <c r="F258" s="385"/>
      <c r="G258" s="387">
        <v>46059</v>
      </c>
      <c r="H258" s="593">
        <v>35.088999999999999</v>
      </c>
      <c r="I258" s="1107" t="s">
        <v>679</v>
      </c>
      <c r="J258" s="1108"/>
      <c r="K258" s="1108"/>
      <c r="L258" s="1108"/>
      <c r="M258" s="387">
        <v>46062</v>
      </c>
      <c r="N258" s="500" t="s">
        <v>707</v>
      </c>
      <c r="O258" s="385">
        <v>35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customHeight="1" x14ac:dyDescent="0.3">
      <c r="B259" s="381">
        <v>32</v>
      </c>
      <c r="C259" s="385" t="s">
        <v>398</v>
      </c>
      <c r="D259" s="385" t="s">
        <v>87</v>
      </c>
      <c r="E259" s="385" t="s">
        <v>92</v>
      </c>
      <c r="F259" s="385"/>
      <c r="G259" s="387">
        <v>46361</v>
      </c>
      <c r="H259" s="593">
        <v>35.088999999999999</v>
      </c>
      <c r="I259" s="1107" t="s">
        <v>679</v>
      </c>
      <c r="J259" s="1108"/>
      <c r="K259" s="1108"/>
      <c r="L259" s="1108"/>
      <c r="M259" s="387">
        <v>46062</v>
      </c>
      <c r="N259" s="499" t="s">
        <v>708</v>
      </c>
      <c r="O259" s="386">
        <v>49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B260" s="381">
        <v>33</v>
      </c>
      <c r="C260" s="385" t="s">
        <v>469</v>
      </c>
      <c r="D260" s="385" t="s">
        <v>565</v>
      </c>
      <c r="E260" s="433" t="s">
        <v>92</v>
      </c>
      <c r="F260" s="385"/>
      <c r="G260" s="387">
        <v>46058</v>
      </c>
      <c r="H260" s="593">
        <v>54.72</v>
      </c>
      <c r="I260" s="1107" t="s">
        <v>679</v>
      </c>
      <c r="J260" s="1108"/>
      <c r="K260" s="1108"/>
      <c r="L260" s="1108"/>
      <c r="M260" s="387">
        <v>46063</v>
      </c>
      <c r="N260" s="500" t="s">
        <v>710</v>
      </c>
      <c r="O260" s="385">
        <v>32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81">
        <v>34</v>
      </c>
      <c r="C261" s="385" t="s">
        <v>263</v>
      </c>
      <c r="D261" s="436" t="s">
        <v>87</v>
      </c>
      <c r="E261" s="384" t="s">
        <v>548</v>
      </c>
      <c r="F261" s="385"/>
      <c r="G261" s="387">
        <v>46056</v>
      </c>
      <c r="H261" s="593">
        <v>35.088999999999999</v>
      </c>
      <c r="I261" s="1107" t="s">
        <v>679</v>
      </c>
      <c r="J261" s="1108"/>
      <c r="K261" s="1108"/>
      <c r="L261" s="1108"/>
      <c r="M261" s="387">
        <v>46064</v>
      </c>
      <c r="N261" s="499" t="s">
        <v>678</v>
      </c>
      <c r="O261" s="386">
        <v>35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81">
        <v>35</v>
      </c>
      <c r="C262" s="636" t="s">
        <v>414</v>
      </c>
      <c r="D262" s="516" t="s">
        <v>87</v>
      </c>
      <c r="E262" s="447" t="s">
        <v>92</v>
      </c>
      <c r="F262" s="539"/>
      <c r="G262" s="387">
        <v>46058</v>
      </c>
      <c r="H262" s="637">
        <v>35.088999999999999</v>
      </c>
      <c r="I262" s="1107" t="s">
        <v>679</v>
      </c>
      <c r="J262" s="1108"/>
      <c r="K262" s="1108"/>
      <c r="L262" s="1108"/>
      <c r="M262" s="599">
        <v>46065</v>
      </c>
      <c r="N262" s="619" t="s">
        <v>709</v>
      </c>
      <c r="O262" s="539">
        <v>45</v>
      </c>
      <c r="P262" s="53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381">
        <v>36</v>
      </c>
      <c r="C263" s="385" t="s">
        <v>266</v>
      </c>
      <c r="D263" s="385" t="s">
        <v>95</v>
      </c>
      <c r="E263" s="385" t="s">
        <v>548</v>
      </c>
      <c r="F263" s="385"/>
      <c r="G263" s="387">
        <v>46063</v>
      </c>
      <c r="H263" s="497">
        <v>41.88</v>
      </c>
      <c r="I263" s="1107" t="s">
        <v>679</v>
      </c>
      <c r="J263" s="1108"/>
      <c r="K263" s="1108"/>
      <c r="L263" s="1108"/>
      <c r="M263" s="599">
        <v>46066</v>
      </c>
      <c r="N263" s="500" t="s">
        <v>707</v>
      </c>
      <c r="O263" s="539">
        <v>31</v>
      </c>
      <c r="P263" s="53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81">
        <v>37</v>
      </c>
      <c r="C264" s="385" t="s">
        <v>93</v>
      </c>
      <c r="D264" s="375" t="s">
        <v>87</v>
      </c>
      <c r="E264" s="433" t="s">
        <v>92</v>
      </c>
      <c r="F264" s="385"/>
      <c r="G264" s="387">
        <v>46063</v>
      </c>
      <c r="H264" s="593">
        <v>35.088999999999999</v>
      </c>
      <c r="I264" s="1107" t="s">
        <v>679</v>
      </c>
      <c r="J264" s="1108"/>
      <c r="K264" s="1108"/>
      <c r="L264" s="1108"/>
      <c r="M264" s="599">
        <v>46066</v>
      </c>
      <c r="N264" s="500" t="s">
        <v>710</v>
      </c>
      <c r="O264" s="385">
        <v>32</v>
      </c>
      <c r="P264" s="53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381">
        <v>38</v>
      </c>
      <c r="C265" s="433" t="s">
        <v>401</v>
      </c>
      <c r="D265" s="375" t="s">
        <v>87</v>
      </c>
      <c r="E265" s="433" t="s">
        <v>548</v>
      </c>
      <c r="F265" s="385"/>
      <c r="G265" s="387">
        <v>46053</v>
      </c>
      <c r="H265" s="593">
        <v>35.088999999999999</v>
      </c>
      <c r="I265" s="1107" t="s">
        <v>679</v>
      </c>
      <c r="J265" s="1108"/>
      <c r="K265" s="1108"/>
      <c r="L265" s="1108"/>
      <c r="M265" s="387">
        <v>46069</v>
      </c>
      <c r="N265" s="499" t="s">
        <v>708</v>
      </c>
      <c r="O265" s="385">
        <v>49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81">
        <v>39</v>
      </c>
      <c r="C266" s="385" t="s">
        <v>621</v>
      </c>
      <c r="D266" s="375" t="s">
        <v>87</v>
      </c>
      <c r="E266" s="433" t="s">
        <v>548</v>
      </c>
      <c r="F266" s="385"/>
      <c r="G266" s="387">
        <v>46065</v>
      </c>
      <c r="H266" s="593">
        <v>35.088999999999999</v>
      </c>
      <c r="I266" s="1107" t="s">
        <v>679</v>
      </c>
      <c r="J266" s="1108"/>
      <c r="K266" s="1108"/>
      <c r="L266" s="1108"/>
      <c r="M266" s="387">
        <v>46069</v>
      </c>
      <c r="N266" s="499" t="s">
        <v>709</v>
      </c>
      <c r="O266" s="385">
        <v>45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381">
        <v>40</v>
      </c>
      <c r="C267" s="375" t="s">
        <v>632</v>
      </c>
      <c r="D267" s="375" t="s">
        <v>87</v>
      </c>
      <c r="E267" s="375" t="s">
        <v>92</v>
      </c>
      <c r="F267" s="375"/>
      <c r="G267" s="533">
        <v>46067</v>
      </c>
      <c r="H267" s="593">
        <v>35.088999999999999</v>
      </c>
      <c r="I267" s="1107" t="s">
        <v>679</v>
      </c>
      <c r="J267" s="1108"/>
      <c r="K267" s="1108"/>
      <c r="L267" s="1108"/>
      <c r="M267" s="387">
        <v>46070</v>
      </c>
      <c r="N267" s="499" t="s">
        <v>710</v>
      </c>
      <c r="O267" s="385">
        <v>32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81">
        <v>41</v>
      </c>
      <c r="C268" s="385" t="s">
        <v>255</v>
      </c>
      <c r="D268" s="375" t="s">
        <v>87</v>
      </c>
      <c r="E268" s="433" t="s">
        <v>548</v>
      </c>
      <c r="F268" s="385"/>
      <c r="G268" s="387">
        <v>46067</v>
      </c>
      <c r="H268" s="593">
        <v>35.088999999999999</v>
      </c>
      <c r="I268" s="1107" t="s">
        <v>679</v>
      </c>
      <c r="J268" s="1108"/>
      <c r="K268" s="1108"/>
      <c r="L268" s="1108"/>
      <c r="M268" s="387">
        <v>46070</v>
      </c>
      <c r="N268" s="499" t="s">
        <v>707</v>
      </c>
      <c r="O268" s="385">
        <v>35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81">
        <v>42</v>
      </c>
      <c r="C269" s="539" t="s">
        <v>633</v>
      </c>
      <c r="D269" s="516" t="s">
        <v>87</v>
      </c>
      <c r="E269" s="447" t="s">
        <v>547</v>
      </c>
      <c r="F269" s="539"/>
      <c r="G269" s="599">
        <v>46068</v>
      </c>
      <c r="H269" s="637">
        <v>35.088999999999999</v>
      </c>
      <c r="I269" s="1107" t="s">
        <v>679</v>
      </c>
      <c r="J269" s="1108"/>
      <c r="K269" s="1108"/>
      <c r="L269" s="1108"/>
      <c r="M269" s="599">
        <v>46072</v>
      </c>
      <c r="N269" s="619" t="s">
        <v>710</v>
      </c>
      <c r="O269" s="539">
        <v>32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381">
        <v>43</v>
      </c>
      <c r="C270" s="539" t="s">
        <v>264</v>
      </c>
      <c r="D270" s="375" t="s">
        <v>565</v>
      </c>
      <c r="E270" s="447" t="s">
        <v>548</v>
      </c>
      <c r="F270" s="539"/>
      <c r="G270" s="599">
        <v>46065</v>
      </c>
      <c r="H270" s="637">
        <v>54.72</v>
      </c>
      <c r="I270" s="1107" t="s">
        <v>679</v>
      </c>
      <c r="J270" s="1108"/>
      <c r="K270" s="1108"/>
      <c r="L270" s="1108"/>
      <c r="M270" s="599">
        <v>46073</v>
      </c>
      <c r="N270" s="619" t="s">
        <v>678</v>
      </c>
      <c r="O270" s="539">
        <v>35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381">
        <v>44</v>
      </c>
      <c r="C271" s="868" t="s">
        <v>413</v>
      </c>
      <c r="D271" s="375" t="s">
        <v>87</v>
      </c>
      <c r="E271" s="375" t="s">
        <v>548</v>
      </c>
      <c r="F271" s="375"/>
      <c r="G271" s="533">
        <v>46069</v>
      </c>
      <c r="H271" s="593">
        <v>35.088999999999999</v>
      </c>
      <c r="I271" s="1107" t="s">
        <v>679</v>
      </c>
      <c r="J271" s="1108"/>
      <c r="K271" s="1108"/>
      <c r="L271" s="1108"/>
      <c r="M271" s="599">
        <v>46073</v>
      </c>
      <c r="N271" s="499" t="s">
        <v>709</v>
      </c>
      <c r="O271" s="385">
        <v>45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81">
        <v>45</v>
      </c>
      <c r="C272" s="385" t="s">
        <v>423</v>
      </c>
      <c r="D272" s="375" t="s">
        <v>700</v>
      </c>
      <c r="E272" s="433" t="s">
        <v>92</v>
      </c>
      <c r="F272" s="385"/>
      <c r="G272" s="387">
        <v>46070</v>
      </c>
      <c r="H272" s="593">
        <v>54.72</v>
      </c>
      <c r="I272" s="1107" t="s">
        <v>679</v>
      </c>
      <c r="J272" s="1108"/>
      <c r="K272" s="1108"/>
      <c r="L272" s="1108"/>
      <c r="M272" s="387">
        <v>46074</v>
      </c>
      <c r="N272" s="499" t="s">
        <v>707</v>
      </c>
      <c r="O272" s="385">
        <v>35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81">
        <v>46</v>
      </c>
      <c r="C273" s="445" t="s">
        <v>630</v>
      </c>
      <c r="D273" s="375" t="s">
        <v>87</v>
      </c>
      <c r="E273" s="433" t="s">
        <v>92</v>
      </c>
      <c r="F273" s="385"/>
      <c r="G273" s="387">
        <v>46073</v>
      </c>
      <c r="H273" s="593">
        <v>35.088999999999999</v>
      </c>
      <c r="I273" s="1107" t="s">
        <v>679</v>
      </c>
      <c r="J273" s="1108"/>
      <c r="K273" s="1108"/>
      <c r="L273" s="1108"/>
      <c r="M273" s="387">
        <v>46075</v>
      </c>
      <c r="N273" s="499" t="s">
        <v>710</v>
      </c>
      <c r="O273" s="385">
        <v>32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81">
        <v>47</v>
      </c>
      <c r="C274" s="445" t="s">
        <v>409</v>
      </c>
      <c r="D274" s="375" t="s">
        <v>87</v>
      </c>
      <c r="E274" s="433" t="s">
        <v>92</v>
      </c>
      <c r="F274" s="385"/>
      <c r="G274" s="387">
        <v>46061</v>
      </c>
      <c r="H274" s="593">
        <v>35.088999999999999</v>
      </c>
      <c r="I274" s="1107" t="s">
        <v>679</v>
      </c>
      <c r="J274" s="1108"/>
      <c r="K274" s="1108"/>
      <c r="L274" s="1108"/>
      <c r="M274" s="387">
        <v>46077</v>
      </c>
      <c r="N274" s="499" t="s">
        <v>709</v>
      </c>
      <c r="O274" s="385">
        <v>45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81">
        <v>48</v>
      </c>
      <c r="C275" s="867" t="s">
        <v>631</v>
      </c>
      <c r="D275" s="375" t="s">
        <v>87</v>
      </c>
      <c r="E275" s="433" t="s">
        <v>92</v>
      </c>
      <c r="F275" s="385"/>
      <c r="G275" s="387">
        <v>46075</v>
      </c>
      <c r="H275" s="593">
        <v>35.088999999999999</v>
      </c>
      <c r="I275" s="1107" t="s">
        <v>679</v>
      </c>
      <c r="J275" s="1108"/>
      <c r="K275" s="1108"/>
      <c r="L275" s="1108"/>
      <c r="M275" s="387">
        <v>46077</v>
      </c>
      <c r="N275" s="499" t="s">
        <v>710</v>
      </c>
      <c r="O275" s="385">
        <v>32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381">
        <v>49</v>
      </c>
      <c r="C276" s="541" t="s">
        <v>247</v>
      </c>
      <c r="D276" s="667" t="s">
        <v>91</v>
      </c>
      <c r="E276" s="666" t="s">
        <v>92</v>
      </c>
      <c r="F276" s="385"/>
      <c r="G276" s="697">
        <v>46075</v>
      </c>
      <c r="H276" s="698">
        <v>36.771000000000001</v>
      </c>
      <c r="I276" s="1107" t="s">
        <v>679</v>
      </c>
      <c r="J276" s="1108"/>
      <c r="K276" s="1108"/>
      <c r="L276" s="1108"/>
      <c r="M276" s="697">
        <v>46078</v>
      </c>
      <c r="N276" s="700" t="s">
        <v>707</v>
      </c>
      <c r="O276" s="699">
        <v>40</v>
      </c>
      <c r="P276" s="699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81">
        <v>50</v>
      </c>
      <c r="C277" s="541" t="s">
        <v>259</v>
      </c>
      <c r="D277" s="375" t="s">
        <v>91</v>
      </c>
      <c r="E277" s="433" t="s">
        <v>548</v>
      </c>
      <c r="F277" s="17"/>
      <c r="G277" s="387">
        <v>46073</v>
      </c>
      <c r="H277" s="497">
        <v>36.771000000000001</v>
      </c>
      <c r="I277" s="1107" t="s">
        <v>679</v>
      </c>
      <c r="J277" s="1108"/>
      <c r="K277" s="1108"/>
      <c r="L277" s="1108"/>
      <c r="M277" s="387">
        <v>46079</v>
      </c>
      <c r="N277" s="619" t="s">
        <v>678</v>
      </c>
      <c r="O277" s="539">
        <v>30</v>
      </c>
      <c r="P277" s="38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81">
        <v>51</v>
      </c>
      <c r="C278" s="445" t="s">
        <v>629</v>
      </c>
      <c r="D278" s="622" t="s">
        <v>87</v>
      </c>
      <c r="E278" s="433" t="s">
        <v>92</v>
      </c>
      <c r="F278" s="385"/>
      <c r="G278" s="387">
        <v>46077</v>
      </c>
      <c r="H278" s="593">
        <v>35.088999999999999</v>
      </c>
      <c r="I278" s="1107" t="s">
        <v>679</v>
      </c>
      <c r="J278" s="1108"/>
      <c r="K278" s="1108"/>
      <c r="L278" s="1108"/>
      <c r="M278" s="387">
        <v>46080</v>
      </c>
      <c r="N278" s="499" t="s">
        <v>710</v>
      </c>
      <c r="O278" s="385">
        <v>32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81">
        <v>52</v>
      </c>
      <c r="C279" s="385" t="s">
        <v>332</v>
      </c>
      <c r="D279" s="622" t="s">
        <v>87</v>
      </c>
      <c r="E279" s="433" t="s">
        <v>92</v>
      </c>
      <c r="F279" s="385"/>
      <c r="G279" s="387">
        <v>46077</v>
      </c>
      <c r="H279" s="593">
        <v>35.088999999999999</v>
      </c>
      <c r="I279" s="1107" t="s">
        <v>679</v>
      </c>
      <c r="J279" s="1108"/>
      <c r="K279" s="1108"/>
      <c r="L279" s="1108"/>
      <c r="M279" s="387">
        <v>46081</v>
      </c>
      <c r="N279" s="500" t="s">
        <v>765</v>
      </c>
      <c r="O279" s="385">
        <v>24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81">
        <v>53</v>
      </c>
      <c r="C280" s="701" t="s">
        <v>248</v>
      </c>
      <c r="D280" s="375" t="s">
        <v>87</v>
      </c>
      <c r="E280" s="433" t="s">
        <v>548</v>
      </c>
      <c r="F280" s="17"/>
      <c r="G280" s="387">
        <v>46078</v>
      </c>
      <c r="H280" s="593">
        <v>35.088999999999999</v>
      </c>
      <c r="I280" s="1107" t="s">
        <v>679</v>
      </c>
      <c r="J280" s="1108"/>
      <c r="K280" s="1108"/>
      <c r="L280" s="1108"/>
      <c r="M280" s="387">
        <v>46081</v>
      </c>
      <c r="N280" s="500" t="s">
        <v>707</v>
      </c>
      <c r="O280" s="385">
        <v>40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81">
        <v>54</v>
      </c>
      <c r="C281" s="375" t="s">
        <v>623</v>
      </c>
      <c r="D281" s="375" t="s">
        <v>87</v>
      </c>
      <c r="E281" s="375" t="s">
        <v>548</v>
      </c>
      <c r="F281" s="902"/>
      <c r="G281" s="903">
        <v>46080</v>
      </c>
      <c r="H281" s="904">
        <v>35.088999999999999</v>
      </c>
      <c r="I281" s="1179" t="s">
        <v>679</v>
      </c>
      <c r="J281" s="1180"/>
      <c r="K281" s="1180"/>
      <c r="L281" s="1180"/>
      <c r="M281" s="903">
        <v>46083</v>
      </c>
      <c r="N281" s="905" t="s">
        <v>710</v>
      </c>
      <c r="O281" s="880">
        <v>32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81">
        <v>55</v>
      </c>
      <c r="C282" s="375" t="s">
        <v>487</v>
      </c>
      <c r="D282" s="375" t="s">
        <v>565</v>
      </c>
      <c r="E282" s="433" t="s">
        <v>548</v>
      </c>
      <c r="F282" s="383"/>
      <c r="G282" s="387">
        <v>46073</v>
      </c>
      <c r="H282" s="593">
        <v>54.72</v>
      </c>
      <c r="I282" s="1107" t="s">
        <v>679</v>
      </c>
      <c r="J282" s="1108"/>
      <c r="K282" s="1108"/>
      <c r="L282" s="1108"/>
      <c r="M282" s="387">
        <v>46084</v>
      </c>
      <c r="N282" s="499" t="s">
        <v>709</v>
      </c>
      <c r="O282" s="385">
        <v>45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81">
        <v>56</v>
      </c>
      <c r="C283" s="375" t="s">
        <v>240</v>
      </c>
      <c r="D283" s="385" t="s">
        <v>91</v>
      </c>
      <c r="E283" s="433" t="s">
        <v>92</v>
      </c>
      <c r="F283" s="385"/>
      <c r="G283" s="643">
        <v>46081</v>
      </c>
      <c r="H283" s="497">
        <v>36.771000000000001</v>
      </c>
      <c r="I283" s="1107" t="s">
        <v>679</v>
      </c>
      <c r="J283" s="1108"/>
      <c r="K283" s="1108"/>
      <c r="L283" s="1108"/>
      <c r="M283" s="387">
        <v>46086</v>
      </c>
      <c r="N283" s="500" t="s">
        <v>707</v>
      </c>
      <c r="O283" s="385">
        <v>40</v>
      </c>
      <c r="P283" s="38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81">
        <v>57</v>
      </c>
      <c r="C284" s="375" t="s">
        <v>260</v>
      </c>
      <c r="D284" s="516" t="s">
        <v>87</v>
      </c>
      <c r="E284" s="447" t="s">
        <v>92</v>
      </c>
      <c r="F284" s="383"/>
      <c r="G284" s="599">
        <v>46078</v>
      </c>
      <c r="H284" s="637">
        <v>35.088999999999999</v>
      </c>
      <c r="I284" s="1107" t="s">
        <v>679</v>
      </c>
      <c r="J284" s="1108"/>
      <c r="K284" s="1108"/>
      <c r="L284" s="1108"/>
      <c r="M284" s="599">
        <v>46088</v>
      </c>
      <c r="N284" s="619" t="s">
        <v>678</v>
      </c>
      <c r="O284" s="539">
        <v>30</v>
      </c>
      <c r="P284" s="539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81">
        <v>58</v>
      </c>
      <c r="C285" s="375" t="s">
        <v>345</v>
      </c>
      <c r="D285" s="622" t="s">
        <v>87</v>
      </c>
      <c r="E285" s="433" t="s">
        <v>92</v>
      </c>
      <c r="F285" s="385"/>
      <c r="G285" s="387">
        <v>46077</v>
      </c>
      <c r="H285" s="593">
        <v>35.088999999999999</v>
      </c>
      <c r="I285" s="1107" t="s">
        <v>679</v>
      </c>
      <c r="J285" s="1108"/>
      <c r="K285" s="1108"/>
      <c r="L285" s="1108"/>
      <c r="M285" s="387">
        <v>46090</v>
      </c>
      <c r="N285" s="500" t="s">
        <v>765</v>
      </c>
      <c r="O285" s="385">
        <v>24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81">
        <v>59</v>
      </c>
      <c r="C286" s="375" t="s">
        <v>351</v>
      </c>
      <c r="D286" s="375" t="s">
        <v>113</v>
      </c>
      <c r="E286" s="433" t="s">
        <v>676</v>
      </c>
      <c r="F286" s="385"/>
      <c r="G286" s="387">
        <v>46089</v>
      </c>
      <c r="H286" s="593">
        <v>43.575000000000003</v>
      </c>
      <c r="I286" s="1107" t="s">
        <v>679</v>
      </c>
      <c r="J286" s="1108"/>
      <c r="K286" s="1108"/>
      <c r="L286" s="1108"/>
      <c r="M286" s="387">
        <v>46092</v>
      </c>
      <c r="N286" s="500" t="s">
        <v>707</v>
      </c>
      <c r="O286" s="385">
        <v>40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81">
        <v>60</v>
      </c>
      <c r="C287" s="375" t="s">
        <v>410</v>
      </c>
      <c r="D287" s="375" t="s">
        <v>87</v>
      </c>
      <c r="E287" s="433" t="s">
        <v>92</v>
      </c>
      <c r="F287" s="385"/>
      <c r="G287" s="387">
        <v>46091</v>
      </c>
      <c r="H287" s="593">
        <v>35.088999999999999</v>
      </c>
      <c r="I287" s="1107" t="s">
        <v>679</v>
      </c>
      <c r="J287" s="1108"/>
      <c r="K287" s="1108"/>
      <c r="L287" s="1108"/>
      <c r="M287" s="387">
        <v>46097</v>
      </c>
      <c r="N287" s="500" t="s">
        <v>765</v>
      </c>
      <c r="O287" s="385">
        <v>24</v>
      </c>
      <c r="P287" s="38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81">
        <v>61</v>
      </c>
      <c r="C288" s="375" t="s">
        <v>624</v>
      </c>
      <c r="D288" s="375" t="s">
        <v>87</v>
      </c>
      <c r="E288" s="433" t="s">
        <v>92</v>
      </c>
      <c r="F288" s="385"/>
      <c r="G288" s="387">
        <v>46094</v>
      </c>
      <c r="H288" s="593">
        <v>35.088999999999999</v>
      </c>
      <c r="I288" s="1107" t="s">
        <v>679</v>
      </c>
      <c r="J288" s="1108"/>
      <c r="K288" s="1108"/>
      <c r="L288" s="1108"/>
      <c r="M288" s="387">
        <v>46097</v>
      </c>
      <c r="N288" s="500" t="s">
        <v>707</v>
      </c>
      <c r="O288" s="385">
        <v>40</v>
      </c>
      <c r="P288" s="539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81">
        <v>62</v>
      </c>
      <c r="C289" s="375" t="s">
        <v>257</v>
      </c>
      <c r="D289" s="375" t="s">
        <v>87</v>
      </c>
      <c r="E289" s="433" t="s">
        <v>548</v>
      </c>
      <c r="F289" s="385"/>
      <c r="G289" s="387">
        <v>46092</v>
      </c>
      <c r="H289" s="593">
        <v>35.088999999999999</v>
      </c>
      <c r="I289" s="1107" t="s">
        <v>679</v>
      </c>
      <c r="J289" s="1108"/>
      <c r="K289" s="1108"/>
      <c r="L289" s="1108"/>
      <c r="M289" s="387">
        <v>46099</v>
      </c>
      <c r="N289" s="499" t="s">
        <v>678</v>
      </c>
      <c r="O289" s="385">
        <v>30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381">
        <v>63</v>
      </c>
      <c r="C290" s="375" t="s">
        <v>625</v>
      </c>
      <c r="D290" s="642" t="s">
        <v>87</v>
      </c>
      <c r="E290" s="433" t="s">
        <v>92</v>
      </c>
      <c r="F290" s="17"/>
      <c r="G290" s="387">
        <v>46097</v>
      </c>
      <c r="H290" s="593">
        <v>35.088999999999999</v>
      </c>
      <c r="I290" s="1107" t="s">
        <v>679</v>
      </c>
      <c r="J290" s="1108"/>
      <c r="K290" s="1108"/>
      <c r="L290" s="1108"/>
      <c r="M290" s="387">
        <v>46101</v>
      </c>
      <c r="N290" s="500" t="s">
        <v>707</v>
      </c>
      <c r="O290" s="385">
        <v>40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81">
        <v>64</v>
      </c>
      <c r="C291" s="375" t="s">
        <v>411</v>
      </c>
      <c r="D291" s="375" t="s">
        <v>91</v>
      </c>
      <c r="E291" s="433" t="s">
        <v>92</v>
      </c>
      <c r="F291" s="17"/>
      <c r="G291" s="387">
        <v>46097</v>
      </c>
      <c r="H291" s="497">
        <v>36.771000000000001</v>
      </c>
      <c r="I291" s="1107" t="s">
        <v>679</v>
      </c>
      <c r="J291" s="1108"/>
      <c r="K291" s="1108"/>
      <c r="L291" s="1108"/>
      <c r="M291" s="387">
        <v>46104</v>
      </c>
      <c r="N291" s="500" t="s">
        <v>765</v>
      </c>
      <c r="O291" s="385">
        <v>24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81">
        <v>65</v>
      </c>
      <c r="C292" s="375" t="s">
        <v>261</v>
      </c>
      <c r="D292" s="375" t="s">
        <v>91</v>
      </c>
      <c r="E292" s="385" t="s">
        <v>676</v>
      </c>
      <c r="F292" s="383"/>
      <c r="G292" s="387">
        <v>46099</v>
      </c>
      <c r="H292" s="497">
        <v>36.771000000000001</v>
      </c>
      <c r="I292" s="1107" t="s">
        <v>679</v>
      </c>
      <c r="J292" s="1108"/>
      <c r="K292" s="1108"/>
      <c r="L292" s="1108"/>
      <c r="M292" s="387">
        <v>46106</v>
      </c>
      <c r="N292" s="499" t="s">
        <v>678</v>
      </c>
      <c r="O292" s="385">
        <v>30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8" x14ac:dyDescent="0.3">
      <c r="A293" s="1"/>
      <c r="B293" s="381">
        <v>66</v>
      </c>
      <c r="C293" s="636" t="s">
        <v>408</v>
      </c>
      <c r="D293" s="516" t="s">
        <v>87</v>
      </c>
      <c r="E293" s="447" t="s">
        <v>92</v>
      </c>
      <c r="F293" s="897"/>
      <c r="G293" s="898">
        <v>46101</v>
      </c>
      <c r="H293" s="899">
        <v>35.088999999999999</v>
      </c>
      <c r="I293" s="1179" t="s">
        <v>679</v>
      </c>
      <c r="J293" s="1180"/>
      <c r="K293" s="1180"/>
      <c r="L293" s="1180"/>
      <c r="M293" s="898">
        <v>46110</v>
      </c>
      <c r="N293" s="900" t="s">
        <v>765</v>
      </c>
      <c r="O293" s="901">
        <v>24</v>
      </c>
      <c r="P293" s="539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8" x14ac:dyDescent="0.3">
      <c r="A294" s="1"/>
      <c r="B294" s="381">
        <v>67</v>
      </c>
      <c r="C294" s="385" t="s">
        <v>250</v>
      </c>
      <c r="D294" s="375" t="s">
        <v>87</v>
      </c>
      <c r="E294" s="385" t="s">
        <v>676</v>
      </c>
      <c r="F294" s="385"/>
      <c r="G294" s="387">
        <v>46107</v>
      </c>
      <c r="H294" s="593">
        <v>35.088999999999999</v>
      </c>
      <c r="I294" s="1107" t="s">
        <v>679</v>
      </c>
      <c r="J294" s="1108"/>
      <c r="K294" s="1108"/>
      <c r="L294" s="1108"/>
      <c r="M294" s="387">
        <v>46113</v>
      </c>
      <c r="N294" s="499" t="s">
        <v>678</v>
      </c>
      <c r="O294" s="385">
        <v>30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8" x14ac:dyDescent="0.3">
      <c r="A295" s="1"/>
      <c r="B295" s="381">
        <v>68</v>
      </c>
      <c r="C295" s="447" t="s">
        <v>412</v>
      </c>
      <c r="D295" s="516" t="s">
        <v>87</v>
      </c>
      <c r="E295" s="447" t="s">
        <v>92</v>
      </c>
      <c r="F295" s="383"/>
      <c r="G295" s="599">
        <v>46111</v>
      </c>
      <c r="H295" s="637">
        <v>35.088999999999999</v>
      </c>
      <c r="I295" s="1107" t="s">
        <v>679</v>
      </c>
      <c r="J295" s="1108"/>
      <c r="K295" s="1108"/>
      <c r="L295" s="1108"/>
      <c r="M295" s="599">
        <v>46116</v>
      </c>
      <c r="N295" s="836" t="s">
        <v>765</v>
      </c>
      <c r="O295" s="539">
        <v>24</v>
      </c>
      <c r="P295" s="539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8" x14ac:dyDescent="0.3">
      <c r="A296" s="1"/>
      <c r="B296" s="375">
        <v>69</v>
      </c>
      <c r="C296" s="445" t="s">
        <v>251</v>
      </c>
      <c r="D296" s="375" t="s">
        <v>87</v>
      </c>
      <c r="E296" s="433" t="s">
        <v>548</v>
      </c>
      <c r="F296" s="908"/>
      <c r="G296" s="387" t="s">
        <v>801</v>
      </c>
      <c r="H296" s="593">
        <v>35.088999999999999</v>
      </c>
      <c r="I296" s="1107" t="s">
        <v>679</v>
      </c>
      <c r="J296" s="1108"/>
      <c r="K296" s="1108"/>
      <c r="L296" s="1108"/>
      <c r="M296" s="387">
        <v>46119</v>
      </c>
      <c r="N296" s="499" t="s">
        <v>678</v>
      </c>
      <c r="O296" s="385">
        <v>30</v>
      </c>
      <c r="P296" s="38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8" x14ac:dyDescent="0.3">
      <c r="A297" s="1"/>
      <c r="B297" s="375">
        <v>70</v>
      </c>
      <c r="C297" s="1212" t="s">
        <v>486</v>
      </c>
      <c r="D297" s="793" t="s">
        <v>700</v>
      </c>
      <c r="E297" s="433" t="s">
        <v>92</v>
      </c>
      <c r="F297" s="383"/>
      <c r="G297" s="387">
        <v>46117</v>
      </c>
      <c r="H297" s="593">
        <v>54.72</v>
      </c>
      <c r="I297" s="1107" t="s">
        <v>679</v>
      </c>
      <c r="J297" s="1108"/>
      <c r="K297" s="1108"/>
      <c r="L297" s="1108"/>
      <c r="M297" s="387">
        <v>46124</v>
      </c>
      <c r="N297" s="500" t="s">
        <v>765</v>
      </c>
      <c r="O297" s="385">
        <v>24</v>
      </c>
      <c r="P297" s="38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404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404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8" x14ac:dyDescent="0.3"/>
    <row r="397" spans="1:26" ht="13.8" x14ac:dyDescent="0.3"/>
    <row r="398" spans="1:26" ht="13.8" x14ac:dyDescent="0.3"/>
    <row r="399" spans="1:26" ht="13.8" x14ac:dyDescent="0.3"/>
    <row r="400" spans="1:26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</sheetData>
  <autoFilter ref="A12:DD141" xr:uid="{00000000-0001-0000-0100-000000000000}">
    <filterColumn colId="8" showButton="0"/>
    <filterColumn colId="9" showButton="0"/>
    <filterColumn colId="10" showButton="0"/>
  </autoFilter>
  <mergeCells count="267">
    <mergeCell ref="I297:L297"/>
    <mergeCell ref="I293:L293"/>
    <mergeCell ref="H207:K207"/>
    <mergeCell ref="I260:L260"/>
    <mergeCell ref="I261:L261"/>
    <mergeCell ref="I265:L265"/>
    <mergeCell ref="I262:L262"/>
    <mergeCell ref="H190:K190"/>
    <mergeCell ref="H191:K191"/>
    <mergeCell ref="H201:K201"/>
    <mergeCell ref="H200:K200"/>
    <mergeCell ref="I237:L237"/>
    <mergeCell ref="I227:L227"/>
    <mergeCell ref="I250:L250"/>
    <mergeCell ref="I244:L244"/>
    <mergeCell ref="I248:L248"/>
    <mergeCell ref="I247:L247"/>
    <mergeCell ref="I249:L249"/>
    <mergeCell ref="I233:L233"/>
    <mergeCell ref="I228:L228"/>
    <mergeCell ref="I235:L235"/>
    <mergeCell ref="I236:L236"/>
    <mergeCell ref="I232:L232"/>
    <mergeCell ref="I246:L246"/>
    <mergeCell ref="I287:L287"/>
    <mergeCell ref="I286:L286"/>
    <mergeCell ref="I281:L281"/>
    <mergeCell ref="I279:L279"/>
    <mergeCell ref="I280:L280"/>
    <mergeCell ref="I278:L278"/>
    <mergeCell ref="I284:L284"/>
    <mergeCell ref="I231:L231"/>
    <mergeCell ref="I276:L276"/>
    <mergeCell ref="I277:L277"/>
    <mergeCell ref="I273:L273"/>
    <mergeCell ref="I269:L269"/>
    <mergeCell ref="I245:L245"/>
    <mergeCell ref="I239:L239"/>
    <mergeCell ref="I240:L240"/>
    <mergeCell ref="I238:L238"/>
    <mergeCell ref="I258:L258"/>
    <mergeCell ref="I259:L259"/>
    <mergeCell ref="I256:L256"/>
    <mergeCell ref="I257:L257"/>
    <mergeCell ref="I255:L255"/>
    <mergeCell ref="I253:L253"/>
    <mergeCell ref="I234:L234"/>
    <mergeCell ref="I243:L243"/>
    <mergeCell ref="I230:L230"/>
    <mergeCell ref="H195:K195"/>
    <mergeCell ref="H196:K196"/>
    <mergeCell ref="H202:K202"/>
    <mergeCell ref="H203:K203"/>
    <mergeCell ref="I229:L229"/>
    <mergeCell ref="H208:K208"/>
    <mergeCell ref="H204:K204"/>
    <mergeCell ref="H206:K206"/>
    <mergeCell ref="H212:K212"/>
    <mergeCell ref="H213:K213"/>
    <mergeCell ref="H214:K214"/>
    <mergeCell ref="H215:K215"/>
    <mergeCell ref="H216:K216"/>
    <mergeCell ref="H217:K217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20:L120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H156:K156"/>
    <mergeCell ref="H157:K157"/>
    <mergeCell ref="H149:K149"/>
    <mergeCell ref="H159:K159"/>
    <mergeCell ref="H148:K148"/>
    <mergeCell ref="H154:K154"/>
    <mergeCell ref="I127:L127"/>
    <mergeCell ref="I126:L126"/>
    <mergeCell ref="H150:K150"/>
    <mergeCell ref="H153:K153"/>
    <mergeCell ref="H152:K152"/>
    <mergeCell ref="H145:K145"/>
    <mergeCell ref="I141:L141"/>
    <mergeCell ref="I131:L131"/>
    <mergeCell ref="H146:K146"/>
    <mergeCell ref="I134:L134"/>
    <mergeCell ref="I135:L135"/>
    <mergeCell ref="I136:L136"/>
    <mergeCell ref="I137:L137"/>
    <mergeCell ref="I138:L138"/>
    <mergeCell ref="I139:L139"/>
    <mergeCell ref="I140:L140"/>
    <mergeCell ref="I94:L94"/>
    <mergeCell ref="I124:L124"/>
    <mergeCell ref="I125:L125"/>
    <mergeCell ref="I123:L123"/>
    <mergeCell ref="I102:L102"/>
    <mergeCell ref="I105:L105"/>
    <mergeCell ref="I101:L101"/>
    <mergeCell ref="I129:L129"/>
    <mergeCell ref="I128:L128"/>
    <mergeCell ref="I97:L97"/>
    <mergeCell ref="I103:L103"/>
    <mergeCell ref="I122:L122"/>
    <mergeCell ref="I98:L98"/>
    <mergeCell ref="I99:L99"/>
    <mergeCell ref="I121:L121"/>
    <mergeCell ref="I104:L104"/>
    <mergeCell ref="I100:L100"/>
    <mergeCell ref="I96:L96"/>
    <mergeCell ref="B226:D226"/>
    <mergeCell ref="H179:K179"/>
    <mergeCell ref="H162:K162"/>
    <mergeCell ref="H151:K151"/>
    <mergeCell ref="H183:K183"/>
    <mergeCell ref="H187:K187"/>
    <mergeCell ref="H189:K189"/>
    <mergeCell ref="H188:K188"/>
    <mergeCell ref="H184:K184"/>
    <mergeCell ref="H182:K182"/>
    <mergeCell ref="H164:K164"/>
    <mergeCell ref="H167:K167"/>
    <mergeCell ref="H165:K165"/>
    <mergeCell ref="H171:K171"/>
    <mergeCell ref="H172:K172"/>
    <mergeCell ref="H185:K185"/>
    <mergeCell ref="H158:K158"/>
    <mergeCell ref="H168:K168"/>
    <mergeCell ref="H170:K170"/>
    <mergeCell ref="H186:K186"/>
    <mergeCell ref="H166:K166"/>
    <mergeCell ref="H176:K176"/>
    <mergeCell ref="H175:K175"/>
    <mergeCell ref="H197:K197"/>
    <mergeCell ref="I274:L274"/>
    <mergeCell ref="I275:L275"/>
    <mergeCell ref="I288:L288"/>
    <mergeCell ref="I283:L283"/>
    <mergeCell ref="I282:L282"/>
    <mergeCell ref="H147:K147"/>
    <mergeCell ref="H155:K155"/>
    <mergeCell ref="H177:K177"/>
    <mergeCell ref="H174:K174"/>
    <mergeCell ref="H160:K160"/>
    <mergeCell ref="H173:K173"/>
    <mergeCell ref="H169:K169"/>
    <mergeCell ref="H178:K178"/>
    <mergeCell ref="H180:K180"/>
    <mergeCell ref="H181:K181"/>
    <mergeCell ref="H205:K205"/>
    <mergeCell ref="H198:K198"/>
    <mergeCell ref="H193:K193"/>
    <mergeCell ref="H161:K161"/>
    <mergeCell ref="H199:K199"/>
    <mergeCell ref="I242:L242"/>
    <mergeCell ref="I241:L241"/>
    <mergeCell ref="H194:K194"/>
    <mergeCell ref="H163:K163"/>
    <mergeCell ref="I296:L296"/>
    <mergeCell ref="I295:L295"/>
    <mergeCell ref="I294:L294"/>
    <mergeCell ref="H210:K210"/>
    <mergeCell ref="H211:K211"/>
    <mergeCell ref="H209:K209"/>
    <mergeCell ref="I292:L292"/>
    <mergeCell ref="I291:L291"/>
    <mergeCell ref="I290:L290"/>
    <mergeCell ref="H192:K192"/>
    <mergeCell ref="I254:L254"/>
    <mergeCell ref="I271:L271"/>
    <mergeCell ref="I267:L267"/>
    <mergeCell ref="I268:L268"/>
    <mergeCell ref="I272:L272"/>
    <mergeCell ref="I264:L264"/>
    <mergeCell ref="I251:L251"/>
    <mergeCell ref="I252:L252"/>
    <mergeCell ref="I263:L263"/>
    <mergeCell ref="I270:L270"/>
    <mergeCell ref="I266:L266"/>
    <mergeCell ref="I289:L289"/>
    <mergeCell ref="I285:L285"/>
  </mergeCells>
  <phoneticPr fontId="58" type="noConversion"/>
  <conditionalFormatting sqref="C209">
    <cfRule type="duplicateValues" dxfId="12" priority="8"/>
  </conditionalFormatting>
  <conditionalFormatting sqref="C210">
    <cfRule type="duplicateValues" dxfId="11" priority="7"/>
  </conditionalFormatting>
  <conditionalFormatting sqref="C211:C212">
    <cfRule type="duplicateValues" dxfId="10" priority="6"/>
  </conditionalFormatting>
  <conditionalFormatting sqref="C213:C218">
    <cfRule type="duplicateValues" dxfId="9" priority="40"/>
  </conditionalFormatting>
  <conditionalFormatting sqref="C297">
    <cfRule type="duplicateValues" dxfId="8" priority="4"/>
  </conditionalFormatting>
  <conditionalFormatting sqref="D212">
    <cfRule type="duplicateValues" dxfId="7" priority="5"/>
  </conditionalFormatting>
  <conditionalFormatting sqref="D213">
    <cfRule type="duplicateValues" dxfId="6" priority="2"/>
  </conditionalFormatting>
  <conditionalFormatting sqref="D214:D215">
    <cfRule type="duplicateValues" dxfId="5" priority="1"/>
  </conditionalFormatting>
  <conditionalFormatting sqref="C13:C142">
    <cfRule type="duplicateValues" dxfId="4" priority="4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84" t="s">
        <v>108</v>
      </c>
      <c r="B1" s="1185"/>
      <c r="C1" s="1185"/>
      <c r="D1" s="1185"/>
    </row>
    <row r="2" spans="1:4" ht="15.75" customHeight="1" x14ac:dyDescent="0.3">
      <c r="A2" s="1186" t="s">
        <v>45</v>
      </c>
      <c r="B2" s="1076"/>
      <c r="C2" s="1076"/>
      <c r="D2" s="1077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790</v>
      </c>
    </row>
    <row r="4" spans="1:4" ht="15.75" customHeight="1" x14ac:dyDescent="0.3">
      <c r="A4" s="57">
        <v>1</v>
      </c>
      <c r="B4" s="57" t="s">
        <v>421</v>
      </c>
      <c r="C4" s="58" t="s">
        <v>791</v>
      </c>
      <c r="D4" s="828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28"/>
    </row>
    <row r="6" spans="1:4" ht="15.75" customHeight="1" x14ac:dyDescent="0.3">
      <c r="A6" s="57">
        <f t="shared" si="0"/>
        <v>3</v>
      </c>
      <c r="B6" s="57" t="s">
        <v>422</v>
      </c>
      <c r="C6" s="58" t="s">
        <v>791</v>
      </c>
      <c r="D6" s="828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28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28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28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28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792</v>
      </c>
      <c r="D11" s="828"/>
    </row>
    <row r="12" spans="1:4" ht="15.75" customHeight="1" x14ac:dyDescent="0.3">
      <c r="A12" s="369">
        <f t="shared" si="0"/>
        <v>9</v>
      </c>
      <c r="B12" s="819" t="s">
        <v>353</v>
      </c>
      <c r="C12" s="820" t="s">
        <v>87</v>
      </c>
      <c r="D12" s="829"/>
    </row>
    <row r="13" spans="1:4" ht="15.75" customHeight="1" x14ac:dyDescent="0.3">
      <c r="A13" s="370">
        <f t="shared" si="0"/>
        <v>10</v>
      </c>
      <c r="B13" s="392" t="s">
        <v>354</v>
      </c>
      <c r="C13" s="827" t="s">
        <v>87</v>
      </c>
      <c r="D13" s="830"/>
    </row>
    <row r="14" spans="1:4" ht="15.75" customHeight="1" x14ac:dyDescent="0.3">
      <c r="A14" s="639"/>
      <c r="B14" s="821"/>
      <c r="C14" s="639"/>
      <c r="D14" s="822"/>
    </row>
    <row r="15" spans="1:4" ht="15.75" customHeight="1" x14ac:dyDescent="0.3">
      <c r="A15" s="639"/>
      <c r="B15" s="823"/>
      <c r="C15" s="639"/>
      <c r="D15" s="822"/>
    </row>
    <row r="16" spans="1:4" ht="15.75" customHeight="1" x14ac:dyDescent="0.3">
      <c r="A16" s="824"/>
      <c r="B16" s="821"/>
      <c r="C16" s="639"/>
      <c r="D16" s="825"/>
    </row>
    <row r="17" spans="1:4" ht="15.75" customHeight="1" x14ac:dyDescent="0.3">
      <c r="A17" s="824"/>
      <c r="B17" s="826"/>
      <c r="C17" s="639"/>
      <c r="D17" s="825"/>
    </row>
    <row r="18" spans="1:4" ht="15.75" customHeight="1" x14ac:dyDescent="0.3">
      <c r="A18" s="824"/>
      <c r="B18" s="826"/>
      <c r="C18" s="639"/>
      <c r="D18" s="825"/>
    </row>
    <row r="19" spans="1:4" ht="15.75" customHeight="1" x14ac:dyDescent="0.3">
      <c r="A19" s="824"/>
      <c r="B19" s="824"/>
      <c r="C19" s="824"/>
      <c r="D19" s="656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00" t="s">
        <v>115</v>
      </c>
      <c r="C1" s="1052"/>
      <c r="D1" s="1052"/>
      <c r="E1" s="1052"/>
      <c r="F1" s="1052"/>
      <c r="G1" s="1052"/>
      <c r="H1" s="1052"/>
      <c r="I1" s="1055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93" t="s">
        <v>116</v>
      </c>
      <c r="C2" s="1201"/>
      <c r="D2" s="1201"/>
      <c r="E2" s="1201"/>
      <c r="F2" s="1201"/>
      <c r="G2" s="1201"/>
      <c r="H2" s="1201"/>
      <c r="I2" s="1202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25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25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25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25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26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01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99" t="s">
        <v>127</v>
      </c>
      <c r="C11" s="1052"/>
      <c r="D11" s="1052"/>
      <c r="E11" s="1052"/>
      <c r="F11" s="1052"/>
      <c r="G11" s="1052"/>
      <c r="H11" s="1052"/>
      <c r="I11" s="1052"/>
      <c r="J11" s="1055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93">
        <v>1</v>
      </c>
      <c r="C13" s="1196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94"/>
      <c r="C14" s="1197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94"/>
      <c r="C15" s="1197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94"/>
      <c r="C16" s="1197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95"/>
      <c r="C17" s="1203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93">
        <v>2</v>
      </c>
      <c r="C18" s="1196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87"/>
      <c r="L18" s="638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94"/>
      <c r="C19" s="1197"/>
      <c r="D19" s="82" t="s">
        <v>132</v>
      </c>
      <c r="E19" s="83"/>
      <c r="F19" s="400">
        <v>27</v>
      </c>
      <c r="G19" s="69"/>
      <c r="H19" s="69"/>
      <c r="I19" s="84"/>
      <c r="J19" s="412"/>
      <c r="K19" s="1188"/>
      <c r="L19" s="638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94"/>
      <c r="C20" s="1197"/>
      <c r="D20" s="82" t="s">
        <v>133</v>
      </c>
      <c r="E20" s="86"/>
      <c r="F20" s="69">
        <v>0</v>
      </c>
      <c r="G20" s="69"/>
      <c r="H20" s="69"/>
      <c r="I20" s="84"/>
      <c r="J20" s="412"/>
      <c r="K20" s="1188"/>
      <c r="L20" s="638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94"/>
      <c r="C21" s="1197"/>
      <c r="D21" s="82" t="s">
        <v>134</v>
      </c>
      <c r="E21" s="83"/>
      <c r="F21" s="69">
        <v>0</v>
      </c>
      <c r="G21" s="69"/>
      <c r="H21" s="69"/>
      <c r="I21" s="84"/>
      <c r="J21" s="412"/>
      <c r="K21" s="1188"/>
      <c r="L21" s="638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95"/>
      <c r="C22" s="1203"/>
      <c r="D22" s="82" t="s">
        <v>135</v>
      </c>
      <c r="E22" s="83"/>
      <c r="F22" s="401">
        <v>7</v>
      </c>
      <c r="G22" s="69"/>
      <c r="H22" s="69"/>
      <c r="I22" s="84"/>
      <c r="J22" s="412"/>
      <c r="K22" s="1188"/>
      <c r="L22" s="638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93">
        <v>3</v>
      </c>
      <c r="C23" s="1196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88"/>
      <c r="L23" s="638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94"/>
      <c r="C24" s="1197"/>
      <c r="D24" s="82" t="s">
        <v>132</v>
      </c>
      <c r="E24" s="83"/>
      <c r="F24" s="401">
        <v>18</v>
      </c>
      <c r="G24" s="69"/>
      <c r="H24" s="69"/>
      <c r="I24" s="84"/>
      <c r="J24" s="412"/>
      <c r="K24" s="1188"/>
      <c r="L24" s="638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94"/>
      <c r="C25" s="1197"/>
      <c r="D25" s="82" t="s">
        <v>133</v>
      </c>
      <c r="E25" s="83"/>
      <c r="F25" s="401">
        <v>3</v>
      </c>
      <c r="G25" s="69"/>
      <c r="H25" s="69"/>
      <c r="I25" s="84"/>
      <c r="J25" s="412"/>
      <c r="K25" s="1188"/>
      <c r="L25" s="638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94"/>
      <c r="C26" s="1197"/>
      <c r="D26" s="82" t="s">
        <v>134</v>
      </c>
      <c r="E26" s="83"/>
      <c r="F26" s="69">
        <v>0</v>
      </c>
      <c r="G26" s="69"/>
      <c r="H26" s="69"/>
      <c r="I26" s="84"/>
      <c r="J26" s="412"/>
      <c r="K26" s="1188"/>
      <c r="L26" s="639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94"/>
      <c r="C27" s="1197"/>
      <c r="D27" s="82" t="s">
        <v>135</v>
      </c>
      <c r="E27" s="83"/>
      <c r="F27" s="401">
        <v>3</v>
      </c>
      <c r="G27" s="69"/>
      <c r="H27" s="69"/>
      <c r="I27" s="84"/>
      <c r="J27" s="412"/>
      <c r="K27" s="1188"/>
      <c r="L27" s="638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93">
        <v>4</v>
      </c>
      <c r="C28" s="1196" t="s">
        <v>138</v>
      </c>
      <c r="D28" s="65" t="s">
        <v>131</v>
      </c>
      <c r="E28" s="79"/>
      <c r="F28" s="65"/>
      <c r="G28" s="65"/>
      <c r="H28" s="65"/>
      <c r="I28" s="87"/>
      <c r="J28" s="87"/>
      <c r="K28" s="1189"/>
      <c r="L28" s="1188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94"/>
      <c r="C29" s="1197"/>
      <c r="D29" s="82" t="s">
        <v>132</v>
      </c>
      <c r="E29" s="83"/>
      <c r="G29" s="69"/>
      <c r="H29" s="69"/>
      <c r="I29" s="88"/>
      <c r="J29" s="412"/>
      <c r="K29" s="1190"/>
      <c r="L29" s="1191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94"/>
      <c r="C30" s="1197"/>
      <c r="D30" s="82" t="s">
        <v>133</v>
      </c>
      <c r="E30" s="83"/>
      <c r="F30" s="69"/>
      <c r="G30" s="69"/>
      <c r="H30" s="69"/>
      <c r="I30" s="84"/>
      <c r="J30" s="412"/>
      <c r="K30" s="1188"/>
      <c r="L30" s="1188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94"/>
      <c r="C31" s="1197"/>
      <c r="D31" s="82" t="s">
        <v>134</v>
      </c>
      <c r="E31" s="83"/>
      <c r="F31" s="69"/>
      <c r="G31" s="69"/>
      <c r="H31" s="69"/>
      <c r="I31" s="84"/>
      <c r="J31" s="412"/>
      <c r="K31" s="1188"/>
      <c r="L31" s="1188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94"/>
      <c r="C32" s="1197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98">
        <v>5</v>
      </c>
      <c r="C33" s="1198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60"/>
      <c r="C34" s="1060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60"/>
      <c r="C35" s="1060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60"/>
      <c r="C36" s="1060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72"/>
      <c r="C37" s="1072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00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92"/>
      <c r="C43" s="1052"/>
      <c r="D43" s="1052"/>
      <c r="E43" s="1052"/>
      <c r="F43" s="1052"/>
      <c r="G43" s="1052"/>
      <c r="H43" s="1052"/>
      <c r="I43" s="1052"/>
      <c r="J43" s="1052"/>
      <c r="K43" s="1055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Sheet'!D39</f>
        <v>292</v>
      </c>
      <c r="E45" s="13">
        <f>'Master Sheet'!E39</f>
        <v>292</v>
      </c>
      <c r="F45" s="13">
        <f>'Master Sheet'!F39</f>
        <v>235</v>
      </c>
      <c r="G45" s="13">
        <f>'Master Sheet'!G39</f>
        <v>57</v>
      </c>
      <c r="H45" s="13">
        <f>'Master Sheet'!H39</f>
        <v>0</v>
      </c>
      <c r="I45" s="13">
        <f>'Master Sheet'!I39</f>
        <v>0</v>
      </c>
      <c r="J45" s="13">
        <f>'Master Sheet'!J39</f>
        <v>0</v>
      </c>
      <c r="K45" s="13">
        <f>'Master Sheet'!K39</f>
        <v>235</v>
      </c>
      <c r="L45" s="13" t="str">
        <f>'Master Sheet'!L38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Sheet'!D40</f>
        <v>292</v>
      </c>
      <c r="E46" s="354">
        <f>'Master Sheet'!E40</f>
        <v>230</v>
      </c>
      <c r="F46" s="354">
        <f>'Master Sheet'!F40</f>
        <v>221</v>
      </c>
      <c r="G46" s="354">
        <f>'Master Sheet'!G40</f>
        <v>71</v>
      </c>
      <c r="H46" s="354">
        <f>'Master Sheet'!H40</f>
        <v>0</v>
      </c>
      <c r="I46" s="354">
        <f>'Master Sheet'!I40</f>
        <v>0</v>
      </c>
      <c r="J46" s="354">
        <f>'Master Sheet'!J40</f>
        <v>0</v>
      </c>
      <c r="K46" s="354">
        <f>'Master Sheet'!K40</f>
        <v>221</v>
      </c>
      <c r="L46" s="354">
        <f>'Master Sheet'!L39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Sheet'!D41</f>
        <v>4314</v>
      </c>
      <c r="E47" s="356">
        <f>'Master Sheet'!E41</f>
        <v>2700</v>
      </c>
      <c r="F47" s="356">
        <f>'Master Sheet'!F41</f>
        <v>2870.6149999999998</v>
      </c>
      <c r="G47" s="356">
        <f>'Master Sheet'!G41</f>
        <v>1443.3850000000002</v>
      </c>
      <c r="H47" s="356">
        <f>'Master Sheet'!H41</f>
        <v>300</v>
      </c>
      <c r="I47" s="356">
        <f>'Master Sheet'!I41</f>
        <v>300</v>
      </c>
      <c r="J47" s="356">
        <f>'Master Sheet'!J41</f>
        <v>331.822</v>
      </c>
      <c r="K47" s="356">
        <f>'Master Sheet'!K41</f>
        <v>3202.4369999999999</v>
      </c>
      <c r="L47" s="356">
        <f>'Master Sheet'!L40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99" t="s">
        <v>140</v>
      </c>
      <c r="C50" s="1052"/>
      <c r="D50" s="1052"/>
      <c r="E50" s="1052"/>
      <c r="F50" s="1052"/>
      <c r="G50" s="1052"/>
      <c r="H50" s="1052"/>
      <c r="I50" s="1052"/>
      <c r="J50" s="1055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802</v>
      </c>
      <c r="G51" s="111" t="s">
        <v>803</v>
      </c>
      <c r="H51" s="111" t="s">
        <v>144</v>
      </c>
      <c r="I51" s="112" t="s">
        <v>806</v>
      </c>
      <c r="J51" s="113" t="s">
        <v>804</v>
      </c>
      <c r="K51" s="113" t="s">
        <v>805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Sheet'!E39</f>
        <v>292</v>
      </c>
      <c r="G52" s="39">
        <f>'Master Sheet'!F39</f>
        <v>235</v>
      </c>
      <c r="H52" s="118">
        <f>'Master Sheet'!H39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Sheet'!E40</f>
        <v>230</v>
      </c>
      <c r="G53" s="39">
        <f>'Master Sheet'!F40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7">
        <v>85</v>
      </c>
      <c r="G54" s="627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Sheet'!E41</f>
        <v>2700</v>
      </c>
      <c r="G55" s="39">
        <f>'Master Sheet'!F41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05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04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04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G75" sqref="G75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03"/>
      <c r="B1" s="704"/>
      <c r="C1" s="703"/>
      <c r="D1" s="1204"/>
      <c r="E1" s="1205"/>
      <c r="F1" s="703"/>
      <c r="G1" s="794"/>
    </row>
    <row r="2" spans="1:20" s="398" customFormat="1" ht="13.5" customHeight="1" x14ac:dyDescent="0.3">
      <c r="A2" s="795" t="s">
        <v>98</v>
      </c>
      <c r="B2" s="795" t="s">
        <v>74</v>
      </c>
      <c r="C2" s="795" t="s">
        <v>75</v>
      </c>
      <c r="D2" s="795" t="s">
        <v>76</v>
      </c>
      <c r="E2" s="795" t="s">
        <v>78</v>
      </c>
      <c r="F2" s="795" t="s">
        <v>107</v>
      </c>
      <c r="G2" s="796" t="s">
        <v>99</v>
      </c>
      <c r="H2" s="795" t="s">
        <v>81</v>
      </c>
      <c r="I2" s="795" t="s">
        <v>82</v>
      </c>
      <c r="J2" s="795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15" t="s">
        <v>264</v>
      </c>
      <c r="C3" s="386" t="s">
        <v>87</v>
      </c>
      <c r="D3" s="386" t="s">
        <v>92</v>
      </c>
      <c r="E3" s="529">
        <v>46006</v>
      </c>
      <c r="F3" s="593">
        <v>35.088999999999999</v>
      </c>
      <c r="G3" s="797" t="s">
        <v>679</v>
      </c>
      <c r="H3" s="529">
        <v>46011</v>
      </c>
      <c r="I3" s="499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593">
        <v>35.088999999999999</v>
      </c>
      <c r="G4" s="797" t="s">
        <v>679</v>
      </c>
      <c r="H4" s="438">
        <v>46018</v>
      </c>
      <c r="I4" s="499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15" t="s">
        <v>326</v>
      </c>
      <c r="C5" s="386" t="s">
        <v>87</v>
      </c>
      <c r="D5" s="386" t="s">
        <v>92</v>
      </c>
      <c r="E5" s="529">
        <v>46013</v>
      </c>
      <c r="F5" s="593">
        <v>35.088999999999999</v>
      </c>
      <c r="G5" s="797" t="s">
        <v>679</v>
      </c>
      <c r="H5" s="519">
        <v>46022</v>
      </c>
      <c r="I5" s="499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593">
        <v>35.088999999999999</v>
      </c>
      <c r="G6" s="797" t="s">
        <v>679</v>
      </c>
      <c r="H6" s="387">
        <v>46032</v>
      </c>
      <c r="I6" s="499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31">
        <v>46016</v>
      </c>
      <c r="F7" s="593">
        <v>35.088999999999999</v>
      </c>
      <c r="G7" s="797" t="s">
        <v>679</v>
      </c>
      <c r="H7" s="387">
        <v>46030</v>
      </c>
      <c r="I7" s="499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31">
        <v>46024</v>
      </c>
      <c r="F8" s="497">
        <v>41.88</v>
      </c>
      <c r="G8" s="797" t="s">
        <v>679</v>
      </c>
      <c r="H8" s="387">
        <v>46032</v>
      </c>
      <c r="I8" s="499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31">
        <v>46023</v>
      </c>
      <c r="F9" s="593">
        <v>35.088999999999999</v>
      </c>
      <c r="G9" s="797" t="s">
        <v>679</v>
      </c>
      <c r="H9" s="387">
        <v>46035</v>
      </c>
      <c r="I9" s="499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31">
        <v>46031</v>
      </c>
      <c r="F10" s="593">
        <v>35.088999999999999</v>
      </c>
      <c r="G10" s="797" t="s">
        <v>679</v>
      </c>
      <c r="H10" s="387">
        <v>46036</v>
      </c>
      <c r="I10" s="499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31">
        <v>46029</v>
      </c>
      <c r="F11" s="593">
        <v>35.088999999999999</v>
      </c>
      <c r="G11" s="797" t="s">
        <v>679</v>
      </c>
      <c r="H11" s="387">
        <v>46038</v>
      </c>
      <c r="I11" s="500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32">
        <v>46033</v>
      </c>
      <c r="F12" s="593">
        <v>35.088999999999999</v>
      </c>
      <c r="G12" s="797" t="s">
        <v>679</v>
      </c>
      <c r="H12" s="387">
        <v>46038</v>
      </c>
      <c r="I12" s="500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32">
        <v>46037</v>
      </c>
      <c r="F13" s="593">
        <v>35.088999999999999</v>
      </c>
      <c r="G13" s="797" t="s">
        <v>679</v>
      </c>
      <c r="H13" s="387">
        <v>46042</v>
      </c>
      <c r="I13" s="500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31">
        <v>46037</v>
      </c>
      <c r="F14" s="497">
        <v>41.88</v>
      </c>
      <c r="G14" s="797" t="s">
        <v>679</v>
      </c>
      <c r="H14" s="387">
        <v>46043</v>
      </c>
      <c r="I14" s="499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32">
        <v>46039</v>
      </c>
      <c r="F15" s="593">
        <v>35.088999999999999</v>
      </c>
      <c r="G15" s="797" t="s">
        <v>679</v>
      </c>
      <c r="H15" s="387">
        <v>46043</v>
      </c>
      <c r="I15" s="500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32">
        <v>46038</v>
      </c>
      <c r="F16" s="593">
        <v>35.088999999999999</v>
      </c>
      <c r="G16" s="797" t="s">
        <v>679</v>
      </c>
      <c r="H16" s="387">
        <v>46043</v>
      </c>
      <c r="I16" s="500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32">
        <v>46039</v>
      </c>
      <c r="F17" s="593">
        <v>35.088999999999999</v>
      </c>
      <c r="G17" s="797" t="s">
        <v>679</v>
      </c>
      <c r="H17" s="387">
        <v>46043</v>
      </c>
      <c r="I17" s="540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32">
        <v>46041</v>
      </c>
      <c r="F18" s="593">
        <v>35.088999999999999</v>
      </c>
      <c r="G18" s="797" t="s">
        <v>679</v>
      </c>
      <c r="H18" s="387">
        <v>46046</v>
      </c>
      <c r="I18" s="500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32">
        <v>46041</v>
      </c>
      <c r="F19" s="497">
        <v>41.88</v>
      </c>
      <c r="G19" s="797" t="s">
        <v>679</v>
      </c>
      <c r="H19" s="387">
        <v>46047</v>
      </c>
      <c r="I19" s="500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31">
        <v>46044</v>
      </c>
      <c r="F20" s="593">
        <v>35.088999999999999</v>
      </c>
      <c r="G20" s="797" t="s">
        <v>679</v>
      </c>
      <c r="H20" s="387">
        <v>46049</v>
      </c>
      <c r="I20" s="500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32">
        <v>46045</v>
      </c>
      <c r="F21" s="593">
        <v>35.088999999999999</v>
      </c>
      <c r="G21" s="797" t="s">
        <v>679</v>
      </c>
      <c r="H21" s="387">
        <v>46049</v>
      </c>
      <c r="I21" s="540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32">
        <v>46047</v>
      </c>
      <c r="F22" s="497">
        <v>41.88</v>
      </c>
      <c r="G22" s="797" t="s">
        <v>679</v>
      </c>
      <c r="H22" s="387">
        <v>46050</v>
      </c>
      <c r="I22" s="500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31">
        <v>46034</v>
      </c>
      <c r="F23" s="593">
        <v>35.088999999999999</v>
      </c>
      <c r="G23" s="797" t="s">
        <v>679</v>
      </c>
      <c r="H23" s="387">
        <v>46051</v>
      </c>
      <c r="I23" s="499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32">
        <v>46048</v>
      </c>
      <c r="F24" s="497">
        <v>36.771000000000001</v>
      </c>
      <c r="G24" s="797" t="s">
        <v>679</v>
      </c>
      <c r="H24" s="387">
        <v>46052</v>
      </c>
      <c r="I24" s="500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32">
        <v>46049</v>
      </c>
      <c r="F25" s="497">
        <v>41.88</v>
      </c>
      <c r="G25" s="797" t="s">
        <v>679</v>
      </c>
      <c r="H25" s="387">
        <v>46053</v>
      </c>
      <c r="I25" s="500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31">
        <v>46049</v>
      </c>
      <c r="F26" s="497">
        <v>36.771000000000001</v>
      </c>
      <c r="G26" s="797" t="s">
        <v>679</v>
      </c>
      <c r="H26" s="387">
        <v>46053</v>
      </c>
      <c r="I26" s="499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31">
        <v>46049</v>
      </c>
      <c r="F27" s="593">
        <v>35.088999999999999</v>
      </c>
      <c r="G27" s="797" t="s">
        <v>679</v>
      </c>
      <c r="H27" s="387">
        <v>46055</v>
      </c>
      <c r="I27" s="499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31">
        <v>46052</v>
      </c>
      <c r="F28" s="593">
        <v>35.088999999999999</v>
      </c>
      <c r="G28" s="797" t="s">
        <v>679</v>
      </c>
      <c r="H28" s="387">
        <v>46056</v>
      </c>
      <c r="I28" s="499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699</v>
      </c>
      <c r="E29" s="831">
        <v>46053</v>
      </c>
      <c r="F29" s="593">
        <v>35.088999999999999</v>
      </c>
      <c r="G29" s="797" t="s">
        <v>679</v>
      </c>
      <c r="H29" s="387">
        <v>46056</v>
      </c>
      <c r="I29" s="500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831">
        <v>46054</v>
      </c>
      <c r="F30" s="593">
        <v>43.575000000000003</v>
      </c>
      <c r="G30" s="797" t="s">
        <v>679</v>
      </c>
      <c r="H30" s="387">
        <v>46057</v>
      </c>
      <c r="I30" s="500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31">
        <v>46050</v>
      </c>
      <c r="F31" s="593">
        <v>43.575000000000003</v>
      </c>
      <c r="G31" s="797" t="s">
        <v>679</v>
      </c>
      <c r="H31" s="387">
        <v>46058</v>
      </c>
      <c r="I31" s="500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831">
        <v>46052</v>
      </c>
      <c r="F32" s="497">
        <v>36.771000000000001</v>
      </c>
      <c r="G32" s="797" t="s">
        <v>679</v>
      </c>
      <c r="H32" s="387">
        <v>46058</v>
      </c>
      <c r="I32" s="499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32" t="s">
        <v>265</v>
      </c>
      <c r="C33" s="375" t="s">
        <v>87</v>
      </c>
      <c r="D33" s="433" t="s">
        <v>88</v>
      </c>
      <c r="E33" s="831">
        <v>46059</v>
      </c>
      <c r="F33" s="593">
        <v>35.088999999999999</v>
      </c>
      <c r="G33" s="797" t="s">
        <v>679</v>
      </c>
      <c r="H33" s="387">
        <v>46062</v>
      </c>
      <c r="I33" s="500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31">
        <v>46361</v>
      </c>
      <c r="F34" s="593">
        <v>35.088999999999999</v>
      </c>
      <c r="G34" s="797" t="s">
        <v>679</v>
      </c>
      <c r="H34" s="387">
        <v>46062</v>
      </c>
      <c r="I34" s="499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831">
        <v>46058</v>
      </c>
      <c r="F35" s="593">
        <v>54.72</v>
      </c>
      <c r="G35" s="797" t="s">
        <v>679</v>
      </c>
      <c r="H35" s="387">
        <v>46063</v>
      </c>
      <c r="I35" s="500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31">
        <v>46056</v>
      </c>
      <c r="F36" s="593">
        <v>35.088999999999999</v>
      </c>
      <c r="G36" s="797" t="s">
        <v>679</v>
      </c>
      <c r="H36" s="387">
        <v>46064</v>
      </c>
      <c r="I36" s="499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32" t="s">
        <v>414</v>
      </c>
      <c r="C37" s="375" t="s">
        <v>87</v>
      </c>
      <c r="D37" s="433" t="s">
        <v>92</v>
      </c>
      <c r="E37" s="831">
        <v>46058</v>
      </c>
      <c r="F37" s="593">
        <v>35.088999999999999</v>
      </c>
      <c r="G37" s="797" t="s">
        <v>679</v>
      </c>
      <c r="H37" s="387">
        <v>46065</v>
      </c>
      <c r="I37" s="499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31">
        <v>46063</v>
      </c>
      <c r="F38" s="497">
        <v>41.88</v>
      </c>
      <c r="G38" s="797" t="s">
        <v>679</v>
      </c>
      <c r="H38" s="387">
        <v>46066</v>
      </c>
      <c r="I38" s="500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831">
        <v>46063</v>
      </c>
      <c r="F39" s="593">
        <v>35.088999999999999</v>
      </c>
      <c r="G39" s="797" t="s">
        <v>679</v>
      </c>
      <c r="H39" s="387">
        <v>46066</v>
      </c>
      <c r="I39" s="500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831">
        <v>46053</v>
      </c>
      <c r="F40" s="593">
        <v>35.088999999999999</v>
      </c>
      <c r="G40" s="797" t="s">
        <v>679</v>
      </c>
      <c r="H40" s="387">
        <v>46069</v>
      </c>
      <c r="I40" s="499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831">
        <v>46065</v>
      </c>
      <c r="F41" s="593">
        <v>35.088999999999999</v>
      </c>
      <c r="G41" s="797" t="s">
        <v>679</v>
      </c>
      <c r="H41" s="387">
        <v>46069</v>
      </c>
      <c r="I41" s="499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593">
        <v>35.088999999999999</v>
      </c>
      <c r="G42" s="797" t="s">
        <v>679</v>
      </c>
      <c r="H42" s="387">
        <v>46070</v>
      </c>
      <c r="I42" s="499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831">
        <v>46067</v>
      </c>
      <c r="F43" s="593">
        <v>35.088999999999999</v>
      </c>
      <c r="G43" s="797" t="s">
        <v>679</v>
      </c>
      <c r="H43" s="387">
        <v>46070</v>
      </c>
      <c r="I43" s="499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831">
        <v>46068</v>
      </c>
      <c r="F44" s="593">
        <v>35.088999999999999</v>
      </c>
      <c r="G44" s="797" t="s">
        <v>679</v>
      </c>
      <c r="H44" s="387">
        <v>46072</v>
      </c>
      <c r="I44" s="499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831">
        <v>46065</v>
      </c>
      <c r="F45" s="593">
        <v>54.72</v>
      </c>
      <c r="G45" s="797" t="s">
        <v>679</v>
      </c>
      <c r="H45" s="387">
        <v>46073</v>
      </c>
      <c r="I45" s="499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593">
        <v>35.088999999999999</v>
      </c>
      <c r="G46" s="797" t="s">
        <v>679</v>
      </c>
      <c r="H46" s="387">
        <v>46073</v>
      </c>
      <c r="I46" s="499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3" t="s">
        <v>92</v>
      </c>
      <c r="E47" s="831">
        <v>46070</v>
      </c>
      <c r="F47" s="593">
        <v>54.72</v>
      </c>
      <c r="G47" s="797" t="s">
        <v>679</v>
      </c>
      <c r="H47" s="387">
        <v>46074</v>
      </c>
      <c r="I47" s="499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831">
        <v>46073</v>
      </c>
      <c r="F48" s="593">
        <v>35.088999999999999</v>
      </c>
      <c r="G48" s="797" t="s">
        <v>679</v>
      </c>
      <c r="H48" s="387">
        <v>46075</v>
      </c>
      <c r="I48" s="499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831">
        <v>46061</v>
      </c>
      <c r="F49" s="593">
        <v>35.088999999999999</v>
      </c>
      <c r="G49" s="797" t="s">
        <v>679</v>
      </c>
      <c r="H49" s="387">
        <v>46077</v>
      </c>
      <c r="I49" s="499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831">
        <v>46075</v>
      </c>
      <c r="F50" s="593">
        <v>35.088999999999999</v>
      </c>
      <c r="G50" s="797" t="s">
        <v>679</v>
      </c>
      <c r="H50" s="387">
        <v>46077</v>
      </c>
      <c r="I50" s="499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831">
        <v>46075</v>
      </c>
      <c r="F51" s="497">
        <v>36.771000000000001</v>
      </c>
      <c r="G51" s="797" t="s">
        <v>679</v>
      </c>
      <c r="H51" s="387">
        <v>46078</v>
      </c>
      <c r="I51" s="499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831">
        <v>46073</v>
      </c>
      <c r="F52" s="497">
        <v>36.771000000000001</v>
      </c>
      <c r="G52" s="797" t="s">
        <v>679</v>
      </c>
      <c r="H52" s="599">
        <v>46079</v>
      </c>
      <c r="I52" s="619" t="s">
        <v>678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22" t="s">
        <v>87</v>
      </c>
      <c r="D53" s="433" t="s">
        <v>92</v>
      </c>
      <c r="E53" s="831">
        <v>46077</v>
      </c>
      <c r="F53" s="593">
        <v>35.088999999999999</v>
      </c>
      <c r="G53" s="801" t="s">
        <v>679</v>
      </c>
      <c r="H53" s="387">
        <v>46080</v>
      </c>
      <c r="I53" s="499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22" t="s">
        <v>87</v>
      </c>
      <c r="D54" s="433" t="s">
        <v>92</v>
      </c>
      <c r="E54" s="831">
        <v>46077</v>
      </c>
      <c r="F54" s="593">
        <v>35.088999999999999</v>
      </c>
      <c r="G54" s="801" t="s">
        <v>679</v>
      </c>
      <c r="H54" s="387">
        <v>46081</v>
      </c>
      <c r="I54" s="500" t="s">
        <v>765</v>
      </c>
      <c r="J54" s="385">
        <v>24</v>
      </c>
      <c r="K54" s="803"/>
      <c r="L54" s="802"/>
      <c r="M54" s="628"/>
      <c r="N54" s="383"/>
    </row>
    <row r="55" spans="1:20" x14ac:dyDescent="0.3">
      <c r="A55" s="375">
        <f t="shared" si="0"/>
        <v>53</v>
      </c>
      <c r="B55" s="701" t="s">
        <v>248</v>
      </c>
      <c r="C55" s="375" t="s">
        <v>87</v>
      </c>
      <c r="D55" s="433" t="s">
        <v>548</v>
      </c>
      <c r="E55" s="831">
        <v>46078</v>
      </c>
      <c r="F55" s="593">
        <v>35.088999999999999</v>
      </c>
      <c r="G55" s="801" t="s">
        <v>679</v>
      </c>
      <c r="H55" s="387">
        <v>46081</v>
      </c>
      <c r="I55" s="500" t="s">
        <v>707</v>
      </c>
      <c r="J55" s="385">
        <v>40</v>
      </c>
      <c r="K55" s="803"/>
      <c r="L55" s="802"/>
      <c r="M55" s="628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799">
        <v>46080</v>
      </c>
      <c r="F56" s="593">
        <v>35.088999999999999</v>
      </c>
      <c r="G56" s="801" t="s">
        <v>679</v>
      </c>
      <c r="H56" s="799">
        <v>46083</v>
      </c>
      <c r="I56" s="499" t="s">
        <v>710</v>
      </c>
      <c r="J56" s="385">
        <v>32</v>
      </c>
      <c r="K56" s="806"/>
      <c r="L56" s="521"/>
      <c r="M56" s="807"/>
      <c r="N56" s="383"/>
    </row>
    <row r="57" spans="1:20" ht="13.8" customHeight="1" x14ac:dyDescent="0.3">
      <c r="A57" s="375">
        <f t="shared" si="0"/>
        <v>55</v>
      </c>
      <c r="B57" s="701" t="s">
        <v>487</v>
      </c>
      <c r="C57" s="375" t="s">
        <v>565</v>
      </c>
      <c r="D57" s="433" t="s">
        <v>548</v>
      </c>
      <c r="E57" s="387">
        <v>46073</v>
      </c>
      <c r="F57" s="593">
        <v>54.72</v>
      </c>
      <c r="G57" s="801" t="s">
        <v>679</v>
      </c>
      <c r="H57" s="387">
        <v>46084</v>
      </c>
      <c r="I57" s="499" t="s">
        <v>709</v>
      </c>
      <c r="J57" s="385">
        <v>45</v>
      </c>
      <c r="K57" s="803"/>
      <c r="L57" s="802"/>
      <c r="M57" s="807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834">
        <v>46081</v>
      </c>
      <c r="F58" s="618">
        <v>36.771000000000001</v>
      </c>
      <c r="G58" s="835" t="s">
        <v>679</v>
      </c>
      <c r="H58" s="599">
        <v>46086</v>
      </c>
      <c r="I58" s="836" t="s">
        <v>707</v>
      </c>
      <c r="J58" s="539">
        <v>40</v>
      </c>
      <c r="K58" s="803"/>
      <c r="L58" s="802"/>
      <c r="M58" s="628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593">
        <v>35.088999999999999</v>
      </c>
      <c r="G59" s="835" t="s">
        <v>679</v>
      </c>
      <c r="H59" s="387">
        <v>46089</v>
      </c>
      <c r="I59" s="499" t="s">
        <v>678</v>
      </c>
      <c r="J59" s="385">
        <v>30</v>
      </c>
      <c r="K59" s="803"/>
      <c r="L59" s="802"/>
      <c r="M59" s="807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22" t="s">
        <v>87</v>
      </c>
      <c r="D60" s="433" t="s">
        <v>92</v>
      </c>
      <c r="E60" s="387">
        <v>46077</v>
      </c>
      <c r="F60" s="593">
        <v>35.088999999999999</v>
      </c>
      <c r="G60" s="797" t="s">
        <v>679</v>
      </c>
      <c r="H60" s="387">
        <v>46090</v>
      </c>
      <c r="I60" s="500" t="s">
        <v>765</v>
      </c>
      <c r="J60" s="385">
        <v>24</v>
      </c>
      <c r="K60" s="803"/>
      <c r="L60" s="802"/>
      <c r="M60" s="628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676</v>
      </c>
      <c r="E61" s="387">
        <v>46089</v>
      </c>
      <c r="F61" s="593">
        <v>43.575000000000003</v>
      </c>
      <c r="G61" s="797" t="s">
        <v>679</v>
      </c>
      <c r="H61" s="387">
        <v>46092</v>
      </c>
      <c r="I61" s="500" t="s">
        <v>707</v>
      </c>
      <c r="J61" s="385">
        <v>40</v>
      </c>
      <c r="K61" s="803"/>
      <c r="L61" s="802"/>
      <c r="M61" s="628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593">
        <v>35.088999999999999</v>
      </c>
      <c r="G62" s="797" t="s">
        <v>679</v>
      </c>
      <c r="H62" s="387">
        <v>46097</v>
      </c>
      <c r="I62" s="500" t="s">
        <v>765</v>
      </c>
      <c r="J62" s="385">
        <v>24</v>
      </c>
      <c r="K62" s="803"/>
      <c r="L62" s="802"/>
      <c r="M62" s="628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593">
        <v>35.088999999999999</v>
      </c>
      <c r="G63" s="797" t="s">
        <v>679</v>
      </c>
      <c r="H63" s="387">
        <v>46097</v>
      </c>
      <c r="I63" s="500" t="s">
        <v>707</v>
      </c>
      <c r="J63" s="385">
        <v>40</v>
      </c>
      <c r="K63" s="803"/>
      <c r="L63" s="802"/>
      <c r="M63" s="628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593">
        <v>35.088999999999999</v>
      </c>
      <c r="G64" s="797" t="s">
        <v>679</v>
      </c>
      <c r="H64" s="387">
        <v>46099</v>
      </c>
      <c r="I64" s="499" t="s">
        <v>678</v>
      </c>
      <c r="J64" s="385">
        <v>30</v>
      </c>
      <c r="K64" s="803"/>
      <c r="L64" s="802"/>
      <c r="M64" s="807"/>
      <c r="N64" s="383"/>
    </row>
    <row r="65" spans="1:15" x14ac:dyDescent="0.3">
      <c r="A65" s="375">
        <f t="shared" si="0"/>
        <v>63</v>
      </c>
      <c r="B65" s="690" t="s">
        <v>625</v>
      </c>
      <c r="C65" s="642" t="s">
        <v>87</v>
      </c>
      <c r="D65" s="433" t="s">
        <v>92</v>
      </c>
      <c r="E65" s="387">
        <v>46097</v>
      </c>
      <c r="F65" s="593">
        <v>35.088999999999999</v>
      </c>
      <c r="G65" s="797" t="s">
        <v>679</v>
      </c>
      <c r="H65" s="387">
        <v>46101</v>
      </c>
      <c r="I65" s="500" t="s">
        <v>707</v>
      </c>
      <c r="J65" s="385">
        <v>40</v>
      </c>
      <c r="K65" s="864"/>
      <c r="L65" s="802"/>
      <c r="M65" s="628"/>
      <c r="N65" s="383"/>
    </row>
    <row r="66" spans="1:15" ht="13.8" customHeight="1" x14ac:dyDescent="0.3">
      <c r="A66" s="375">
        <f t="shared" si="0"/>
        <v>64</v>
      </c>
      <c r="B66" s="690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797" t="s">
        <v>679</v>
      </c>
      <c r="H66" s="387">
        <v>45739</v>
      </c>
      <c r="I66" s="500" t="s">
        <v>765</v>
      </c>
      <c r="J66" s="539">
        <v>24</v>
      </c>
      <c r="K66" s="803"/>
      <c r="L66" s="802"/>
      <c r="M66" s="628"/>
      <c r="N66" s="383"/>
    </row>
    <row r="67" spans="1:15" x14ac:dyDescent="0.3">
      <c r="A67" s="375">
        <f t="shared" si="0"/>
        <v>65</v>
      </c>
      <c r="B67" s="880" t="s">
        <v>261</v>
      </c>
      <c r="C67" s="375" t="s">
        <v>91</v>
      </c>
      <c r="D67" s="385" t="s">
        <v>676</v>
      </c>
      <c r="E67" s="387">
        <v>46099</v>
      </c>
      <c r="F67" s="497">
        <v>36.771000000000001</v>
      </c>
      <c r="G67" s="797" t="s">
        <v>679</v>
      </c>
      <c r="H67" s="387">
        <v>46106</v>
      </c>
      <c r="I67" s="499" t="s">
        <v>678</v>
      </c>
      <c r="J67" s="539">
        <v>24</v>
      </c>
      <c r="K67" s="803"/>
      <c r="L67" s="802"/>
      <c r="M67" s="807"/>
      <c r="N67" s="383"/>
    </row>
    <row r="68" spans="1:15" ht="13.8" customHeight="1" x14ac:dyDescent="0.3">
      <c r="A68" s="375">
        <f t="shared" si="0"/>
        <v>66</v>
      </c>
      <c r="B68" s="632" t="s">
        <v>408</v>
      </c>
      <c r="C68" s="375" t="s">
        <v>87</v>
      </c>
      <c r="D68" s="433" t="s">
        <v>92</v>
      </c>
      <c r="E68" s="387">
        <v>46101</v>
      </c>
      <c r="F68" s="593">
        <v>35.088999999999999</v>
      </c>
      <c r="G68" s="797" t="s">
        <v>679</v>
      </c>
      <c r="H68" s="387">
        <v>46110</v>
      </c>
      <c r="I68" s="500" t="s">
        <v>765</v>
      </c>
      <c r="J68" s="385">
        <v>24</v>
      </c>
      <c r="K68" s="803"/>
      <c r="L68" s="802"/>
      <c r="M68" s="628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593">
        <v>35.088999999999999</v>
      </c>
      <c r="G69" s="797" t="s">
        <v>679</v>
      </c>
      <c r="H69" s="387">
        <v>46113</v>
      </c>
      <c r="I69" s="499" t="s">
        <v>678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593">
        <v>35.088999999999999</v>
      </c>
      <c r="G70" s="797" t="s">
        <v>679</v>
      </c>
      <c r="H70" s="387">
        <v>46085</v>
      </c>
      <c r="I70" s="906" t="s">
        <v>765</v>
      </c>
      <c r="J70" s="385">
        <v>24</v>
      </c>
      <c r="K70" s="803"/>
      <c r="L70" s="802"/>
      <c r="M70" s="628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801</v>
      </c>
      <c r="F71" s="593">
        <v>35.088999999999999</v>
      </c>
      <c r="G71" s="797" t="s">
        <v>679</v>
      </c>
      <c r="H71" s="387">
        <v>46119</v>
      </c>
      <c r="I71" s="929" t="s">
        <v>678</v>
      </c>
      <c r="J71" s="385">
        <v>30</v>
      </c>
      <c r="K71" s="803"/>
      <c r="L71" s="802"/>
      <c r="M71" s="807"/>
      <c r="N71" s="383"/>
    </row>
    <row r="72" spans="1:15" ht="13.8" customHeight="1" x14ac:dyDescent="0.3">
      <c r="A72" s="375">
        <f t="shared" si="1"/>
        <v>70</v>
      </c>
      <c r="B72" s="690" t="s">
        <v>486</v>
      </c>
      <c r="C72" s="793" t="s">
        <v>700</v>
      </c>
      <c r="D72" s="433" t="s">
        <v>92</v>
      </c>
      <c r="E72" s="387">
        <v>46117</v>
      </c>
      <c r="F72" s="593">
        <v>54.72</v>
      </c>
      <c r="G72" s="797" t="s">
        <v>679</v>
      </c>
      <c r="H72" s="387">
        <v>46124</v>
      </c>
      <c r="I72" s="906" t="s">
        <v>765</v>
      </c>
      <c r="J72" s="385">
        <v>24</v>
      </c>
      <c r="K72" s="803"/>
      <c r="L72" s="802"/>
      <c r="M72" s="628"/>
      <c r="N72" s="383"/>
      <c r="O72" s="383"/>
    </row>
  </sheetData>
  <mergeCells count="1">
    <mergeCell ref="D1:E1"/>
  </mergeCells>
  <conditionalFormatting sqref="B54:B55">
    <cfRule type="duplicateValues" dxfId="3" priority="2"/>
  </conditionalFormatting>
  <conditionalFormatting sqref="B72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06" t="s">
        <v>488</v>
      </c>
      <c r="C2" s="1207"/>
      <c r="D2" s="1207"/>
      <c r="E2" s="1207"/>
      <c r="F2" s="1207"/>
      <c r="G2" s="1207"/>
      <c r="H2" s="1207"/>
      <c r="I2" s="1207"/>
      <c r="J2" s="1207"/>
      <c r="K2" s="1208"/>
    </row>
    <row r="3" spans="2:11" ht="14.25" customHeight="1" x14ac:dyDescent="0.3">
      <c r="B3" s="1209"/>
      <c r="C3" s="1076"/>
      <c r="D3" s="1076"/>
      <c r="E3" s="1076"/>
      <c r="F3" s="1076"/>
      <c r="G3" s="1076"/>
      <c r="H3" s="1077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10" t="s">
        <v>499</v>
      </c>
      <c r="C12" s="1165"/>
      <c r="D12" s="1165"/>
      <c r="E12" s="1165"/>
      <c r="F12" s="1165"/>
      <c r="G12" s="1165"/>
      <c r="H12" s="1165"/>
      <c r="I12" s="1211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B37" sqref="B37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029" t="s">
        <v>164</v>
      </c>
      <c r="B1" s="1030"/>
      <c r="C1" s="1030"/>
      <c r="D1" s="1030"/>
      <c r="E1" s="1030"/>
      <c r="F1" s="1030"/>
      <c r="G1" s="1030"/>
      <c r="H1" s="1030"/>
      <c r="I1" s="1030"/>
      <c r="J1" s="1030"/>
      <c r="K1" s="1030"/>
      <c r="L1" s="1030"/>
      <c r="M1" s="1030"/>
      <c r="N1" s="1030"/>
      <c r="O1" s="1030"/>
      <c r="P1" s="1030"/>
      <c r="Q1" s="1030"/>
      <c r="R1" s="1030"/>
      <c r="S1" s="1030"/>
      <c r="T1" s="1030"/>
      <c r="U1" s="1030"/>
      <c r="V1" s="1030"/>
      <c r="W1" s="1030"/>
      <c r="X1" s="1030"/>
      <c r="Y1" s="1031"/>
    </row>
    <row r="2" spans="1:28" ht="15" thickBot="1" x14ac:dyDescent="0.35">
      <c r="A2" s="1032" t="s">
        <v>557</v>
      </c>
      <c r="B2" s="1033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33"/>
      <c r="W2" s="1033"/>
      <c r="X2" s="1033"/>
      <c r="Y2" s="1034"/>
    </row>
    <row r="3" spans="1:28" ht="14.25" customHeight="1" thickBot="1" x14ac:dyDescent="0.35">
      <c r="A3" s="721"/>
      <c r="B3" s="1224" t="s">
        <v>165</v>
      </c>
      <c r="C3" s="1225"/>
      <c r="D3" s="1226">
        <v>107</v>
      </c>
      <c r="E3" s="1227" t="s">
        <v>558</v>
      </c>
      <c r="F3" s="1228" t="s">
        <v>166</v>
      </c>
      <c r="G3" s="1225"/>
      <c r="H3" s="1229">
        <v>70</v>
      </c>
      <c r="I3" s="1280" t="s">
        <v>558</v>
      </c>
      <c r="J3" s="1276" t="s">
        <v>167</v>
      </c>
      <c r="K3" s="1225"/>
      <c r="L3" s="1229">
        <v>72</v>
      </c>
      <c r="M3" s="1231" t="s">
        <v>558</v>
      </c>
      <c r="N3" s="1228" t="s">
        <v>168</v>
      </c>
      <c r="O3" s="1225"/>
      <c r="P3" s="1232" t="s">
        <v>559</v>
      </c>
      <c r="Q3" s="1230">
        <v>113.292</v>
      </c>
      <c r="R3" s="1228" t="s">
        <v>169</v>
      </c>
      <c r="S3" s="1225"/>
      <c r="T3" s="1226" t="s">
        <v>560</v>
      </c>
      <c r="U3" s="1230">
        <v>113.292</v>
      </c>
      <c r="V3" s="1233" t="s">
        <v>170</v>
      </c>
      <c r="W3" s="1234">
        <f ca="1">TODAY()</f>
        <v>46128</v>
      </c>
      <c r="X3" s="1235"/>
      <c r="Y3" s="722"/>
    </row>
    <row r="4" spans="1:28" ht="14.25" customHeight="1" x14ac:dyDescent="0.3">
      <c r="A4" s="721"/>
      <c r="B4" s="1236" t="s">
        <v>171</v>
      </c>
      <c r="C4" s="1042" t="s">
        <v>23</v>
      </c>
      <c r="D4" s="1289">
        <v>0</v>
      </c>
      <c r="E4" s="1009" t="s">
        <v>173</v>
      </c>
      <c r="F4" s="1289">
        <v>6</v>
      </c>
      <c r="G4" s="1012" t="s">
        <v>175</v>
      </c>
      <c r="H4" s="1035" t="s">
        <v>176</v>
      </c>
      <c r="I4" s="1281" t="s">
        <v>119</v>
      </c>
      <c r="J4" s="543"/>
      <c r="K4" s="543"/>
      <c r="L4" s="544"/>
      <c r="M4" s="1036"/>
      <c r="N4" s="545"/>
      <c r="O4" s="544"/>
      <c r="P4" s="546"/>
      <c r="Q4" s="547"/>
      <c r="R4" s="548"/>
      <c r="S4" s="546"/>
      <c r="T4" s="543"/>
      <c r="U4" s="545"/>
      <c r="V4" s="548"/>
      <c r="W4" s="546"/>
      <c r="X4" s="1237"/>
      <c r="Y4" s="722"/>
    </row>
    <row r="5" spans="1:28" ht="14.25" customHeight="1" x14ac:dyDescent="0.3">
      <c r="A5" s="721"/>
      <c r="B5" s="1238"/>
      <c r="C5" s="1043"/>
      <c r="D5" s="1010"/>
      <c r="E5" s="1010"/>
      <c r="F5" s="1010"/>
      <c r="G5" s="1010"/>
      <c r="H5" s="1010"/>
      <c r="I5" s="1282"/>
      <c r="J5" s="1239" t="s">
        <v>177</v>
      </c>
      <c r="K5" s="1240"/>
      <c r="L5" s="549"/>
      <c r="M5" s="1037"/>
      <c r="N5" s="550"/>
      <c r="O5" s="549"/>
      <c r="P5" s="551" t="s">
        <v>178</v>
      </c>
      <c r="Q5" s="550"/>
      <c r="R5" s="552" t="s">
        <v>179</v>
      </c>
      <c r="S5" s="1239"/>
      <c r="T5" s="1240"/>
      <c r="U5" s="551"/>
      <c r="V5" s="1038"/>
      <c r="W5" s="1241"/>
      <c r="X5" s="1242"/>
      <c r="Y5" s="722"/>
    </row>
    <row r="6" spans="1:28" ht="14.25" customHeight="1" thickBot="1" x14ac:dyDescent="0.35">
      <c r="A6" s="721"/>
      <c r="B6" s="1243"/>
      <c r="C6" s="1044"/>
      <c r="D6" s="1011"/>
      <c r="E6" s="1011"/>
      <c r="F6" s="1011"/>
      <c r="G6" s="1011"/>
      <c r="H6" s="1011"/>
      <c r="I6" s="1283"/>
      <c r="J6" s="1277" t="s">
        <v>180</v>
      </c>
      <c r="K6" s="1240"/>
      <c r="L6" s="549"/>
      <c r="M6" s="1240"/>
      <c r="N6" s="550"/>
      <c r="O6" s="549"/>
      <c r="P6" s="1240"/>
      <c r="Q6" s="551"/>
      <c r="R6" s="554"/>
      <c r="S6" s="1244"/>
      <c r="T6" s="1244"/>
      <c r="U6" s="551"/>
      <c r="V6" s="555" t="s">
        <v>181</v>
      </c>
      <c r="W6" s="1244"/>
      <c r="X6" s="1242"/>
      <c r="Y6" s="722"/>
    </row>
    <row r="7" spans="1:28" ht="14.25" customHeight="1" x14ac:dyDescent="0.3">
      <c r="A7" s="721"/>
      <c r="B7" s="1245" t="s">
        <v>182</v>
      </c>
      <c r="C7" s="556" t="s">
        <v>150</v>
      </c>
      <c r="D7" s="557">
        <v>135</v>
      </c>
      <c r="E7" s="557">
        <v>48</v>
      </c>
      <c r="F7" s="557">
        <v>21</v>
      </c>
      <c r="G7" s="557">
        <v>12</v>
      </c>
      <c r="H7" s="557">
        <f t="shared" ref="H7:H14" si="0">SUM(D7:G7)</f>
        <v>216</v>
      </c>
      <c r="I7" s="1284">
        <f>H7</f>
        <v>216</v>
      </c>
      <c r="J7" s="1278" t="s">
        <v>187</v>
      </c>
      <c r="K7" s="1039" t="s">
        <v>183</v>
      </c>
      <c r="L7" s="1240"/>
      <c r="M7" s="1240" t="s">
        <v>184</v>
      </c>
      <c r="N7" s="550"/>
      <c r="O7" s="549"/>
      <c r="P7" s="1240"/>
      <c r="Q7" s="550"/>
      <c r="R7" s="549" t="s">
        <v>185</v>
      </c>
      <c r="S7" s="1244"/>
      <c r="T7" s="1244"/>
      <c r="U7" s="551"/>
      <c r="V7" s="1041"/>
      <c r="W7" s="1241"/>
      <c r="X7" s="1242"/>
      <c r="Y7" s="722"/>
    </row>
    <row r="8" spans="1:28" ht="14.25" customHeight="1" x14ac:dyDescent="0.3">
      <c r="A8" s="721"/>
      <c r="B8" s="1245" t="s">
        <v>186</v>
      </c>
      <c r="C8" s="556" t="s">
        <v>150</v>
      </c>
      <c r="D8" s="557">
        <v>5</v>
      </c>
      <c r="E8" s="557">
        <v>3</v>
      </c>
      <c r="F8" s="557">
        <v>1</v>
      </c>
      <c r="G8" s="557">
        <v>8</v>
      </c>
      <c r="H8" s="557">
        <f t="shared" si="0"/>
        <v>17</v>
      </c>
      <c r="I8" s="1284">
        <f t="shared" ref="I8:I14" si="1">H8</f>
        <v>17</v>
      </c>
      <c r="J8" s="1279"/>
      <c r="K8" s="1040"/>
      <c r="L8" s="1240"/>
      <c r="M8" s="1240"/>
      <c r="N8" s="550"/>
      <c r="O8" s="549"/>
      <c r="P8" s="1240"/>
      <c r="Q8" s="550"/>
      <c r="R8" s="554"/>
      <c r="S8" s="1244"/>
      <c r="T8" s="1244"/>
      <c r="U8" s="551"/>
      <c r="V8" s="554"/>
      <c r="W8" s="1244"/>
      <c r="X8" s="1242"/>
      <c r="Y8" s="722"/>
    </row>
    <row r="9" spans="1:28" ht="14.25" customHeight="1" x14ac:dyDescent="0.3">
      <c r="A9" s="721"/>
      <c r="B9" s="1246" t="s">
        <v>188</v>
      </c>
      <c r="C9" s="1217" t="s">
        <v>150</v>
      </c>
      <c r="D9" s="1218">
        <v>13</v>
      </c>
      <c r="E9" s="1218">
        <v>2</v>
      </c>
      <c r="F9" s="1218">
        <v>4</v>
      </c>
      <c r="G9" s="1218">
        <v>2</v>
      </c>
      <c r="H9" s="1218">
        <f t="shared" si="0"/>
        <v>21</v>
      </c>
      <c r="I9" s="1285">
        <f t="shared" si="1"/>
        <v>21</v>
      </c>
      <c r="J9" s="1247"/>
      <c r="K9" s="558"/>
      <c r="L9" s="1240"/>
      <c r="M9" s="1240"/>
      <c r="N9" s="550"/>
      <c r="O9" s="549" t="s">
        <v>189</v>
      </c>
      <c r="P9" s="1240"/>
      <c r="Q9" s="550"/>
      <c r="R9" s="554"/>
      <c r="S9" s="1244"/>
      <c r="T9" s="1244"/>
      <c r="U9" s="551"/>
      <c r="V9" s="554"/>
      <c r="W9" s="1244"/>
      <c r="X9" s="1242"/>
      <c r="Y9" s="722"/>
    </row>
    <row r="10" spans="1:28" ht="14.25" customHeight="1" x14ac:dyDescent="0.3">
      <c r="A10" s="721"/>
      <c r="B10" s="1248" t="s">
        <v>193</v>
      </c>
      <c r="C10" s="1221" t="s">
        <v>150</v>
      </c>
      <c r="D10" s="1223">
        <v>1</v>
      </c>
      <c r="E10" s="1222"/>
      <c r="F10" s="1222"/>
      <c r="G10" s="1222"/>
      <c r="H10" s="1223">
        <f t="shared" si="0"/>
        <v>1</v>
      </c>
      <c r="I10" s="1286">
        <f t="shared" si="1"/>
        <v>1</v>
      </c>
      <c r="J10" s="1247"/>
      <c r="K10" s="1249"/>
      <c r="L10" s="549"/>
      <c r="M10" s="1240"/>
      <c r="N10" s="550"/>
      <c r="O10" s="549"/>
      <c r="P10" s="1240"/>
      <c r="Q10" s="550"/>
      <c r="R10" s="554"/>
      <c r="S10" s="1244"/>
      <c r="T10" s="1244"/>
      <c r="U10" s="551"/>
      <c r="V10" s="554"/>
      <c r="W10" s="1244"/>
      <c r="X10" s="1242"/>
      <c r="Y10" s="722"/>
    </row>
    <row r="11" spans="1:28" ht="14.25" customHeight="1" x14ac:dyDescent="0.3">
      <c r="A11" s="721"/>
      <c r="B11" s="1248" t="s">
        <v>190</v>
      </c>
      <c r="C11" s="1221" t="s">
        <v>150</v>
      </c>
      <c r="D11" s="1223">
        <v>10</v>
      </c>
      <c r="E11" s="1223">
        <v>2</v>
      </c>
      <c r="F11" s="1223">
        <v>1</v>
      </c>
      <c r="G11" s="1223">
        <v>3</v>
      </c>
      <c r="H11" s="1223">
        <f>SUM(D11:G11)</f>
        <v>16</v>
      </c>
      <c r="I11" s="1286">
        <f>H11</f>
        <v>16</v>
      </c>
      <c r="J11" s="1250"/>
      <c r="K11" s="1251"/>
      <c r="L11" s="559"/>
      <c r="M11" s="1251"/>
      <c r="N11" s="560"/>
      <c r="O11" s="1252"/>
      <c r="P11" s="1251"/>
      <c r="Q11" s="560"/>
      <c r="R11" s="554"/>
      <c r="S11" s="1244" t="s">
        <v>192</v>
      </c>
      <c r="T11" s="1244"/>
      <c r="U11" s="551"/>
      <c r="V11" s="554"/>
      <c r="W11" s="1244"/>
      <c r="X11" s="1242"/>
      <c r="Y11" s="722"/>
    </row>
    <row r="12" spans="1:28" ht="14.25" customHeight="1" thickBot="1" x14ac:dyDescent="0.35">
      <c r="A12" s="721"/>
      <c r="B12" s="1253" t="s">
        <v>191</v>
      </c>
      <c r="C12" s="1219" t="s">
        <v>150</v>
      </c>
      <c r="D12" s="1220">
        <v>3</v>
      </c>
      <c r="E12" s="1220">
        <v>3</v>
      </c>
      <c r="F12" s="1220">
        <v>1</v>
      </c>
      <c r="G12" s="1220">
        <v>0</v>
      </c>
      <c r="H12" s="1220">
        <f>SUM(D12:G12)</f>
        <v>7</v>
      </c>
      <c r="I12" s="1287">
        <f>H12</f>
        <v>7</v>
      </c>
      <c r="J12" s="1250"/>
      <c r="K12" s="1251"/>
      <c r="L12" s="559"/>
      <c r="M12" s="1251"/>
      <c r="N12" s="560"/>
      <c r="O12" s="549"/>
      <c r="P12" s="1251"/>
      <c r="Q12" s="551" t="s">
        <v>180</v>
      </c>
      <c r="R12" s="554"/>
      <c r="S12" s="1244" t="s">
        <v>197</v>
      </c>
      <c r="T12" s="1244"/>
      <c r="U12" s="551"/>
      <c r="V12" s="554"/>
      <c r="W12" s="1244"/>
      <c r="X12" s="1242"/>
      <c r="Y12" s="722"/>
    </row>
    <row r="13" spans="1:28" ht="14.25" customHeight="1" x14ac:dyDescent="0.3">
      <c r="A13" s="721"/>
      <c r="B13" s="1245" t="s">
        <v>193</v>
      </c>
      <c r="C13" s="556" t="s">
        <v>150</v>
      </c>
      <c r="D13" s="557">
        <v>0</v>
      </c>
      <c r="E13" s="557">
        <v>0</v>
      </c>
      <c r="F13" s="557">
        <v>0</v>
      </c>
      <c r="G13" s="557">
        <v>0</v>
      </c>
      <c r="H13" s="557">
        <f>SUM(D13:G13)</f>
        <v>0</v>
      </c>
      <c r="I13" s="1284">
        <f>H13</f>
        <v>0</v>
      </c>
      <c r="J13" s="1254" t="s">
        <v>195</v>
      </c>
      <c r="K13" s="1255" t="s">
        <v>196</v>
      </c>
      <c r="L13" s="554"/>
      <c r="M13" s="1244"/>
      <c r="N13" s="551"/>
      <c r="O13" s="554"/>
      <c r="P13" s="1240"/>
      <c r="Q13" s="550"/>
      <c r="R13" s="554"/>
      <c r="S13" s="1256"/>
      <c r="T13" s="1239"/>
      <c r="U13" s="562"/>
      <c r="V13" s="1013" t="s">
        <v>712</v>
      </c>
      <c r="W13" s="1241"/>
      <c r="X13" s="1257"/>
      <c r="Y13" s="722"/>
      <c r="Z13" s="1023" t="s">
        <v>45</v>
      </c>
      <c r="AA13" s="1025" t="s">
        <v>106</v>
      </c>
      <c r="AB13" s="1027" t="s">
        <v>46</v>
      </c>
    </row>
    <row r="14" spans="1:28" ht="14.25" customHeight="1" thickBot="1" x14ac:dyDescent="0.35">
      <c r="A14" s="721"/>
      <c r="B14" s="1245" t="s">
        <v>194</v>
      </c>
      <c r="C14" s="556" t="s">
        <v>150</v>
      </c>
      <c r="D14" s="557">
        <v>3</v>
      </c>
      <c r="E14" s="557">
        <v>1</v>
      </c>
      <c r="F14" s="557">
        <v>1</v>
      </c>
      <c r="G14" s="557">
        <v>4</v>
      </c>
      <c r="H14" s="557">
        <f>SUM(D14:G14)</f>
        <v>9</v>
      </c>
      <c r="I14" s="1284">
        <f>H14</f>
        <v>9</v>
      </c>
      <c r="J14" s="1258" t="s">
        <v>200</v>
      </c>
      <c r="K14" s="1255" t="s">
        <v>201</v>
      </c>
      <c r="L14" s="563"/>
      <c r="M14" s="1259" t="s">
        <v>46</v>
      </c>
      <c r="N14" s="564"/>
      <c r="O14" s="1240"/>
      <c r="P14" s="1260" t="s">
        <v>50</v>
      </c>
      <c r="Q14" s="564"/>
      <c r="R14" s="554" t="s">
        <v>67</v>
      </c>
      <c r="S14" s="1244"/>
      <c r="T14" s="1244"/>
      <c r="U14" s="551"/>
      <c r="V14" s="553" t="s">
        <v>202</v>
      </c>
      <c r="W14" s="1244"/>
      <c r="X14" s="1242"/>
      <c r="Y14" s="722"/>
      <c r="Z14" s="1024"/>
      <c r="AA14" s="1026"/>
      <c r="AB14" s="1028"/>
    </row>
    <row r="15" spans="1:28" ht="14.25" customHeight="1" thickBot="1" x14ac:dyDescent="0.35">
      <c r="A15" s="721"/>
      <c r="B15" s="1261" t="s">
        <v>199</v>
      </c>
      <c r="C15" s="1262" t="s">
        <v>150</v>
      </c>
      <c r="D15" s="1263">
        <v>2</v>
      </c>
      <c r="E15" s="1263">
        <v>1</v>
      </c>
      <c r="F15" s="1263">
        <v>1</v>
      </c>
      <c r="G15" s="1263">
        <v>1</v>
      </c>
      <c r="H15" s="1263">
        <f>SUM(D15:G15)</f>
        <v>5</v>
      </c>
      <c r="I15" s="1288">
        <f>H15</f>
        <v>5</v>
      </c>
      <c r="J15" s="1264"/>
      <c r="K15" s="1265"/>
      <c r="L15" s="1266"/>
      <c r="M15" s="1267"/>
      <c r="N15" s="1268"/>
      <c r="O15" s="1269"/>
      <c r="P15" s="1270"/>
      <c r="Q15" s="1268"/>
      <c r="R15" s="1271"/>
      <c r="S15" s="1272"/>
      <c r="T15" s="1272"/>
      <c r="U15" s="1273"/>
      <c r="V15" s="1274"/>
      <c r="W15" s="1272"/>
      <c r="X15" s="1275"/>
      <c r="Y15" s="722"/>
      <c r="Z15" s="604"/>
      <c r="AA15" s="604"/>
      <c r="AB15" s="605"/>
    </row>
    <row r="16" spans="1:28" ht="14.25" customHeight="1" thickBot="1" x14ac:dyDescent="0.35">
      <c r="A16" s="721"/>
      <c r="B16" s="1015" t="s">
        <v>203</v>
      </c>
      <c r="C16" s="1014"/>
      <c r="D16" s="1014"/>
      <c r="E16" s="1014"/>
      <c r="F16" s="1014"/>
      <c r="G16" s="1016"/>
      <c r="H16" s="565">
        <f>D3</f>
        <v>107</v>
      </c>
      <c r="I16" s="566">
        <f>292-H16</f>
        <v>185</v>
      </c>
      <c r="J16" s="723"/>
      <c r="K16" s="723"/>
      <c r="L16" s="723"/>
      <c r="M16" s="723"/>
      <c r="N16" s="728"/>
      <c r="O16" s="567"/>
      <c r="P16" s="725"/>
      <c r="Q16" s="723"/>
      <c r="R16" s="724"/>
      <c r="S16" s="724"/>
      <c r="T16" s="724"/>
      <c r="U16" s="724"/>
      <c r="V16" s="729"/>
      <c r="W16" s="729"/>
      <c r="X16" s="724"/>
      <c r="Y16" s="730"/>
      <c r="Z16" s="606">
        <f>SUM(Z18:Z254)</f>
        <v>107</v>
      </c>
      <c r="AA16" s="606">
        <f>SUM(AA18:AA254)</f>
        <v>70</v>
      </c>
      <c r="AB16" s="607">
        <f>SUM(AB18:AB254)</f>
        <v>72</v>
      </c>
    </row>
    <row r="17" spans="1:39" ht="14.25" customHeight="1" x14ac:dyDescent="0.3">
      <c r="A17" s="721"/>
      <c r="B17" s="726" t="s">
        <v>561</v>
      </c>
      <c r="C17" s="726"/>
      <c r="D17" s="726"/>
      <c r="E17" s="727"/>
      <c r="F17" s="727"/>
      <c r="G17" s="727"/>
      <c r="H17" s="727"/>
      <c r="I17" s="723"/>
      <c r="J17" s="723"/>
      <c r="K17" s="723"/>
      <c r="L17" s="723"/>
      <c r="M17" s="723"/>
      <c r="N17" s="728"/>
      <c r="O17" s="567"/>
      <c r="P17" s="725"/>
      <c r="Q17" s="723"/>
      <c r="R17" s="724"/>
      <c r="S17" s="724"/>
      <c r="T17" s="724"/>
      <c r="U17" s="724"/>
      <c r="V17" s="729"/>
      <c r="W17" s="729"/>
      <c r="X17" s="724"/>
      <c r="Y17" s="730"/>
      <c r="Z17" s="716"/>
      <c r="AA17" s="611"/>
      <c r="AB17" s="612"/>
    </row>
    <row r="18" spans="1:39" ht="14.25" customHeight="1" x14ac:dyDescent="0.3">
      <c r="A18" s="731" t="s">
        <v>713</v>
      </c>
      <c r="B18" s="568"/>
      <c r="C18" s="569"/>
      <c r="D18" s="726"/>
      <c r="E18" s="727"/>
      <c r="F18" s="727"/>
      <c r="G18" s="727"/>
      <c r="H18" s="727"/>
      <c r="I18" s="723"/>
      <c r="J18" s="723"/>
      <c r="K18" s="723"/>
      <c r="L18" s="723"/>
      <c r="M18" s="723"/>
      <c r="N18" s="728"/>
      <c r="O18" s="567"/>
      <c r="P18" s="725"/>
      <c r="Q18" s="723"/>
      <c r="R18" s="724"/>
      <c r="S18" s="724"/>
      <c r="T18" s="724"/>
      <c r="U18" s="724"/>
      <c r="V18" s="729"/>
      <c r="W18" s="729"/>
      <c r="X18" s="724"/>
      <c r="Y18" s="730"/>
      <c r="Z18" s="717"/>
      <c r="AA18" s="608"/>
      <c r="AB18" s="613"/>
      <c r="AD18" s="542" t="s">
        <v>714</v>
      </c>
      <c r="AE18" s="542" t="s">
        <v>715</v>
      </c>
      <c r="AF18" s="542" t="s">
        <v>716</v>
      </c>
      <c r="AG18" s="542" t="s">
        <v>717</v>
      </c>
      <c r="AH18" s="542" t="s">
        <v>718</v>
      </c>
      <c r="AI18" s="542" t="s">
        <v>719</v>
      </c>
      <c r="AJ18" s="542" t="s">
        <v>720</v>
      </c>
      <c r="AK18" s="542" t="s">
        <v>721</v>
      </c>
      <c r="AL18" s="542" t="s">
        <v>722</v>
      </c>
      <c r="AM18" s="542" t="s">
        <v>50</v>
      </c>
    </row>
    <row r="19" spans="1:39" ht="14.25" customHeight="1" x14ac:dyDescent="0.3">
      <c r="A19" s="721"/>
      <c r="B19" s="728"/>
      <c r="C19" s="570"/>
      <c r="D19" s="723"/>
      <c r="E19" s="723"/>
      <c r="F19" s="723"/>
      <c r="G19" s="567"/>
      <c r="H19" s="723"/>
      <c r="I19" s="570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32"/>
      <c r="Z19" s="717"/>
      <c r="AA19" s="608"/>
      <c r="AB19" s="613"/>
      <c r="AC19" s="542" t="s">
        <v>723</v>
      </c>
      <c r="AD19" s="571">
        <f>(C21+E21+G21+I21+K21+M21+O21+Q21+S21+U21+W21+Y21)/1000</f>
        <v>4.8324400000000001</v>
      </c>
      <c r="AE19" s="571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67"/>
      <c r="AL19" s="571">
        <f>(C21+E21+G21+I21+K21+M21+O21+Q21+S21+U21+W21+Y21)/1000</f>
        <v>4.8324400000000001</v>
      </c>
    </row>
    <row r="20" spans="1:39" ht="14.25" customHeight="1" x14ac:dyDescent="0.3">
      <c r="A20" s="721"/>
      <c r="B20" s="728"/>
      <c r="C20" s="723"/>
      <c r="D20" s="733"/>
      <c r="E20" s="734"/>
      <c r="F20" s="733"/>
      <c r="G20" s="733"/>
      <c r="H20" s="733"/>
      <c r="I20" s="723"/>
      <c r="J20" s="733"/>
      <c r="K20" s="733"/>
      <c r="L20" s="733"/>
      <c r="M20" s="733"/>
      <c r="N20" s="733"/>
      <c r="O20" s="733"/>
      <c r="P20" s="733"/>
      <c r="Q20" s="735"/>
      <c r="R20" s="735"/>
      <c r="S20" s="735"/>
      <c r="T20" s="733"/>
      <c r="U20" s="735"/>
      <c r="V20" s="733"/>
      <c r="W20" s="735"/>
      <c r="X20" s="733"/>
      <c r="Y20" s="736"/>
      <c r="Z20" s="717"/>
      <c r="AA20" s="608"/>
      <c r="AB20" s="613"/>
      <c r="AC20" s="572" t="s">
        <v>724</v>
      </c>
      <c r="AD20" s="571"/>
      <c r="AE20" s="572"/>
      <c r="AF20" s="572"/>
      <c r="AG20" s="573" t="e">
        <f>B21+D21+F21</f>
        <v>#VALUE!</v>
      </c>
    </row>
    <row r="21" spans="1:39" ht="14.25" customHeight="1" x14ac:dyDescent="0.3">
      <c r="A21" s="721"/>
      <c r="B21" s="945"/>
      <c r="C21" s="574">
        <v>411</v>
      </c>
      <c r="D21" s="965" t="s">
        <v>815</v>
      </c>
      <c r="E21" s="575">
        <v>432</v>
      </c>
      <c r="F21" s="993" t="s">
        <v>815</v>
      </c>
      <c r="G21" s="575">
        <v>411</v>
      </c>
      <c r="H21" s="965" t="s">
        <v>815</v>
      </c>
      <c r="I21" s="575">
        <v>432</v>
      </c>
      <c r="J21" s="993" t="s">
        <v>815</v>
      </c>
      <c r="K21" s="575">
        <v>411</v>
      </c>
      <c r="L21" s="947"/>
      <c r="M21" s="575">
        <v>432</v>
      </c>
      <c r="N21" s="947"/>
      <c r="O21" s="575">
        <v>411</v>
      </c>
      <c r="P21" s="947"/>
      <c r="Q21" s="575">
        <v>374.43700000000001</v>
      </c>
      <c r="R21" s="945"/>
      <c r="S21" s="575">
        <v>376.00299999999999</v>
      </c>
      <c r="T21" s="947"/>
      <c r="U21" s="575">
        <v>405</v>
      </c>
      <c r="V21" s="943"/>
      <c r="W21" s="575">
        <v>340</v>
      </c>
      <c r="X21" s="947"/>
      <c r="Y21" s="737">
        <v>397</v>
      </c>
      <c r="Z21" s="717"/>
      <c r="AA21" s="608"/>
      <c r="AB21" s="613"/>
      <c r="AC21" s="576" t="s">
        <v>725</v>
      </c>
      <c r="AD21" s="576"/>
      <c r="AE21" s="576"/>
      <c r="AF21" s="576"/>
    </row>
    <row r="22" spans="1:39" ht="14.25" customHeight="1" x14ac:dyDescent="0.3">
      <c r="A22" s="721"/>
      <c r="B22" s="946"/>
      <c r="C22" s="733"/>
      <c r="D22" s="966"/>
      <c r="E22" s="733"/>
      <c r="F22" s="994"/>
      <c r="G22" s="733"/>
      <c r="H22" s="966"/>
      <c r="I22" s="733"/>
      <c r="J22" s="994"/>
      <c r="K22" s="733"/>
      <c r="L22" s="948"/>
      <c r="M22" s="733"/>
      <c r="N22" s="948"/>
      <c r="O22" s="733"/>
      <c r="P22" s="948"/>
      <c r="Q22" s="733"/>
      <c r="R22" s="946"/>
      <c r="S22" s="733"/>
      <c r="T22" s="948"/>
      <c r="U22" s="733"/>
      <c r="V22" s="944"/>
      <c r="W22" s="733"/>
      <c r="X22" s="948"/>
      <c r="Y22" s="738"/>
      <c r="Z22" s="717"/>
      <c r="AA22" s="608"/>
      <c r="AB22" s="613"/>
    </row>
    <row r="23" spans="1:39" ht="14.25" customHeight="1" x14ac:dyDescent="0.3">
      <c r="A23" s="721"/>
      <c r="B23" s="739" t="s">
        <v>563</v>
      </c>
      <c r="C23" s="577"/>
      <c r="D23" s="739" t="s">
        <v>205</v>
      </c>
      <c r="E23" s="577"/>
      <c r="F23" s="739" t="s">
        <v>206</v>
      </c>
      <c r="G23" s="577"/>
      <c r="H23" s="739" t="s">
        <v>207</v>
      </c>
      <c r="I23" s="577"/>
      <c r="J23" s="739" t="s">
        <v>208</v>
      </c>
      <c r="K23" s="577"/>
      <c r="L23" s="739" t="s">
        <v>209</v>
      </c>
      <c r="M23" s="577"/>
      <c r="N23" s="739" t="s">
        <v>210</v>
      </c>
      <c r="O23" s="577"/>
      <c r="P23" s="739" t="s">
        <v>211</v>
      </c>
      <c r="Q23" s="740"/>
      <c r="R23" s="739" t="s">
        <v>564</v>
      </c>
      <c r="S23" s="740"/>
      <c r="T23" s="739" t="s">
        <v>212</v>
      </c>
      <c r="U23" s="741"/>
      <c r="V23" s="739" t="s">
        <v>213</v>
      </c>
      <c r="W23" s="740"/>
      <c r="X23" s="739" t="s">
        <v>214</v>
      </c>
      <c r="Y23" s="742"/>
      <c r="Z23" s="718"/>
      <c r="AA23" s="609"/>
      <c r="AB23" s="614"/>
      <c r="AC23" s="578"/>
      <c r="AD23" s="578"/>
      <c r="AE23" s="578"/>
      <c r="AF23" s="578"/>
      <c r="AG23" s="578"/>
      <c r="AH23" s="578"/>
      <c r="AI23" s="578"/>
    </row>
    <row r="24" spans="1:39" ht="14.25" customHeight="1" x14ac:dyDescent="0.3">
      <c r="A24" s="721"/>
      <c r="B24" s="577" t="s">
        <v>813</v>
      </c>
      <c r="C24" s="570"/>
      <c r="D24" s="577" t="s">
        <v>216</v>
      </c>
      <c r="E24" s="577"/>
      <c r="F24" s="577" t="s">
        <v>217</v>
      </c>
      <c r="G24" s="579"/>
      <c r="H24" s="577" t="s">
        <v>216</v>
      </c>
      <c r="I24" s="577"/>
      <c r="J24" s="577" t="s">
        <v>218</v>
      </c>
      <c r="K24" s="577"/>
      <c r="L24" s="577" t="s">
        <v>218</v>
      </c>
      <c r="M24" s="577"/>
      <c r="N24" s="577" t="s">
        <v>218</v>
      </c>
      <c r="O24" s="577"/>
      <c r="P24" s="577" t="s">
        <v>218</v>
      </c>
      <c r="Q24" s="743">
        <f>(Q21+O21+M21+K21+I21+G21+E21+C21)/1000</f>
        <v>3.3144369999999999</v>
      </c>
      <c r="R24" s="577" t="s">
        <v>219</v>
      </c>
      <c r="S24" s="570"/>
      <c r="T24" s="577" t="s">
        <v>217</v>
      </c>
      <c r="U24" s="577"/>
      <c r="V24" s="577" t="s">
        <v>217</v>
      </c>
      <c r="W24" s="577"/>
      <c r="X24" s="577" t="s">
        <v>217</v>
      </c>
      <c r="Y24" s="744"/>
      <c r="Z24" s="718"/>
      <c r="AA24" s="609"/>
      <c r="AB24" s="614"/>
      <c r="AC24" s="578"/>
      <c r="AD24" s="578"/>
      <c r="AE24" s="578"/>
      <c r="AF24" s="578"/>
      <c r="AG24" s="578"/>
      <c r="AH24" s="578"/>
      <c r="AI24" s="578"/>
    </row>
    <row r="25" spans="1:39" ht="14.25" customHeight="1" x14ac:dyDescent="0.3">
      <c r="A25" s="721"/>
      <c r="B25" s="577"/>
      <c r="C25" s="570"/>
      <c r="D25" s="577"/>
      <c r="E25" s="577"/>
      <c r="F25" s="577"/>
      <c r="G25" s="579"/>
      <c r="H25" s="577"/>
      <c r="I25" s="577"/>
      <c r="J25" s="577"/>
      <c r="K25" s="577"/>
      <c r="L25" s="577"/>
      <c r="M25" s="577"/>
      <c r="N25" s="577"/>
      <c r="O25" s="577"/>
      <c r="P25" s="577"/>
      <c r="Q25" s="743"/>
      <c r="R25" s="577"/>
      <c r="S25" s="570"/>
      <c r="T25" s="577"/>
      <c r="U25" s="577"/>
      <c r="V25" s="580" t="s">
        <v>728</v>
      </c>
      <c r="W25" s="577"/>
      <c r="X25" s="577"/>
      <c r="Y25" s="744"/>
      <c r="Z25" s="718"/>
      <c r="AA25" s="609"/>
      <c r="AB25" s="614"/>
      <c r="AC25" s="578"/>
      <c r="AD25" s="578"/>
      <c r="AE25" s="578"/>
      <c r="AF25" s="578"/>
      <c r="AG25" s="578"/>
      <c r="AH25" s="578"/>
      <c r="AI25" s="578"/>
    </row>
    <row r="26" spans="1:39" ht="14.25" customHeight="1" x14ac:dyDescent="0.3">
      <c r="A26" s="721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0"/>
      <c r="T26" s="577"/>
      <c r="U26" s="577"/>
      <c r="V26" s="577"/>
      <c r="W26" s="577"/>
      <c r="X26" s="577"/>
      <c r="Y26" s="744"/>
      <c r="Z26" s="718"/>
      <c r="AA26" s="609"/>
      <c r="AB26" s="614"/>
      <c r="AC26" s="578"/>
      <c r="AD26" s="578"/>
      <c r="AE26" s="578"/>
      <c r="AF26" s="578"/>
      <c r="AG26" s="578"/>
      <c r="AH26" s="578"/>
      <c r="AI26" s="578"/>
    </row>
    <row r="27" spans="1:39" s="570" customFormat="1" ht="14.25" customHeight="1" x14ac:dyDescent="0.3">
      <c r="A27" s="721"/>
      <c r="B27" s="577"/>
      <c r="D27" s="577"/>
      <c r="E27" s="577"/>
      <c r="F27" s="577"/>
      <c r="G27" s="579"/>
      <c r="H27" s="577" t="s">
        <v>800</v>
      </c>
      <c r="I27" s="577"/>
      <c r="J27" s="577"/>
      <c r="K27" s="577"/>
      <c r="L27" s="577" t="s">
        <v>800</v>
      </c>
      <c r="M27" s="577"/>
      <c r="N27" s="577"/>
      <c r="O27" s="577"/>
      <c r="P27" s="577"/>
      <c r="Q27" s="743"/>
      <c r="R27" s="577"/>
      <c r="T27" s="577"/>
      <c r="U27" s="577"/>
      <c r="V27" s="577"/>
      <c r="W27" s="577"/>
      <c r="X27" s="577"/>
      <c r="Y27" s="744"/>
      <c r="Z27" s="719"/>
      <c r="AA27" s="610"/>
      <c r="AB27" s="615"/>
      <c r="AC27" s="579"/>
      <c r="AD27" s="579"/>
      <c r="AE27" s="579"/>
      <c r="AF27" s="579"/>
      <c r="AG27" s="579"/>
      <c r="AH27" s="579"/>
      <c r="AI27" s="579"/>
    </row>
    <row r="28" spans="1:39" ht="14.25" customHeight="1" x14ac:dyDescent="0.3">
      <c r="A28" s="721"/>
      <c r="B28" s="723"/>
      <c r="C28" s="746"/>
      <c r="D28" s="723"/>
      <c r="E28" s="746"/>
      <c r="F28" s="723"/>
      <c r="G28" s="746"/>
      <c r="H28" s="723"/>
      <c r="I28" s="746"/>
      <c r="J28" s="723"/>
      <c r="K28" s="746"/>
      <c r="L28" s="723"/>
      <c r="M28" s="746"/>
      <c r="N28" s="723"/>
      <c r="O28" s="746"/>
      <c r="P28" s="723"/>
      <c r="Q28" s="746"/>
      <c r="R28" s="723"/>
      <c r="S28" s="746"/>
      <c r="T28" s="723"/>
      <c r="U28" s="746"/>
      <c r="V28" s="723"/>
      <c r="W28" s="746"/>
      <c r="X28" s="723"/>
      <c r="Y28" s="747"/>
      <c r="Z28" s="717"/>
      <c r="AA28" s="608"/>
      <c r="AB28" s="613"/>
      <c r="AH28" s="567"/>
    </row>
    <row r="29" spans="1:39" ht="14.25" customHeight="1" x14ac:dyDescent="0.3">
      <c r="A29" s="721"/>
      <c r="B29" s="733"/>
      <c r="C29" s="746"/>
      <c r="D29" s="733"/>
      <c r="E29" s="746"/>
      <c r="F29" s="733"/>
      <c r="G29" s="746"/>
      <c r="H29" s="733"/>
      <c r="I29" s="746"/>
      <c r="J29" s="733"/>
      <c r="K29" s="746"/>
      <c r="L29" s="733"/>
      <c r="M29" s="746"/>
      <c r="N29" s="733"/>
      <c r="O29" s="746"/>
      <c r="P29" s="733"/>
      <c r="Q29" s="746"/>
      <c r="R29" s="733"/>
      <c r="S29" s="746"/>
      <c r="T29" s="733"/>
      <c r="U29" s="746"/>
      <c r="V29" s="733"/>
      <c r="W29" s="746"/>
      <c r="X29" s="733"/>
      <c r="Y29" s="747"/>
      <c r="Z29" s="717"/>
      <c r="AA29" s="608"/>
      <c r="AB29" s="613"/>
    </row>
    <row r="30" spans="1:39" ht="14.25" customHeight="1" x14ac:dyDescent="0.3">
      <c r="A30" s="721"/>
      <c r="B30" s="947"/>
      <c r="C30" s="574">
        <v>399</v>
      </c>
      <c r="D30" s="943"/>
      <c r="E30" s="575">
        <v>393</v>
      </c>
      <c r="F30" s="943"/>
      <c r="G30" s="575">
        <v>370</v>
      </c>
      <c r="H30" s="1293" t="s">
        <v>769</v>
      </c>
      <c r="I30" s="575">
        <v>350</v>
      </c>
      <c r="J30" s="1007" t="s">
        <v>769</v>
      </c>
      <c r="K30" s="575">
        <v>395</v>
      </c>
      <c r="L30" s="1007" t="s">
        <v>769</v>
      </c>
      <c r="M30" s="575">
        <v>413</v>
      </c>
      <c r="N30" s="1005" t="s">
        <v>769</v>
      </c>
      <c r="O30" s="575">
        <v>366</v>
      </c>
      <c r="P30" s="1005" t="s">
        <v>769</v>
      </c>
      <c r="Q30" s="575">
        <v>377.77</v>
      </c>
      <c r="R30" s="1005" t="s">
        <v>769</v>
      </c>
      <c r="S30" s="575">
        <v>300</v>
      </c>
      <c r="T30" s="956" t="s">
        <v>727</v>
      </c>
      <c r="U30" s="575">
        <v>393</v>
      </c>
      <c r="V30" s="956" t="s">
        <v>727</v>
      </c>
      <c r="W30" s="575">
        <v>415</v>
      </c>
      <c r="X30" s="956" t="s">
        <v>727</v>
      </c>
      <c r="Y30" s="737">
        <v>411</v>
      </c>
      <c r="Z30" s="717">
        <v>6</v>
      </c>
      <c r="AA30" s="608"/>
      <c r="AB30" s="613">
        <v>3</v>
      </c>
    </row>
    <row r="31" spans="1:39" ht="14.25" customHeight="1" x14ac:dyDescent="0.3">
      <c r="A31" s="721"/>
      <c r="B31" s="948"/>
      <c r="C31" s="733"/>
      <c r="D31" s="944"/>
      <c r="E31" s="733"/>
      <c r="F31" s="944"/>
      <c r="G31" s="733"/>
      <c r="H31" s="1294"/>
      <c r="I31" s="733"/>
      <c r="J31" s="1008"/>
      <c r="K31" s="733"/>
      <c r="L31" s="1008"/>
      <c r="M31" s="733"/>
      <c r="N31" s="1006"/>
      <c r="O31" s="733"/>
      <c r="P31" s="1006"/>
      <c r="Q31" s="733"/>
      <c r="R31" s="1006"/>
      <c r="S31" s="733"/>
      <c r="T31" s="957"/>
      <c r="U31" s="733"/>
      <c r="V31" s="957"/>
      <c r="W31" s="733"/>
      <c r="X31" s="957"/>
      <c r="Y31" s="738"/>
      <c r="Z31" s="717"/>
      <c r="AA31" s="608"/>
      <c r="AB31" s="613"/>
    </row>
    <row r="32" spans="1:39" ht="14.25" customHeight="1" x14ac:dyDescent="0.3">
      <c r="A32" s="721"/>
      <c r="B32" s="739" t="s">
        <v>220</v>
      </c>
      <c r="C32" s="577"/>
      <c r="D32" s="739" t="s">
        <v>221</v>
      </c>
      <c r="E32" s="740"/>
      <c r="F32" s="739" t="s">
        <v>222</v>
      </c>
      <c r="G32" s="740"/>
      <c r="H32" s="739" t="s">
        <v>223</v>
      </c>
      <c r="I32" s="740"/>
      <c r="J32" s="739" t="s">
        <v>224</v>
      </c>
      <c r="K32" s="740"/>
      <c r="L32" s="739" t="s">
        <v>225</v>
      </c>
      <c r="M32" s="740"/>
      <c r="N32" s="739" t="s">
        <v>226</v>
      </c>
      <c r="O32" s="740"/>
      <c r="P32" s="739" t="s">
        <v>227</v>
      </c>
      <c r="Q32" s="740"/>
      <c r="R32" s="739" t="s">
        <v>566</v>
      </c>
      <c r="S32" s="740"/>
      <c r="T32" s="739" t="s">
        <v>228</v>
      </c>
      <c r="U32" s="741"/>
      <c r="V32" s="739" t="s">
        <v>229</v>
      </c>
      <c r="W32" s="740"/>
      <c r="X32" s="739" t="s">
        <v>230</v>
      </c>
      <c r="Y32" s="742"/>
      <c r="Z32" s="718"/>
      <c r="AA32" s="609"/>
      <c r="AB32" s="614"/>
      <c r="AC32" s="578"/>
      <c r="AD32" s="578"/>
      <c r="AE32" s="578"/>
      <c r="AF32" s="578"/>
      <c r="AG32" s="578"/>
      <c r="AH32" s="578"/>
      <c r="AI32" s="578"/>
    </row>
    <row r="33" spans="1:35" ht="14.25" customHeight="1" x14ac:dyDescent="0.3">
      <c r="A33" s="721"/>
      <c r="B33" s="577" t="s">
        <v>217</v>
      </c>
      <c r="C33" s="577"/>
      <c r="D33" s="577" t="s">
        <v>218</v>
      </c>
      <c r="E33" s="577"/>
      <c r="F33" s="577" t="s">
        <v>217</v>
      </c>
      <c r="G33" s="577"/>
      <c r="H33" s="577" t="s">
        <v>217</v>
      </c>
      <c r="I33" s="577"/>
      <c r="J33" s="577" t="s">
        <v>217</v>
      </c>
      <c r="K33" s="577"/>
      <c r="L33" s="577" t="s">
        <v>217</v>
      </c>
      <c r="M33" s="577"/>
      <c r="N33" s="577" t="s">
        <v>217</v>
      </c>
      <c r="O33" s="577"/>
      <c r="P33" s="577" t="s">
        <v>217</v>
      </c>
      <c r="Q33" s="743">
        <f>(S21+U21+W21+Y21+Q30+O30+M30+K30+I30+G30+E30+C30)/1000</f>
        <v>4.5817730000000001</v>
      </c>
      <c r="R33" s="577" t="s">
        <v>231</v>
      </c>
      <c r="S33" s="577"/>
      <c r="T33" s="577" t="s">
        <v>217</v>
      </c>
      <c r="U33" s="577"/>
      <c r="V33" s="577" t="s">
        <v>217</v>
      </c>
      <c r="W33" s="577"/>
      <c r="X33" s="577" t="s">
        <v>218</v>
      </c>
      <c r="Y33" s="748">
        <f>(S30+U30+W30+Y30)/1000</f>
        <v>1.5189999999999999</v>
      </c>
      <c r="Z33" s="718"/>
      <c r="AA33" s="609"/>
      <c r="AB33" s="614"/>
      <c r="AC33" s="578"/>
      <c r="AD33" s="578"/>
      <c r="AE33" s="578"/>
      <c r="AF33" s="578"/>
      <c r="AG33" s="578"/>
      <c r="AH33" s="578"/>
      <c r="AI33" s="578"/>
    </row>
    <row r="34" spans="1:35" ht="14.25" customHeight="1" x14ac:dyDescent="0.3">
      <c r="A34" s="721"/>
      <c r="B34" s="577"/>
      <c r="C34" s="577"/>
      <c r="D34" s="580" t="s">
        <v>728</v>
      </c>
      <c r="E34" s="577"/>
      <c r="F34" s="580" t="s">
        <v>728</v>
      </c>
      <c r="G34" s="577"/>
      <c r="H34" s="580" t="s">
        <v>728</v>
      </c>
      <c r="I34" s="577"/>
      <c r="J34" s="580" t="s">
        <v>728</v>
      </c>
      <c r="K34" s="577"/>
      <c r="L34" s="577"/>
      <c r="M34" s="577"/>
      <c r="N34" s="577"/>
      <c r="O34" s="577"/>
      <c r="P34" s="577"/>
      <c r="Q34" s="743"/>
      <c r="R34" s="755"/>
      <c r="S34" s="577"/>
      <c r="T34" s="577"/>
      <c r="U34" s="577"/>
      <c r="V34" s="577"/>
      <c r="W34" s="577"/>
      <c r="X34" s="577"/>
      <c r="Y34" s="748"/>
      <c r="Z34" s="718"/>
      <c r="AA34" s="609"/>
      <c r="AB34" s="614"/>
      <c r="AC34" s="578"/>
      <c r="AD34" s="578"/>
      <c r="AE34" s="578"/>
      <c r="AF34" s="578"/>
      <c r="AG34" s="578"/>
      <c r="AH34" s="578"/>
      <c r="AI34" s="578"/>
    </row>
    <row r="35" spans="1:35" ht="14.25" customHeight="1" x14ac:dyDescent="0.3">
      <c r="A35" s="721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743"/>
      <c r="R35" s="577"/>
      <c r="S35" s="577"/>
      <c r="T35" s="577"/>
      <c r="U35" s="577"/>
      <c r="V35" s="577"/>
      <c r="W35" s="577"/>
      <c r="X35" s="577"/>
      <c r="Y35" s="748"/>
      <c r="Z35" s="718"/>
      <c r="AA35" s="609"/>
      <c r="AB35" s="614"/>
      <c r="AC35" s="578"/>
      <c r="AD35" s="578"/>
      <c r="AE35" s="578"/>
      <c r="AF35" s="578"/>
      <c r="AG35" s="578"/>
      <c r="AH35" s="578"/>
      <c r="AI35" s="578"/>
    </row>
    <row r="36" spans="1:35" ht="14.25" customHeight="1" x14ac:dyDescent="0.3">
      <c r="A36" s="721"/>
      <c r="B36" s="728"/>
      <c r="C36" s="728"/>
      <c r="D36" s="728"/>
      <c r="E36" s="728"/>
      <c r="F36" s="728"/>
      <c r="G36" s="728"/>
      <c r="H36" s="728"/>
      <c r="I36" s="728"/>
      <c r="J36" s="728"/>
      <c r="K36" s="728"/>
      <c r="L36" s="728"/>
      <c r="M36" s="728"/>
      <c r="N36" s="727"/>
      <c r="O36" s="735"/>
      <c r="P36" s="727"/>
      <c r="Q36" s="735"/>
      <c r="R36" s="727"/>
      <c r="S36" s="733"/>
      <c r="T36" s="727"/>
      <c r="U36" s="733"/>
      <c r="V36" s="727"/>
      <c r="W36" s="733"/>
      <c r="X36" s="727"/>
      <c r="Y36" s="736"/>
      <c r="Z36" s="718"/>
      <c r="AA36" s="609"/>
      <c r="AB36" s="614"/>
      <c r="AC36" s="578"/>
      <c r="AD36" s="578"/>
      <c r="AE36" s="578"/>
      <c r="AF36" s="578"/>
      <c r="AG36" s="578"/>
      <c r="AH36" s="578"/>
      <c r="AI36" s="578"/>
    </row>
    <row r="37" spans="1:35" ht="14.25" customHeight="1" x14ac:dyDescent="0.3">
      <c r="A37" s="721"/>
      <c r="B37" s="728"/>
      <c r="C37" s="746"/>
      <c r="D37" s="723"/>
      <c r="E37" s="746"/>
      <c r="F37" s="723"/>
      <c r="G37" s="746"/>
      <c r="H37" s="723"/>
      <c r="I37" s="746"/>
      <c r="J37" s="723"/>
      <c r="K37" s="746"/>
      <c r="L37" s="723"/>
      <c r="M37" s="746"/>
      <c r="N37" s="723"/>
      <c r="O37" s="746"/>
      <c r="P37" s="723"/>
      <c r="Q37" s="746"/>
      <c r="R37" s="723"/>
      <c r="S37" s="746"/>
      <c r="T37" s="723"/>
      <c r="U37" s="746"/>
      <c r="V37" s="723"/>
      <c r="W37" s="746"/>
      <c r="X37" s="746"/>
      <c r="Y37" s="747"/>
      <c r="Z37" s="718"/>
      <c r="AA37" s="609"/>
      <c r="AB37" s="614"/>
      <c r="AC37" s="578"/>
      <c r="AD37" s="578"/>
      <c r="AE37" s="578"/>
      <c r="AF37" s="578"/>
      <c r="AG37" s="578"/>
      <c r="AH37" s="578"/>
      <c r="AI37" s="578"/>
    </row>
    <row r="38" spans="1:35" ht="14.25" customHeight="1" x14ac:dyDescent="0.3">
      <c r="A38" s="721"/>
      <c r="B38" s="728"/>
      <c r="C38" s="749"/>
      <c r="D38" s="741"/>
      <c r="E38" s="749"/>
      <c r="F38" s="741"/>
      <c r="G38" s="749"/>
      <c r="H38" s="741"/>
      <c r="I38" s="749"/>
      <c r="J38" s="741"/>
      <c r="K38" s="749"/>
      <c r="L38" s="741"/>
      <c r="M38" s="749"/>
      <c r="N38" s="741"/>
      <c r="O38" s="749"/>
      <c r="P38" s="741"/>
      <c r="Q38" s="749"/>
      <c r="R38" s="741"/>
      <c r="S38" s="749"/>
      <c r="T38" s="741"/>
      <c r="U38" s="749"/>
      <c r="V38" s="741"/>
      <c r="W38" s="749"/>
      <c r="X38" s="749"/>
      <c r="Y38" s="750"/>
      <c r="Z38" s="718"/>
      <c r="AA38" s="609"/>
      <c r="AB38" s="614"/>
      <c r="AC38" s="578"/>
      <c r="AD38" s="578"/>
      <c r="AE38" s="578"/>
      <c r="AF38" s="578"/>
      <c r="AG38" s="578"/>
      <c r="AH38" s="578"/>
      <c r="AI38" s="578"/>
    </row>
    <row r="39" spans="1:35" ht="14.25" customHeight="1" x14ac:dyDescent="0.3">
      <c r="A39" s="721"/>
      <c r="B39" s="945"/>
      <c r="C39" s="574">
        <v>378</v>
      </c>
      <c r="D39" s="947"/>
      <c r="E39" s="575">
        <v>370</v>
      </c>
      <c r="F39" s="956" t="s">
        <v>727</v>
      </c>
      <c r="G39" s="575">
        <v>370</v>
      </c>
      <c r="H39" s="947"/>
      <c r="I39" s="575">
        <v>404</v>
      </c>
      <c r="J39" s="947"/>
      <c r="K39" s="575">
        <v>374</v>
      </c>
      <c r="L39" s="947"/>
      <c r="M39" s="575">
        <v>416</v>
      </c>
      <c r="N39" s="956" t="s">
        <v>727</v>
      </c>
      <c r="O39" s="575">
        <v>425</v>
      </c>
      <c r="P39" s="956" t="s">
        <v>727</v>
      </c>
      <c r="Q39" s="575">
        <v>411</v>
      </c>
      <c r="R39" s="956" t="s">
        <v>727</v>
      </c>
      <c r="S39" s="575">
        <v>427</v>
      </c>
      <c r="T39" s="956" t="s">
        <v>727</v>
      </c>
      <c r="U39" s="575">
        <v>370</v>
      </c>
      <c r="V39" s="956" t="s">
        <v>727</v>
      </c>
      <c r="W39" s="575">
        <v>356</v>
      </c>
      <c r="X39" s="963" t="s">
        <v>757</v>
      </c>
      <c r="Y39" s="737">
        <v>459</v>
      </c>
      <c r="Z39" s="718"/>
      <c r="AA39" s="609"/>
      <c r="AB39" s="614"/>
      <c r="AC39" s="578"/>
      <c r="AD39" s="578"/>
      <c r="AE39" s="578"/>
      <c r="AF39" s="578"/>
      <c r="AG39" s="578"/>
      <c r="AH39" s="578"/>
      <c r="AI39" s="578"/>
    </row>
    <row r="40" spans="1:35" ht="14.25" customHeight="1" x14ac:dyDescent="0.3">
      <c r="A40" s="721"/>
      <c r="B40" s="946"/>
      <c r="C40" s="741"/>
      <c r="D40" s="948"/>
      <c r="E40" s="741"/>
      <c r="F40" s="957"/>
      <c r="G40" s="741"/>
      <c r="H40" s="948"/>
      <c r="I40" s="741"/>
      <c r="J40" s="948"/>
      <c r="K40" s="741"/>
      <c r="L40" s="948"/>
      <c r="M40" s="741"/>
      <c r="N40" s="957"/>
      <c r="O40" s="741"/>
      <c r="P40" s="957"/>
      <c r="Q40" s="741"/>
      <c r="R40" s="957"/>
      <c r="S40" s="741"/>
      <c r="T40" s="957"/>
      <c r="U40" s="741"/>
      <c r="V40" s="957"/>
      <c r="W40" s="741"/>
      <c r="X40" s="1004"/>
      <c r="Y40" s="738"/>
      <c r="Z40" s="718">
        <v>7</v>
      </c>
      <c r="AA40" s="609">
        <v>2</v>
      </c>
      <c r="AB40" s="614">
        <v>6</v>
      </c>
      <c r="AC40" s="578"/>
      <c r="AD40" s="578"/>
      <c r="AE40" s="578"/>
      <c r="AF40" s="578"/>
      <c r="AG40" s="578"/>
      <c r="AH40" s="578"/>
      <c r="AI40" s="578"/>
    </row>
    <row r="41" spans="1:35" ht="14.25" customHeight="1" x14ac:dyDescent="0.3">
      <c r="A41" s="721"/>
      <c r="B41" s="739" t="s">
        <v>567</v>
      </c>
      <c r="C41" s="577"/>
      <c r="D41" s="739" t="s">
        <v>232</v>
      </c>
      <c r="E41" s="740"/>
      <c r="F41" s="739" t="s">
        <v>233</v>
      </c>
      <c r="G41" s="740"/>
      <c r="H41" s="739" t="s">
        <v>234</v>
      </c>
      <c r="I41" s="740"/>
      <c r="J41" s="739" t="s">
        <v>235</v>
      </c>
      <c r="K41" s="740"/>
      <c r="L41" s="739" t="s">
        <v>236</v>
      </c>
      <c r="M41" s="740"/>
      <c r="N41" s="739" t="s">
        <v>237</v>
      </c>
      <c r="O41" s="740"/>
      <c r="P41" s="739" t="s">
        <v>238</v>
      </c>
      <c r="Q41" s="740"/>
      <c r="R41" s="739" t="s">
        <v>239</v>
      </c>
      <c r="S41" s="740"/>
      <c r="T41" s="739" t="s">
        <v>240</v>
      </c>
      <c r="U41" s="741"/>
      <c r="V41" s="739" t="s">
        <v>241</v>
      </c>
      <c r="W41" s="740"/>
      <c r="X41" s="739" t="s">
        <v>568</v>
      </c>
      <c r="Y41" s="742"/>
      <c r="Z41" s="718"/>
      <c r="AA41" s="609"/>
      <c r="AB41" s="614"/>
      <c r="AC41" s="578"/>
      <c r="AD41" s="578"/>
      <c r="AE41" s="578"/>
      <c r="AF41" s="578"/>
      <c r="AG41" s="578"/>
      <c r="AH41" s="578"/>
      <c r="AI41" s="578"/>
    </row>
    <row r="42" spans="1:35" ht="14.25" customHeight="1" x14ac:dyDescent="0.3">
      <c r="A42" s="721"/>
      <c r="B42" s="577" t="s">
        <v>231</v>
      </c>
      <c r="C42" s="577"/>
      <c r="D42" s="577" t="s">
        <v>218</v>
      </c>
      <c r="E42" s="577"/>
      <c r="F42" s="577" t="s">
        <v>217</v>
      </c>
      <c r="G42" s="577"/>
      <c r="H42" s="577" t="s">
        <v>217</v>
      </c>
      <c r="I42" s="577"/>
      <c r="J42" s="577" t="s">
        <v>217</v>
      </c>
      <c r="K42" s="577"/>
      <c r="L42" s="577" t="s">
        <v>217</v>
      </c>
      <c r="M42" s="577"/>
      <c r="N42" s="577" t="s">
        <v>218</v>
      </c>
      <c r="O42" s="577"/>
      <c r="P42" s="577" t="s">
        <v>218</v>
      </c>
      <c r="Q42" s="577"/>
      <c r="R42" s="577" t="s">
        <v>217</v>
      </c>
      <c r="S42" s="577"/>
      <c r="T42" s="577" t="s">
        <v>218</v>
      </c>
      <c r="U42" s="577"/>
      <c r="V42" s="577" t="s">
        <v>217</v>
      </c>
      <c r="W42" s="727">
        <f>(C39+E39+G39+I39+K39+M39+O39+Q39+S39+U39+W39)/1000</f>
        <v>4.3010000000000002</v>
      </c>
      <c r="X42" s="577" t="s">
        <v>242</v>
      </c>
      <c r="Y42" s="744"/>
      <c r="Z42" s="718"/>
      <c r="AA42" s="609"/>
      <c r="AB42" s="614"/>
      <c r="AC42" s="578"/>
      <c r="AD42" s="578"/>
      <c r="AE42" s="578"/>
      <c r="AF42" s="578"/>
      <c r="AG42" s="578"/>
      <c r="AH42" s="578"/>
      <c r="AI42" s="578"/>
    </row>
    <row r="43" spans="1:35" ht="14.25" customHeight="1" x14ac:dyDescent="0.3">
      <c r="A43" s="721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80" t="s">
        <v>728</v>
      </c>
      <c r="O43" s="577"/>
      <c r="P43" s="580" t="s">
        <v>728</v>
      </c>
      <c r="Q43" s="577"/>
      <c r="R43" s="580" t="s">
        <v>728</v>
      </c>
      <c r="S43" s="577"/>
      <c r="T43" s="577"/>
      <c r="U43" s="577"/>
      <c r="V43" s="577"/>
      <c r="W43" s="727"/>
      <c r="X43" s="577"/>
      <c r="Y43" s="744"/>
      <c r="Z43" s="718"/>
      <c r="AA43" s="609"/>
      <c r="AB43" s="614"/>
      <c r="AC43" s="578"/>
      <c r="AD43" s="578"/>
      <c r="AE43" s="578"/>
      <c r="AF43" s="578"/>
      <c r="AG43" s="578"/>
      <c r="AH43" s="578"/>
      <c r="AI43" s="578"/>
    </row>
    <row r="44" spans="1:35" ht="14.25" customHeight="1" x14ac:dyDescent="0.3">
      <c r="A44" s="721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Q44" s="577"/>
      <c r="R44" s="577"/>
      <c r="S44" s="577"/>
      <c r="T44" s="577"/>
      <c r="U44" s="577"/>
      <c r="V44" s="577"/>
      <c r="W44" s="727"/>
      <c r="X44" s="577"/>
      <c r="Y44" s="744"/>
      <c r="Z44" s="718"/>
      <c r="AA44" s="609"/>
      <c r="AB44" s="614"/>
      <c r="AC44" s="578"/>
      <c r="AD44" s="578"/>
      <c r="AE44" s="578"/>
      <c r="AF44" s="578"/>
      <c r="AG44" s="578"/>
      <c r="AH44" s="578"/>
      <c r="AI44" s="578"/>
    </row>
    <row r="45" spans="1:35" ht="14.25" customHeight="1" x14ac:dyDescent="0.3">
      <c r="A45" s="721"/>
      <c r="B45" s="751"/>
      <c r="C45" s="752"/>
      <c r="D45" s="751"/>
      <c r="E45" s="752"/>
      <c r="F45" s="751"/>
      <c r="G45" s="751"/>
      <c r="H45" s="751"/>
      <c r="I45" s="751"/>
      <c r="J45" s="751"/>
      <c r="K45" s="752"/>
      <c r="L45" s="727"/>
      <c r="M45" s="735"/>
      <c r="N45" s="751"/>
      <c r="O45" s="752"/>
      <c r="P45" s="577"/>
      <c r="Q45" s="752"/>
      <c r="R45" s="751"/>
      <c r="S45" s="752"/>
      <c r="T45" s="751"/>
      <c r="U45" s="752"/>
      <c r="V45" s="751"/>
      <c r="W45" s="752"/>
      <c r="X45" s="751"/>
      <c r="Y45" s="753"/>
      <c r="Z45" s="718"/>
      <c r="AA45" s="609"/>
      <c r="AB45" s="614"/>
      <c r="AC45" s="578"/>
      <c r="AD45" s="578"/>
      <c r="AE45" s="578"/>
      <c r="AF45" s="578"/>
      <c r="AG45" s="578"/>
      <c r="AH45" s="578"/>
      <c r="AI45" s="578"/>
    </row>
    <row r="46" spans="1:35" ht="14.25" customHeight="1" x14ac:dyDescent="0.3">
      <c r="A46" s="721"/>
      <c r="B46" s="723"/>
      <c r="C46" s="746"/>
      <c r="D46" s="723"/>
      <c r="E46" s="746"/>
      <c r="F46" s="723"/>
      <c r="G46" s="746"/>
      <c r="H46" s="723"/>
      <c r="I46" s="746"/>
      <c r="J46" s="728"/>
      <c r="K46" s="746"/>
      <c r="L46" s="723"/>
      <c r="M46" s="746"/>
      <c r="N46" s="723"/>
      <c r="O46" s="746"/>
      <c r="P46" s="723"/>
      <c r="Q46" s="746"/>
      <c r="R46" s="723"/>
      <c r="S46" s="746"/>
      <c r="T46" s="723"/>
      <c r="U46" s="746"/>
      <c r="V46" s="723"/>
      <c r="W46" s="746"/>
      <c r="X46" s="746"/>
      <c r="Y46" s="747"/>
      <c r="Z46" s="718"/>
      <c r="AA46" s="609"/>
      <c r="AB46" s="614"/>
      <c r="AC46" s="578"/>
      <c r="AD46" s="578"/>
      <c r="AE46" s="578"/>
      <c r="AF46" s="578"/>
      <c r="AG46" s="578"/>
      <c r="AH46" s="578"/>
      <c r="AI46" s="578"/>
    </row>
    <row r="47" spans="1:35" ht="14.25" customHeight="1" x14ac:dyDescent="0.3">
      <c r="A47" s="721"/>
      <c r="B47" s="733"/>
      <c r="C47" s="746"/>
      <c r="D47" s="733"/>
      <c r="E47" s="746"/>
      <c r="F47" s="733"/>
      <c r="G47" s="746"/>
      <c r="H47" s="733"/>
      <c r="I47" s="746"/>
      <c r="J47" s="728"/>
      <c r="K47" s="746"/>
      <c r="L47" s="733"/>
      <c r="M47" s="746"/>
      <c r="N47" s="733"/>
      <c r="O47" s="746"/>
      <c r="P47" s="733"/>
      <c r="Q47" s="746"/>
      <c r="R47" s="733"/>
      <c r="S47" s="746"/>
      <c r="T47" s="733"/>
      <c r="U47" s="746"/>
      <c r="V47" s="733"/>
      <c r="W47" s="746"/>
      <c r="X47" s="746"/>
      <c r="Y47" s="747"/>
      <c r="Z47" s="718"/>
      <c r="AA47" s="609"/>
      <c r="AB47" s="614"/>
      <c r="AC47" s="578"/>
      <c r="AD47" s="578"/>
      <c r="AE47" s="578"/>
      <c r="AF47" s="578"/>
      <c r="AG47" s="578"/>
      <c r="AH47" s="578"/>
      <c r="AI47" s="578"/>
    </row>
    <row r="48" spans="1:35" ht="14.25" customHeight="1" x14ac:dyDescent="0.3">
      <c r="A48" s="721"/>
      <c r="B48" s="956" t="s">
        <v>727</v>
      </c>
      <c r="C48" s="574">
        <v>355</v>
      </c>
      <c r="D48" s="943"/>
      <c r="E48" s="575">
        <v>348</v>
      </c>
      <c r="F48" s="947"/>
      <c r="G48" s="575">
        <v>434</v>
      </c>
      <c r="H48" s="943"/>
      <c r="I48" s="575">
        <v>401</v>
      </c>
      <c r="J48" s="963" t="s">
        <v>727</v>
      </c>
      <c r="K48" s="575">
        <v>400</v>
      </c>
      <c r="L48" s="956" t="s">
        <v>727</v>
      </c>
      <c r="M48" s="575">
        <v>413</v>
      </c>
      <c r="N48" s="956" t="s">
        <v>727</v>
      </c>
      <c r="O48" s="575">
        <v>406</v>
      </c>
      <c r="P48" s="956" t="s">
        <v>727</v>
      </c>
      <c r="Q48" s="575">
        <v>390</v>
      </c>
      <c r="R48" s="956" t="s">
        <v>727</v>
      </c>
      <c r="S48" s="575">
        <v>390</v>
      </c>
      <c r="T48" s="956" t="s">
        <v>727</v>
      </c>
      <c r="U48" s="575">
        <v>430</v>
      </c>
      <c r="V48" s="943"/>
      <c r="W48" s="575">
        <v>332</v>
      </c>
      <c r="X48" s="945"/>
      <c r="Y48" s="737">
        <v>229.642</v>
      </c>
      <c r="Z48" s="718"/>
      <c r="AA48" s="609"/>
      <c r="AB48" s="614"/>
      <c r="AC48" s="578"/>
      <c r="AD48" s="578"/>
      <c r="AE48" s="578"/>
      <c r="AF48" s="578"/>
      <c r="AG48" s="578"/>
      <c r="AH48" s="578"/>
      <c r="AI48" s="578"/>
    </row>
    <row r="49" spans="1:35" ht="14.25" customHeight="1" x14ac:dyDescent="0.3">
      <c r="A49" s="721"/>
      <c r="B49" s="957"/>
      <c r="C49" s="741"/>
      <c r="D49" s="944"/>
      <c r="E49" s="741"/>
      <c r="F49" s="948"/>
      <c r="G49" s="741"/>
      <c r="H49" s="944"/>
      <c r="I49" s="741"/>
      <c r="J49" s="964"/>
      <c r="K49" s="741"/>
      <c r="L49" s="957"/>
      <c r="M49" s="741"/>
      <c r="N49" s="957"/>
      <c r="O49" s="741"/>
      <c r="P49" s="957"/>
      <c r="Q49" s="741"/>
      <c r="R49" s="957"/>
      <c r="S49" s="741"/>
      <c r="T49" s="957"/>
      <c r="U49" s="741"/>
      <c r="V49" s="944"/>
      <c r="W49" s="741"/>
      <c r="X49" s="946"/>
      <c r="Y49" s="738"/>
      <c r="Z49" s="718">
        <v>7</v>
      </c>
      <c r="AA49" s="609">
        <v>4</v>
      </c>
      <c r="AB49" s="614">
        <v>6</v>
      </c>
      <c r="AC49" s="578"/>
      <c r="AD49" s="578"/>
      <c r="AE49" s="578"/>
      <c r="AF49" s="578"/>
      <c r="AG49" s="578"/>
      <c r="AH49" s="578"/>
      <c r="AI49" s="578"/>
    </row>
    <row r="50" spans="1:35" ht="14.25" customHeight="1" x14ac:dyDescent="0.3">
      <c r="A50" s="721"/>
      <c r="B50" s="739" t="s">
        <v>243</v>
      </c>
      <c r="C50" s="577"/>
      <c r="D50" s="739" t="s">
        <v>244</v>
      </c>
      <c r="E50" s="740"/>
      <c r="F50" s="739" t="s">
        <v>245</v>
      </c>
      <c r="G50" s="740"/>
      <c r="H50" s="739" t="s">
        <v>246</v>
      </c>
      <c r="I50" s="740"/>
      <c r="J50" s="739" t="s">
        <v>569</v>
      </c>
      <c r="K50" s="740"/>
      <c r="L50" s="739" t="s">
        <v>247</v>
      </c>
      <c r="M50" s="740"/>
      <c r="N50" s="739" t="s">
        <v>248</v>
      </c>
      <c r="O50" s="740"/>
      <c r="P50" s="739" t="s">
        <v>249</v>
      </c>
      <c r="Q50" s="740"/>
      <c r="R50" s="739" t="s">
        <v>250</v>
      </c>
      <c r="S50" s="740"/>
      <c r="T50" s="739" t="s">
        <v>251</v>
      </c>
      <c r="U50" s="741"/>
      <c r="V50" s="739" t="s">
        <v>252</v>
      </c>
      <c r="W50" s="740"/>
      <c r="X50" s="739" t="s">
        <v>570</v>
      </c>
      <c r="Y50" s="742"/>
      <c r="Z50" s="718"/>
      <c r="AA50" s="609"/>
      <c r="AB50" s="614"/>
      <c r="AC50" s="578"/>
      <c r="AD50" s="578"/>
      <c r="AE50" s="578"/>
      <c r="AF50" s="578"/>
      <c r="AG50" s="578"/>
      <c r="AH50" s="578"/>
      <c r="AI50" s="578"/>
    </row>
    <row r="51" spans="1:35" ht="14.25" customHeight="1" x14ac:dyDescent="0.3">
      <c r="A51" s="721"/>
      <c r="B51" s="577" t="s">
        <v>253</v>
      </c>
      <c r="C51" s="577"/>
      <c r="D51" s="577" t="s">
        <v>217</v>
      </c>
      <c r="E51" s="577"/>
      <c r="F51" s="577" t="s">
        <v>217</v>
      </c>
      <c r="G51" s="577"/>
      <c r="H51" s="577" t="s">
        <v>217</v>
      </c>
      <c r="I51" s="727">
        <f>(Y39+C48+E48+G48+I48)/1000</f>
        <v>1.9970000000000001</v>
      </c>
      <c r="J51" s="577" t="s">
        <v>571</v>
      </c>
      <c r="K51" s="577"/>
      <c r="L51" s="577" t="s">
        <v>218</v>
      </c>
      <c r="M51" s="577"/>
      <c r="N51" s="577" t="s">
        <v>217</v>
      </c>
      <c r="O51" s="577"/>
      <c r="P51" s="577" t="s">
        <v>218</v>
      </c>
      <c r="Q51" s="577"/>
      <c r="R51" s="577" t="s">
        <v>217</v>
      </c>
      <c r="S51" s="577"/>
      <c r="T51" s="577" t="s">
        <v>217</v>
      </c>
      <c r="U51" s="577"/>
      <c r="V51" s="577" t="s">
        <v>218</v>
      </c>
      <c r="W51" s="727">
        <f>(K48+M48+O48+Q48+S48+U48+W48)/1000</f>
        <v>2.7610000000000001</v>
      </c>
      <c r="X51" s="577" t="s">
        <v>254</v>
      </c>
      <c r="Y51" s="754">
        <f>Y48/1000</f>
        <v>0.22964199999999999</v>
      </c>
      <c r="Z51" s="718"/>
      <c r="AA51" s="609"/>
      <c r="AB51" s="614"/>
      <c r="AC51" s="578"/>
      <c r="AD51" s="578"/>
      <c r="AE51" s="578"/>
      <c r="AF51" s="578"/>
      <c r="AG51" s="578"/>
      <c r="AH51" s="578"/>
      <c r="AI51" s="578"/>
    </row>
    <row r="52" spans="1:35" ht="14.25" customHeight="1" x14ac:dyDescent="0.3">
      <c r="A52" s="721"/>
      <c r="B52" s="577"/>
      <c r="C52" s="577"/>
      <c r="D52" s="580" t="s">
        <v>728</v>
      </c>
      <c r="E52" s="577"/>
      <c r="F52" s="577"/>
      <c r="G52" s="577"/>
      <c r="H52" s="580" t="s">
        <v>728</v>
      </c>
      <c r="I52" s="727"/>
      <c r="J52" s="577"/>
      <c r="K52" s="577"/>
      <c r="L52" s="577"/>
      <c r="M52" s="577"/>
      <c r="N52" s="577"/>
      <c r="O52" s="577"/>
      <c r="P52" s="580" t="s">
        <v>728</v>
      </c>
      <c r="Q52" s="577"/>
      <c r="R52" s="577"/>
      <c r="S52" s="577"/>
      <c r="T52" s="577"/>
      <c r="U52" s="577"/>
      <c r="V52" s="580" t="s">
        <v>728</v>
      </c>
      <c r="W52" s="727"/>
      <c r="X52" s="755" t="s">
        <v>726</v>
      </c>
      <c r="Y52" s="754"/>
      <c r="Z52" s="718"/>
      <c r="AA52" s="609"/>
      <c r="AB52" s="614"/>
      <c r="AC52" s="578"/>
      <c r="AD52" s="578"/>
      <c r="AE52" s="578"/>
      <c r="AF52" s="578"/>
      <c r="AG52" s="578"/>
      <c r="AH52" s="578"/>
      <c r="AI52" s="578"/>
    </row>
    <row r="53" spans="1:35" ht="14.25" customHeight="1" x14ac:dyDescent="0.3">
      <c r="A53" s="721"/>
      <c r="B53" s="577"/>
      <c r="C53" s="577"/>
      <c r="D53" s="577"/>
      <c r="E53" s="577"/>
      <c r="F53" s="577"/>
      <c r="G53" s="577"/>
      <c r="H53" s="577"/>
      <c r="I53" s="72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727"/>
      <c r="X53" s="577"/>
      <c r="Y53" s="754"/>
      <c r="Z53" s="718"/>
      <c r="AA53" s="609"/>
      <c r="AB53" s="614"/>
      <c r="AC53" s="578"/>
      <c r="AD53" s="578"/>
      <c r="AE53" s="578"/>
      <c r="AF53" s="578"/>
      <c r="AG53" s="578"/>
      <c r="AH53" s="578"/>
      <c r="AI53" s="578"/>
    </row>
    <row r="54" spans="1:35" ht="14.25" customHeight="1" x14ac:dyDescent="0.3">
      <c r="A54" s="721"/>
      <c r="B54" s="728"/>
      <c r="C54" s="728"/>
      <c r="D54" s="727"/>
      <c r="E54" s="735"/>
      <c r="F54" s="727"/>
      <c r="G54" s="733"/>
      <c r="H54" s="727"/>
      <c r="I54" s="733"/>
      <c r="J54" s="727"/>
      <c r="K54" s="735"/>
      <c r="L54" s="727"/>
      <c r="M54" s="733"/>
      <c r="N54" s="756"/>
      <c r="O54" s="735"/>
      <c r="P54" s="756"/>
      <c r="Q54" s="733"/>
      <c r="R54" s="756"/>
      <c r="S54" s="733"/>
      <c r="T54" s="756"/>
      <c r="U54" s="733"/>
      <c r="V54" s="727"/>
      <c r="W54" s="733"/>
      <c r="X54" s="727"/>
      <c r="Y54" s="738"/>
      <c r="Z54" s="718"/>
      <c r="AA54" s="609"/>
      <c r="AB54" s="614"/>
      <c r="AC54" s="578"/>
      <c r="AD54" s="578"/>
      <c r="AE54" s="578"/>
      <c r="AF54" s="578"/>
      <c r="AG54" s="578"/>
      <c r="AH54" s="578"/>
      <c r="AI54" s="578"/>
    </row>
    <row r="55" spans="1:35" ht="14.25" customHeight="1" x14ac:dyDescent="0.3">
      <c r="A55" s="721"/>
      <c r="B55" s="728"/>
      <c r="C55" s="746"/>
      <c r="D55" s="723"/>
      <c r="E55" s="746"/>
      <c r="F55" s="723"/>
      <c r="G55" s="746"/>
      <c r="H55" s="723"/>
      <c r="I55" s="746"/>
      <c r="J55" s="728"/>
      <c r="K55" s="746"/>
      <c r="L55" s="723"/>
      <c r="M55" s="746"/>
      <c r="N55" s="723"/>
      <c r="O55" s="746"/>
      <c r="P55" s="723"/>
      <c r="Q55" s="746"/>
      <c r="R55" s="723"/>
      <c r="S55" s="746"/>
      <c r="T55" s="723"/>
      <c r="U55" s="746"/>
      <c r="V55" s="723"/>
      <c r="W55" s="746"/>
      <c r="X55" s="728"/>
      <c r="Y55" s="747"/>
      <c r="Z55" s="718"/>
      <c r="AA55" s="609"/>
      <c r="AB55" s="614"/>
      <c r="AC55" s="578"/>
      <c r="AD55" s="578"/>
      <c r="AE55" s="578"/>
      <c r="AF55" s="578"/>
      <c r="AG55" s="578"/>
      <c r="AH55" s="578"/>
      <c r="AI55" s="578"/>
    </row>
    <row r="56" spans="1:35" ht="14.25" customHeight="1" x14ac:dyDescent="0.3">
      <c r="A56" s="721"/>
      <c r="B56" s="728"/>
      <c r="C56" s="746"/>
      <c r="D56" s="733"/>
      <c r="E56" s="746"/>
      <c r="F56" s="733"/>
      <c r="G56" s="746"/>
      <c r="H56" s="733"/>
      <c r="I56" s="746"/>
      <c r="J56" s="728"/>
      <c r="K56" s="746"/>
      <c r="L56" s="733"/>
      <c r="M56" s="746"/>
      <c r="N56" s="733"/>
      <c r="O56" s="746"/>
      <c r="P56" s="733"/>
      <c r="Q56" s="746"/>
      <c r="R56" s="733"/>
      <c r="S56" s="746"/>
      <c r="T56" s="733"/>
      <c r="U56" s="746"/>
      <c r="V56" s="733"/>
      <c r="W56" s="746"/>
      <c r="X56" s="728"/>
      <c r="Y56" s="747"/>
      <c r="Z56" s="718"/>
      <c r="AA56" s="609"/>
      <c r="AB56" s="614"/>
      <c r="AC56" s="578"/>
      <c r="AD56" s="578"/>
      <c r="AE56" s="578"/>
      <c r="AF56" s="578"/>
      <c r="AG56" s="578"/>
      <c r="AH56" s="578"/>
      <c r="AI56" s="578"/>
    </row>
    <row r="57" spans="1:35" ht="14.25" customHeight="1" x14ac:dyDescent="0.3">
      <c r="A57" s="721"/>
      <c r="B57" s="945"/>
      <c r="C57" s="574">
        <v>339</v>
      </c>
      <c r="D57" s="956" t="s">
        <v>727</v>
      </c>
      <c r="E57" s="575">
        <v>365</v>
      </c>
      <c r="F57" s="967"/>
      <c r="G57" s="575">
        <v>409</v>
      </c>
      <c r="H57" s="956" t="s">
        <v>727</v>
      </c>
      <c r="I57" s="575">
        <v>340.46199999999999</v>
      </c>
      <c r="J57" s="952"/>
      <c r="K57" s="575">
        <v>352</v>
      </c>
      <c r="L57" s="956" t="s">
        <v>727</v>
      </c>
      <c r="M57" s="575">
        <v>419</v>
      </c>
      <c r="N57" s="956" t="s">
        <v>727</v>
      </c>
      <c r="O57" s="575">
        <v>410</v>
      </c>
      <c r="P57" s="956" t="s">
        <v>727</v>
      </c>
      <c r="Q57" s="575">
        <v>413</v>
      </c>
      <c r="R57" s="956" t="s">
        <v>727</v>
      </c>
      <c r="S57" s="575">
        <v>407</v>
      </c>
      <c r="T57" s="1002" t="s">
        <v>562</v>
      </c>
      <c r="U57" s="575">
        <v>351</v>
      </c>
      <c r="V57" s="956" t="s">
        <v>727</v>
      </c>
      <c r="W57" s="575">
        <v>405</v>
      </c>
      <c r="X57" s="963" t="s">
        <v>727</v>
      </c>
      <c r="Y57" s="737">
        <v>393</v>
      </c>
      <c r="Z57" s="718"/>
      <c r="AA57" s="609"/>
      <c r="AB57" s="614"/>
      <c r="AC57" s="578"/>
      <c r="AD57" s="578"/>
      <c r="AE57" s="578"/>
      <c r="AF57" s="578"/>
      <c r="AG57" s="578"/>
      <c r="AH57" s="578"/>
      <c r="AI57" s="578"/>
    </row>
    <row r="58" spans="1:35" ht="14.25" customHeight="1" x14ac:dyDescent="0.3">
      <c r="A58" s="721"/>
      <c r="B58" s="946"/>
      <c r="C58" s="741"/>
      <c r="D58" s="957"/>
      <c r="E58" s="741"/>
      <c r="F58" s="968"/>
      <c r="G58" s="741"/>
      <c r="H58" s="957"/>
      <c r="I58" s="741"/>
      <c r="J58" s="953"/>
      <c r="K58" s="741"/>
      <c r="L58" s="957"/>
      <c r="M58" s="741"/>
      <c r="N58" s="957"/>
      <c r="O58" s="741"/>
      <c r="P58" s="957"/>
      <c r="Q58" s="741"/>
      <c r="R58" s="957"/>
      <c r="S58" s="741"/>
      <c r="T58" s="1003"/>
      <c r="U58" s="741"/>
      <c r="V58" s="957"/>
      <c r="W58" s="741"/>
      <c r="X58" s="964"/>
      <c r="Y58" s="738"/>
      <c r="Z58" s="718">
        <v>8</v>
      </c>
      <c r="AA58" s="609">
        <v>7</v>
      </c>
      <c r="AB58" s="614">
        <v>7</v>
      </c>
      <c r="AC58" s="578"/>
      <c r="AD58" s="578"/>
      <c r="AE58" s="578"/>
      <c r="AF58" s="578"/>
      <c r="AG58" s="578"/>
      <c r="AH58" s="578"/>
      <c r="AI58" s="578"/>
    </row>
    <row r="59" spans="1:35" ht="14.25" customHeight="1" x14ac:dyDescent="0.3">
      <c r="A59" s="721"/>
      <c r="B59" s="739" t="s">
        <v>572</v>
      </c>
      <c r="C59" s="577"/>
      <c r="D59" s="739" t="s">
        <v>255</v>
      </c>
      <c r="E59" s="740"/>
      <c r="F59" s="739" t="s">
        <v>256</v>
      </c>
      <c r="G59" s="740"/>
      <c r="H59" s="739" t="s">
        <v>257</v>
      </c>
      <c r="I59" s="740"/>
      <c r="J59" s="739" t="s">
        <v>573</v>
      </c>
      <c r="K59" s="740"/>
      <c r="L59" s="739" t="s">
        <v>258</v>
      </c>
      <c r="M59" s="740"/>
      <c r="N59" s="739" t="s">
        <v>259</v>
      </c>
      <c r="O59" s="740"/>
      <c r="P59" s="739" t="s">
        <v>260</v>
      </c>
      <c r="Q59" s="740"/>
      <c r="R59" s="739" t="s">
        <v>261</v>
      </c>
      <c r="S59" s="740"/>
      <c r="T59" s="739" t="s">
        <v>262</v>
      </c>
      <c r="U59" s="741"/>
      <c r="V59" s="739" t="s">
        <v>263</v>
      </c>
      <c r="W59" s="740"/>
      <c r="X59" s="739" t="s">
        <v>264</v>
      </c>
      <c r="Y59" s="742"/>
      <c r="Z59" s="718"/>
      <c r="AA59" s="609"/>
      <c r="AB59" s="614"/>
      <c r="AC59" s="578"/>
      <c r="AD59" s="578"/>
      <c r="AE59" s="578"/>
      <c r="AF59" s="578"/>
      <c r="AG59" s="578"/>
      <c r="AH59" s="578"/>
      <c r="AI59" s="578"/>
    </row>
    <row r="60" spans="1:35" ht="14.25" customHeight="1" x14ac:dyDescent="0.3">
      <c r="A60" s="721"/>
      <c r="B60" s="577" t="s">
        <v>254</v>
      </c>
      <c r="C60" s="577"/>
      <c r="D60" s="577" t="s">
        <v>217</v>
      </c>
      <c r="E60" s="577"/>
      <c r="F60" s="577" t="s">
        <v>217</v>
      </c>
      <c r="G60" s="577"/>
      <c r="H60" s="577" t="s">
        <v>217</v>
      </c>
      <c r="I60" s="743">
        <f>(C57+E57+G57+I57)/1000</f>
        <v>1.453462</v>
      </c>
      <c r="J60" s="577" t="s">
        <v>242</v>
      </c>
      <c r="K60" s="577"/>
      <c r="L60" s="577" t="s">
        <v>218</v>
      </c>
      <c r="M60" s="577"/>
      <c r="N60" s="577" t="s">
        <v>218</v>
      </c>
      <c r="O60" s="577"/>
      <c r="P60" s="577" t="s">
        <v>217</v>
      </c>
      <c r="Q60" s="577"/>
      <c r="R60" s="577" t="s">
        <v>218</v>
      </c>
      <c r="S60" s="577"/>
      <c r="T60" s="577" t="s">
        <v>218</v>
      </c>
      <c r="U60" s="577"/>
      <c r="V60" s="577" t="s">
        <v>217</v>
      </c>
      <c r="W60" s="743">
        <f>(K57+M57+O57+Q57+S57+U57+W57)/1000</f>
        <v>2.7570000000000001</v>
      </c>
      <c r="X60" s="577" t="s">
        <v>215</v>
      </c>
      <c r="Y60" s="744"/>
      <c r="Z60" s="718"/>
      <c r="AA60" s="609"/>
      <c r="AB60" s="614"/>
      <c r="AC60" s="578"/>
      <c r="AD60" s="578"/>
      <c r="AE60" s="578"/>
      <c r="AF60" s="578"/>
      <c r="AG60" s="578"/>
      <c r="AH60" s="578"/>
      <c r="AI60" s="578"/>
    </row>
    <row r="61" spans="1:35" ht="14.25" customHeight="1" x14ac:dyDescent="0.3">
      <c r="A61" s="721"/>
      <c r="B61" s="755" t="s">
        <v>726</v>
      </c>
      <c r="C61" s="577"/>
      <c r="D61" s="577"/>
      <c r="E61" s="577"/>
      <c r="F61" s="580" t="s">
        <v>728</v>
      </c>
      <c r="G61" s="577"/>
      <c r="H61" s="577"/>
      <c r="I61" s="743"/>
      <c r="J61" s="580" t="s">
        <v>728</v>
      </c>
      <c r="K61" s="577"/>
      <c r="L61" s="577" t="s">
        <v>729</v>
      </c>
      <c r="M61" s="577"/>
      <c r="N61" s="577"/>
      <c r="O61" s="577"/>
      <c r="P61" s="580" t="s">
        <v>728</v>
      </c>
      <c r="Q61" s="577"/>
      <c r="R61" s="577"/>
      <c r="S61" s="577"/>
      <c r="T61" s="577"/>
      <c r="U61" s="577"/>
      <c r="V61" s="577"/>
      <c r="W61" s="743"/>
      <c r="X61" s="577"/>
      <c r="Y61" s="744"/>
      <c r="Z61" s="718"/>
      <c r="AA61" s="609"/>
      <c r="AB61" s="614"/>
      <c r="AC61" s="578"/>
      <c r="AD61" s="578"/>
      <c r="AE61" s="578"/>
      <c r="AF61" s="578"/>
      <c r="AG61" s="578"/>
      <c r="AH61" s="578"/>
      <c r="AI61" s="578"/>
    </row>
    <row r="62" spans="1:35" ht="14.25" customHeight="1" x14ac:dyDescent="0.3">
      <c r="A62" s="721"/>
      <c r="B62" s="577"/>
      <c r="C62" s="577"/>
      <c r="D62" s="581" t="s">
        <v>730</v>
      </c>
      <c r="E62" s="577"/>
      <c r="F62" s="581" t="s">
        <v>730</v>
      </c>
      <c r="G62" s="577"/>
      <c r="H62" s="577"/>
      <c r="I62" s="743"/>
      <c r="J62" s="577"/>
      <c r="K62" s="577"/>
      <c r="L62" s="577"/>
      <c r="M62" s="577"/>
      <c r="N62" s="577"/>
      <c r="O62" s="577"/>
      <c r="P62" s="577"/>
      <c r="Q62" s="577"/>
      <c r="R62" s="755" t="s">
        <v>731</v>
      </c>
      <c r="S62" s="577"/>
      <c r="T62" s="577"/>
      <c r="U62" s="577"/>
      <c r="V62" s="755" t="s">
        <v>732</v>
      </c>
      <c r="W62" s="743"/>
      <c r="X62" s="755" t="s">
        <v>732</v>
      </c>
      <c r="Y62" s="744"/>
      <c r="Z62" s="718"/>
      <c r="AA62" s="609"/>
      <c r="AB62" s="614"/>
      <c r="AC62" s="578"/>
      <c r="AD62" s="578"/>
      <c r="AE62" s="578"/>
      <c r="AF62" s="578"/>
      <c r="AG62" s="578"/>
      <c r="AH62" s="578"/>
      <c r="AI62" s="578"/>
    </row>
    <row r="63" spans="1:35" ht="14.25" customHeight="1" x14ac:dyDescent="0.3">
      <c r="A63" s="721"/>
      <c r="B63" s="727"/>
      <c r="C63" s="733"/>
      <c r="D63" s="756"/>
      <c r="E63" s="733"/>
      <c r="F63" s="756"/>
      <c r="G63" s="733"/>
      <c r="H63" s="756"/>
      <c r="I63" s="733"/>
      <c r="J63" s="727"/>
      <c r="K63" s="733"/>
      <c r="L63" s="756"/>
      <c r="M63" s="733"/>
      <c r="N63" s="727"/>
      <c r="O63" s="733"/>
      <c r="P63" s="727"/>
      <c r="Q63" s="735"/>
      <c r="R63" s="727"/>
      <c r="S63" s="733"/>
      <c r="T63" s="727"/>
      <c r="U63" s="733"/>
      <c r="V63" s="727"/>
      <c r="W63" s="735"/>
      <c r="X63" s="727"/>
      <c r="Y63" s="738"/>
      <c r="Z63" s="718"/>
      <c r="AA63" s="609"/>
      <c r="AB63" s="614"/>
      <c r="AC63" s="578"/>
      <c r="AD63" s="578"/>
      <c r="AE63" s="578"/>
      <c r="AF63" s="578"/>
      <c r="AG63" s="578"/>
      <c r="AH63" s="578"/>
      <c r="AI63" s="578"/>
    </row>
    <row r="64" spans="1:35" ht="14.25" customHeight="1" x14ac:dyDescent="0.3">
      <c r="A64" s="721"/>
      <c r="B64" s="723"/>
      <c r="C64" s="746"/>
      <c r="D64" s="723"/>
      <c r="E64" s="746"/>
      <c r="F64" s="723"/>
      <c r="G64" s="746"/>
      <c r="H64" s="723"/>
      <c r="I64" s="746"/>
      <c r="J64" s="723"/>
      <c r="K64" s="746"/>
      <c r="L64" s="728"/>
      <c r="M64" s="746"/>
      <c r="N64" s="728"/>
      <c r="O64" s="746"/>
      <c r="P64" s="723"/>
      <c r="Q64" s="746"/>
      <c r="R64" s="723"/>
      <c r="S64" s="746"/>
      <c r="T64" s="723"/>
      <c r="U64" s="746"/>
      <c r="V64" s="728"/>
      <c r="W64" s="746"/>
      <c r="X64" s="723"/>
      <c r="Y64" s="747"/>
      <c r="Z64" s="718"/>
      <c r="AA64" s="609"/>
      <c r="AB64" s="614"/>
      <c r="AC64" s="578"/>
      <c r="AD64" s="578"/>
      <c r="AE64" s="578"/>
      <c r="AF64" s="578"/>
      <c r="AG64" s="578"/>
      <c r="AH64" s="578"/>
      <c r="AI64" s="578"/>
    </row>
    <row r="65" spans="1:35" ht="14.25" customHeight="1" x14ac:dyDescent="0.3">
      <c r="A65" s="721"/>
      <c r="B65" s="733"/>
      <c r="C65" s="746"/>
      <c r="D65" s="733"/>
      <c r="E65" s="746"/>
      <c r="F65" s="733"/>
      <c r="G65" s="746"/>
      <c r="H65" s="733"/>
      <c r="I65" s="746"/>
      <c r="J65" s="733"/>
      <c r="K65" s="746"/>
      <c r="L65" s="728"/>
      <c r="M65" s="746"/>
      <c r="N65" s="728"/>
      <c r="O65" s="746"/>
      <c r="P65" s="733"/>
      <c r="Q65" s="746"/>
      <c r="R65" s="733"/>
      <c r="S65" s="746"/>
      <c r="T65" s="733"/>
      <c r="U65" s="746"/>
      <c r="V65" s="728"/>
      <c r="W65" s="746"/>
      <c r="X65" s="733"/>
      <c r="Y65" s="747"/>
      <c r="Z65" s="718"/>
      <c r="AA65" s="609"/>
      <c r="AB65" s="614"/>
      <c r="AC65" s="578"/>
      <c r="AE65" s="578"/>
      <c r="AF65" s="578"/>
      <c r="AG65" s="578"/>
      <c r="AH65" s="578"/>
      <c r="AI65" s="578"/>
    </row>
    <row r="66" spans="1:35" ht="14.25" customHeight="1" x14ac:dyDescent="0.3">
      <c r="A66" s="721"/>
      <c r="B66" s="956" t="s">
        <v>727</v>
      </c>
      <c r="C66" s="574">
        <v>439</v>
      </c>
      <c r="D66" s="956" t="s">
        <v>727</v>
      </c>
      <c r="E66" s="575">
        <v>398</v>
      </c>
      <c r="F66" s="979" t="s">
        <v>562</v>
      </c>
      <c r="G66" s="575">
        <v>445</v>
      </c>
      <c r="H66" s="979" t="s">
        <v>562</v>
      </c>
      <c r="I66" s="575">
        <v>355</v>
      </c>
      <c r="J66" s="947"/>
      <c r="K66" s="575">
        <v>445.64499999999998</v>
      </c>
      <c r="L66" s="943"/>
      <c r="M66" s="575">
        <v>214.74199999999999</v>
      </c>
      <c r="N66" s="945"/>
      <c r="O66" s="575">
        <v>498</v>
      </c>
      <c r="P66" s="956" t="s">
        <v>727</v>
      </c>
      <c r="Q66" s="575">
        <v>325</v>
      </c>
      <c r="R66" s="956" t="s">
        <v>727</v>
      </c>
      <c r="S66" s="575">
        <v>372</v>
      </c>
      <c r="T66" s="956" t="s">
        <v>727</v>
      </c>
      <c r="U66" s="575">
        <v>393.05399999999997</v>
      </c>
      <c r="V66" s="963" t="s">
        <v>727</v>
      </c>
      <c r="W66" s="575">
        <v>349</v>
      </c>
      <c r="X66" s="956" t="s">
        <v>727</v>
      </c>
      <c r="Y66" s="737">
        <v>373</v>
      </c>
      <c r="Z66" s="718">
        <v>7</v>
      </c>
      <c r="AA66" s="609">
        <v>6</v>
      </c>
      <c r="AB66" s="614">
        <v>7</v>
      </c>
      <c r="AC66" s="578"/>
      <c r="AD66" s="578"/>
      <c r="AE66" s="578"/>
      <c r="AF66" s="578"/>
      <c r="AG66" s="578"/>
      <c r="AH66" s="578"/>
      <c r="AI66" s="578"/>
    </row>
    <row r="67" spans="1:35" ht="14.25" customHeight="1" x14ac:dyDescent="0.3">
      <c r="A67" s="721"/>
      <c r="B67" s="957"/>
      <c r="C67" s="741"/>
      <c r="D67" s="957"/>
      <c r="E67" s="741"/>
      <c r="F67" s="981"/>
      <c r="G67" s="741"/>
      <c r="H67" s="981"/>
      <c r="I67" s="741"/>
      <c r="J67" s="948"/>
      <c r="K67" s="741"/>
      <c r="L67" s="944"/>
      <c r="M67" s="741"/>
      <c r="N67" s="946"/>
      <c r="O67" s="741"/>
      <c r="P67" s="957"/>
      <c r="Q67" s="741"/>
      <c r="R67" s="957"/>
      <c r="S67" s="741"/>
      <c r="T67" s="957"/>
      <c r="U67" s="741" t="s">
        <v>733</v>
      </c>
      <c r="V67" s="971"/>
      <c r="W67" s="741"/>
      <c r="X67" s="957"/>
      <c r="Y67" s="738"/>
      <c r="Z67" s="718"/>
      <c r="AA67" s="609"/>
      <c r="AB67" s="614"/>
      <c r="AC67" s="578"/>
      <c r="AD67" s="578"/>
      <c r="AE67" s="578"/>
      <c r="AF67" s="578"/>
      <c r="AG67" s="578"/>
      <c r="AH67" s="578"/>
      <c r="AI67" s="578"/>
    </row>
    <row r="68" spans="1:35" ht="14.25" customHeight="1" x14ac:dyDescent="0.3">
      <c r="A68" s="721"/>
      <c r="B68" s="739" t="s">
        <v>265</v>
      </c>
      <c r="C68" s="577"/>
      <c r="D68" s="739" t="s">
        <v>266</v>
      </c>
      <c r="E68" s="740"/>
      <c r="F68" s="739" t="s">
        <v>267</v>
      </c>
      <c r="G68" s="740"/>
      <c r="H68" s="739" t="s">
        <v>268</v>
      </c>
      <c r="I68" s="740"/>
      <c r="J68" s="739" t="s">
        <v>269</v>
      </c>
      <c r="K68" s="740"/>
      <c r="L68" s="739" t="s">
        <v>574</v>
      </c>
      <c r="M68" s="740"/>
      <c r="N68" s="739" t="s">
        <v>575</v>
      </c>
      <c r="O68" s="740"/>
      <c r="P68" s="739" t="s">
        <v>270</v>
      </c>
      <c r="Q68" s="740"/>
      <c r="R68" s="739" t="s">
        <v>271</v>
      </c>
      <c r="S68" s="740"/>
      <c r="T68" s="739" t="s">
        <v>272</v>
      </c>
      <c r="U68" s="741"/>
      <c r="V68" s="739" t="s">
        <v>576</v>
      </c>
      <c r="W68" s="740"/>
      <c r="X68" s="739" t="s">
        <v>273</v>
      </c>
      <c r="Y68" s="742"/>
      <c r="Z68" s="718"/>
      <c r="AA68" s="609"/>
      <c r="AB68" s="614"/>
      <c r="AC68" s="578"/>
      <c r="AD68" s="578"/>
      <c r="AE68" s="578"/>
      <c r="AF68" s="578"/>
      <c r="AG68" s="578"/>
      <c r="AH68" s="578"/>
      <c r="AI68" s="578"/>
    </row>
    <row r="69" spans="1:35" ht="14.25" customHeight="1" x14ac:dyDescent="0.3">
      <c r="A69" s="721"/>
      <c r="B69" s="577" t="s">
        <v>217</v>
      </c>
      <c r="C69" s="577"/>
      <c r="D69" s="577" t="s">
        <v>216</v>
      </c>
      <c r="E69" s="577"/>
      <c r="F69" s="577" t="s">
        <v>217</v>
      </c>
      <c r="G69" s="577"/>
      <c r="H69" s="577" t="s">
        <v>217</v>
      </c>
      <c r="I69" s="577"/>
      <c r="J69" s="577" t="s">
        <v>217</v>
      </c>
      <c r="K69" s="743">
        <f>(Y57+C66+E66+G66+I66+K66)/1000</f>
        <v>2.4756450000000001</v>
      </c>
      <c r="L69" s="577" t="s">
        <v>274</v>
      </c>
      <c r="M69" s="743">
        <f>M66/1000</f>
        <v>0.21474199999999999</v>
      </c>
      <c r="N69" s="577" t="s">
        <v>275</v>
      </c>
      <c r="O69" s="577"/>
      <c r="P69" s="577" t="s">
        <v>216</v>
      </c>
      <c r="Q69" s="577"/>
      <c r="R69" s="577" t="s">
        <v>217</v>
      </c>
      <c r="S69" s="577"/>
      <c r="T69" s="577" t="s">
        <v>217</v>
      </c>
      <c r="U69" s="743">
        <f>(O66+Q66+S66+U66)/1000</f>
        <v>1.5880540000000001</v>
      </c>
      <c r="V69" s="577" t="s">
        <v>219</v>
      </c>
      <c r="W69" s="577"/>
      <c r="X69" s="577" t="s">
        <v>217</v>
      </c>
      <c r="Y69" s="744"/>
      <c r="Z69" s="718"/>
      <c r="AA69" s="609"/>
      <c r="AB69" s="614"/>
      <c r="AC69" s="578"/>
      <c r="AD69" s="578"/>
      <c r="AE69" s="578"/>
      <c r="AF69" s="578"/>
      <c r="AG69" s="578"/>
      <c r="AH69" s="578"/>
      <c r="AI69" s="578"/>
    </row>
    <row r="70" spans="1:35" ht="14.25" customHeight="1" x14ac:dyDescent="0.3">
      <c r="A70" s="721"/>
      <c r="B70" s="570"/>
      <c r="C70" s="570"/>
      <c r="D70" s="570"/>
      <c r="E70" s="577"/>
      <c r="F70" s="577"/>
      <c r="G70" s="577"/>
      <c r="H70" s="577"/>
      <c r="I70" s="577"/>
      <c r="K70" s="743"/>
      <c r="L70" s="580" t="s">
        <v>728</v>
      </c>
      <c r="M70" s="743"/>
      <c r="N70" s="577"/>
      <c r="O70" s="577"/>
      <c r="P70" s="577"/>
      <c r="Q70" s="577"/>
      <c r="R70" s="577"/>
      <c r="S70" s="577"/>
      <c r="T70" s="577"/>
      <c r="U70" s="743"/>
      <c r="V70" s="577"/>
      <c r="W70" s="577"/>
      <c r="X70" s="577"/>
      <c r="Y70" s="744"/>
      <c r="Z70" s="718"/>
      <c r="AA70" s="609"/>
      <c r="AB70" s="614"/>
      <c r="AC70" s="578"/>
      <c r="AD70" s="578"/>
      <c r="AE70" s="578"/>
      <c r="AF70" s="578"/>
      <c r="AG70" s="578"/>
      <c r="AH70" s="578"/>
      <c r="AI70" s="578"/>
    </row>
    <row r="71" spans="1:35" ht="14.25" customHeight="1" x14ac:dyDescent="0.3">
      <c r="A71" s="721"/>
      <c r="B71" s="577"/>
      <c r="C71" s="577"/>
      <c r="D71" s="577"/>
      <c r="E71" s="577"/>
      <c r="F71" s="577"/>
      <c r="G71" s="577"/>
      <c r="H71" s="577"/>
      <c r="I71" s="577"/>
      <c r="J71" s="577"/>
      <c r="K71" s="743"/>
      <c r="L71" s="757" t="s">
        <v>734</v>
      </c>
      <c r="M71" s="743"/>
      <c r="N71" s="757" t="s">
        <v>734</v>
      </c>
      <c r="O71" s="577"/>
      <c r="P71" s="577"/>
      <c r="Q71" s="577"/>
      <c r="R71" s="570"/>
      <c r="S71" s="577"/>
      <c r="T71" s="577"/>
      <c r="U71" s="743"/>
      <c r="V71" s="577"/>
      <c r="W71" s="577"/>
      <c r="X71" s="577"/>
      <c r="Y71" s="744"/>
      <c r="Z71" s="718"/>
      <c r="AA71" s="609"/>
      <c r="AB71" s="614"/>
      <c r="AC71" s="578"/>
      <c r="AD71" s="578"/>
      <c r="AE71" s="578"/>
      <c r="AF71" s="578"/>
      <c r="AG71" s="578"/>
      <c r="AH71" s="578"/>
      <c r="AI71" s="578"/>
    </row>
    <row r="72" spans="1:35" ht="14.25" customHeight="1" x14ac:dyDescent="0.3">
      <c r="A72" s="721"/>
      <c r="B72" s="755" t="s">
        <v>731</v>
      </c>
      <c r="C72" s="577"/>
      <c r="D72" s="755" t="s">
        <v>731</v>
      </c>
      <c r="E72" s="577"/>
      <c r="F72" s="577"/>
      <c r="G72" s="577"/>
      <c r="H72" s="577"/>
      <c r="I72" s="577"/>
      <c r="J72" s="755" t="s">
        <v>731</v>
      </c>
      <c r="K72" s="743"/>
      <c r="L72" s="570"/>
      <c r="M72" s="743"/>
      <c r="N72" s="577"/>
      <c r="O72" s="577"/>
      <c r="P72" s="577"/>
      <c r="Q72" s="577"/>
      <c r="R72" s="577"/>
      <c r="S72" s="577"/>
      <c r="T72" s="577"/>
      <c r="U72" s="743"/>
      <c r="V72" s="577"/>
      <c r="W72" s="577"/>
      <c r="X72" s="577"/>
      <c r="Y72" s="744"/>
      <c r="Z72" s="718"/>
      <c r="AA72" s="609"/>
      <c r="AB72" s="614"/>
      <c r="AC72" s="578"/>
      <c r="AD72" s="578"/>
      <c r="AE72" s="578"/>
      <c r="AF72" s="578"/>
      <c r="AG72" s="578"/>
      <c r="AH72" s="578"/>
      <c r="AI72" s="578"/>
    </row>
    <row r="73" spans="1:35" ht="14.25" customHeight="1" x14ac:dyDescent="0.3">
      <c r="A73" s="721"/>
      <c r="B73" s="756"/>
      <c r="C73" s="735"/>
      <c r="D73" s="751"/>
      <c r="E73" s="752"/>
      <c r="F73" s="751"/>
      <c r="G73" s="752"/>
      <c r="H73" s="751"/>
      <c r="I73" s="751"/>
      <c r="K73" s="758"/>
      <c r="L73" s="751"/>
      <c r="M73" s="752"/>
      <c r="N73" s="751"/>
      <c r="O73" s="752"/>
      <c r="P73" s="751"/>
      <c r="Q73" s="752"/>
      <c r="R73" s="752"/>
      <c r="S73" s="752"/>
      <c r="T73" s="751"/>
      <c r="U73" s="752"/>
      <c r="V73" s="751"/>
      <c r="W73" s="752"/>
      <c r="X73" s="751"/>
      <c r="Y73" s="753"/>
      <c r="Z73" s="718"/>
      <c r="AA73" s="609"/>
      <c r="AB73" s="614"/>
      <c r="AC73" s="578"/>
      <c r="AD73" s="578"/>
      <c r="AE73" s="578"/>
      <c r="AF73" s="578"/>
      <c r="AG73" s="578"/>
      <c r="AH73" s="578"/>
      <c r="AI73" s="578"/>
    </row>
    <row r="74" spans="1:35" ht="14.25" customHeight="1" x14ac:dyDescent="0.3">
      <c r="A74" s="721"/>
      <c r="B74" s="723"/>
      <c r="C74" s="746"/>
      <c r="D74" s="723"/>
      <c r="E74" s="746"/>
      <c r="F74" s="723"/>
      <c r="G74" s="746"/>
      <c r="H74" s="723"/>
      <c r="I74" s="746"/>
      <c r="J74" s="728"/>
      <c r="K74" s="746"/>
      <c r="L74" s="723"/>
      <c r="M74" s="746"/>
      <c r="N74" s="723"/>
      <c r="O74" s="746"/>
      <c r="P74" s="723"/>
      <c r="Q74" s="746"/>
      <c r="R74" s="723"/>
      <c r="S74" s="746"/>
      <c r="T74" s="723"/>
      <c r="U74" s="746"/>
      <c r="V74" s="723"/>
      <c r="W74" s="746"/>
      <c r="X74" s="723"/>
      <c r="Y74" s="747"/>
      <c r="Z74" s="718"/>
      <c r="AA74" s="609"/>
      <c r="AB74" s="614"/>
      <c r="AC74" s="578"/>
      <c r="AD74" s="578"/>
      <c r="AE74" s="578"/>
      <c r="AF74" s="578"/>
      <c r="AG74" s="578"/>
      <c r="AH74" s="578"/>
      <c r="AI74" s="578"/>
    </row>
    <row r="75" spans="1:35" ht="14.25" customHeight="1" x14ac:dyDescent="0.3">
      <c r="A75" s="721"/>
      <c r="B75" s="733"/>
      <c r="C75" s="746"/>
      <c r="D75" s="733"/>
      <c r="E75" s="746"/>
      <c r="F75" s="733"/>
      <c r="G75" s="746"/>
      <c r="H75" s="733"/>
      <c r="I75" s="746"/>
      <c r="J75" s="728"/>
      <c r="K75" s="746"/>
      <c r="L75" s="733"/>
      <c r="M75" s="746"/>
      <c r="N75" s="733"/>
      <c r="O75" s="746"/>
      <c r="P75" s="733"/>
      <c r="Q75" s="746"/>
      <c r="R75" s="733"/>
      <c r="S75" s="746"/>
      <c r="T75" s="733"/>
      <c r="U75" s="746"/>
      <c r="V75" s="733"/>
      <c r="W75" s="746"/>
      <c r="X75" s="733"/>
      <c r="Y75" s="747"/>
      <c r="Z75" s="718"/>
      <c r="AA75" s="609"/>
      <c r="AB75" s="614"/>
      <c r="AC75" s="578"/>
      <c r="AD75" s="578"/>
      <c r="AE75" s="578"/>
      <c r="AF75" s="578"/>
      <c r="AG75" s="578"/>
      <c r="AH75" s="578"/>
      <c r="AI75" s="578"/>
    </row>
    <row r="76" spans="1:35" ht="14.25" customHeight="1" x14ac:dyDescent="0.3">
      <c r="A76" s="721"/>
      <c r="B76" s="956" t="s">
        <v>727</v>
      </c>
      <c r="C76" s="574">
        <v>386</v>
      </c>
      <c r="D76" s="973" t="s">
        <v>731</v>
      </c>
      <c r="E76" s="575">
        <v>429</v>
      </c>
      <c r="F76" s="956" t="s">
        <v>727</v>
      </c>
      <c r="G76" s="575">
        <v>377</v>
      </c>
      <c r="H76" s="956" t="s">
        <v>727</v>
      </c>
      <c r="I76" s="575">
        <v>401.83699999999999</v>
      </c>
      <c r="J76" s="998" t="s">
        <v>796</v>
      </c>
      <c r="K76" s="575">
        <v>402</v>
      </c>
      <c r="L76" s="1000"/>
      <c r="M76" s="575">
        <v>344</v>
      </c>
      <c r="N76" s="956" t="s">
        <v>727</v>
      </c>
      <c r="O76" s="575">
        <v>399</v>
      </c>
      <c r="P76" s="956" t="s">
        <v>727</v>
      </c>
      <c r="Q76" s="575">
        <v>439</v>
      </c>
      <c r="R76" s="943"/>
      <c r="S76" s="575">
        <v>403</v>
      </c>
      <c r="T76" s="945"/>
      <c r="U76" s="575">
        <v>480</v>
      </c>
      <c r="V76" s="975" t="s">
        <v>562</v>
      </c>
      <c r="W76" s="575">
        <v>535</v>
      </c>
      <c r="X76" s="975" t="s">
        <v>562</v>
      </c>
      <c r="Y76" s="737">
        <v>389.00400000000002</v>
      </c>
      <c r="Z76" s="718"/>
      <c r="AA76" s="609"/>
      <c r="AB76" s="614"/>
      <c r="AC76" s="578"/>
      <c r="AD76" s="578"/>
      <c r="AE76" s="578"/>
      <c r="AF76" s="578"/>
      <c r="AG76" s="578"/>
      <c r="AH76" s="578"/>
      <c r="AI76" s="578"/>
    </row>
    <row r="77" spans="1:35" ht="14.25" customHeight="1" x14ac:dyDescent="0.3">
      <c r="A77" s="721"/>
      <c r="B77" s="957"/>
      <c r="C77" s="741"/>
      <c r="D77" s="974"/>
      <c r="E77" s="741"/>
      <c r="F77" s="957"/>
      <c r="G77" s="741"/>
      <c r="H77" s="957"/>
      <c r="I77" s="741"/>
      <c r="J77" s="999"/>
      <c r="K77" s="741"/>
      <c r="L77" s="1001"/>
      <c r="M77" s="741"/>
      <c r="N77" s="957"/>
      <c r="O77" s="741"/>
      <c r="P77" s="957"/>
      <c r="Q77" s="741"/>
      <c r="R77" s="944"/>
      <c r="S77" s="741"/>
      <c r="T77" s="946"/>
      <c r="U77" s="741"/>
      <c r="V77" s="976"/>
      <c r="W77" s="741"/>
      <c r="X77" s="986"/>
      <c r="Y77" s="738"/>
      <c r="Z77" s="718">
        <v>6</v>
      </c>
      <c r="AA77" s="609">
        <v>4</v>
      </c>
      <c r="AB77" s="614">
        <v>6</v>
      </c>
      <c r="AC77" s="578"/>
      <c r="AD77" s="578"/>
      <c r="AE77" s="578"/>
      <c r="AF77" s="578"/>
      <c r="AG77" s="578"/>
      <c r="AH77" s="578"/>
      <c r="AI77" s="578"/>
    </row>
    <row r="78" spans="1:35" ht="14.25" customHeight="1" x14ac:dyDescent="0.3">
      <c r="A78" s="721"/>
      <c r="B78" s="739" t="s">
        <v>276</v>
      </c>
      <c r="C78" s="577"/>
      <c r="D78" s="739" t="s">
        <v>277</v>
      </c>
      <c r="E78" s="740"/>
      <c r="F78" s="739" t="s">
        <v>278</v>
      </c>
      <c r="G78" s="740"/>
      <c r="H78" s="739" t="s">
        <v>279</v>
      </c>
      <c r="I78" s="740"/>
      <c r="J78" s="739" t="s">
        <v>577</v>
      </c>
      <c r="K78" s="740"/>
      <c r="L78" s="739" t="s">
        <v>280</v>
      </c>
      <c r="M78" s="740"/>
      <c r="N78" s="739" t="s">
        <v>281</v>
      </c>
      <c r="O78" s="740"/>
      <c r="P78" s="739" t="s">
        <v>282</v>
      </c>
      <c r="Q78" s="740"/>
      <c r="R78" s="739" t="s">
        <v>283</v>
      </c>
      <c r="S78" s="740"/>
      <c r="T78" s="739" t="s">
        <v>284</v>
      </c>
      <c r="U78" s="741"/>
      <c r="V78" s="739" t="s">
        <v>285</v>
      </c>
      <c r="W78" s="740"/>
      <c r="X78" s="739" t="s">
        <v>286</v>
      </c>
      <c r="Y78" s="742"/>
      <c r="Z78" s="718"/>
      <c r="AA78" s="609"/>
      <c r="AB78" s="614"/>
      <c r="AC78" s="578"/>
      <c r="AD78" s="578"/>
      <c r="AE78" s="578"/>
      <c r="AF78" s="578"/>
      <c r="AG78" s="578"/>
      <c r="AH78" s="578"/>
      <c r="AI78" s="578"/>
    </row>
    <row r="79" spans="1:35" ht="14.25" customHeight="1" x14ac:dyDescent="0.3">
      <c r="A79" s="721"/>
      <c r="B79" s="577" t="s">
        <v>217</v>
      </c>
      <c r="C79" s="577"/>
      <c r="D79" s="577" t="s">
        <v>217</v>
      </c>
      <c r="E79" s="577"/>
      <c r="F79" s="577" t="s">
        <v>216</v>
      </c>
      <c r="G79" s="577"/>
      <c r="H79" s="577" t="s">
        <v>217</v>
      </c>
      <c r="I79" s="743">
        <f>(W66+Y66+C76+E76+G76+I76)/1000</f>
        <v>2.3158370000000001</v>
      </c>
      <c r="J79" s="577" t="s">
        <v>242</v>
      </c>
      <c r="K79" s="577"/>
      <c r="L79" s="577" t="s">
        <v>217</v>
      </c>
      <c r="M79" s="577"/>
      <c r="N79" s="577" t="s">
        <v>217</v>
      </c>
      <c r="O79" s="577"/>
      <c r="P79" s="577" t="s">
        <v>216</v>
      </c>
      <c r="Q79" s="577"/>
      <c r="R79" s="577" t="s">
        <v>217</v>
      </c>
      <c r="S79" s="743">
        <f>(K76+M76+O76+Q76+S76)/1000</f>
        <v>1.9870000000000001</v>
      </c>
      <c r="T79" s="577" t="s">
        <v>287</v>
      </c>
      <c r="U79" s="743">
        <f>(U76)/1000</f>
        <v>0.48</v>
      </c>
      <c r="V79" s="577" t="s">
        <v>288</v>
      </c>
      <c r="W79" s="743">
        <f>(W76)/1000</f>
        <v>0.53500000000000003</v>
      </c>
      <c r="X79" s="577" t="s">
        <v>288</v>
      </c>
      <c r="Y79" s="744"/>
      <c r="Z79" s="718"/>
      <c r="AA79" s="609"/>
      <c r="AB79" s="614"/>
      <c r="AC79" s="578"/>
      <c r="AD79" s="578"/>
      <c r="AE79" s="578"/>
      <c r="AF79" s="578"/>
      <c r="AG79" s="578"/>
      <c r="AH79" s="578"/>
      <c r="AI79" s="578"/>
    </row>
    <row r="80" spans="1:35" ht="14.25" customHeight="1" x14ac:dyDescent="0.3">
      <c r="A80" s="721"/>
      <c r="B80" s="577"/>
      <c r="C80" s="577"/>
      <c r="D80" s="577" t="s">
        <v>735</v>
      </c>
      <c r="E80" s="577"/>
      <c r="F80" s="577"/>
      <c r="G80" s="577"/>
      <c r="H80" s="577"/>
      <c r="I80" s="743"/>
      <c r="J80" s="577"/>
      <c r="K80" s="577"/>
      <c r="L80" s="570"/>
      <c r="M80" s="577"/>
      <c r="N80" s="577"/>
      <c r="O80" s="577"/>
      <c r="P80" s="577"/>
      <c r="Q80" s="577"/>
      <c r="R80" s="580" t="s">
        <v>728</v>
      </c>
      <c r="S80" s="743"/>
      <c r="T80" s="755"/>
      <c r="U80" s="743"/>
      <c r="V80" s="755"/>
      <c r="W80" s="743"/>
      <c r="X80" s="755"/>
      <c r="Y80" s="744"/>
      <c r="Z80" s="718"/>
      <c r="AA80" s="609"/>
      <c r="AB80" s="614"/>
      <c r="AC80" s="578"/>
      <c r="AD80" s="578"/>
      <c r="AE80" s="578"/>
      <c r="AF80" s="578"/>
      <c r="AG80" s="578"/>
      <c r="AH80" s="578"/>
      <c r="AI80" s="578"/>
    </row>
    <row r="81" spans="1:35" ht="14.25" customHeight="1" x14ac:dyDescent="0.3">
      <c r="A81" s="721"/>
      <c r="B81" s="728"/>
      <c r="C81" s="728"/>
      <c r="D81" s="727"/>
      <c r="E81" s="735"/>
      <c r="F81" s="727"/>
      <c r="G81" s="733"/>
      <c r="H81" s="727"/>
      <c r="I81" s="733"/>
      <c r="J81" s="581" t="s">
        <v>730</v>
      </c>
      <c r="K81" s="733"/>
      <c r="L81" s="570"/>
      <c r="M81" s="733"/>
      <c r="N81" s="756"/>
      <c r="O81" s="733"/>
      <c r="P81" s="727"/>
      <c r="Q81" s="735"/>
      <c r="R81" s="581" t="s">
        <v>730</v>
      </c>
      <c r="S81" s="733"/>
      <c r="T81" s="581" t="s">
        <v>730</v>
      </c>
      <c r="U81" s="733"/>
      <c r="V81" s="727"/>
      <c r="W81" s="733"/>
      <c r="X81" s="733"/>
      <c r="Y81" s="738"/>
      <c r="Z81" s="718"/>
      <c r="AA81" s="609"/>
      <c r="AB81" s="614"/>
      <c r="AC81" s="578"/>
      <c r="AD81" s="578"/>
      <c r="AE81" s="578"/>
      <c r="AF81" s="578"/>
      <c r="AG81" s="578"/>
      <c r="AH81" s="578"/>
      <c r="AI81" s="578"/>
    </row>
    <row r="82" spans="1:35" ht="14.25" customHeight="1" x14ac:dyDescent="0.3">
      <c r="A82" s="721"/>
      <c r="B82" s="728"/>
      <c r="C82" s="728"/>
      <c r="D82" s="727"/>
      <c r="E82" s="735"/>
      <c r="F82" s="727"/>
      <c r="G82" s="733"/>
      <c r="H82" s="727"/>
      <c r="I82" s="733"/>
      <c r="J82" s="759"/>
      <c r="K82" s="759"/>
      <c r="L82" s="759"/>
      <c r="M82" s="759"/>
      <c r="N82" s="759"/>
      <c r="O82" s="759"/>
      <c r="P82" s="759"/>
      <c r="Q82" s="759"/>
      <c r="R82" s="759"/>
      <c r="S82" s="759"/>
      <c r="T82" s="759"/>
      <c r="U82" s="759"/>
      <c r="V82" s="759"/>
      <c r="W82" s="759"/>
      <c r="X82" s="759"/>
      <c r="Y82" s="760"/>
      <c r="Z82" s="718"/>
      <c r="AA82" s="609"/>
      <c r="AB82" s="614"/>
      <c r="AC82" s="578"/>
      <c r="AD82" s="578"/>
      <c r="AE82" s="578"/>
      <c r="AF82" s="578"/>
      <c r="AG82" s="578"/>
      <c r="AH82" s="578"/>
      <c r="AI82" s="578"/>
    </row>
    <row r="83" spans="1:35" ht="14.25" customHeight="1" x14ac:dyDescent="0.3">
      <c r="A83" s="721"/>
      <c r="B83" s="728"/>
      <c r="C83" s="728"/>
      <c r="D83" s="727"/>
      <c r="E83" s="735"/>
      <c r="F83" s="727"/>
      <c r="G83" s="733"/>
      <c r="H83" s="727"/>
      <c r="I83" s="733"/>
      <c r="J83" s="727"/>
      <c r="K83" s="733"/>
      <c r="L83" s="727"/>
      <c r="M83" s="733"/>
      <c r="N83" s="756"/>
      <c r="O83" s="733"/>
      <c r="P83" s="727"/>
      <c r="Q83" s="735"/>
      <c r="R83" s="727"/>
      <c r="S83" s="733"/>
      <c r="T83" s="727"/>
      <c r="U83" s="733"/>
      <c r="V83" s="727"/>
      <c r="W83" s="733"/>
      <c r="X83" s="727"/>
      <c r="Y83" s="738"/>
      <c r="Z83" s="718"/>
      <c r="AA83" s="609"/>
      <c r="AB83" s="614"/>
      <c r="AC83" s="578"/>
      <c r="AD83" s="578"/>
      <c r="AE83" s="578"/>
      <c r="AF83" s="578"/>
      <c r="AG83" s="578"/>
      <c r="AH83" s="578"/>
      <c r="AI83" s="578"/>
    </row>
    <row r="84" spans="1:35" ht="14.25" customHeight="1" x14ac:dyDescent="0.3">
      <c r="A84" s="721"/>
      <c r="B84" s="723"/>
      <c r="C84" s="746"/>
      <c r="D84" s="728"/>
      <c r="E84" s="746"/>
      <c r="F84" s="728"/>
      <c r="G84" s="746"/>
      <c r="H84" s="723"/>
      <c r="I84" s="746"/>
      <c r="J84" s="723"/>
      <c r="K84" s="746"/>
      <c r="L84" s="723"/>
      <c r="M84" s="746"/>
      <c r="N84" s="723"/>
      <c r="O84" s="746"/>
      <c r="P84" s="728"/>
      <c r="Q84" s="746"/>
      <c r="R84" s="723"/>
      <c r="S84" s="746"/>
      <c r="T84" s="723"/>
      <c r="U84" s="746"/>
      <c r="V84" s="723"/>
      <c r="W84" s="746"/>
      <c r="X84" s="728"/>
      <c r="Y84" s="747"/>
      <c r="Z84" s="718"/>
      <c r="AA84" s="609"/>
      <c r="AB84" s="614"/>
      <c r="AC84" s="578"/>
      <c r="AD84" s="578"/>
      <c r="AE84" s="578"/>
      <c r="AF84" s="578"/>
      <c r="AG84" s="578"/>
      <c r="AH84" s="578"/>
      <c r="AI84" s="578"/>
    </row>
    <row r="85" spans="1:35" ht="14.25" customHeight="1" x14ac:dyDescent="0.3">
      <c r="A85" s="721"/>
      <c r="B85" s="733"/>
      <c r="C85" s="746"/>
      <c r="D85" s="728"/>
      <c r="E85" s="746"/>
      <c r="F85" s="728"/>
      <c r="G85" s="746"/>
      <c r="H85" s="733"/>
      <c r="I85" s="746"/>
      <c r="J85" s="733"/>
      <c r="K85" s="746"/>
      <c r="L85" s="733"/>
      <c r="M85" s="746"/>
      <c r="N85" s="733"/>
      <c r="O85" s="746"/>
      <c r="P85" s="728"/>
      <c r="Q85" s="746"/>
      <c r="R85" s="733"/>
      <c r="S85" s="746"/>
      <c r="T85" s="733"/>
      <c r="U85" s="746"/>
      <c r="V85" s="733"/>
      <c r="W85" s="746"/>
      <c r="X85" s="728"/>
      <c r="Y85" s="747"/>
      <c r="Z85" s="718"/>
      <c r="AA85" s="609"/>
      <c r="AB85" s="614"/>
      <c r="AC85" s="578"/>
      <c r="AD85" s="578"/>
      <c r="AE85" s="578"/>
      <c r="AF85" s="578"/>
      <c r="AG85" s="578"/>
      <c r="AH85" s="578"/>
      <c r="AI85" s="578"/>
    </row>
    <row r="86" spans="1:35" ht="14.25" customHeight="1" x14ac:dyDescent="0.3">
      <c r="A86" s="721"/>
      <c r="B86" s="956" t="s">
        <v>727</v>
      </c>
      <c r="C86" s="574">
        <v>454.04700000000003</v>
      </c>
      <c r="D86" s="945"/>
      <c r="E86" s="575">
        <v>247.49199999999999</v>
      </c>
      <c r="F86" s="952"/>
      <c r="G86" s="575">
        <v>373</v>
      </c>
      <c r="H86" s="979" t="s">
        <v>562</v>
      </c>
      <c r="I86" s="575">
        <v>401</v>
      </c>
      <c r="J86" s="943"/>
      <c r="K86" s="575">
        <v>388</v>
      </c>
      <c r="L86" s="979" t="s">
        <v>562</v>
      </c>
      <c r="M86" s="575">
        <v>328</v>
      </c>
      <c r="N86" s="979" t="s">
        <v>562</v>
      </c>
      <c r="O86" s="575">
        <v>329.98200000000003</v>
      </c>
      <c r="P86" s="952"/>
      <c r="Q86" s="575">
        <v>433</v>
      </c>
      <c r="R86" s="947"/>
      <c r="S86" s="575">
        <v>410</v>
      </c>
      <c r="T86" s="979" t="s">
        <v>562</v>
      </c>
      <c r="U86" s="575">
        <v>307</v>
      </c>
      <c r="V86" s="979" t="s">
        <v>562</v>
      </c>
      <c r="W86" s="575">
        <v>461.92700000000002</v>
      </c>
      <c r="X86" s="975" t="s">
        <v>562</v>
      </c>
      <c r="Y86" s="737">
        <v>439.04700000000003</v>
      </c>
      <c r="Z86" s="718"/>
      <c r="AA86" s="609"/>
      <c r="AB86" s="614"/>
      <c r="AC86" s="578"/>
      <c r="AD86" s="578"/>
      <c r="AE86" s="578"/>
      <c r="AF86" s="578"/>
      <c r="AG86" s="578"/>
      <c r="AH86" s="578"/>
      <c r="AI86" s="578"/>
    </row>
    <row r="87" spans="1:35" ht="14.25" customHeight="1" x14ac:dyDescent="0.3">
      <c r="A87" s="721"/>
      <c r="B87" s="957"/>
      <c r="C87" s="741"/>
      <c r="D87" s="946"/>
      <c r="E87" s="741"/>
      <c r="F87" s="953"/>
      <c r="G87" s="741"/>
      <c r="H87" s="981"/>
      <c r="I87" s="741"/>
      <c r="J87" s="944"/>
      <c r="K87" s="741"/>
      <c r="L87" s="981"/>
      <c r="M87" s="741"/>
      <c r="N87" s="981"/>
      <c r="O87" s="741"/>
      <c r="P87" s="995"/>
      <c r="Q87" s="741"/>
      <c r="R87" s="948"/>
      <c r="S87" s="741"/>
      <c r="T87" s="981"/>
      <c r="U87" s="741"/>
      <c r="V87" s="981"/>
      <c r="W87" s="741"/>
      <c r="X87" s="976"/>
      <c r="Y87" s="738"/>
      <c r="Z87" s="718">
        <v>1</v>
      </c>
      <c r="AA87" s="609"/>
      <c r="AB87" s="614">
        <v>1</v>
      </c>
      <c r="AC87" s="578"/>
      <c r="AD87" s="578"/>
      <c r="AE87" s="578"/>
      <c r="AF87" s="578"/>
      <c r="AG87" s="578"/>
      <c r="AH87" s="578"/>
      <c r="AI87" s="578"/>
    </row>
    <row r="88" spans="1:35" ht="14.25" customHeight="1" x14ac:dyDescent="0.3">
      <c r="A88" s="721"/>
      <c r="B88" s="739" t="s">
        <v>289</v>
      </c>
      <c r="C88" s="577"/>
      <c r="D88" s="739" t="s">
        <v>578</v>
      </c>
      <c r="E88" s="740"/>
      <c r="F88" s="739" t="s">
        <v>579</v>
      </c>
      <c r="G88" s="740"/>
      <c r="H88" s="739" t="s">
        <v>290</v>
      </c>
      <c r="I88" s="740"/>
      <c r="J88" s="739" t="s">
        <v>291</v>
      </c>
      <c r="K88" s="740"/>
      <c r="L88" s="739" t="s">
        <v>292</v>
      </c>
      <c r="M88" s="740"/>
      <c r="N88" s="739" t="s">
        <v>293</v>
      </c>
      <c r="O88" s="740"/>
      <c r="P88" s="739" t="s">
        <v>580</v>
      </c>
      <c r="Q88" s="740"/>
      <c r="R88" s="739" t="s">
        <v>294</v>
      </c>
      <c r="S88" s="740"/>
      <c r="T88" s="739" t="s">
        <v>295</v>
      </c>
      <c r="U88" s="741"/>
      <c r="V88" s="739" t="s">
        <v>296</v>
      </c>
      <c r="W88" s="740"/>
      <c r="X88" s="739" t="s">
        <v>581</v>
      </c>
      <c r="Y88" s="742"/>
      <c r="Z88" s="718"/>
      <c r="AA88" s="609"/>
      <c r="AB88" s="614"/>
      <c r="AC88" s="578"/>
      <c r="AD88" s="578"/>
      <c r="AE88" s="578"/>
      <c r="AF88" s="578"/>
      <c r="AG88" s="578"/>
      <c r="AH88" s="578"/>
      <c r="AI88" s="578"/>
    </row>
    <row r="89" spans="1:35" ht="14.25" customHeight="1" x14ac:dyDescent="0.3">
      <c r="A89" s="721"/>
      <c r="B89" s="577" t="s">
        <v>218</v>
      </c>
      <c r="C89" s="743">
        <f>(Y76+C86)/1000</f>
        <v>0.84305099999999999</v>
      </c>
      <c r="D89" s="577" t="s">
        <v>215</v>
      </c>
      <c r="E89" s="743">
        <f>(E86)/1000</f>
        <v>0.24749199999999999</v>
      </c>
      <c r="F89" s="577" t="s">
        <v>219</v>
      </c>
      <c r="G89" s="577"/>
      <c r="H89" s="577" t="s">
        <v>217</v>
      </c>
      <c r="I89" s="577"/>
      <c r="J89" s="577" t="s">
        <v>253</v>
      </c>
      <c r="K89" s="577"/>
      <c r="L89" s="577" t="s">
        <v>217</v>
      </c>
      <c r="M89" s="577"/>
      <c r="N89" s="577" t="s">
        <v>217</v>
      </c>
      <c r="O89" s="743">
        <f>(G86+I86+K86+M86+O86)/1000</f>
        <v>1.819982</v>
      </c>
      <c r="P89" s="577" t="s">
        <v>231</v>
      </c>
      <c r="Q89" s="577"/>
      <c r="R89" s="577" t="s">
        <v>253</v>
      </c>
      <c r="S89" s="577"/>
      <c r="T89" s="577" t="s">
        <v>218</v>
      </c>
      <c r="U89" s="577"/>
      <c r="V89" s="577" t="s">
        <v>253</v>
      </c>
      <c r="W89" s="743">
        <f>(Q86+S86+U86+W86)/1000</f>
        <v>1.6119270000000001</v>
      </c>
      <c r="X89" s="577" t="s">
        <v>297</v>
      </c>
      <c r="Y89" s="754">
        <f>(Y86)/1000</f>
        <v>0.43904700000000002</v>
      </c>
      <c r="Z89" s="718"/>
      <c r="AA89" s="609"/>
      <c r="AB89" s="614"/>
      <c r="AC89" s="578"/>
      <c r="AD89" s="578"/>
      <c r="AE89" s="578"/>
      <c r="AF89" s="578"/>
      <c r="AG89" s="578"/>
      <c r="AH89" s="578"/>
      <c r="AI89" s="578"/>
    </row>
    <row r="90" spans="1:35" ht="14.25" customHeight="1" x14ac:dyDescent="0.3">
      <c r="A90" s="721"/>
      <c r="B90" s="577"/>
      <c r="C90" s="743"/>
      <c r="D90" s="581" t="s">
        <v>730</v>
      </c>
      <c r="E90" s="743"/>
      <c r="F90" s="580" t="s">
        <v>728</v>
      </c>
      <c r="G90" s="577"/>
      <c r="H90" s="577"/>
      <c r="I90" s="577"/>
      <c r="J90" s="580" t="s">
        <v>728</v>
      </c>
      <c r="K90" s="577"/>
      <c r="L90" s="577"/>
      <c r="M90" s="577"/>
      <c r="N90" s="577"/>
      <c r="O90" s="743"/>
      <c r="P90" s="580" t="s">
        <v>728</v>
      </c>
      <c r="Q90" s="577"/>
      <c r="R90" s="577"/>
      <c r="S90" s="577"/>
      <c r="T90" s="577"/>
      <c r="U90" s="577"/>
      <c r="V90" s="577"/>
      <c r="W90" s="743"/>
      <c r="X90" s="577"/>
      <c r="Y90" s="738"/>
      <c r="Z90" s="718"/>
      <c r="AA90" s="609"/>
      <c r="AB90" s="614"/>
      <c r="AC90" s="578"/>
      <c r="AD90" s="578"/>
      <c r="AE90" s="578"/>
      <c r="AF90" s="578"/>
      <c r="AG90" s="578"/>
      <c r="AH90" s="578"/>
      <c r="AI90" s="578"/>
    </row>
    <row r="91" spans="1:35" ht="14.25" customHeight="1" x14ac:dyDescent="0.3">
      <c r="A91" s="721"/>
      <c r="B91" s="577"/>
      <c r="C91" s="743"/>
      <c r="D91" s="761" t="s">
        <v>736</v>
      </c>
      <c r="E91" s="743"/>
      <c r="F91" s="761" t="s">
        <v>736</v>
      </c>
      <c r="G91" s="577"/>
      <c r="H91" s="577"/>
      <c r="I91" s="577"/>
      <c r="J91" s="755" t="s">
        <v>731</v>
      </c>
      <c r="K91" s="577"/>
      <c r="L91" s="577"/>
      <c r="M91" s="577"/>
      <c r="N91" s="577"/>
      <c r="O91" s="743"/>
      <c r="P91" s="577"/>
      <c r="Q91" s="577"/>
      <c r="R91" s="581" t="s">
        <v>730</v>
      </c>
      <c r="S91" s="577"/>
      <c r="T91" s="577"/>
      <c r="U91" s="577"/>
      <c r="V91" s="577"/>
      <c r="W91" s="743"/>
      <c r="X91" s="577"/>
      <c r="Y91" s="738"/>
      <c r="Z91" s="718"/>
      <c r="AA91" s="609"/>
      <c r="AB91" s="614"/>
      <c r="AC91" s="578"/>
      <c r="AD91" s="578"/>
      <c r="AE91" s="578"/>
      <c r="AF91" s="578"/>
      <c r="AG91" s="578"/>
      <c r="AH91" s="578"/>
      <c r="AI91" s="578"/>
    </row>
    <row r="92" spans="1:35" ht="14.25" customHeight="1" x14ac:dyDescent="0.3">
      <c r="A92" s="762"/>
      <c r="B92" s="763"/>
      <c r="C92" s="763"/>
      <c r="D92" s="763"/>
      <c r="E92" s="763"/>
      <c r="F92" s="763"/>
      <c r="G92" s="763"/>
      <c r="H92" s="763"/>
      <c r="I92" s="763"/>
      <c r="J92" s="763"/>
      <c r="K92" s="763"/>
      <c r="L92" s="763"/>
      <c r="M92" s="763"/>
      <c r="N92" s="763"/>
      <c r="O92" s="763"/>
      <c r="P92" s="763"/>
      <c r="Q92" s="763"/>
      <c r="R92" s="763"/>
      <c r="S92" s="763"/>
      <c r="T92" s="763"/>
      <c r="U92" s="763"/>
      <c r="V92" s="763"/>
      <c r="W92" s="763"/>
      <c r="X92" s="763"/>
      <c r="Y92" s="764"/>
      <c r="Z92" s="718"/>
      <c r="AA92" s="609"/>
      <c r="AB92" s="614"/>
      <c r="AC92" s="578"/>
      <c r="AD92" s="578"/>
      <c r="AE92" s="578"/>
      <c r="AF92" s="578"/>
      <c r="AG92" s="578"/>
      <c r="AH92" s="578"/>
      <c r="AI92" s="578"/>
    </row>
    <row r="93" spans="1:35" ht="14.25" customHeight="1" x14ac:dyDescent="0.3">
      <c r="A93" s="721"/>
      <c r="B93" s="756"/>
      <c r="C93" s="733"/>
      <c r="D93" s="756"/>
      <c r="E93" s="733"/>
      <c r="F93" s="756"/>
      <c r="G93" s="733"/>
      <c r="H93" s="727"/>
      <c r="I93" s="733"/>
      <c r="J93" s="727"/>
      <c r="K93" s="733"/>
      <c r="L93" s="727"/>
      <c r="M93" s="733"/>
      <c r="N93" s="727"/>
      <c r="O93" s="733"/>
      <c r="P93" s="727"/>
      <c r="Q93" s="733"/>
      <c r="R93" s="727"/>
      <c r="S93" s="733"/>
      <c r="T93" s="727"/>
      <c r="U93" s="733"/>
      <c r="V93" s="727"/>
      <c r="W93" s="733"/>
      <c r="X93" s="727"/>
      <c r="Y93" s="738"/>
      <c r="Z93" s="718"/>
      <c r="AA93" s="609"/>
      <c r="AB93" s="614"/>
      <c r="AC93" s="578"/>
      <c r="AD93" s="578"/>
      <c r="AE93" s="578"/>
      <c r="AF93" s="578"/>
      <c r="AG93" s="578"/>
      <c r="AH93" s="578"/>
      <c r="AI93" s="578"/>
    </row>
    <row r="94" spans="1:35" ht="14.25" customHeight="1" x14ac:dyDescent="0.3">
      <c r="A94" s="721"/>
      <c r="B94" s="728"/>
      <c r="C94" s="746"/>
      <c r="D94" s="723"/>
      <c r="E94" s="746"/>
      <c r="F94" s="723"/>
      <c r="G94" s="746"/>
      <c r="H94" s="723"/>
      <c r="I94" s="746"/>
      <c r="J94" s="728"/>
      <c r="K94" s="746"/>
      <c r="L94" s="728"/>
      <c r="M94" s="746"/>
      <c r="N94" s="728"/>
      <c r="O94" s="746"/>
      <c r="P94" s="723"/>
      <c r="Q94" s="746"/>
      <c r="R94" s="723"/>
      <c r="S94" s="746"/>
      <c r="T94" s="723"/>
      <c r="U94" s="746"/>
      <c r="V94" s="723"/>
      <c r="W94" s="746"/>
      <c r="X94" s="728"/>
      <c r="Y94" s="747"/>
      <c r="Z94" s="718"/>
      <c r="AA94" s="609"/>
      <c r="AB94" s="614"/>
      <c r="AC94" s="578"/>
      <c r="AD94" s="578"/>
      <c r="AE94" s="578"/>
      <c r="AF94" s="578"/>
      <c r="AG94" s="578"/>
      <c r="AH94" s="578"/>
      <c r="AI94" s="578"/>
    </row>
    <row r="95" spans="1:35" ht="14.25" customHeight="1" x14ac:dyDescent="0.3">
      <c r="A95" s="721"/>
      <c r="B95" s="728"/>
      <c r="C95" s="746"/>
      <c r="D95" s="733"/>
      <c r="E95" s="746"/>
      <c r="F95" s="733"/>
      <c r="G95" s="746"/>
      <c r="H95" s="733"/>
      <c r="I95" s="746"/>
      <c r="J95" s="728"/>
      <c r="K95" s="746"/>
      <c r="L95" s="728"/>
      <c r="M95" s="746"/>
      <c r="N95" s="728"/>
      <c r="O95" s="746"/>
      <c r="P95" s="733"/>
      <c r="Q95" s="746"/>
      <c r="R95" s="733"/>
      <c r="S95" s="746"/>
      <c r="T95" s="733"/>
      <c r="U95" s="746"/>
      <c r="V95" s="733"/>
      <c r="W95" s="746"/>
      <c r="X95" s="728"/>
      <c r="Y95" s="747"/>
      <c r="Z95" s="718"/>
      <c r="AA95" s="609"/>
      <c r="AB95" s="614"/>
      <c r="AC95" s="578"/>
      <c r="AD95" s="578"/>
      <c r="AE95" s="578"/>
      <c r="AF95" s="578"/>
      <c r="AG95" s="578"/>
      <c r="AH95" s="578"/>
      <c r="AI95" s="578"/>
    </row>
    <row r="96" spans="1:35" ht="14.25" customHeight="1" x14ac:dyDescent="0.3">
      <c r="A96" s="721"/>
      <c r="B96" s="975" t="s">
        <v>562</v>
      </c>
      <c r="C96" s="574">
        <v>401</v>
      </c>
      <c r="D96" s="947"/>
      <c r="E96" s="575">
        <v>350</v>
      </c>
      <c r="F96" s="979" t="s">
        <v>562</v>
      </c>
      <c r="G96" s="575">
        <v>335</v>
      </c>
      <c r="H96" s="947"/>
      <c r="I96" s="575">
        <v>313.49</v>
      </c>
      <c r="J96" s="996"/>
      <c r="K96" s="575">
        <v>421</v>
      </c>
      <c r="L96" s="1213" t="s">
        <v>799</v>
      </c>
      <c r="M96" s="575">
        <v>465.81799999999998</v>
      </c>
      <c r="N96" s="952"/>
      <c r="O96" s="575">
        <v>352</v>
      </c>
      <c r="P96" s="947"/>
      <c r="Q96" s="575">
        <v>403</v>
      </c>
      <c r="R96" s="979" t="s">
        <v>562</v>
      </c>
      <c r="S96" s="575">
        <v>373</v>
      </c>
      <c r="T96" s="979" t="s">
        <v>562</v>
      </c>
      <c r="U96" s="575">
        <v>362</v>
      </c>
      <c r="V96" s="979" t="s">
        <v>562</v>
      </c>
      <c r="W96" s="575">
        <v>351.24</v>
      </c>
      <c r="X96" s="952"/>
      <c r="Y96" s="737">
        <v>361</v>
      </c>
      <c r="Z96" s="718"/>
      <c r="AA96" s="609"/>
      <c r="AB96" s="614"/>
      <c r="AC96" s="578"/>
      <c r="AD96" s="578"/>
      <c r="AE96" s="578"/>
      <c r="AF96" s="578"/>
      <c r="AG96" s="578"/>
      <c r="AH96" s="578"/>
      <c r="AI96" s="578"/>
    </row>
    <row r="97" spans="1:35" ht="14.25" customHeight="1" x14ac:dyDescent="0.3">
      <c r="A97" s="721"/>
      <c r="B97" s="976"/>
      <c r="C97" s="741"/>
      <c r="D97" s="948"/>
      <c r="E97" s="741"/>
      <c r="F97" s="981"/>
      <c r="G97" s="741"/>
      <c r="H97" s="948"/>
      <c r="I97" s="741"/>
      <c r="J97" s="997"/>
      <c r="K97" s="741"/>
      <c r="L97" s="1214"/>
      <c r="M97" s="741"/>
      <c r="N97" s="953"/>
      <c r="O97" s="741"/>
      <c r="P97" s="948"/>
      <c r="Q97" s="741"/>
      <c r="R97" s="981"/>
      <c r="S97" s="741"/>
      <c r="T97" s="981"/>
      <c r="U97" s="741"/>
      <c r="V97" s="981"/>
      <c r="W97" s="741"/>
      <c r="X97" s="953"/>
      <c r="Y97" s="738"/>
      <c r="Z97" s="718"/>
      <c r="AA97" s="609"/>
      <c r="AB97" s="614"/>
      <c r="AC97" s="578"/>
      <c r="AD97" s="578"/>
      <c r="AE97" s="578"/>
      <c r="AF97" s="578"/>
      <c r="AG97" s="578"/>
      <c r="AH97" s="578"/>
      <c r="AI97" s="578"/>
    </row>
    <row r="98" spans="1:35" ht="14.25" customHeight="1" x14ac:dyDescent="0.3">
      <c r="A98" s="721"/>
      <c r="B98" s="739" t="s">
        <v>582</v>
      </c>
      <c r="C98" s="577"/>
      <c r="D98" s="739" t="s">
        <v>298</v>
      </c>
      <c r="E98" s="740"/>
      <c r="F98" s="739" t="s">
        <v>299</v>
      </c>
      <c r="G98" s="740"/>
      <c r="H98" s="739" t="s">
        <v>300</v>
      </c>
      <c r="I98" s="740"/>
      <c r="J98" s="739" t="s">
        <v>583</v>
      </c>
      <c r="K98" s="740"/>
      <c r="L98" s="739" t="s">
        <v>301</v>
      </c>
      <c r="M98" s="740"/>
      <c r="N98" s="739" t="s">
        <v>584</v>
      </c>
      <c r="O98" s="740"/>
      <c r="P98" s="739" t="s">
        <v>302</v>
      </c>
      <c r="Q98" s="740"/>
      <c r="R98" s="739" t="s">
        <v>303</v>
      </c>
      <c r="S98" s="740"/>
      <c r="T98" s="739" t="s">
        <v>304</v>
      </c>
      <c r="U98" s="741"/>
      <c r="V98" s="739" t="s">
        <v>305</v>
      </c>
      <c r="W98" s="740"/>
      <c r="X98" s="739" t="s">
        <v>585</v>
      </c>
      <c r="Y98" s="742"/>
      <c r="Z98" s="718"/>
      <c r="AA98" s="609"/>
      <c r="AB98" s="614"/>
      <c r="AC98" s="578"/>
      <c r="AD98" s="578"/>
      <c r="AE98" s="578"/>
      <c r="AF98" s="578"/>
      <c r="AG98" s="578"/>
      <c r="AH98" s="578"/>
      <c r="AI98" s="578"/>
    </row>
    <row r="99" spans="1:35" ht="14.25" customHeight="1" x14ac:dyDescent="0.3">
      <c r="A99" s="721"/>
      <c r="B99" s="577" t="s">
        <v>306</v>
      </c>
      <c r="C99" s="577"/>
      <c r="D99" s="577" t="s">
        <v>217</v>
      </c>
      <c r="E99" s="577"/>
      <c r="F99" s="577" t="s">
        <v>218</v>
      </c>
      <c r="G99" s="577"/>
      <c r="H99" s="577" t="s">
        <v>217</v>
      </c>
      <c r="I99" s="743">
        <f>(C96+E96+G96+I96)/1000</f>
        <v>1.3994899999999999</v>
      </c>
      <c r="J99" s="577" t="s">
        <v>242</v>
      </c>
      <c r="K99" s="743">
        <f>(K96)/1000</f>
        <v>0.42099999999999999</v>
      </c>
      <c r="L99" s="577" t="s">
        <v>288</v>
      </c>
      <c r="M99" s="743">
        <f>(M96)/1000</f>
        <v>0.46581800000000001</v>
      </c>
      <c r="N99" s="577" t="s">
        <v>586</v>
      </c>
      <c r="O99" s="577"/>
      <c r="P99" s="577" t="s">
        <v>216</v>
      </c>
      <c r="Q99" s="577"/>
      <c r="R99" s="577" t="s">
        <v>217</v>
      </c>
      <c r="S99" s="577"/>
      <c r="T99" s="577" t="s">
        <v>217</v>
      </c>
      <c r="U99" s="577"/>
      <c r="V99" s="577" t="s">
        <v>218</v>
      </c>
      <c r="W99" s="743">
        <f>(O96+Q96+S96+U96+W96)/1000</f>
        <v>1.84124</v>
      </c>
      <c r="X99" s="577" t="s">
        <v>242</v>
      </c>
      <c r="Y99" s="754"/>
      <c r="Z99" s="718"/>
      <c r="AA99" s="609"/>
      <c r="AB99" s="614"/>
      <c r="AC99" s="578"/>
      <c r="AD99" s="578"/>
      <c r="AE99" s="578"/>
      <c r="AF99" s="578"/>
      <c r="AG99" s="578"/>
      <c r="AH99" s="578"/>
      <c r="AI99" s="578"/>
    </row>
    <row r="100" spans="1:35" ht="14.25" customHeight="1" x14ac:dyDescent="0.3">
      <c r="A100" s="721"/>
      <c r="B100" s="577"/>
      <c r="C100" s="577"/>
      <c r="D100" s="577"/>
      <c r="E100" s="577"/>
      <c r="F100" s="577"/>
      <c r="G100" s="577"/>
      <c r="H100" s="577"/>
      <c r="I100" s="743"/>
      <c r="J100" s="580" t="s">
        <v>728</v>
      </c>
      <c r="K100" s="743"/>
      <c r="L100" s="755" t="s">
        <v>737</v>
      </c>
      <c r="M100" s="743"/>
      <c r="N100" s="580" t="s">
        <v>728</v>
      </c>
      <c r="O100" s="577"/>
      <c r="P100" s="577"/>
      <c r="Q100" s="577"/>
      <c r="R100" s="577"/>
      <c r="S100" s="577"/>
      <c r="T100" s="577"/>
      <c r="U100" s="577"/>
      <c r="V100" s="577"/>
      <c r="W100" s="743"/>
      <c r="X100" s="580" t="s">
        <v>728</v>
      </c>
      <c r="Y100" s="754"/>
      <c r="Z100" s="718"/>
      <c r="AA100" s="609"/>
      <c r="AB100" s="614"/>
      <c r="AC100" s="578"/>
      <c r="AD100" s="578"/>
      <c r="AE100" s="578"/>
      <c r="AF100" s="578"/>
      <c r="AG100" s="578"/>
      <c r="AH100" s="578"/>
      <c r="AI100" s="578"/>
    </row>
    <row r="101" spans="1:35" ht="14.25" customHeight="1" x14ac:dyDescent="0.3">
      <c r="A101" s="721"/>
      <c r="B101" s="577"/>
      <c r="C101" s="577"/>
      <c r="D101" s="581" t="s">
        <v>730</v>
      </c>
      <c r="E101" s="577"/>
      <c r="F101" s="577"/>
      <c r="G101" s="577"/>
      <c r="H101" s="581" t="s">
        <v>730</v>
      </c>
      <c r="I101" s="743"/>
      <c r="J101" s="577"/>
      <c r="K101" s="743"/>
      <c r="L101" s="577"/>
      <c r="M101" s="743"/>
      <c r="N101" s="577"/>
      <c r="O101" s="577"/>
      <c r="P101" s="581" t="s">
        <v>730</v>
      </c>
      <c r="Q101" s="577"/>
      <c r="R101" s="577"/>
      <c r="S101" s="577"/>
      <c r="T101" s="577"/>
      <c r="U101" s="577"/>
      <c r="V101" s="577"/>
      <c r="W101" s="743"/>
      <c r="X101" s="745" t="s">
        <v>762</v>
      </c>
      <c r="Y101" s="765"/>
      <c r="Z101" s="718"/>
      <c r="AA101" s="609"/>
      <c r="AB101" s="614"/>
      <c r="AC101" s="578"/>
      <c r="AD101" s="578"/>
      <c r="AE101" s="578"/>
      <c r="AF101" s="578"/>
      <c r="AG101" s="578"/>
      <c r="AH101" s="578"/>
      <c r="AI101" s="578"/>
    </row>
    <row r="102" spans="1:35" ht="14.25" customHeight="1" x14ac:dyDescent="0.3">
      <c r="A102" s="762"/>
      <c r="B102" s="763"/>
      <c r="C102" s="763"/>
      <c r="D102" s="763"/>
      <c r="E102" s="763"/>
      <c r="F102" s="763"/>
      <c r="G102" s="763"/>
      <c r="H102" s="763"/>
      <c r="I102" s="763"/>
      <c r="J102" s="763"/>
      <c r="K102" s="763"/>
      <c r="L102" s="763"/>
      <c r="M102" s="763"/>
      <c r="N102" s="763"/>
      <c r="O102" s="763"/>
      <c r="P102" s="763"/>
      <c r="Q102" s="763"/>
      <c r="R102" s="763"/>
      <c r="S102" s="763"/>
      <c r="T102" s="763"/>
      <c r="U102" s="763"/>
      <c r="V102" s="763"/>
      <c r="W102" s="763"/>
      <c r="X102" s="763"/>
      <c r="Y102" s="764"/>
      <c r="Z102" s="718"/>
      <c r="AA102" s="609"/>
      <c r="AB102" s="614"/>
      <c r="AC102" s="578"/>
      <c r="AD102" s="578"/>
      <c r="AE102" s="578"/>
      <c r="AF102" s="578"/>
      <c r="AG102" s="578"/>
      <c r="AH102" s="578"/>
      <c r="AI102" s="578"/>
    </row>
    <row r="103" spans="1:35" ht="14.25" customHeight="1" x14ac:dyDescent="0.3">
      <c r="A103" s="721"/>
      <c r="B103" s="727"/>
      <c r="C103" s="733"/>
      <c r="D103" s="751"/>
      <c r="E103" s="752"/>
      <c r="F103" s="751"/>
      <c r="G103" s="752"/>
      <c r="H103" s="751"/>
      <c r="I103" s="751"/>
      <c r="J103" s="751"/>
      <c r="K103" s="752"/>
      <c r="L103" s="751"/>
      <c r="M103" s="752"/>
      <c r="N103" s="751"/>
      <c r="O103" s="752"/>
      <c r="P103" s="751"/>
      <c r="Q103" s="752"/>
      <c r="R103" s="751"/>
      <c r="S103" s="727"/>
      <c r="T103" s="766"/>
      <c r="U103" s="752"/>
      <c r="V103" s="751"/>
      <c r="W103" s="752"/>
      <c r="X103" s="751"/>
      <c r="Y103" s="753"/>
      <c r="Z103" s="718"/>
      <c r="AA103" s="609"/>
      <c r="AB103" s="614"/>
      <c r="AC103" s="578"/>
      <c r="AD103" s="578"/>
      <c r="AE103" s="578"/>
      <c r="AF103" s="578"/>
      <c r="AG103" s="578"/>
      <c r="AH103" s="578"/>
      <c r="AI103" s="578"/>
    </row>
    <row r="104" spans="1:35" ht="14.25" customHeight="1" x14ac:dyDescent="0.3">
      <c r="A104" s="721"/>
      <c r="B104" s="723"/>
      <c r="C104" s="746"/>
      <c r="D104" s="723"/>
      <c r="E104" s="746"/>
      <c r="F104" s="728"/>
      <c r="G104" s="746"/>
      <c r="H104" s="723"/>
      <c r="I104" s="746"/>
      <c r="J104" s="723"/>
      <c r="K104" s="746"/>
      <c r="L104" s="728"/>
      <c r="M104" s="746"/>
      <c r="N104" s="723"/>
      <c r="O104" s="746"/>
      <c r="P104" s="723"/>
      <c r="Q104" s="746"/>
      <c r="R104" s="723"/>
      <c r="S104" s="746"/>
      <c r="T104" s="723"/>
      <c r="U104" s="746"/>
      <c r="V104" s="728"/>
      <c r="W104" s="746"/>
      <c r="X104" s="728"/>
      <c r="Y104" s="747"/>
      <c r="Z104" s="718"/>
      <c r="AA104" s="609"/>
      <c r="AB104" s="614"/>
      <c r="AC104" s="578"/>
      <c r="AD104" s="578"/>
      <c r="AE104" s="578"/>
      <c r="AF104" s="578"/>
      <c r="AG104" s="578"/>
      <c r="AH104" s="578"/>
      <c r="AI104" s="578"/>
    </row>
    <row r="105" spans="1:35" ht="14.25" customHeight="1" x14ac:dyDescent="0.3">
      <c r="A105" s="721"/>
      <c r="B105" s="733"/>
      <c r="C105" s="746"/>
      <c r="D105" s="733"/>
      <c r="E105" s="746"/>
      <c r="F105" s="728"/>
      <c r="G105" s="746"/>
      <c r="H105" s="733"/>
      <c r="I105" s="746"/>
      <c r="J105" s="733"/>
      <c r="K105" s="746"/>
      <c r="L105" s="728"/>
      <c r="M105" s="746"/>
      <c r="N105" s="733"/>
      <c r="O105" s="746"/>
      <c r="P105" s="733"/>
      <c r="Q105" s="746"/>
      <c r="R105" s="733"/>
      <c r="S105" s="746"/>
      <c r="T105" s="733"/>
      <c r="U105" s="746"/>
      <c r="V105" s="728"/>
      <c r="W105" s="746"/>
      <c r="X105" s="728"/>
      <c r="Y105" s="747"/>
      <c r="Z105" s="718"/>
      <c r="AA105" s="609"/>
      <c r="AB105" s="614"/>
      <c r="AC105" s="578"/>
      <c r="AD105" s="578"/>
      <c r="AE105" s="578"/>
      <c r="AF105" s="578"/>
      <c r="AG105" s="578"/>
      <c r="AH105" s="578"/>
      <c r="AI105" s="578"/>
    </row>
    <row r="106" spans="1:35" ht="14.25" customHeight="1" x14ac:dyDescent="0.3">
      <c r="A106" s="721"/>
      <c r="B106" s="979" t="s">
        <v>562</v>
      </c>
      <c r="C106" s="574">
        <v>375</v>
      </c>
      <c r="D106" s="943"/>
      <c r="E106" s="575">
        <v>424.851</v>
      </c>
      <c r="F106" s="945"/>
      <c r="G106" s="575">
        <v>414</v>
      </c>
      <c r="H106" s="947"/>
      <c r="I106" s="575">
        <v>345</v>
      </c>
      <c r="J106" s="943"/>
      <c r="K106" s="575">
        <v>502.62799999999999</v>
      </c>
      <c r="L106" s="979" t="s">
        <v>562</v>
      </c>
      <c r="M106" s="575">
        <v>453</v>
      </c>
      <c r="N106" s="956" t="s">
        <v>799</v>
      </c>
      <c r="O106" s="575">
        <v>388</v>
      </c>
      <c r="P106" s="956" t="s">
        <v>799</v>
      </c>
      <c r="Q106" s="575">
        <v>317</v>
      </c>
      <c r="R106" s="993" t="s">
        <v>799</v>
      </c>
      <c r="S106" s="575">
        <v>324</v>
      </c>
      <c r="T106" s="956" t="s">
        <v>799</v>
      </c>
      <c r="U106" s="575">
        <v>484.98399999999998</v>
      </c>
      <c r="V106" s="952" t="s">
        <v>562</v>
      </c>
      <c r="W106" s="575">
        <v>248.518</v>
      </c>
      <c r="X106" s="945"/>
      <c r="Y106" s="737">
        <v>429</v>
      </c>
      <c r="Z106" s="718">
        <v>3</v>
      </c>
      <c r="AA106" s="609"/>
      <c r="AB106" s="614">
        <v>1</v>
      </c>
      <c r="AC106" s="578"/>
      <c r="AD106" s="578"/>
      <c r="AE106" s="578"/>
      <c r="AF106" s="578"/>
      <c r="AG106" s="578"/>
      <c r="AH106" s="578"/>
      <c r="AI106" s="578"/>
    </row>
    <row r="107" spans="1:35" ht="14.25" customHeight="1" x14ac:dyDescent="0.3">
      <c r="A107" s="721"/>
      <c r="B107" s="981"/>
      <c r="C107" s="741"/>
      <c r="D107" s="944"/>
      <c r="E107" s="741"/>
      <c r="F107" s="946"/>
      <c r="G107" s="741"/>
      <c r="H107" s="948"/>
      <c r="I107" s="741"/>
      <c r="J107" s="944"/>
      <c r="K107" s="741"/>
      <c r="L107" s="981"/>
      <c r="M107" s="741"/>
      <c r="N107" s="957"/>
      <c r="O107" s="741"/>
      <c r="P107" s="957"/>
      <c r="Q107" s="741"/>
      <c r="R107" s="994"/>
      <c r="S107" s="741"/>
      <c r="T107" s="957"/>
      <c r="U107" s="741"/>
      <c r="V107" s="995"/>
      <c r="W107" s="741"/>
      <c r="X107" s="946"/>
      <c r="Y107" s="738"/>
      <c r="Z107" s="718"/>
      <c r="AA107" s="609"/>
      <c r="AB107" s="614"/>
      <c r="AC107" s="578"/>
      <c r="AD107" s="578"/>
      <c r="AE107" s="578"/>
      <c r="AF107" s="578"/>
      <c r="AG107" s="578"/>
      <c r="AH107" s="578"/>
      <c r="AI107" s="578"/>
    </row>
    <row r="108" spans="1:35" ht="14.25" customHeight="1" x14ac:dyDescent="0.3">
      <c r="A108" s="721"/>
      <c r="B108" s="739" t="s">
        <v>307</v>
      </c>
      <c r="C108" s="577"/>
      <c r="D108" s="739" t="s">
        <v>308</v>
      </c>
      <c r="E108" s="740"/>
      <c r="F108" s="739" t="s">
        <v>587</v>
      </c>
      <c r="G108" s="740"/>
      <c r="H108" s="739" t="s">
        <v>309</v>
      </c>
      <c r="I108" s="740"/>
      <c r="J108" s="739" t="s">
        <v>310</v>
      </c>
      <c r="K108" s="740"/>
      <c r="L108" s="739" t="s">
        <v>588</v>
      </c>
      <c r="M108" s="740"/>
      <c r="N108" s="739" t="s">
        <v>311</v>
      </c>
      <c r="O108" s="740"/>
      <c r="P108" s="739" t="s">
        <v>312</v>
      </c>
      <c r="Q108" s="740"/>
      <c r="R108" s="739" t="s">
        <v>313</v>
      </c>
      <c r="S108" s="740"/>
      <c r="T108" s="739" t="s">
        <v>314</v>
      </c>
      <c r="U108" s="741"/>
      <c r="V108" s="739" t="s">
        <v>589</v>
      </c>
      <c r="W108" s="740"/>
      <c r="X108" s="739" t="s">
        <v>590</v>
      </c>
      <c r="Y108" s="742"/>
      <c r="Z108" s="718"/>
      <c r="AA108" s="609"/>
      <c r="AB108" s="614"/>
      <c r="AC108" s="578"/>
      <c r="AD108" s="578"/>
      <c r="AE108" s="578"/>
      <c r="AF108" s="578"/>
      <c r="AG108" s="578"/>
      <c r="AH108" s="578"/>
      <c r="AI108" s="578"/>
    </row>
    <row r="109" spans="1:35" ht="14.25" customHeight="1" x14ac:dyDescent="0.3">
      <c r="A109" s="721"/>
      <c r="B109" s="577" t="s">
        <v>218</v>
      </c>
      <c r="C109" s="577"/>
      <c r="D109" s="577" t="s">
        <v>218</v>
      </c>
      <c r="E109" s="743">
        <f>(Y96+C106+E106)/1000</f>
        <v>1.1608510000000001</v>
      </c>
      <c r="F109" s="577" t="s">
        <v>275</v>
      </c>
      <c r="G109" s="743"/>
      <c r="H109" s="577" t="s">
        <v>253</v>
      </c>
      <c r="I109" s="577"/>
      <c r="J109" s="577" t="s">
        <v>216</v>
      </c>
      <c r="K109" s="743">
        <f>(G106+I106+K106)/1000</f>
        <v>1.261628</v>
      </c>
      <c r="L109" s="577" t="s">
        <v>306</v>
      </c>
      <c r="M109" s="577"/>
      <c r="N109" s="577" t="s">
        <v>253</v>
      </c>
      <c r="O109" s="577"/>
      <c r="P109" s="577" t="s">
        <v>217</v>
      </c>
      <c r="Q109" s="577"/>
      <c r="R109" s="577" t="s">
        <v>217</v>
      </c>
      <c r="S109" s="577"/>
      <c r="T109" s="577" t="s">
        <v>216</v>
      </c>
      <c r="U109" s="743">
        <f>(M106+O106+Q106+S106+U106)/1000</f>
        <v>1.9669839999999998</v>
      </c>
      <c r="V109" s="577" t="s">
        <v>591</v>
      </c>
      <c r="W109" s="743">
        <f>(W106)/1000</f>
        <v>0.24851799999999999</v>
      </c>
      <c r="X109" s="577" t="s">
        <v>275</v>
      </c>
      <c r="Y109" s="744"/>
      <c r="Z109" s="718"/>
      <c r="AA109" s="609"/>
      <c r="AB109" s="614"/>
      <c r="AC109" s="578"/>
      <c r="AD109" s="578"/>
      <c r="AE109" s="578"/>
      <c r="AF109" s="578"/>
      <c r="AG109" s="578"/>
      <c r="AH109" s="578"/>
      <c r="AI109" s="578"/>
    </row>
    <row r="110" spans="1:35" ht="14.25" customHeight="1" x14ac:dyDescent="0.3">
      <c r="A110" s="721"/>
      <c r="B110" s="577"/>
      <c r="C110" s="577"/>
      <c r="D110" s="580" t="s">
        <v>728</v>
      </c>
      <c r="E110" s="743"/>
      <c r="F110" s="577"/>
      <c r="G110" s="743"/>
      <c r="H110" s="577"/>
      <c r="I110" s="577"/>
      <c r="J110" s="580" t="s">
        <v>728</v>
      </c>
      <c r="K110" s="743"/>
      <c r="L110" s="577"/>
      <c r="M110" s="577"/>
      <c r="N110" s="577"/>
      <c r="O110" s="577"/>
      <c r="P110" s="580" t="s">
        <v>728</v>
      </c>
      <c r="Q110" s="577"/>
      <c r="R110" s="577" t="s">
        <v>729</v>
      </c>
      <c r="S110" s="577"/>
      <c r="T110" s="577"/>
      <c r="U110" s="743"/>
      <c r="V110" s="580" t="s">
        <v>728</v>
      </c>
      <c r="W110" s="743"/>
      <c r="X110" s="577"/>
      <c r="Y110" s="744"/>
      <c r="Z110" s="718"/>
      <c r="AA110" s="609"/>
      <c r="AB110" s="614"/>
      <c r="AC110" s="578"/>
      <c r="AD110" s="578"/>
      <c r="AE110" s="578"/>
      <c r="AF110" s="578"/>
      <c r="AG110" s="578"/>
      <c r="AH110" s="578"/>
      <c r="AI110" s="578"/>
    </row>
    <row r="111" spans="1:35" ht="14.25" customHeight="1" x14ac:dyDescent="0.3">
      <c r="A111" s="721"/>
      <c r="B111" s="942" t="s">
        <v>763</v>
      </c>
      <c r="C111" s="942"/>
      <c r="D111" s="942"/>
      <c r="E111" s="942"/>
      <c r="F111" s="942"/>
      <c r="G111" s="942"/>
      <c r="H111" s="942"/>
      <c r="I111" s="942"/>
      <c r="J111" s="942"/>
      <c r="K111" s="942"/>
      <c r="L111" s="942"/>
      <c r="M111" s="577"/>
      <c r="N111" s="577"/>
      <c r="O111" s="577"/>
      <c r="P111" s="577"/>
      <c r="Q111" s="577"/>
      <c r="R111" s="577"/>
      <c r="S111" s="577"/>
      <c r="T111" s="577"/>
      <c r="U111" s="743"/>
      <c r="V111" s="757" t="s">
        <v>734</v>
      </c>
      <c r="W111" s="743"/>
      <c r="X111" s="757" t="s">
        <v>734</v>
      </c>
      <c r="Y111" s="744"/>
      <c r="Z111" s="718"/>
      <c r="AA111" s="609"/>
      <c r="AB111" s="614"/>
      <c r="AC111" s="578"/>
      <c r="AD111" s="578"/>
      <c r="AE111" s="578"/>
      <c r="AF111" s="578"/>
      <c r="AG111" s="578"/>
      <c r="AH111" s="578"/>
      <c r="AI111" s="578"/>
    </row>
    <row r="112" spans="1:35" ht="14.25" customHeight="1" x14ac:dyDescent="0.3">
      <c r="A112" s="762"/>
      <c r="B112" s="763"/>
      <c r="C112" s="763"/>
      <c r="D112" s="763"/>
      <c r="E112" s="763"/>
      <c r="F112" s="763"/>
      <c r="G112" s="763"/>
      <c r="H112" s="763"/>
      <c r="I112" s="763"/>
      <c r="J112" s="763"/>
      <c r="K112" s="763"/>
      <c r="L112" s="985"/>
      <c r="M112" s="985"/>
      <c r="N112" s="985"/>
      <c r="O112" s="985"/>
      <c r="P112" s="985"/>
      <c r="Q112" s="985"/>
      <c r="R112" s="985"/>
      <c r="S112" s="985"/>
      <c r="T112" s="985"/>
      <c r="U112" s="985"/>
      <c r="V112" s="985"/>
      <c r="W112" s="985"/>
      <c r="X112" s="985"/>
      <c r="Y112" s="987"/>
      <c r="Z112" s="718"/>
      <c r="AA112" s="609"/>
      <c r="AB112" s="614"/>
      <c r="AC112" s="578"/>
      <c r="AD112" s="578"/>
      <c r="AE112" s="578"/>
      <c r="AF112" s="578"/>
      <c r="AG112" s="578"/>
      <c r="AH112" s="578"/>
      <c r="AI112" s="578"/>
    </row>
    <row r="113" spans="1:35" ht="14.25" customHeight="1" x14ac:dyDescent="0.3">
      <c r="A113" s="721"/>
      <c r="B113" s="767"/>
      <c r="C113" s="768"/>
      <c r="D113" s="577"/>
      <c r="E113" s="728"/>
      <c r="F113" s="577"/>
      <c r="G113" s="769"/>
      <c r="H113" s="577"/>
      <c r="I113" s="741"/>
      <c r="J113" s="577"/>
      <c r="K113" s="741"/>
      <c r="L113" s="577"/>
      <c r="M113" s="741"/>
      <c r="N113" s="770"/>
      <c r="O113" s="741"/>
      <c r="P113" s="770"/>
      <c r="Q113" s="741"/>
      <c r="R113" s="770"/>
      <c r="S113" s="741"/>
      <c r="T113" s="770"/>
      <c r="U113" s="741"/>
      <c r="V113" s="577"/>
      <c r="W113" s="741"/>
      <c r="X113" s="577"/>
      <c r="Y113" s="738"/>
      <c r="Z113" s="718"/>
      <c r="AA113" s="609"/>
      <c r="AB113" s="614"/>
      <c r="AC113" s="578"/>
      <c r="AD113" s="578"/>
      <c r="AE113" s="578"/>
      <c r="AF113" s="578"/>
      <c r="AG113" s="578"/>
      <c r="AH113" s="578"/>
      <c r="AI113" s="578"/>
    </row>
    <row r="114" spans="1:35" ht="14.25" customHeight="1" x14ac:dyDescent="0.3">
      <c r="A114" s="721"/>
      <c r="B114" s="771"/>
      <c r="C114" s="749"/>
      <c r="D114" s="728"/>
      <c r="E114" s="749"/>
      <c r="F114" s="771"/>
      <c r="G114" s="749"/>
      <c r="H114" s="771"/>
      <c r="I114" s="749"/>
      <c r="J114" s="728"/>
      <c r="K114" s="749"/>
      <c r="L114" s="728"/>
      <c r="M114" s="749"/>
      <c r="N114" s="771"/>
      <c r="O114" s="749"/>
      <c r="P114" s="771"/>
      <c r="Q114" s="749"/>
      <c r="R114" s="771"/>
      <c r="S114" s="749"/>
      <c r="T114" s="728"/>
      <c r="U114" s="749"/>
      <c r="V114" s="728"/>
      <c r="W114" s="749"/>
      <c r="X114" s="771"/>
      <c r="Y114" s="750"/>
      <c r="Z114" s="718"/>
      <c r="AA114" s="609"/>
      <c r="AB114" s="614"/>
      <c r="AC114" s="578"/>
      <c r="AD114" s="578"/>
      <c r="AE114" s="578"/>
      <c r="AF114" s="578"/>
      <c r="AG114" s="578"/>
      <c r="AH114" s="578"/>
      <c r="AI114" s="578"/>
    </row>
    <row r="115" spans="1:35" ht="14.25" customHeight="1" x14ac:dyDescent="0.3">
      <c r="A115" s="721"/>
      <c r="B115" s="741"/>
      <c r="C115" s="749"/>
      <c r="D115" s="728"/>
      <c r="E115" s="749"/>
      <c r="F115" s="741"/>
      <c r="G115" s="749"/>
      <c r="H115" s="741"/>
      <c r="I115" s="749"/>
      <c r="J115" s="728"/>
      <c r="K115" s="749"/>
      <c r="L115" s="728"/>
      <c r="M115" s="749"/>
      <c r="N115" s="741"/>
      <c r="O115" s="749"/>
      <c r="P115" s="741"/>
      <c r="Q115" s="749"/>
      <c r="R115" s="741"/>
      <c r="S115" s="749"/>
      <c r="T115" s="728"/>
      <c r="U115" s="749"/>
      <c r="V115" s="728"/>
      <c r="W115" s="749"/>
      <c r="X115" s="741"/>
      <c r="Y115" s="750"/>
      <c r="Z115" s="718"/>
      <c r="AA115" s="609"/>
      <c r="AB115" s="614"/>
      <c r="AC115" s="578"/>
      <c r="AD115" s="578"/>
      <c r="AE115" s="578"/>
      <c r="AF115" s="578"/>
      <c r="AG115" s="578"/>
      <c r="AH115" s="578"/>
      <c r="AI115" s="578"/>
    </row>
    <row r="116" spans="1:35" ht="14.25" customHeight="1" x14ac:dyDescent="0.3">
      <c r="A116" s="721"/>
      <c r="B116" s="947"/>
      <c r="C116" s="574">
        <v>398.68400000000003</v>
      </c>
      <c r="D116" s="945"/>
      <c r="E116" s="575">
        <v>435</v>
      </c>
      <c r="F116" s="988" t="s">
        <v>738</v>
      </c>
      <c r="G116" s="575">
        <v>404</v>
      </c>
      <c r="H116" s="990" t="s">
        <v>738</v>
      </c>
      <c r="I116" s="575">
        <v>374.35300000000001</v>
      </c>
      <c r="J116" s="945"/>
      <c r="K116" s="575">
        <v>250.119</v>
      </c>
      <c r="L116" s="975" t="s">
        <v>562</v>
      </c>
      <c r="M116" s="575">
        <v>398</v>
      </c>
      <c r="N116" s="979" t="s">
        <v>562</v>
      </c>
      <c r="O116" s="575">
        <v>364</v>
      </c>
      <c r="P116" s="991"/>
      <c r="Q116" s="575">
        <v>380</v>
      </c>
      <c r="R116" s="979" t="s">
        <v>562</v>
      </c>
      <c r="S116" s="575">
        <v>459.27199999999999</v>
      </c>
      <c r="T116" s="975" t="s">
        <v>562</v>
      </c>
      <c r="U116" s="575">
        <v>206.441</v>
      </c>
      <c r="V116" s="975" t="s">
        <v>562</v>
      </c>
      <c r="W116" s="575">
        <v>385</v>
      </c>
      <c r="X116" s="956" t="s">
        <v>89</v>
      </c>
      <c r="Y116" s="737">
        <v>372</v>
      </c>
      <c r="Z116" s="718">
        <v>3</v>
      </c>
      <c r="AA116" s="609">
        <v>1</v>
      </c>
      <c r="AB116" s="614">
        <v>3</v>
      </c>
      <c r="AC116" s="578"/>
      <c r="AD116" s="578"/>
      <c r="AE116" s="578"/>
      <c r="AF116" s="578"/>
      <c r="AG116" s="578"/>
      <c r="AH116" s="578"/>
      <c r="AI116" s="578"/>
    </row>
    <row r="117" spans="1:35" ht="14.25" customHeight="1" x14ac:dyDescent="0.3">
      <c r="A117" s="721"/>
      <c r="B117" s="948"/>
      <c r="C117" s="741"/>
      <c r="D117" s="946"/>
      <c r="E117" s="741"/>
      <c r="F117" s="989"/>
      <c r="G117" s="741"/>
      <c r="H117" s="955"/>
      <c r="I117" s="741"/>
      <c r="J117" s="946"/>
      <c r="K117" s="741"/>
      <c r="L117" s="976"/>
      <c r="M117" s="741"/>
      <c r="N117" s="981"/>
      <c r="O117" s="741"/>
      <c r="P117" s="992"/>
      <c r="Q117" s="741"/>
      <c r="R117" s="981"/>
      <c r="S117" s="741"/>
      <c r="T117" s="986"/>
      <c r="U117" s="741"/>
      <c r="V117" s="986"/>
      <c r="W117" s="741"/>
      <c r="X117" s="957"/>
      <c r="Y117" s="738"/>
      <c r="Z117" s="718"/>
      <c r="AA117" s="609"/>
      <c r="AB117" s="614"/>
      <c r="AC117" s="578"/>
      <c r="AD117" s="578"/>
      <c r="AE117" s="578"/>
      <c r="AF117" s="578"/>
      <c r="AG117" s="578"/>
      <c r="AH117" s="578"/>
      <c r="AI117" s="578"/>
    </row>
    <row r="118" spans="1:35" ht="14.25" customHeight="1" x14ac:dyDescent="0.3">
      <c r="A118" s="721"/>
      <c r="B118" s="739" t="s">
        <v>317</v>
      </c>
      <c r="C118" s="577"/>
      <c r="D118" s="739" t="s">
        <v>592</v>
      </c>
      <c r="E118" s="740"/>
      <c r="F118" s="739" t="s">
        <v>318</v>
      </c>
      <c r="G118" s="740"/>
      <c r="H118" s="739" t="s">
        <v>319</v>
      </c>
      <c r="I118" s="740"/>
      <c r="J118" s="739" t="s">
        <v>593</v>
      </c>
      <c r="K118" s="740"/>
      <c r="L118" s="739" t="s">
        <v>594</v>
      </c>
      <c r="M118" s="740"/>
      <c r="N118" s="739" t="s">
        <v>320</v>
      </c>
      <c r="O118" s="740"/>
      <c r="P118" s="739" t="s">
        <v>321</v>
      </c>
      <c r="Q118" s="740"/>
      <c r="R118" s="739" t="s">
        <v>322</v>
      </c>
      <c r="S118" s="740"/>
      <c r="T118" s="739" t="s">
        <v>595</v>
      </c>
      <c r="U118" s="741"/>
      <c r="V118" s="739" t="s">
        <v>596</v>
      </c>
      <c r="W118" s="740"/>
      <c r="X118" s="739" t="s">
        <v>323</v>
      </c>
      <c r="Y118" s="742"/>
      <c r="Z118" s="718"/>
      <c r="AA118" s="609"/>
      <c r="AB118" s="614"/>
      <c r="AC118" s="578"/>
      <c r="AD118" s="578"/>
      <c r="AE118" s="578"/>
      <c r="AF118" s="578"/>
      <c r="AG118" s="578"/>
      <c r="AH118" s="578"/>
      <c r="AI118" s="578"/>
    </row>
    <row r="119" spans="1:35" ht="14.25" customHeight="1" x14ac:dyDescent="0.3">
      <c r="A119" s="721"/>
      <c r="B119" s="577" t="s">
        <v>218</v>
      </c>
      <c r="C119" s="743">
        <f>(Y106+C116)/1000</f>
        <v>0.82768399999999998</v>
      </c>
      <c r="D119" s="577" t="s">
        <v>242</v>
      </c>
      <c r="E119" s="577"/>
      <c r="F119" s="577" t="s">
        <v>216</v>
      </c>
      <c r="G119" s="577"/>
      <c r="H119" s="577" t="s">
        <v>217</v>
      </c>
      <c r="I119" s="743">
        <f>(E116+G116+I116)/1000</f>
        <v>1.2133530000000001</v>
      </c>
      <c r="J119" s="577" t="s">
        <v>219</v>
      </c>
      <c r="K119" s="743">
        <f>(K116)/1000</f>
        <v>0.25011899999999998</v>
      </c>
      <c r="L119" s="577" t="s">
        <v>219</v>
      </c>
      <c r="M119" s="577"/>
      <c r="N119" s="577" t="s">
        <v>218</v>
      </c>
      <c r="O119" s="577"/>
      <c r="P119" s="577" t="s">
        <v>217</v>
      </c>
      <c r="Q119" s="577"/>
      <c r="R119" s="577" t="s">
        <v>217</v>
      </c>
      <c r="S119" s="743">
        <f>(M116+O116+Q116+S116)/1000</f>
        <v>1.601272</v>
      </c>
      <c r="T119" s="577" t="s">
        <v>274</v>
      </c>
      <c r="U119" s="743">
        <f>(U116)/1000</f>
        <v>0.20644100000000001</v>
      </c>
      <c r="V119" s="577" t="s">
        <v>297</v>
      </c>
      <c r="W119" s="577"/>
      <c r="X119" s="577" t="s">
        <v>217</v>
      </c>
      <c r="Y119" s="744"/>
      <c r="Z119" s="718"/>
      <c r="AA119" s="609"/>
      <c r="AB119" s="614"/>
      <c r="AC119" s="578"/>
      <c r="AD119" s="578"/>
      <c r="AE119" s="578"/>
      <c r="AF119" s="578"/>
      <c r="AG119" s="578"/>
      <c r="AH119" s="578"/>
      <c r="AI119" s="578"/>
    </row>
    <row r="120" spans="1:35" ht="14.25" customHeight="1" x14ac:dyDescent="0.3">
      <c r="A120" s="721"/>
      <c r="B120" s="577"/>
      <c r="C120" s="743"/>
      <c r="D120" s="577"/>
      <c r="E120" s="577"/>
      <c r="F120" s="577"/>
      <c r="G120" s="577"/>
      <c r="H120" s="580" t="s">
        <v>728</v>
      </c>
      <c r="I120" s="743"/>
      <c r="J120" s="577"/>
      <c r="K120" s="743"/>
      <c r="L120" s="577"/>
      <c r="M120" s="577"/>
      <c r="N120" s="577"/>
      <c r="O120" s="577"/>
      <c r="P120" s="580" t="s">
        <v>728</v>
      </c>
      <c r="Q120" s="577"/>
      <c r="R120" s="577"/>
      <c r="S120" s="743"/>
      <c r="T120" s="577"/>
      <c r="U120" s="743"/>
      <c r="V120" s="577"/>
      <c r="W120" s="577"/>
      <c r="X120" s="577"/>
      <c r="Y120" s="744"/>
      <c r="Z120" s="718"/>
      <c r="AA120" s="609"/>
      <c r="AB120" s="614"/>
      <c r="AC120" s="578"/>
      <c r="AD120" s="578"/>
      <c r="AE120" s="578"/>
      <c r="AF120" s="578"/>
      <c r="AG120" s="578"/>
      <c r="AH120" s="578"/>
      <c r="AI120" s="578"/>
    </row>
    <row r="121" spans="1:35" ht="14.25" customHeight="1" x14ac:dyDescent="0.3">
      <c r="A121" s="721"/>
      <c r="B121" s="577"/>
      <c r="C121" s="743"/>
      <c r="D121" s="577"/>
      <c r="E121" s="577"/>
      <c r="F121" s="577"/>
      <c r="G121" s="577"/>
      <c r="H121" s="577"/>
      <c r="I121" s="743"/>
      <c r="J121" s="761" t="s">
        <v>739</v>
      </c>
      <c r="K121" s="743"/>
      <c r="L121" s="761" t="s">
        <v>739</v>
      </c>
      <c r="M121" s="577"/>
      <c r="N121" s="577"/>
      <c r="O121" s="577"/>
      <c r="P121" s="577"/>
      <c r="Q121" s="577"/>
      <c r="R121" s="577"/>
      <c r="S121" s="743"/>
      <c r="T121" s="757" t="s">
        <v>734</v>
      </c>
      <c r="U121" s="743"/>
      <c r="V121" s="757" t="s">
        <v>734</v>
      </c>
      <c r="W121" s="577"/>
      <c r="X121" s="577"/>
      <c r="Y121" s="744"/>
      <c r="Z121" s="718"/>
      <c r="AA121" s="609"/>
      <c r="AB121" s="614"/>
      <c r="AC121" s="578"/>
      <c r="AD121" s="578"/>
      <c r="AE121" s="578"/>
      <c r="AF121" s="578"/>
      <c r="AG121" s="578"/>
      <c r="AH121" s="578"/>
      <c r="AI121" s="578"/>
    </row>
    <row r="122" spans="1:35" ht="14.25" customHeight="1" x14ac:dyDescent="0.3">
      <c r="A122" s="984"/>
      <c r="B122" s="985"/>
      <c r="C122" s="985"/>
      <c r="D122" s="985"/>
      <c r="E122" s="985"/>
      <c r="F122" s="985"/>
      <c r="G122" s="985"/>
      <c r="H122" s="985"/>
      <c r="I122" s="985"/>
      <c r="J122" s="985"/>
      <c r="K122" s="985"/>
      <c r="L122" s="985"/>
      <c r="M122" s="985"/>
      <c r="N122" s="985"/>
      <c r="O122" s="985"/>
      <c r="P122" s="985"/>
      <c r="Q122" s="985"/>
      <c r="R122" s="985"/>
      <c r="S122" s="985"/>
      <c r="T122" s="985"/>
      <c r="U122" s="985"/>
      <c r="V122" s="985"/>
      <c r="W122" s="985"/>
      <c r="X122" s="985"/>
      <c r="Y122" s="987"/>
      <c r="Z122" s="718"/>
      <c r="AA122" s="609"/>
      <c r="AB122" s="614"/>
      <c r="AC122" s="578"/>
      <c r="AD122" s="578"/>
      <c r="AE122" s="578"/>
      <c r="AF122" s="578"/>
      <c r="AG122" s="578"/>
      <c r="AH122" s="578"/>
      <c r="AI122" s="578"/>
    </row>
    <row r="123" spans="1:35" ht="14.25" customHeight="1" x14ac:dyDescent="0.3">
      <c r="A123" s="721"/>
      <c r="B123" s="577"/>
      <c r="C123" s="741"/>
      <c r="D123" s="772"/>
      <c r="E123" s="772"/>
      <c r="F123" s="772"/>
      <c r="G123" s="772"/>
      <c r="H123" s="577"/>
      <c r="I123" s="772"/>
      <c r="J123" s="577"/>
      <c r="K123" s="772"/>
      <c r="L123" s="577"/>
      <c r="M123" s="772"/>
      <c r="N123" s="772"/>
      <c r="O123" s="772"/>
      <c r="P123" s="772"/>
      <c r="Q123" s="772"/>
      <c r="R123" s="772"/>
      <c r="S123" s="772"/>
      <c r="T123" s="772"/>
      <c r="U123" s="772"/>
      <c r="V123" s="772"/>
      <c r="W123" s="770"/>
      <c r="X123" s="772"/>
      <c r="Y123" s="730"/>
      <c r="Z123" s="718"/>
      <c r="AA123" s="609"/>
      <c r="AB123" s="614"/>
      <c r="AC123" s="578"/>
      <c r="AD123" s="578"/>
      <c r="AE123" s="578"/>
      <c r="AF123" s="578"/>
      <c r="AG123" s="578"/>
      <c r="AH123" s="578"/>
      <c r="AI123" s="578"/>
    </row>
    <row r="124" spans="1:35" ht="14.25" customHeight="1" x14ac:dyDescent="0.3">
      <c r="A124" s="721"/>
      <c r="B124" s="771"/>
      <c r="C124" s="749"/>
      <c r="D124" s="771"/>
      <c r="E124" s="749"/>
      <c r="F124" s="771"/>
      <c r="G124" s="749"/>
      <c r="H124" s="771"/>
      <c r="I124" s="749"/>
      <c r="J124" s="771"/>
      <c r="K124" s="749"/>
      <c r="L124" s="771"/>
      <c r="M124" s="749"/>
      <c r="N124" s="771"/>
      <c r="O124" s="749"/>
      <c r="P124" s="771"/>
      <c r="Q124" s="749"/>
      <c r="R124" s="771"/>
      <c r="S124" s="749"/>
      <c r="T124" s="728"/>
      <c r="U124" s="749"/>
      <c r="V124" s="771"/>
      <c r="W124" s="749"/>
      <c r="X124" s="771"/>
      <c r="Y124" s="750"/>
      <c r="Z124" s="718"/>
      <c r="AA124" s="609"/>
      <c r="AB124" s="614"/>
      <c r="AC124" s="578"/>
      <c r="AD124" s="578"/>
      <c r="AE124" s="578"/>
      <c r="AF124" s="578"/>
      <c r="AG124" s="578"/>
      <c r="AH124" s="578"/>
      <c r="AI124" s="578"/>
    </row>
    <row r="125" spans="1:35" ht="14.25" customHeight="1" x14ac:dyDescent="0.3">
      <c r="A125" s="721"/>
      <c r="B125" s="741"/>
      <c r="C125" s="749"/>
      <c r="D125" s="741"/>
      <c r="E125" s="749"/>
      <c r="F125" s="741"/>
      <c r="G125" s="749"/>
      <c r="H125" s="741"/>
      <c r="I125" s="749"/>
      <c r="J125" s="741"/>
      <c r="K125" s="749"/>
      <c r="L125" s="741"/>
      <c r="M125" s="749"/>
      <c r="N125" s="741"/>
      <c r="O125" s="749"/>
      <c r="P125" s="741"/>
      <c r="Q125" s="749"/>
      <c r="R125" s="741"/>
      <c r="S125" s="749"/>
      <c r="T125" s="728"/>
      <c r="U125" s="749"/>
      <c r="V125" s="741"/>
      <c r="W125" s="749"/>
      <c r="X125" s="741"/>
      <c r="Y125" s="750"/>
      <c r="Z125" s="718"/>
      <c r="AA125" s="609"/>
      <c r="AB125" s="614"/>
      <c r="AC125" s="578"/>
      <c r="AD125" s="578"/>
      <c r="AE125" s="578"/>
      <c r="AF125" s="578"/>
      <c r="AG125" s="578"/>
      <c r="AH125" s="578"/>
      <c r="AI125" s="578"/>
    </row>
    <row r="126" spans="1:35" ht="14.25" customHeight="1" x14ac:dyDescent="0.3">
      <c r="A126" s="721"/>
      <c r="B126" s="956" t="s">
        <v>89</v>
      </c>
      <c r="C126" s="574">
        <v>384</v>
      </c>
      <c r="D126" s="956" t="s">
        <v>89</v>
      </c>
      <c r="E126" s="575">
        <v>400</v>
      </c>
      <c r="F126" s="956" t="s">
        <v>670</v>
      </c>
      <c r="G126" s="575">
        <v>386</v>
      </c>
      <c r="H126" s="947"/>
      <c r="I126" s="575">
        <v>398</v>
      </c>
      <c r="J126" s="956" t="s">
        <v>89</v>
      </c>
      <c r="K126" s="575">
        <v>393</v>
      </c>
      <c r="L126" s="956" t="s">
        <v>670</v>
      </c>
      <c r="M126" s="575">
        <v>387</v>
      </c>
      <c r="N126" s="956" t="s">
        <v>89</v>
      </c>
      <c r="O126" s="575">
        <v>378</v>
      </c>
      <c r="P126" s="956" t="s">
        <v>89</v>
      </c>
      <c r="Q126" s="575">
        <v>410</v>
      </c>
      <c r="R126" s="956" t="s">
        <v>670</v>
      </c>
      <c r="S126" s="575">
        <v>367.58</v>
      </c>
      <c r="T126" s="952" t="s">
        <v>562</v>
      </c>
      <c r="U126" s="575">
        <v>396</v>
      </c>
      <c r="V126" s="943" t="s">
        <v>562</v>
      </c>
      <c r="W126" s="575">
        <v>395</v>
      </c>
      <c r="X126" s="947"/>
      <c r="Y126" s="737">
        <v>414</v>
      </c>
      <c r="Z126" s="718"/>
      <c r="AA126" s="609"/>
      <c r="AB126" s="614"/>
      <c r="AC126" s="578"/>
      <c r="AD126" s="578"/>
      <c r="AE126" s="578"/>
      <c r="AF126" s="578"/>
      <c r="AG126" s="578"/>
      <c r="AH126" s="578"/>
      <c r="AI126" s="578"/>
    </row>
    <row r="127" spans="1:35" ht="14.25" customHeight="1" x14ac:dyDescent="0.3">
      <c r="A127" s="721"/>
      <c r="B127" s="957"/>
      <c r="C127" s="741"/>
      <c r="D127" s="957"/>
      <c r="E127" s="741"/>
      <c r="F127" s="957"/>
      <c r="G127" s="741"/>
      <c r="H127" s="948"/>
      <c r="I127" s="741"/>
      <c r="J127" s="957"/>
      <c r="K127" s="741"/>
      <c r="L127" s="957"/>
      <c r="M127" s="741"/>
      <c r="N127" s="957"/>
      <c r="O127" s="741"/>
      <c r="P127" s="957"/>
      <c r="Q127" s="741"/>
      <c r="R127" s="957"/>
      <c r="S127" s="741"/>
      <c r="T127" s="953"/>
      <c r="U127" s="741"/>
      <c r="V127" s="944"/>
      <c r="W127" s="741"/>
      <c r="X127" s="948"/>
      <c r="Y127" s="738"/>
      <c r="Z127" s="718">
        <v>8</v>
      </c>
      <c r="AA127" s="609">
        <v>6</v>
      </c>
      <c r="AB127" s="614">
        <v>3</v>
      </c>
      <c r="AD127" s="578"/>
      <c r="AE127" s="578"/>
      <c r="AF127" s="578"/>
      <c r="AG127" s="578"/>
      <c r="AH127" s="578"/>
      <c r="AI127" s="578"/>
    </row>
    <row r="128" spans="1:35" ht="14.25" customHeight="1" x14ac:dyDescent="0.3">
      <c r="A128" s="721"/>
      <c r="B128" s="739" t="s">
        <v>325</v>
      </c>
      <c r="C128" s="577"/>
      <c r="D128" s="739" t="s">
        <v>326</v>
      </c>
      <c r="E128" s="740"/>
      <c r="F128" s="739" t="s">
        <v>327</v>
      </c>
      <c r="G128" s="740"/>
      <c r="H128" s="739" t="s">
        <v>328</v>
      </c>
      <c r="I128" s="740"/>
      <c r="J128" s="739" t="s">
        <v>329</v>
      </c>
      <c r="K128" s="740"/>
      <c r="L128" s="739" t="s">
        <v>330</v>
      </c>
      <c r="M128" s="740"/>
      <c r="N128" s="739" t="s">
        <v>331</v>
      </c>
      <c r="O128" s="740"/>
      <c r="P128" s="739" t="s">
        <v>332</v>
      </c>
      <c r="Q128" s="740"/>
      <c r="R128" s="739" t="s">
        <v>333</v>
      </c>
      <c r="S128" s="740"/>
      <c r="T128" s="739" t="s">
        <v>597</v>
      </c>
      <c r="U128" s="741"/>
      <c r="V128" s="739" t="s">
        <v>334</v>
      </c>
      <c r="W128" s="740"/>
      <c r="X128" s="739" t="s">
        <v>335</v>
      </c>
      <c r="Y128" s="742"/>
      <c r="Z128" s="718"/>
      <c r="AA128" s="609"/>
      <c r="AB128" s="614"/>
      <c r="AC128" s="578"/>
      <c r="AD128" s="578"/>
      <c r="AE128" s="578"/>
      <c r="AF128" s="578"/>
      <c r="AG128" s="578"/>
      <c r="AH128" s="578"/>
      <c r="AI128" s="578"/>
    </row>
    <row r="129" spans="1:35" ht="14.25" customHeight="1" x14ac:dyDescent="0.3">
      <c r="A129" s="721"/>
      <c r="B129" s="577" t="s">
        <v>217</v>
      </c>
      <c r="C129" s="577"/>
      <c r="D129" s="577" t="s">
        <v>217</v>
      </c>
      <c r="E129" s="577"/>
      <c r="F129" s="577" t="s">
        <v>217</v>
      </c>
      <c r="G129" s="577"/>
      <c r="H129" s="577" t="s">
        <v>217</v>
      </c>
      <c r="I129" s="577"/>
      <c r="J129" s="577" t="s">
        <v>217</v>
      </c>
      <c r="K129" s="577"/>
      <c r="L129" s="577" t="s">
        <v>217</v>
      </c>
      <c r="M129" s="577"/>
      <c r="N129" s="577" t="s">
        <v>217</v>
      </c>
      <c r="O129" s="577"/>
      <c r="P129" s="577" t="s">
        <v>217</v>
      </c>
      <c r="Q129" s="577"/>
      <c r="R129" s="577" t="s">
        <v>218</v>
      </c>
      <c r="S129" s="743">
        <f>(W116+Y116+C126+E126+G126+I126+K126+M126+O126+Q126+S126)/1000</f>
        <v>4.26058</v>
      </c>
      <c r="T129" s="577" t="s">
        <v>219</v>
      </c>
      <c r="U129" s="577"/>
      <c r="V129" s="577" t="s">
        <v>218</v>
      </c>
      <c r="W129" s="577"/>
      <c r="X129" s="577" t="s">
        <v>218</v>
      </c>
      <c r="Y129" s="744"/>
      <c r="Z129" s="718"/>
      <c r="AA129" s="609"/>
      <c r="AB129" s="614"/>
      <c r="AC129" s="578"/>
      <c r="AD129" s="578"/>
      <c r="AE129" s="578"/>
      <c r="AF129" s="578"/>
      <c r="AG129" s="578"/>
      <c r="AH129" s="578"/>
      <c r="AI129" s="578"/>
    </row>
    <row r="130" spans="1:35" ht="14.25" customHeight="1" x14ac:dyDescent="0.3">
      <c r="A130" s="721"/>
      <c r="B130" s="577"/>
      <c r="C130" s="577"/>
      <c r="D130" s="577"/>
      <c r="E130" s="577"/>
      <c r="F130" s="577"/>
      <c r="G130" s="577"/>
      <c r="H130" s="577" t="s">
        <v>740</v>
      </c>
      <c r="I130" s="577"/>
      <c r="J130" s="577"/>
      <c r="K130" s="577"/>
      <c r="L130" s="580" t="s">
        <v>728</v>
      </c>
      <c r="M130" s="577"/>
      <c r="N130" s="580" t="s">
        <v>728</v>
      </c>
      <c r="O130" s="577"/>
      <c r="P130" s="577"/>
      <c r="Q130" s="577"/>
      <c r="R130" s="577"/>
      <c r="S130" s="743"/>
      <c r="T130" s="577"/>
      <c r="U130" s="577"/>
      <c r="V130" s="577"/>
      <c r="W130" s="577"/>
      <c r="X130" s="577" t="s">
        <v>740</v>
      </c>
      <c r="Y130" s="744"/>
      <c r="Z130" s="718"/>
      <c r="AA130" s="609"/>
      <c r="AB130" s="614"/>
      <c r="AC130" s="578"/>
      <c r="AD130" s="578"/>
      <c r="AE130" s="578"/>
      <c r="AF130" s="578"/>
      <c r="AG130" s="578"/>
      <c r="AH130" s="578"/>
      <c r="AI130" s="578"/>
    </row>
    <row r="131" spans="1:35" ht="14.25" customHeight="1" x14ac:dyDescent="0.3">
      <c r="A131" s="721"/>
      <c r="B131" s="773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743"/>
      <c r="T131" s="577"/>
      <c r="U131" s="577"/>
      <c r="V131" s="577"/>
      <c r="W131" s="577"/>
      <c r="X131" s="581" t="s">
        <v>730</v>
      </c>
      <c r="Y131" s="744"/>
      <c r="Z131" s="718"/>
      <c r="AA131" s="609"/>
      <c r="AB131" s="614"/>
      <c r="AC131" s="578"/>
      <c r="AD131" s="578"/>
      <c r="AE131" s="578"/>
      <c r="AF131" s="578"/>
      <c r="AG131" s="578"/>
      <c r="AH131" s="578"/>
      <c r="AI131" s="578"/>
    </row>
    <row r="132" spans="1:35" ht="14.25" customHeight="1" x14ac:dyDescent="0.3">
      <c r="A132" s="984"/>
      <c r="B132" s="985"/>
      <c r="C132" s="985"/>
      <c r="D132" s="985"/>
      <c r="E132" s="985"/>
      <c r="F132" s="985"/>
      <c r="G132" s="985"/>
      <c r="H132" s="985"/>
      <c r="I132" s="985"/>
      <c r="J132" s="985"/>
      <c r="K132" s="985"/>
      <c r="L132" s="985"/>
      <c r="M132" s="985"/>
      <c r="N132" s="985"/>
      <c r="O132" s="985"/>
      <c r="P132" s="985"/>
      <c r="Q132" s="985"/>
      <c r="R132" s="985"/>
      <c r="S132" s="985"/>
      <c r="T132" s="985"/>
      <c r="U132" s="577"/>
      <c r="V132" s="577"/>
      <c r="W132" s="577"/>
      <c r="X132" s="773"/>
      <c r="Y132" s="744"/>
      <c r="Z132" s="718"/>
      <c r="AA132" s="609"/>
      <c r="AB132" s="614"/>
      <c r="AC132" s="578"/>
      <c r="AD132" s="578"/>
      <c r="AE132" s="578"/>
      <c r="AF132" s="578"/>
      <c r="AG132" s="578"/>
      <c r="AH132" s="578"/>
      <c r="AI132" s="578"/>
    </row>
    <row r="133" spans="1:35" ht="14.25" customHeight="1" x14ac:dyDescent="0.3">
      <c r="A133" s="721"/>
      <c r="B133" s="772"/>
      <c r="C133" s="770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577"/>
      <c r="Q133" s="728"/>
      <c r="R133" s="577"/>
      <c r="S133" s="728"/>
      <c r="T133" s="728"/>
      <c r="U133" s="728"/>
      <c r="V133" s="728"/>
      <c r="W133" s="728"/>
      <c r="X133" s="728"/>
      <c r="Y133" s="736"/>
      <c r="Z133" s="718"/>
      <c r="AA133" s="609"/>
      <c r="AB133" s="614"/>
      <c r="AC133" s="578"/>
      <c r="AD133" s="578"/>
      <c r="AE133" s="578"/>
      <c r="AF133" s="578"/>
      <c r="AG133" s="578"/>
      <c r="AH133" s="578"/>
      <c r="AI133" s="578"/>
    </row>
    <row r="134" spans="1:35" ht="14.25" customHeight="1" x14ac:dyDescent="0.3">
      <c r="A134" s="721"/>
      <c r="B134" s="771"/>
      <c r="C134" s="749"/>
      <c r="D134" s="728"/>
      <c r="E134" s="749"/>
      <c r="F134" s="771"/>
      <c r="G134" s="749"/>
      <c r="H134" s="771"/>
      <c r="I134" s="749"/>
      <c r="J134" s="771"/>
      <c r="K134" s="749"/>
      <c r="L134" s="728"/>
      <c r="M134" s="749"/>
      <c r="N134" s="771"/>
      <c r="O134" s="749"/>
      <c r="P134" s="771"/>
      <c r="Q134" s="749"/>
      <c r="R134" s="749"/>
      <c r="S134" s="749"/>
      <c r="T134" s="771"/>
      <c r="U134" s="749"/>
      <c r="V134" s="771"/>
      <c r="W134" s="749"/>
      <c r="X134" s="728"/>
      <c r="Y134" s="750"/>
      <c r="Z134" s="718"/>
      <c r="AA134" s="609"/>
      <c r="AB134" s="614"/>
      <c r="AC134" s="578"/>
      <c r="AD134" s="578"/>
      <c r="AE134" s="578"/>
      <c r="AF134" s="578"/>
      <c r="AG134" s="578"/>
      <c r="AH134" s="578"/>
      <c r="AI134" s="578"/>
    </row>
    <row r="135" spans="1:35" ht="14.25" customHeight="1" x14ac:dyDescent="0.3">
      <c r="A135" s="721"/>
      <c r="B135" s="741"/>
      <c r="C135" s="749"/>
      <c r="D135" s="728"/>
      <c r="E135" s="749"/>
      <c r="F135" s="741"/>
      <c r="G135" s="749"/>
      <c r="H135" s="741"/>
      <c r="I135" s="749"/>
      <c r="J135" s="741"/>
      <c r="K135" s="749"/>
      <c r="L135" s="728"/>
      <c r="M135" s="749"/>
      <c r="N135" s="741"/>
      <c r="O135" s="749"/>
      <c r="P135" s="741"/>
      <c r="Q135" s="749"/>
      <c r="R135" s="749"/>
      <c r="S135" s="749"/>
      <c r="T135" s="741"/>
      <c r="U135" s="749"/>
      <c r="V135" s="741"/>
      <c r="W135" s="749"/>
      <c r="X135" s="728"/>
      <c r="Y135" s="750"/>
      <c r="Z135" s="718"/>
      <c r="AA135" s="609"/>
      <c r="AB135" s="614"/>
      <c r="AC135" s="578"/>
      <c r="AD135" s="578"/>
      <c r="AE135" s="578"/>
      <c r="AF135" s="578"/>
      <c r="AG135" s="578"/>
      <c r="AH135" s="578"/>
      <c r="AI135" s="578"/>
    </row>
    <row r="136" spans="1:35" ht="14.25" customHeight="1" x14ac:dyDescent="0.3">
      <c r="A136" s="721"/>
      <c r="B136" s="956" t="s">
        <v>89</v>
      </c>
      <c r="C136" s="574">
        <v>350.09</v>
      </c>
      <c r="D136" s="952"/>
      <c r="E136" s="575">
        <v>364</v>
      </c>
      <c r="F136" s="956" t="s">
        <v>89</v>
      </c>
      <c r="G136" s="575">
        <v>452</v>
      </c>
      <c r="H136" s="956" t="s">
        <v>89</v>
      </c>
      <c r="I136" s="575">
        <v>392</v>
      </c>
      <c r="J136" s="956" t="s">
        <v>89</v>
      </c>
      <c r="K136" s="575">
        <v>369.64499999999998</v>
      </c>
      <c r="L136" s="975" t="s">
        <v>562</v>
      </c>
      <c r="M136" s="575">
        <v>446</v>
      </c>
      <c r="N136" s="956" t="s">
        <v>89</v>
      </c>
      <c r="O136" s="575">
        <v>386</v>
      </c>
      <c r="P136" s="947"/>
      <c r="Q136" s="575">
        <v>451</v>
      </c>
      <c r="R136" s="945"/>
      <c r="S136" s="575">
        <v>428.50400000000002</v>
      </c>
      <c r="T136" s="956" t="s">
        <v>89</v>
      </c>
      <c r="U136" s="575">
        <v>354.49599999999998</v>
      </c>
      <c r="V136" s="956" t="s">
        <v>89</v>
      </c>
      <c r="W136" s="575">
        <v>430.20699999999999</v>
      </c>
      <c r="X136" s="975" t="s">
        <v>562</v>
      </c>
      <c r="Y136" s="737">
        <v>394</v>
      </c>
      <c r="Z136" s="718"/>
      <c r="AA136" s="609"/>
      <c r="AB136" s="614"/>
      <c r="AC136" s="578"/>
      <c r="AD136" s="578"/>
      <c r="AE136" s="578"/>
      <c r="AF136" s="578"/>
      <c r="AG136" s="578"/>
      <c r="AH136" s="578"/>
      <c r="AI136" s="578"/>
    </row>
    <row r="137" spans="1:35" ht="14.25" customHeight="1" x14ac:dyDescent="0.3">
      <c r="A137" s="721"/>
      <c r="B137" s="957"/>
      <c r="C137" s="741"/>
      <c r="D137" s="953"/>
      <c r="E137" s="741"/>
      <c r="F137" s="957"/>
      <c r="G137" s="741"/>
      <c r="H137" s="957"/>
      <c r="I137" s="741"/>
      <c r="J137" s="957"/>
      <c r="K137" s="741"/>
      <c r="L137" s="976"/>
      <c r="M137" s="741"/>
      <c r="N137" s="957"/>
      <c r="O137" s="741"/>
      <c r="P137" s="948"/>
      <c r="Q137" s="741"/>
      <c r="R137" s="946"/>
      <c r="S137" s="741"/>
      <c r="T137" s="957"/>
      <c r="U137" s="741"/>
      <c r="V137" s="957"/>
      <c r="W137" s="741"/>
      <c r="X137" s="976"/>
      <c r="Y137" s="738"/>
      <c r="Z137" s="718">
        <v>7</v>
      </c>
      <c r="AA137" s="609">
        <v>4</v>
      </c>
      <c r="AB137" s="614">
        <v>4</v>
      </c>
      <c r="AC137" s="578"/>
      <c r="AD137" s="578"/>
      <c r="AE137" s="578"/>
      <c r="AF137" s="578"/>
      <c r="AG137" s="578"/>
      <c r="AH137" s="578"/>
      <c r="AI137" s="578"/>
    </row>
    <row r="138" spans="1:35" ht="14.25" customHeight="1" x14ac:dyDescent="0.3">
      <c r="A138" s="721"/>
      <c r="B138" s="739" t="s">
        <v>336</v>
      </c>
      <c r="C138" s="577"/>
      <c r="D138" s="739" t="s">
        <v>598</v>
      </c>
      <c r="E138" s="740"/>
      <c r="F138" s="739" t="s">
        <v>337</v>
      </c>
      <c r="G138" s="740"/>
      <c r="H138" s="739" t="s">
        <v>338</v>
      </c>
      <c r="I138" s="740"/>
      <c r="J138" s="739" t="s">
        <v>339</v>
      </c>
      <c r="K138" s="740"/>
      <c r="L138" s="739" t="s">
        <v>599</v>
      </c>
      <c r="M138" s="740"/>
      <c r="N138" s="739" t="s">
        <v>94</v>
      </c>
      <c r="O138" s="740"/>
      <c r="P138" s="739" t="s">
        <v>340</v>
      </c>
      <c r="Q138" s="740"/>
      <c r="R138" s="739" t="s">
        <v>341</v>
      </c>
      <c r="S138" s="740"/>
      <c r="T138" s="739" t="s">
        <v>342</v>
      </c>
      <c r="U138" s="741"/>
      <c r="V138" s="739" t="s">
        <v>96</v>
      </c>
      <c r="W138" s="740"/>
      <c r="X138" s="739" t="s">
        <v>600</v>
      </c>
      <c r="Y138" s="742"/>
      <c r="Z138" s="718"/>
      <c r="AA138" s="609"/>
      <c r="AB138" s="614"/>
      <c r="AC138" s="578"/>
      <c r="AD138" s="578"/>
      <c r="AE138" s="578"/>
      <c r="AF138" s="578"/>
      <c r="AG138" s="578"/>
      <c r="AH138" s="578"/>
      <c r="AI138" s="578"/>
    </row>
    <row r="139" spans="1:35" ht="14.25" customHeight="1" x14ac:dyDescent="0.3">
      <c r="A139" s="721"/>
      <c r="B139" s="577" t="s">
        <v>217</v>
      </c>
      <c r="C139" s="743">
        <f>(U126+W126+Y126+C136)/1000</f>
        <v>1.5550899999999999</v>
      </c>
      <c r="D139" s="577" t="s">
        <v>219</v>
      </c>
      <c r="E139" s="577"/>
      <c r="F139" s="577" t="s">
        <v>218</v>
      </c>
      <c r="G139" s="577"/>
      <c r="H139" s="577" t="s">
        <v>216</v>
      </c>
      <c r="I139" s="577"/>
      <c r="J139" s="577" t="s">
        <v>253</v>
      </c>
      <c r="K139" s="743">
        <f>(E136+G136+I136+K136)/1000</f>
        <v>1.577645</v>
      </c>
      <c r="L139" s="577" t="s">
        <v>316</v>
      </c>
      <c r="M139" s="577"/>
      <c r="N139" s="577" t="s">
        <v>216</v>
      </c>
      <c r="O139" s="577"/>
      <c r="P139" s="577" t="s">
        <v>253</v>
      </c>
      <c r="Q139" s="743">
        <f>(M136+O136+Q136)/1000</f>
        <v>1.2829999999999999</v>
      </c>
      <c r="R139" s="577" t="s">
        <v>571</v>
      </c>
      <c r="S139" s="577"/>
      <c r="T139" s="577" t="s">
        <v>218</v>
      </c>
      <c r="U139" s="577"/>
      <c r="V139" s="577" t="s">
        <v>217</v>
      </c>
      <c r="W139" s="743">
        <f>(S136+U136+W136)/1000</f>
        <v>1.2132069999999999</v>
      </c>
      <c r="X139" s="577" t="s">
        <v>297</v>
      </c>
      <c r="Y139" s="744"/>
      <c r="Z139" s="718"/>
      <c r="AA139" s="609"/>
      <c r="AB139" s="614"/>
      <c r="AC139" s="578"/>
      <c r="AD139" s="578"/>
      <c r="AE139" s="578"/>
      <c r="AF139" s="578"/>
      <c r="AG139" s="578"/>
      <c r="AH139" s="578"/>
      <c r="AI139" s="578"/>
    </row>
    <row r="140" spans="1:35" ht="14.25" customHeight="1" x14ac:dyDescent="0.3">
      <c r="A140" s="721"/>
      <c r="B140" s="577" t="s">
        <v>740</v>
      </c>
      <c r="C140" s="743"/>
      <c r="D140" s="580" t="s">
        <v>728</v>
      </c>
      <c r="E140" s="577"/>
      <c r="F140" s="577"/>
      <c r="G140" s="577"/>
      <c r="H140" s="582" t="s">
        <v>728</v>
      </c>
      <c r="I140" s="577"/>
      <c r="J140" s="580" t="s">
        <v>728</v>
      </c>
      <c r="K140" s="743"/>
      <c r="L140" s="577"/>
      <c r="M140" s="577"/>
      <c r="N140" s="577"/>
      <c r="O140" s="577"/>
      <c r="P140" s="577"/>
      <c r="Q140" s="743"/>
      <c r="R140" s="577" t="s">
        <v>740</v>
      </c>
      <c r="S140" s="577"/>
      <c r="T140" s="577"/>
      <c r="U140" s="577"/>
      <c r="V140" s="577"/>
      <c r="W140" s="743"/>
      <c r="X140" s="577"/>
      <c r="Y140" s="744"/>
      <c r="Z140" s="718"/>
      <c r="AA140" s="609"/>
      <c r="AB140" s="614"/>
      <c r="AC140" s="578"/>
      <c r="AD140" s="578"/>
      <c r="AE140" s="578"/>
      <c r="AF140" s="578"/>
      <c r="AG140" s="578"/>
      <c r="AH140" s="578"/>
      <c r="AI140" s="578"/>
    </row>
    <row r="141" spans="1:35" s="570" customFormat="1" ht="14.25" customHeight="1" x14ac:dyDescent="0.3">
      <c r="A141" s="721"/>
      <c r="B141" s="581" t="s">
        <v>730</v>
      </c>
      <c r="C141" s="743"/>
      <c r="D141" s="577"/>
      <c r="E141" s="577"/>
      <c r="F141" s="577"/>
      <c r="G141" s="577"/>
      <c r="H141" s="773"/>
      <c r="I141" s="577"/>
      <c r="J141" s="577"/>
      <c r="K141" s="743"/>
      <c r="L141" s="577"/>
      <c r="M141" s="577"/>
      <c r="N141" s="577"/>
      <c r="O141" s="577"/>
      <c r="P141" s="577"/>
      <c r="Q141" s="743"/>
      <c r="R141" s="577"/>
      <c r="S141" s="577"/>
      <c r="T141" s="577"/>
      <c r="U141" s="577"/>
      <c r="V141" s="577"/>
      <c r="W141" s="743"/>
      <c r="X141" s="577"/>
      <c r="Y141" s="744"/>
      <c r="Z141" s="719"/>
      <c r="AA141" s="610"/>
      <c r="AB141" s="615"/>
      <c r="AC141" s="579"/>
      <c r="AD141" s="579"/>
      <c r="AE141" s="579"/>
      <c r="AF141" s="579"/>
      <c r="AG141" s="579"/>
      <c r="AH141" s="579"/>
      <c r="AI141" s="579"/>
    </row>
    <row r="142" spans="1:35" ht="14.25" customHeight="1" x14ac:dyDescent="0.3">
      <c r="A142" s="721"/>
      <c r="B142" s="577"/>
      <c r="C142" s="741"/>
      <c r="D142" s="770"/>
      <c r="E142" s="741"/>
      <c r="F142" s="770"/>
      <c r="G142" s="577"/>
      <c r="H142" s="770"/>
      <c r="I142" s="741"/>
      <c r="J142" s="577"/>
      <c r="K142" s="741"/>
      <c r="L142" s="770"/>
      <c r="M142" s="741"/>
      <c r="N142" s="577"/>
      <c r="O142" s="741"/>
      <c r="P142" s="767"/>
      <c r="Q142" s="768"/>
      <c r="R142" s="767"/>
      <c r="S142" s="768"/>
      <c r="T142" s="767"/>
      <c r="U142" s="767"/>
      <c r="V142" s="767"/>
      <c r="W142" s="768"/>
      <c r="X142" s="767"/>
      <c r="Y142" s="753"/>
      <c r="Z142" s="718"/>
      <c r="AA142" s="609"/>
      <c r="AB142" s="614"/>
      <c r="AC142" s="578"/>
      <c r="AD142" s="578"/>
      <c r="AE142" s="578"/>
      <c r="AF142" s="578"/>
      <c r="AG142" s="578"/>
      <c r="AH142" s="578"/>
      <c r="AI142" s="578"/>
    </row>
    <row r="143" spans="1:35" ht="14.25" customHeight="1" x14ac:dyDescent="0.3">
      <c r="A143" s="721"/>
      <c r="B143" s="771"/>
      <c r="C143" s="749"/>
      <c r="D143" s="771"/>
      <c r="E143" s="749"/>
      <c r="F143" s="771"/>
      <c r="G143" s="749"/>
      <c r="H143" s="728"/>
      <c r="I143" s="749"/>
      <c r="J143" s="771"/>
      <c r="K143" s="749"/>
      <c r="L143" s="771"/>
      <c r="M143" s="749"/>
      <c r="N143" s="728"/>
      <c r="O143" s="749"/>
      <c r="P143" s="771"/>
      <c r="Q143" s="749"/>
      <c r="R143" s="771"/>
      <c r="S143" s="749"/>
      <c r="T143" s="728"/>
      <c r="U143" s="749"/>
      <c r="V143" s="771"/>
      <c r="W143" s="749"/>
      <c r="X143" s="771"/>
      <c r="Y143" s="750"/>
      <c r="Z143" s="718"/>
      <c r="AA143" s="609"/>
      <c r="AB143" s="614"/>
      <c r="AC143" s="578"/>
      <c r="AD143" s="578"/>
      <c r="AE143" s="578"/>
      <c r="AF143" s="578"/>
      <c r="AG143" s="578"/>
      <c r="AH143" s="578"/>
      <c r="AI143" s="578"/>
    </row>
    <row r="144" spans="1:35" ht="14.25" customHeight="1" x14ac:dyDescent="0.3">
      <c r="A144" s="721"/>
      <c r="B144" s="741"/>
      <c r="C144" s="749"/>
      <c r="D144" s="741"/>
      <c r="E144" s="749"/>
      <c r="F144" s="741"/>
      <c r="G144" s="749"/>
      <c r="H144" s="728"/>
      <c r="I144" s="749"/>
      <c r="J144" s="741"/>
      <c r="K144" s="749"/>
      <c r="L144" s="741"/>
      <c r="M144" s="749"/>
      <c r="N144" s="728"/>
      <c r="O144" s="749"/>
      <c r="P144" s="741"/>
      <c r="Q144" s="749"/>
      <c r="R144" s="741"/>
      <c r="S144" s="749"/>
      <c r="T144" s="728"/>
      <c r="U144" s="749"/>
      <c r="V144" s="741"/>
      <c r="W144" s="749"/>
      <c r="X144" s="741"/>
      <c r="Y144" s="750"/>
      <c r="Z144" s="718"/>
      <c r="AA144" s="609"/>
      <c r="AB144" s="614"/>
      <c r="AC144" s="578"/>
      <c r="AD144" s="578"/>
      <c r="AE144" s="578"/>
      <c r="AF144" s="578"/>
      <c r="AG144" s="578"/>
      <c r="AH144" s="578"/>
      <c r="AI144" s="578"/>
    </row>
    <row r="145" spans="1:35" ht="14.25" customHeight="1" x14ac:dyDescent="0.3">
      <c r="A145" s="721"/>
      <c r="B145" s="956" t="s">
        <v>89</v>
      </c>
      <c r="C145" s="574">
        <v>415</v>
      </c>
      <c r="D145" s="956" t="s">
        <v>89</v>
      </c>
      <c r="E145" s="575">
        <v>399</v>
      </c>
      <c r="F145" s="947"/>
      <c r="G145" s="575">
        <v>436.29500000000002</v>
      </c>
      <c r="H145" s="977"/>
      <c r="I145" s="575">
        <v>437</v>
      </c>
      <c r="J145" s="956" t="s">
        <v>89</v>
      </c>
      <c r="K145" s="575">
        <v>406</v>
      </c>
      <c r="L145" s="979" t="s">
        <v>562</v>
      </c>
      <c r="M145" s="575">
        <v>437.79599999999999</v>
      </c>
      <c r="N145" s="963" t="s">
        <v>89</v>
      </c>
      <c r="O145" s="575">
        <v>412</v>
      </c>
      <c r="P145" s="956" t="s">
        <v>89</v>
      </c>
      <c r="Q145" s="575">
        <v>356.62799999999999</v>
      </c>
      <c r="R145" s="979" t="s">
        <v>562</v>
      </c>
      <c r="S145" s="575">
        <v>384.62400000000002</v>
      </c>
      <c r="T145" s="982" t="s">
        <v>89</v>
      </c>
      <c r="U145" s="575">
        <v>391</v>
      </c>
      <c r="V145" s="956" t="s">
        <v>741</v>
      </c>
      <c r="W145" s="575">
        <v>436</v>
      </c>
      <c r="X145" s="965"/>
      <c r="Y145" s="737">
        <v>406</v>
      </c>
      <c r="Z145" s="718">
        <v>7</v>
      </c>
      <c r="AA145" s="609">
        <v>5</v>
      </c>
      <c r="AB145" s="614">
        <v>2</v>
      </c>
      <c r="AC145" s="578"/>
      <c r="AD145" s="578"/>
      <c r="AE145" s="578"/>
      <c r="AF145" s="578"/>
      <c r="AG145" s="578"/>
      <c r="AH145" s="578"/>
      <c r="AI145" s="578"/>
    </row>
    <row r="146" spans="1:35" ht="14.25" customHeight="1" x14ac:dyDescent="0.3">
      <c r="A146" s="721"/>
      <c r="B146" s="957"/>
      <c r="C146" s="741"/>
      <c r="D146" s="957"/>
      <c r="E146" s="741"/>
      <c r="F146" s="948"/>
      <c r="G146" s="741"/>
      <c r="H146" s="978"/>
      <c r="I146" s="741"/>
      <c r="J146" s="957"/>
      <c r="K146" s="741"/>
      <c r="L146" s="980"/>
      <c r="M146" s="741"/>
      <c r="N146" s="971"/>
      <c r="O146" s="741"/>
      <c r="P146" s="957"/>
      <c r="Q146" s="741"/>
      <c r="R146" s="981"/>
      <c r="S146" s="741"/>
      <c r="T146" s="983"/>
      <c r="U146" s="741"/>
      <c r="V146" s="957"/>
      <c r="W146" s="741"/>
      <c r="X146" s="966"/>
      <c r="Y146" s="738"/>
      <c r="Z146" s="718"/>
      <c r="AA146" s="609"/>
      <c r="AB146" s="614"/>
      <c r="AC146" s="578"/>
      <c r="AD146" s="578"/>
      <c r="AE146" s="578"/>
      <c r="AF146" s="578"/>
      <c r="AG146" s="578"/>
      <c r="AH146" s="578"/>
    </row>
    <row r="147" spans="1:35" ht="14.25" customHeight="1" x14ac:dyDescent="0.3">
      <c r="A147" s="721"/>
      <c r="B147" s="739" t="s">
        <v>93</v>
      </c>
      <c r="C147" s="577"/>
      <c r="D147" s="739" t="s">
        <v>90</v>
      </c>
      <c r="E147" s="740"/>
      <c r="F147" s="739" t="s">
        <v>343</v>
      </c>
      <c r="G147" s="740"/>
      <c r="H147" s="739" t="s">
        <v>601</v>
      </c>
      <c r="I147" s="740"/>
      <c r="J147" s="739" t="s">
        <v>86</v>
      </c>
      <c r="K147" s="740"/>
      <c r="L147" s="739" t="s">
        <v>344</v>
      </c>
      <c r="M147" s="740"/>
      <c r="N147" s="739" t="s">
        <v>602</v>
      </c>
      <c r="O147" s="740"/>
      <c r="P147" s="739" t="s">
        <v>345</v>
      </c>
      <c r="Q147" s="740"/>
      <c r="R147" s="739" t="s">
        <v>112</v>
      </c>
      <c r="S147" s="740"/>
      <c r="T147" s="739" t="s">
        <v>603</v>
      </c>
      <c r="U147" s="741"/>
      <c r="V147" s="739" t="s">
        <v>346</v>
      </c>
      <c r="W147" s="740"/>
      <c r="X147" s="739" t="s">
        <v>114</v>
      </c>
      <c r="Y147" s="742"/>
      <c r="Z147" s="718"/>
      <c r="AA147" s="609"/>
      <c r="AB147" s="614"/>
      <c r="AC147" s="578"/>
      <c r="AD147" s="578"/>
      <c r="AE147" s="578"/>
      <c r="AF147" s="578"/>
      <c r="AG147" s="578"/>
      <c r="AH147" s="578"/>
    </row>
    <row r="148" spans="1:35" ht="14.25" customHeight="1" x14ac:dyDescent="0.3">
      <c r="A148" s="721"/>
      <c r="B148" s="577" t="s">
        <v>217</v>
      </c>
      <c r="C148" s="577"/>
      <c r="D148" s="577" t="s">
        <v>218</v>
      </c>
      <c r="E148" s="577"/>
      <c r="F148" s="577" t="s">
        <v>217</v>
      </c>
      <c r="G148" s="743">
        <f>(Y136+C145+E145+G145)/1000</f>
        <v>1.6442950000000001</v>
      </c>
      <c r="H148" s="577" t="s">
        <v>274</v>
      </c>
      <c r="I148" s="577"/>
      <c r="J148" s="577" t="s">
        <v>217</v>
      </c>
      <c r="K148" s="577"/>
      <c r="L148" s="577" t="s">
        <v>216</v>
      </c>
      <c r="M148" s="743">
        <f>(I145+K145+M145)/1000</f>
        <v>1.280796</v>
      </c>
      <c r="N148" s="577" t="s">
        <v>275</v>
      </c>
      <c r="O148" s="577"/>
      <c r="P148" s="577" t="s">
        <v>217</v>
      </c>
      <c r="Q148" s="577"/>
      <c r="R148" s="577" t="s">
        <v>253</v>
      </c>
      <c r="S148" s="743">
        <f>(O145+Q145+S145)/1000</f>
        <v>1.1532519999999999</v>
      </c>
      <c r="T148" s="577" t="s">
        <v>215</v>
      </c>
      <c r="U148" s="577"/>
      <c r="V148" s="577" t="s">
        <v>216</v>
      </c>
      <c r="W148" s="577"/>
      <c r="X148" s="577" t="s">
        <v>217</v>
      </c>
      <c r="Y148" s="744"/>
      <c r="Z148" s="718"/>
      <c r="AA148" s="609"/>
      <c r="AB148" s="614"/>
      <c r="AC148" s="578"/>
      <c r="AD148" s="578"/>
      <c r="AE148" s="578"/>
      <c r="AF148" s="578"/>
      <c r="AG148" s="578"/>
      <c r="AH148" s="578"/>
    </row>
    <row r="149" spans="1:35" ht="14.25" customHeight="1" x14ac:dyDescent="0.3">
      <c r="A149" s="721"/>
      <c r="B149" s="577"/>
      <c r="C149" s="577"/>
      <c r="D149" s="577"/>
      <c r="E149" s="577"/>
      <c r="F149" s="577" t="s">
        <v>740</v>
      </c>
      <c r="G149" s="743"/>
      <c r="H149" s="577" t="s">
        <v>740</v>
      </c>
      <c r="I149" s="577"/>
      <c r="J149" s="577"/>
      <c r="K149" s="577"/>
      <c r="L149" s="577"/>
      <c r="M149" s="743"/>
      <c r="N149" s="577"/>
      <c r="O149" s="577"/>
      <c r="P149" s="577"/>
      <c r="Q149" s="577"/>
      <c r="R149" s="577"/>
      <c r="S149" s="743"/>
      <c r="T149" s="580" t="s">
        <v>728</v>
      </c>
      <c r="U149" s="577"/>
      <c r="V149" s="577"/>
      <c r="W149" s="577"/>
      <c r="X149" s="577"/>
      <c r="Y149" s="744"/>
      <c r="Z149" s="718"/>
      <c r="AA149" s="609"/>
      <c r="AB149" s="614"/>
      <c r="AC149" s="578"/>
      <c r="AD149" s="578"/>
      <c r="AE149" s="578"/>
      <c r="AF149" s="578"/>
      <c r="AG149" s="578"/>
      <c r="AH149" s="578"/>
    </row>
    <row r="150" spans="1:35" ht="14.25" customHeight="1" x14ac:dyDescent="0.3">
      <c r="A150" s="721"/>
      <c r="B150" s="577"/>
      <c r="C150" s="577"/>
      <c r="D150" s="577"/>
      <c r="E150" s="577"/>
      <c r="F150" s="577"/>
      <c r="G150" s="743"/>
      <c r="H150" s="577"/>
      <c r="I150" s="577"/>
      <c r="J150" s="577"/>
      <c r="K150" s="577"/>
      <c r="L150" s="577"/>
      <c r="M150" s="743"/>
      <c r="N150" s="577"/>
      <c r="O150" s="577"/>
      <c r="P150" s="865"/>
      <c r="Q150" s="577"/>
      <c r="R150" s="581" t="s">
        <v>730</v>
      </c>
      <c r="S150" s="743"/>
      <c r="T150" s="743"/>
      <c r="U150" s="577"/>
      <c r="V150" s="577"/>
      <c r="W150" s="577"/>
      <c r="X150" s="581" t="s">
        <v>730</v>
      </c>
      <c r="Y150" s="744"/>
      <c r="Z150" s="718"/>
      <c r="AA150" s="609"/>
      <c r="AB150" s="614"/>
      <c r="AC150" s="578"/>
      <c r="AD150" s="578"/>
      <c r="AE150" s="578"/>
      <c r="AF150" s="578"/>
      <c r="AG150" s="578"/>
      <c r="AH150" s="578"/>
    </row>
    <row r="151" spans="1:35" ht="14.25" customHeight="1" x14ac:dyDescent="0.3">
      <c r="A151" s="721"/>
      <c r="B151" s="728"/>
      <c r="C151" s="728"/>
      <c r="D151" s="770"/>
      <c r="E151" s="741"/>
      <c r="F151" s="577"/>
      <c r="G151" s="741"/>
      <c r="H151" s="577"/>
      <c r="I151" s="741"/>
      <c r="J151" s="577"/>
      <c r="K151" s="728"/>
      <c r="L151" s="577"/>
      <c r="M151" s="741"/>
      <c r="N151" s="577"/>
      <c r="O151" s="741"/>
      <c r="P151" s="577"/>
      <c r="Q151" s="728"/>
      <c r="R151" s="577"/>
      <c r="S151" s="577"/>
      <c r="T151" s="577"/>
      <c r="U151" s="577"/>
      <c r="V151" s="577"/>
      <c r="W151" s="577"/>
      <c r="X151" s="577"/>
      <c r="Y151" s="744"/>
      <c r="Z151" s="718"/>
      <c r="AA151" s="609"/>
      <c r="AB151" s="614"/>
      <c r="AC151" s="578"/>
      <c r="AD151" s="578"/>
      <c r="AE151" s="578"/>
      <c r="AF151" s="578"/>
      <c r="AG151" s="578"/>
      <c r="AH151" s="578"/>
    </row>
    <row r="152" spans="1:35" ht="14.25" customHeight="1" x14ac:dyDescent="0.3">
      <c r="A152" s="721"/>
      <c r="B152" s="771"/>
      <c r="C152" s="749"/>
      <c r="D152" s="771"/>
      <c r="E152" s="749"/>
      <c r="F152" s="771"/>
      <c r="G152" s="749"/>
      <c r="H152" s="771"/>
      <c r="I152" s="749"/>
      <c r="J152" s="728"/>
      <c r="K152" s="749"/>
      <c r="L152" s="771"/>
      <c r="M152" s="749"/>
      <c r="N152" s="771"/>
      <c r="O152" s="749"/>
      <c r="P152" s="771"/>
      <c r="Q152" s="749"/>
      <c r="R152" s="771"/>
      <c r="S152" s="749"/>
      <c r="T152" s="771"/>
      <c r="U152" s="749"/>
      <c r="V152" s="771"/>
      <c r="W152" s="749"/>
      <c r="X152" s="728"/>
      <c r="Y152" s="750"/>
      <c r="Z152" s="718"/>
      <c r="AA152" s="609"/>
      <c r="AB152" s="614"/>
      <c r="AC152" s="578"/>
      <c r="AD152" s="578"/>
      <c r="AE152" s="578"/>
      <c r="AF152" s="578"/>
      <c r="AG152" s="578"/>
      <c r="AH152" s="578"/>
    </row>
    <row r="153" spans="1:35" ht="14.25" customHeight="1" x14ac:dyDescent="0.3">
      <c r="A153" s="721"/>
      <c r="B153" s="741"/>
      <c r="C153" s="749"/>
      <c r="D153" s="741"/>
      <c r="E153" s="749"/>
      <c r="F153" s="741"/>
      <c r="G153" s="749"/>
      <c r="H153" s="741"/>
      <c r="I153" s="749"/>
      <c r="J153" s="728"/>
      <c r="K153" s="749"/>
      <c r="L153" s="741"/>
      <c r="M153" s="749"/>
      <c r="N153" s="741"/>
      <c r="O153" s="749"/>
      <c r="P153" s="741"/>
      <c r="Q153" s="749"/>
      <c r="R153" s="741"/>
      <c r="S153" s="749"/>
      <c r="T153" s="741"/>
      <c r="U153" s="749"/>
      <c r="V153" s="741"/>
      <c r="W153" s="749"/>
      <c r="X153" s="728"/>
      <c r="Y153" s="750"/>
      <c r="Z153" s="718"/>
      <c r="AA153" s="609"/>
      <c r="AB153" s="614"/>
      <c r="AC153" s="578"/>
      <c r="AD153" s="578"/>
      <c r="AE153" s="578"/>
      <c r="AF153" s="578"/>
      <c r="AG153" s="578"/>
      <c r="AH153" s="578"/>
    </row>
    <row r="154" spans="1:35" ht="14.25" customHeight="1" x14ac:dyDescent="0.3">
      <c r="A154" s="721"/>
      <c r="B154" s="956" t="s">
        <v>670</v>
      </c>
      <c r="C154" s="574">
        <v>359</v>
      </c>
      <c r="D154" s="956" t="s">
        <v>670</v>
      </c>
      <c r="E154" s="575">
        <v>439</v>
      </c>
      <c r="F154" s="956" t="s">
        <v>670</v>
      </c>
      <c r="G154" s="575">
        <v>393</v>
      </c>
      <c r="H154" s="962" t="s">
        <v>743</v>
      </c>
      <c r="I154" s="575">
        <v>314.94900000000001</v>
      </c>
      <c r="J154" s="958" t="s">
        <v>89</v>
      </c>
      <c r="K154" s="575">
        <v>437.00099999999998</v>
      </c>
      <c r="L154" s="962" t="s">
        <v>742</v>
      </c>
      <c r="M154" s="575">
        <v>399</v>
      </c>
      <c r="N154" s="962" t="s">
        <v>742</v>
      </c>
      <c r="O154" s="575">
        <v>303</v>
      </c>
      <c r="P154" s="973" t="s">
        <v>731</v>
      </c>
      <c r="Q154" s="575">
        <v>337</v>
      </c>
      <c r="R154" s="973" t="s">
        <v>731</v>
      </c>
      <c r="S154" s="575">
        <v>339.16899999999998</v>
      </c>
      <c r="T154" s="975" t="s">
        <v>562</v>
      </c>
      <c r="U154" s="575">
        <v>400</v>
      </c>
      <c r="V154" s="943"/>
      <c r="W154" s="575">
        <v>358.84899999999999</v>
      </c>
      <c r="X154" s="952" t="s">
        <v>562</v>
      </c>
      <c r="Y154" s="737">
        <v>468.49200000000002</v>
      </c>
      <c r="Z154" s="718"/>
      <c r="AA154" s="609"/>
      <c r="AB154" s="614"/>
      <c r="AC154" s="578"/>
      <c r="AD154" s="578"/>
      <c r="AE154" s="578"/>
      <c r="AF154" s="578"/>
      <c r="AG154" s="578"/>
      <c r="AH154" s="578"/>
    </row>
    <row r="155" spans="1:35" ht="14.25" customHeight="1" x14ac:dyDescent="0.3">
      <c r="A155" s="721"/>
      <c r="B155" s="957"/>
      <c r="C155" s="741"/>
      <c r="D155" s="957"/>
      <c r="E155" s="741"/>
      <c r="F155" s="957"/>
      <c r="G155" s="741"/>
      <c r="H155" s="957"/>
      <c r="I155" s="741"/>
      <c r="J155" s="959"/>
      <c r="K155" s="741"/>
      <c r="L155" s="957"/>
      <c r="M155" s="741"/>
      <c r="N155" s="957"/>
      <c r="O155" s="741"/>
      <c r="P155" s="974"/>
      <c r="Q155" s="741"/>
      <c r="R155" s="974"/>
      <c r="S155" s="741"/>
      <c r="T155" s="976"/>
      <c r="U155" s="741"/>
      <c r="V155" s="944"/>
      <c r="W155" s="741"/>
      <c r="X155" s="953"/>
      <c r="Y155" s="738"/>
      <c r="Z155" s="718">
        <v>6</v>
      </c>
      <c r="AA155" s="609">
        <v>5</v>
      </c>
      <c r="AB155" s="614">
        <v>1</v>
      </c>
      <c r="AC155" s="578"/>
      <c r="AD155" s="578"/>
      <c r="AE155" s="578"/>
      <c r="AF155" s="578"/>
      <c r="AG155" s="578"/>
      <c r="AH155" s="578"/>
    </row>
    <row r="156" spans="1:35" ht="14.25" customHeight="1" x14ac:dyDescent="0.3">
      <c r="A156" s="721"/>
      <c r="B156" s="739" t="s">
        <v>347</v>
      </c>
      <c r="C156" s="577"/>
      <c r="D156" s="739" t="s">
        <v>348</v>
      </c>
      <c r="E156" s="740"/>
      <c r="F156" s="739" t="s">
        <v>349</v>
      </c>
      <c r="G156" s="740"/>
      <c r="H156" s="739" t="s">
        <v>350</v>
      </c>
      <c r="I156" s="740"/>
      <c r="J156" s="739" t="s">
        <v>604</v>
      </c>
      <c r="K156" s="740"/>
      <c r="L156" s="739" t="s">
        <v>351</v>
      </c>
      <c r="M156" s="740"/>
      <c r="N156" s="739" t="s">
        <v>352</v>
      </c>
      <c r="O156" s="740"/>
      <c r="P156" s="739" t="s">
        <v>353</v>
      </c>
      <c r="Q156" s="740"/>
      <c r="R156" s="739" t="s">
        <v>354</v>
      </c>
      <c r="S156" s="740"/>
      <c r="T156" s="739" t="s">
        <v>605</v>
      </c>
      <c r="U156" s="741"/>
      <c r="V156" s="739" t="s">
        <v>355</v>
      </c>
      <c r="W156" s="740"/>
      <c r="X156" s="739" t="s">
        <v>606</v>
      </c>
      <c r="Y156" s="742"/>
      <c r="Z156" s="718"/>
      <c r="AA156" s="609"/>
      <c r="AB156" s="614"/>
      <c r="AC156" s="578"/>
      <c r="AD156" s="578"/>
      <c r="AE156" s="578"/>
      <c r="AF156" s="578"/>
      <c r="AG156" s="578"/>
      <c r="AH156" s="578"/>
    </row>
    <row r="157" spans="1:35" ht="14.25" customHeight="1" x14ac:dyDescent="0.3">
      <c r="A157" s="721"/>
      <c r="B157" s="577" t="s">
        <v>217</v>
      </c>
      <c r="C157" s="577"/>
      <c r="D157" s="577" t="s">
        <v>217</v>
      </c>
      <c r="E157" s="577"/>
      <c r="F157" s="577" t="s">
        <v>253</v>
      </c>
      <c r="G157" s="577"/>
      <c r="H157" s="577" t="s">
        <v>217</v>
      </c>
      <c r="I157" s="743">
        <f>(U145+W145+Y145+C154+E154+G154+I154)/1000</f>
        <v>2.7389489999999999</v>
      </c>
      <c r="J157" s="577" t="s">
        <v>215</v>
      </c>
      <c r="K157" s="570"/>
      <c r="L157" s="577" t="s">
        <v>253</v>
      </c>
      <c r="M157" s="577"/>
      <c r="N157" s="577" t="s">
        <v>217</v>
      </c>
      <c r="O157" s="577"/>
      <c r="P157" s="577" t="s">
        <v>217</v>
      </c>
      <c r="Q157" s="577"/>
      <c r="R157" s="577" t="s">
        <v>217</v>
      </c>
      <c r="S157" s="743">
        <f>(K154+M154++O154+Q154+S154)/1000</f>
        <v>1.8151700000000002</v>
      </c>
      <c r="T157" s="577" t="s">
        <v>356</v>
      </c>
      <c r="U157" s="577"/>
      <c r="V157" s="577" t="s">
        <v>218</v>
      </c>
      <c r="W157" s="743">
        <f>(U154+W154)/1000</f>
        <v>0.75884899999999988</v>
      </c>
      <c r="X157" s="577" t="s">
        <v>357</v>
      </c>
      <c r="Y157" s="754">
        <f>(Y154)/1000</f>
        <v>0.46849200000000002</v>
      </c>
      <c r="Z157" s="718"/>
      <c r="AA157" s="609"/>
      <c r="AB157" s="614"/>
      <c r="AC157" s="578"/>
      <c r="AD157" s="578"/>
      <c r="AE157" s="578"/>
      <c r="AF157" s="578"/>
      <c r="AG157" s="578"/>
      <c r="AH157" s="578"/>
    </row>
    <row r="158" spans="1:35" ht="14.25" customHeight="1" x14ac:dyDescent="0.3">
      <c r="A158" s="721"/>
      <c r="B158" s="577"/>
      <c r="C158" s="577"/>
      <c r="D158" s="577"/>
      <c r="E158" s="577"/>
      <c r="F158" s="577"/>
      <c r="G158" s="577"/>
      <c r="H158" s="577"/>
      <c r="I158" s="743"/>
      <c r="J158" s="577"/>
      <c r="K158" s="570"/>
      <c r="L158" s="577"/>
      <c r="M158" s="577"/>
      <c r="N158" s="577"/>
      <c r="O158" s="577"/>
      <c r="P158" s="577"/>
      <c r="Q158" s="577"/>
      <c r="R158" s="580" t="s">
        <v>728</v>
      </c>
      <c r="S158" s="743"/>
      <c r="T158" s="577"/>
      <c r="U158" s="577"/>
      <c r="V158" s="580" t="s">
        <v>728</v>
      </c>
      <c r="W158" s="743"/>
      <c r="X158" s="577"/>
      <c r="Y158" s="736"/>
      <c r="Z158" s="718"/>
      <c r="AA158" s="609"/>
      <c r="AB158" s="614"/>
      <c r="AC158" s="578"/>
      <c r="AD158" s="578"/>
      <c r="AE158" s="578"/>
      <c r="AF158" s="578"/>
      <c r="AG158" s="578"/>
      <c r="AH158" s="578"/>
    </row>
    <row r="159" spans="1:35" ht="14.25" customHeight="1" x14ac:dyDescent="0.3">
      <c r="A159" s="721"/>
      <c r="B159" s="577"/>
      <c r="C159" s="577"/>
      <c r="D159" s="577"/>
      <c r="E159" s="577"/>
      <c r="F159" s="577"/>
      <c r="G159" s="577"/>
      <c r="H159" s="577"/>
      <c r="I159" s="743"/>
      <c r="J159" s="577"/>
      <c r="K159" s="570"/>
      <c r="L159" s="577"/>
      <c r="M159" s="577"/>
      <c r="N159" s="577"/>
      <c r="O159" s="577"/>
      <c r="P159" s="577"/>
      <c r="Q159" s="577"/>
      <c r="R159" s="577"/>
      <c r="S159" s="743"/>
      <c r="T159" s="577"/>
      <c r="U159" s="577"/>
      <c r="V159" s="577"/>
      <c r="W159" s="743"/>
      <c r="X159" s="577"/>
      <c r="Y159" s="736"/>
      <c r="Z159" s="718"/>
      <c r="AA159" s="609"/>
      <c r="AB159" s="614"/>
      <c r="AC159" s="578"/>
      <c r="AD159" s="578"/>
      <c r="AE159" s="578"/>
      <c r="AF159" s="578"/>
      <c r="AG159" s="578"/>
      <c r="AH159" s="578"/>
    </row>
    <row r="160" spans="1:35" ht="14.25" customHeight="1" x14ac:dyDescent="0.3">
      <c r="A160" s="721"/>
      <c r="B160" s="728"/>
      <c r="C160" s="728"/>
      <c r="D160" s="728"/>
      <c r="E160" s="749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36"/>
      <c r="Z160" s="718"/>
      <c r="AA160" s="609"/>
      <c r="AB160" s="614"/>
      <c r="AC160" s="578"/>
      <c r="AD160" s="578"/>
      <c r="AE160" s="578"/>
      <c r="AF160" s="578"/>
      <c r="AG160" s="578"/>
      <c r="AH160" s="578"/>
    </row>
    <row r="161" spans="1:35" ht="14.25" customHeight="1" x14ac:dyDescent="0.3">
      <c r="A161" s="721"/>
      <c r="B161" s="728"/>
      <c r="C161" s="749"/>
      <c r="D161" s="728"/>
      <c r="E161" s="570"/>
      <c r="F161" s="771"/>
      <c r="G161" s="749"/>
      <c r="H161" s="728"/>
      <c r="I161" s="749"/>
      <c r="J161" s="771"/>
      <c r="K161" s="749"/>
      <c r="L161" s="771"/>
      <c r="M161" s="749"/>
      <c r="N161" s="771"/>
      <c r="O161" s="749"/>
      <c r="P161" s="771"/>
      <c r="Q161" s="749"/>
      <c r="R161" s="728"/>
      <c r="S161" s="749"/>
      <c r="T161" s="771"/>
      <c r="U161" s="749"/>
      <c r="V161" s="771"/>
      <c r="W161" s="749"/>
      <c r="X161" s="771"/>
      <c r="Y161" s="750"/>
      <c r="Z161" s="718"/>
      <c r="AA161" s="609"/>
      <c r="AB161" s="614"/>
      <c r="AC161" s="578"/>
      <c r="AD161" s="578"/>
      <c r="AE161" s="578"/>
      <c r="AF161" s="578"/>
      <c r="AG161" s="578"/>
      <c r="AH161" s="578"/>
    </row>
    <row r="162" spans="1:35" ht="14.25" customHeight="1" x14ac:dyDescent="0.3">
      <c r="A162" s="721"/>
      <c r="B162" s="728"/>
      <c r="C162" s="749"/>
      <c r="D162" s="728"/>
      <c r="E162" s="749"/>
      <c r="F162" s="741"/>
      <c r="G162" s="749"/>
      <c r="H162" s="728"/>
      <c r="I162" s="749"/>
      <c r="J162" s="741"/>
      <c r="K162" s="749"/>
      <c r="L162" s="741"/>
      <c r="M162" s="749"/>
      <c r="N162" s="741"/>
      <c r="O162" s="749"/>
      <c r="P162" s="741"/>
      <c r="Q162" s="749"/>
      <c r="R162" s="728"/>
      <c r="S162" s="749"/>
      <c r="T162" s="741"/>
      <c r="U162" s="749"/>
      <c r="V162" s="741"/>
      <c r="W162" s="749"/>
      <c r="X162" s="741"/>
      <c r="Y162" s="750"/>
      <c r="Z162" s="718"/>
      <c r="AA162" s="609"/>
      <c r="AB162" s="614"/>
      <c r="AC162" s="578"/>
      <c r="AD162" s="578"/>
      <c r="AE162" s="578"/>
      <c r="AF162" s="578"/>
      <c r="AG162" s="578"/>
      <c r="AH162" s="578"/>
    </row>
    <row r="163" spans="1:35" ht="14.25" customHeight="1" x14ac:dyDescent="0.3">
      <c r="A163" s="721"/>
      <c r="B163" s="952"/>
      <c r="C163" s="574">
        <v>287.35199999999998</v>
      </c>
      <c r="D163" s="952"/>
      <c r="E163" s="575">
        <v>416</v>
      </c>
      <c r="F163" s="969" t="s">
        <v>89</v>
      </c>
      <c r="G163" s="575">
        <v>352.35399999999998</v>
      </c>
      <c r="H163" s="963" t="s">
        <v>89</v>
      </c>
      <c r="I163" s="575">
        <v>361</v>
      </c>
      <c r="J163" s="965"/>
      <c r="K163" s="575">
        <v>426</v>
      </c>
      <c r="L163" s="965"/>
      <c r="M163" s="575">
        <v>394</v>
      </c>
      <c r="N163" s="965"/>
      <c r="O163" s="575">
        <v>384</v>
      </c>
      <c r="P163" s="943" t="s">
        <v>562</v>
      </c>
      <c r="Q163" s="575">
        <v>414</v>
      </c>
      <c r="R163" s="952" t="s">
        <v>562</v>
      </c>
      <c r="S163" s="575">
        <v>480</v>
      </c>
      <c r="T163" s="952"/>
      <c r="U163" s="575">
        <v>395</v>
      </c>
      <c r="V163" s="943"/>
      <c r="W163" s="575">
        <v>329</v>
      </c>
      <c r="X163" s="943"/>
      <c r="Y163" s="737">
        <v>417.94499999999999</v>
      </c>
      <c r="Z163" s="718">
        <v>2</v>
      </c>
      <c r="AA163" s="609"/>
      <c r="AB163" s="614">
        <v>1</v>
      </c>
      <c r="AC163" s="578"/>
      <c r="AD163" s="578"/>
      <c r="AE163" s="578"/>
      <c r="AF163" s="578"/>
      <c r="AG163" s="578"/>
      <c r="AH163" s="578"/>
    </row>
    <row r="164" spans="1:35" ht="14.25" customHeight="1" x14ac:dyDescent="0.3">
      <c r="A164" s="721"/>
      <c r="B164" s="953"/>
      <c r="C164" s="741"/>
      <c r="D164" s="953"/>
      <c r="E164" s="741"/>
      <c r="F164" s="970"/>
      <c r="G164" s="741"/>
      <c r="H164" s="971"/>
      <c r="I164" s="741"/>
      <c r="J164" s="972"/>
      <c r="K164" s="741"/>
      <c r="L164" s="966"/>
      <c r="M164" s="741"/>
      <c r="N164" s="966"/>
      <c r="O164" s="741"/>
      <c r="P164" s="944"/>
      <c r="Q164" s="741"/>
      <c r="R164" s="953"/>
      <c r="S164" s="741"/>
      <c r="T164" s="953"/>
      <c r="U164" s="741"/>
      <c r="V164" s="944"/>
      <c r="W164" s="741"/>
      <c r="X164" s="944"/>
      <c r="Y164" s="738"/>
      <c r="Z164" s="718"/>
      <c r="AA164" s="609"/>
      <c r="AB164" s="614"/>
      <c r="AC164" s="578"/>
      <c r="AD164" s="578"/>
      <c r="AE164" s="578"/>
      <c r="AF164" s="578"/>
      <c r="AG164" s="578"/>
      <c r="AH164" s="578"/>
    </row>
    <row r="165" spans="1:35" ht="14.25" customHeight="1" x14ac:dyDescent="0.3">
      <c r="A165" s="721"/>
      <c r="B165" s="739" t="s">
        <v>607</v>
      </c>
      <c r="C165" s="577"/>
      <c r="D165" s="739" t="s">
        <v>608</v>
      </c>
      <c r="E165" s="740"/>
      <c r="F165" s="739" t="s">
        <v>358</v>
      </c>
      <c r="G165" s="740"/>
      <c r="H165" s="739" t="s">
        <v>609</v>
      </c>
      <c r="I165" s="740"/>
      <c r="J165" s="739" t="s">
        <v>359</v>
      </c>
      <c r="K165" s="740"/>
      <c r="L165" s="739" t="s">
        <v>360</v>
      </c>
      <c r="M165" s="740"/>
      <c r="N165" s="739" t="s">
        <v>361</v>
      </c>
      <c r="O165" s="740"/>
      <c r="P165" s="739" t="s">
        <v>362</v>
      </c>
      <c r="Q165" s="740"/>
      <c r="R165" s="739" t="s">
        <v>363</v>
      </c>
      <c r="S165" s="740"/>
      <c r="T165" s="739" t="s">
        <v>610</v>
      </c>
      <c r="U165" s="741"/>
      <c r="V165" s="739" t="s">
        <v>364</v>
      </c>
      <c r="W165" s="740"/>
      <c r="X165" s="739" t="s">
        <v>365</v>
      </c>
      <c r="Y165" s="742"/>
      <c r="Z165" s="718"/>
      <c r="AA165" s="609"/>
      <c r="AB165" s="614"/>
      <c r="AC165" s="578"/>
      <c r="AD165" s="578"/>
      <c r="AE165" s="578"/>
      <c r="AF165" s="578"/>
      <c r="AG165" s="578"/>
      <c r="AH165" s="578"/>
    </row>
    <row r="166" spans="1:35" ht="14.25" customHeight="1" x14ac:dyDescent="0.3">
      <c r="A166" s="721"/>
      <c r="B166" s="577" t="s">
        <v>288</v>
      </c>
      <c r="C166" s="743">
        <f>C163/1000</f>
        <v>0.287352</v>
      </c>
      <c r="D166" s="935" t="s">
        <v>316</v>
      </c>
      <c r="E166" s="577"/>
      <c r="F166" s="577" t="s">
        <v>217</v>
      </c>
      <c r="G166" s="743">
        <f>(E163+G163)/1000</f>
        <v>0.76835400000000009</v>
      </c>
      <c r="H166" s="577" t="s">
        <v>242</v>
      </c>
      <c r="I166" s="577"/>
      <c r="J166" s="577" t="s">
        <v>218</v>
      </c>
      <c r="K166" s="577"/>
      <c r="L166" s="577" t="s">
        <v>218</v>
      </c>
      <c r="M166" s="577"/>
      <c r="N166" s="577" t="s">
        <v>218</v>
      </c>
      <c r="O166" s="577"/>
      <c r="P166" s="577" t="s">
        <v>217</v>
      </c>
      <c r="Q166" s="743">
        <f>(I163+K163+M163++O163+Q163)/1000</f>
        <v>1.9790000000000001</v>
      </c>
      <c r="R166" s="577" t="s">
        <v>571</v>
      </c>
      <c r="S166" s="743">
        <f>(S163)/1000</f>
        <v>0.48</v>
      </c>
      <c r="T166" s="577" t="s">
        <v>306</v>
      </c>
      <c r="U166" s="577"/>
      <c r="V166" s="577" t="s">
        <v>218</v>
      </c>
      <c r="W166" s="577"/>
      <c r="X166" s="577" t="s">
        <v>216</v>
      </c>
      <c r="Y166" s="754">
        <f>(U163+W163+Y163)/1000</f>
        <v>1.141945</v>
      </c>
      <c r="Z166" s="718"/>
      <c r="AA166" s="609"/>
      <c r="AB166" s="614"/>
      <c r="AC166" s="578"/>
      <c r="AD166" s="578"/>
      <c r="AE166" s="578"/>
      <c r="AF166" s="578"/>
      <c r="AG166" s="578"/>
      <c r="AH166" s="578"/>
    </row>
    <row r="167" spans="1:35" ht="14.25" customHeight="1" x14ac:dyDescent="0.3">
      <c r="A167" s="721"/>
      <c r="B167" s="580" t="s">
        <v>728</v>
      </c>
      <c r="C167" s="743"/>
      <c r="D167" s="580" t="s">
        <v>728</v>
      </c>
      <c r="E167" s="577"/>
      <c r="F167" s="580" t="s">
        <v>728</v>
      </c>
      <c r="G167" s="743"/>
      <c r="H167" s="577"/>
      <c r="I167" s="577"/>
      <c r="J167" s="577"/>
      <c r="K167" s="577"/>
      <c r="L167" s="580" t="s">
        <v>728</v>
      </c>
      <c r="M167" s="577"/>
      <c r="N167" s="580" t="s">
        <v>728</v>
      </c>
      <c r="O167" s="577"/>
      <c r="P167" s="577"/>
      <c r="Q167" s="743"/>
      <c r="R167" s="577"/>
      <c r="S167" s="743"/>
      <c r="T167" s="580" t="s">
        <v>728</v>
      </c>
      <c r="U167" s="577"/>
      <c r="V167" s="580" t="s">
        <v>728</v>
      </c>
      <c r="W167" s="577"/>
      <c r="X167" s="580" t="s">
        <v>728</v>
      </c>
      <c r="Y167" s="753"/>
      <c r="Z167" s="718"/>
      <c r="AA167" s="609"/>
      <c r="AB167" s="614"/>
      <c r="AC167" s="578"/>
      <c r="AD167" s="578"/>
      <c r="AE167" s="578"/>
      <c r="AF167" s="578"/>
      <c r="AG167" s="578"/>
      <c r="AH167" s="578"/>
    </row>
    <row r="168" spans="1:35" ht="14.25" customHeight="1" x14ac:dyDescent="0.3">
      <c r="A168" s="721"/>
      <c r="B168" s="577"/>
      <c r="C168" s="743"/>
      <c r="D168" s="577"/>
      <c r="E168" s="577"/>
      <c r="F168" s="577"/>
      <c r="G168" s="743"/>
      <c r="H168" s="577"/>
      <c r="I168" s="577"/>
      <c r="J168" s="577"/>
      <c r="K168" s="577"/>
      <c r="L168" s="577"/>
      <c r="M168" s="577"/>
      <c r="N168" s="577"/>
      <c r="O168" s="577"/>
      <c r="P168" s="577"/>
      <c r="Q168" s="743"/>
      <c r="R168" s="577"/>
      <c r="S168" s="743"/>
      <c r="T168" s="577"/>
      <c r="U168" s="577"/>
      <c r="V168" s="577"/>
      <c r="W168" s="577"/>
      <c r="X168" s="577"/>
      <c r="Y168" s="753"/>
      <c r="Z168" s="718"/>
      <c r="AA168" s="609"/>
      <c r="AB168" s="614"/>
      <c r="AC168" s="578"/>
      <c r="AD168" s="578"/>
      <c r="AE168" s="578"/>
      <c r="AF168" s="578"/>
      <c r="AG168" s="578"/>
      <c r="AH168" s="578"/>
    </row>
    <row r="169" spans="1:35" ht="14.25" customHeight="1" x14ac:dyDescent="0.3">
      <c r="A169" s="721"/>
      <c r="B169" s="577"/>
      <c r="C169" s="741"/>
      <c r="D169" s="770"/>
      <c r="E169" s="741"/>
      <c r="F169" s="770"/>
      <c r="G169" s="577"/>
      <c r="H169" s="770"/>
      <c r="I169" s="741"/>
      <c r="J169" s="577"/>
      <c r="K169" s="741"/>
      <c r="L169" s="770"/>
      <c r="M169" s="741"/>
      <c r="N169" s="577"/>
      <c r="O169" s="741"/>
      <c r="P169" s="767"/>
      <c r="Q169" s="768"/>
      <c r="R169" s="767"/>
      <c r="S169" s="768"/>
      <c r="T169" s="767"/>
      <c r="U169" s="767"/>
      <c r="V169" s="767"/>
      <c r="W169" s="768"/>
      <c r="X169" s="767"/>
      <c r="Y169" s="753"/>
      <c r="Z169" s="718"/>
      <c r="AA169" s="609"/>
      <c r="AB169" s="614"/>
      <c r="AC169" s="578"/>
      <c r="AD169" s="578"/>
      <c r="AE169" s="578"/>
      <c r="AF169" s="578"/>
      <c r="AG169" s="578"/>
      <c r="AH169" s="578"/>
    </row>
    <row r="170" spans="1:35" ht="14.25" customHeight="1" x14ac:dyDescent="0.3">
      <c r="A170" s="721"/>
      <c r="B170" s="728"/>
      <c r="C170" s="749"/>
      <c r="D170" s="728"/>
      <c r="E170" s="749"/>
      <c r="F170" s="771"/>
      <c r="G170" s="749"/>
      <c r="H170" s="728"/>
      <c r="I170" s="749"/>
      <c r="J170" s="771"/>
      <c r="K170" s="749"/>
      <c r="L170" s="771"/>
      <c r="M170" s="749"/>
      <c r="N170" s="728"/>
      <c r="O170" s="749"/>
      <c r="P170" s="728"/>
      <c r="Q170" s="749"/>
      <c r="R170" s="771"/>
      <c r="S170" s="749"/>
      <c r="T170" s="771"/>
      <c r="U170" s="749"/>
      <c r="V170" s="728"/>
      <c r="W170" s="749"/>
      <c r="X170" s="728"/>
      <c r="Y170" s="750"/>
      <c r="Z170" s="718"/>
      <c r="AA170" s="609"/>
      <c r="AB170" s="614"/>
      <c r="AC170" s="578"/>
      <c r="AD170" s="578"/>
      <c r="AE170" s="578"/>
      <c r="AF170" s="578"/>
      <c r="AG170" s="578"/>
      <c r="AH170" s="578"/>
    </row>
    <row r="171" spans="1:35" ht="14.25" customHeight="1" x14ac:dyDescent="0.3">
      <c r="A171" s="721"/>
      <c r="B171" s="728"/>
      <c r="C171" s="749"/>
      <c r="D171" s="728"/>
      <c r="E171" s="749"/>
      <c r="F171" s="741"/>
      <c r="G171" s="749"/>
      <c r="H171" s="728"/>
      <c r="I171" s="749"/>
      <c r="J171" s="741"/>
      <c r="K171" s="749"/>
      <c r="L171" s="741"/>
      <c r="M171" s="749"/>
      <c r="N171" s="728"/>
      <c r="O171" s="749"/>
      <c r="P171" s="728"/>
      <c r="Q171" s="749"/>
      <c r="R171" s="741"/>
      <c r="S171" s="749"/>
      <c r="T171" s="741"/>
      <c r="U171" s="749"/>
      <c r="V171" s="728"/>
      <c r="W171" s="749"/>
      <c r="X171" s="728"/>
      <c r="Y171" s="750"/>
      <c r="Z171" s="718"/>
      <c r="AA171" s="609"/>
      <c r="AB171" s="614"/>
      <c r="AC171" s="578"/>
      <c r="AD171" s="578"/>
      <c r="AE171" s="578"/>
      <c r="AF171" s="578"/>
      <c r="AG171" s="578"/>
      <c r="AH171" s="578"/>
    </row>
    <row r="172" spans="1:35" ht="14.25" customHeight="1" x14ac:dyDescent="0.3">
      <c r="A172" s="721"/>
      <c r="B172" s="952"/>
      <c r="C172" s="574">
        <v>467</v>
      </c>
      <c r="D172" s="952"/>
      <c r="E172" s="575">
        <v>443</v>
      </c>
      <c r="F172" s="943"/>
      <c r="G172" s="575">
        <v>310.74299999999999</v>
      </c>
      <c r="H172" s="952"/>
      <c r="I172" s="575">
        <v>479</v>
      </c>
      <c r="J172" s="943" t="s">
        <v>562</v>
      </c>
      <c r="K172" s="575">
        <v>321</v>
      </c>
      <c r="L172" s="947"/>
      <c r="M172" s="575">
        <v>506</v>
      </c>
      <c r="N172" s="952"/>
      <c r="O172" s="575">
        <v>421.20699999999999</v>
      </c>
      <c r="P172" s="952"/>
      <c r="Q172" s="575">
        <v>421</v>
      </c>
      <c r="R172" s="956" t="s">
        <v>744</v>
      </c>
      <c r="S172" s="575">
        <v>406</v>
      </c>
      <c r="T172" s="967"/>
      <c r="U172" s="575">
        <v>435</v>
      </c>
      <c r="V172" s="952"/>
      <c r="W172" s="575">
        <v>532.75900000000001</v>
      </c>
      <c r="X172" s="952" t="s">
        <v>562</v>
      </c>
      <c r="Y172" s="737">
        <v>265.46499999999997</v>
      </c>
      <c r="Z172" s="718"/>
      <c r="AA172" s="609"/>
      <c r="AB172" s="614"/>
      <c r="AC172" s="578"/>
      <c r="AD172" s="578"/>
      <c r="AE172" s="578"/>
      <c r="AF172" s="578"/>
      <c r="AG172" s="578"/>
      <c r="AH172" s="578"/>
    </row>
    <row r="173" spans="1:35" ht="14.25" customHeight="1" x14ac:dyDescent="0.3">
      <c r="A173" s="721"/>
      <c r="B173" s="953"/>
      <c r="C173" s="741"/>
      <c r="D173" s="953"/>
      <c r="E173" s="741"/>
      <c r="F173" s="944"/>
      <c r="G173" s="741"/>
      <c r="H173" s="953"/>
      <c r="I173" s="741"/>
      <c r="J173" s="944"/>
      <c r="K173" s="741"/>
      <c r="L173" s="948"/>
      <c r="M173" s="741"/>
      <c r="N173" s="953"/>
      <c r="O173" s="741"/>
      <c r="P173" s="953"/>
      <c r="Q173" s="741"/>
      <c r="R173" s="957"/>
      <c r="S173" s="741"/>
      <c r="T173" s="968"/>
      <c r="U173" s="741"/>
      <c r="V173" s="953"/>
      <c r="W173" s="741"/>
      <c r="X173" s="953"/>
      <c r="Y173" s="738"/>
      <c r="Z173" s="718">
        <v>1</v>
      </c>
      <c r="AA173" s="609"/>
      <c r="AB173" s="614"/>
      <c r="AC173" s="578"/>
      <c r="AD173" s="578"/>
      <c r="AE173" s="578"/>
      <c r="AF173" s="578"/>
      <c r="AG173" s="578"/>
      <c r="AH173" s="578"/>
    </row>
    <row r="174" spans="1:35" ht="14.25" customHeight="1" x14ac:dyDescent="0.3">
      <c r="A174" s="721"/>
      <c r="B174" s="739" t="s">
        <v>611</v>
      </c>
      <c r="C174" s="577"/>
      <c r="D174" s="739" t="s">
        <v>366</v>
      </c>
      <c r="E174" s="740"/>
      <c r="F174" s="739" t="s">
        <v>367</v>
      </c>
      <c r="G174" s="740"/>
      <c r="H174" s="739" t="s">
        <v>612</v>
      </c>
      <c r="I174" s="740"/>
      <c r="J174" s="739" t="s">
        <v>368</v>
      </c>
      <c r="K174" s="740"/>
      <c r="L174" s="739" t="s">
        <v>369</v>
      </c>
      <c r="M174" s="740"/>
      <c r="N174" s="739" t="s">
        <v>370</v>
      </c>
      <c r="O174" s="740"/>
      <c r="P174" s="739" t="s">
        <v>613</v>
      </c>
      <c r="Q174" s="740"/>
      <c r="R174" s="739" t="s">
        <v>371</v>
      </c>
      <c r="S174" s="740"/>
      <c r="T174" s="739" t="s">
        <v>372</v>
      </c>
      <c r="U174" s="741"/>
      <c r="V174" s="739" t="s">
        <v>373</v>
      </c>
      <c r="W174" s="740"/>
      <c r="X174" s="739" t="s">
        <v>614</v>
      </c>
      <c r="Y174" s="742"/>
      <c r="Z174" s="718"/>
      <c r="AA174" s="609"/>
      <c r="AB174" s="614"/>
      <c r="AC174" s="578"/>
      <c r="AD174" s="578"/>
      <c r="AE174" s="578"/>
      <c r="AF174" s="578"/>
      <c r="AG174" s="578"/>
      <c r="AH174" s="578"/>
    </row>
    <row r="175" spans="1:35" ht="14.25" customHeight="1" x14ac:dyDescent="0.3">
      <c r="A175" s="721"/>
      <c r="B175" s="577" t="s">
        <v>374</v>
      </c>
      <c r="C175" s="743">
        <f>C172/1000</f>
        <v>0.46700000000000003</v>
      </c>
      <c r="D175" s="577" t="s">
        <v>288</v>
      </c>
      <c r="E175" s="577"/>
      <c r="F175" s="577" t="s">
        <v>217</v>
      </c>
      <c r="G175" s="743">
        <f>(E172+G172)/1000</f>
        <v>0.75374299999999994</v>
      </c>
      <c r="H175" s="577" t="s">
        <v>375</v>
      </c>
      <c r="I175" s="577"/>
      <c r="J175" s="577" t="s">
        <v>218</v>
      </c>
      <c r="K175" s="577"/>
      <c r="L175" s="577" t="s">
        <v>253</v>
      </c>
      <c r="M175" s="743">
        <f>(I172+K172+M172)/1000</f>
        <v>1.306</v>
      </c>
      <c r="N175" s="577" t="s">
        <v>288</v>
      </c>
      <c r="O175" s="743">
        <f>O172/1000</f>
        <v>0.421207</v>
      </c>
      <c r="P175" s="577" t="s">
        <v>357</v>
      </c>
      <c r="Q175" s="577"/>
      <c r="R175" s="577" t="s">
        <v>217</v>
      </c>
      <c r="S175" s="577"/>
      <c r="T175" s="577" t="s">
        <v>218</v>
      </c>
      <c r="U175" s="743">
        <f>(+Q172+S172+U172)/1000</f>
        <v>1.262</v>
      </c>
      <c r="V175" s="577" t="s">
        <v>288</v>
      </c>
      <c r="W175" s="743">
        <f>(W172)/1000</f>
        <v>0.53275899999999998</v>
      </c>
      <c r="X175" s="577" t="s">
        <v>297</v>
      </c>
      <c r="Y175" s="754">
        <f>(Y172)/1000</f>
        <v>0.26546499999999995</v>
      </c>
      <c r="Z175" s="718"/>
      <c r="AA175" s="609"/>
      <c r="AB175" s="614"/>
      <c r="AC175" s="578"/>
      <c r="AD175" s="578"/>
      <c r="AE175" s="578"/>
      <c r="AF175" s="578"/>
      <c r="AG175" s="578"/>
      <c r="AH175" s="578"/>
      <c r="AI175" s="578"/>
    </row>
    <row r="176" spans="1:35" ht="14.25" customHeight="1" x14ac:dyDescent="0.3">
      <c r="A176" s="721"/>
      <c r="B176" s="580" t="s">
        <v>728</v>
      </c>
      <c r="C176" s="743"/>
      <c r="D176" s="580" t="s">
        <v>728</v>
      </c>
      <c r="E176" s="577"/>
      <c r="F176" s="580" t="s">
        <v>728</v>
      </c>
      <c r="G176" s="743"/>
      <c r="H176" s="580" t="s">
        <v>728</v>
      </c>
      <c r="I176" s="577"/>
      <c r="J176" s="865"/>
      <c r="K176" s="577"/>
      <c r="L176" s="577"/>
      <c r="M176" s="743"/>
      <c r="N176" s="580" t="s">
        <v>728</v>
      </c>
      <c r="O176" s="743"/>
      <c r="P176" s="580" t="s">
        <v>728</v>
      </c>
      <c r="Q176" s="577"/>
      <c r="R176" s="577"/>
      <c r="S176" s="577"/>
      <c r="T176" s="577" t="s">
        <v>745</v>
      </c>
      <c r="U176" s="743"/>
      <c r="V176" s="580" t="s">
        <v>728</v>
      </c>
      <c r="W176" s="743"/>
      <c r="X176" s="577"/>
      <c r="Y176" s="754"/>
      <c r="Z176" s="718"/>
      <c r="AA176" s="609"/>
      <c r="AB176" s="614"/>
      <c r="AC176" s="578"/>
      <c r="AD176" s="578"/>
      <c r="AE176" s="578"/>
      <c r="AF176" s="578"/>
      <c r="AG176" s="578"/>
      <c r="AH176" s="578"/>
      <c r="AI176" s="578"/>
    </row>
    <row r="177" spans="1:35" ht="14.25" customHeight="1" x14ac:dyDescent="0.3">
      <c r="A177" s="721"/>
      <c r="B177" s="577"/>
      <c r="C177" s="743"/>
      <c r="D177" s="577"/>
      <c r="E177" s="577"/>
      <c r="F177" s="577"/>
      <c r="G177" s="743"/>
      <c r="H177" s="577"/>
      <c r="I177" s="577"/>
      <c r="J177" s="577"/>
      <c r="K177" s="577"/>
      <c r="L177" s="577"/>
      <c r="M177" s="743"/>
      <c r="N177" s="577"/>
      <c r="O177" s="743"/>
      <c r="P177" s="577"/>
      <c r="Q177" s="577"/>
      <c r="R177" s="577"/>
      <c r="S177" s="577"/>
      <c r="T177" s="581" t="s">
        <v>730</v>
      </c>
      <c r="U177" s="743"/>
      <c r="V177" s="577"/>
      <c r="W177" s="743"/>
      <c r="X177" s="577"/>
      <c r="Y177" s="754"/>
      <c r="Z177" s="718"/>
      <c r="AA177" s="609"/>
      <c r="AB177" s="614"/>
      <c r="AC177" s="578"/>
      <c r="AD177" s="578"/>
      <c r="AE177" s="578"/>
      <c r="AF177" s="578"/>
      <c r="AG177" s="578"/>
      <c r="AH177" s="578"/>
      <c r="AI177" s="578"/>
    </row>
    <row r="178" spans="1:35" ht="14.25" customHeight="1" x14ac:dyDescent="0.3">
      <c r="A178" s="721"/>
      <c r="B178" s="577"/>
      <c r="C178" s="743"/>
      <c r="D178" s="577"/>
      <c r="E178" s="577"/>
      <c r="F178" s="577"/>
      <c r="G178" s="743"/>
      <c r="H178" s="577"/>
      <c r="I178" s="577"/>
      <c r="J178" s="577"/>
      <c r="K178" s="577"/>
      <c r="L178" s="577"/>
      <c r="M178" s="743"/>
      <c r="N178" s="577"/>
      <c r="O178" s="743"/>
      <c r="P178" s="577"/>
      <c r="Q178" s="577"/>
      <c r="R178" s="773"/>
      <c r="S178" s="577"/>
      <c r="T178" s="773"/>
      <c r="U178" s="743"/>
      <c r="V178" s="773"/>
      <c r="W178" s="743"/>
      <c r="X178" s="577"/>
      <c r="Y178" s="754"/>
      <c r="Z178" s="718"/>
      <c r="AA178" s="609"/>
      <c r="AB178" s="614"/>
      <c r="AC178" s="578"/>
      <c r="AD178" s="578"/>
      <c r="AE178" s="578"/>
      <c r="AF178" s="578"/>
      <c r="AG178" s="578"/>
      <c r="AH178" s="578"/>
      <c r="AI178" s="578"/>
    </row>
    <row r="179" spans="1:35" ht="14.25" customHeight="1" x14ac:dyDescent="0.3">
      <c r="A179" s="721"/>
      <c r="B179" s="728"/>
      <c r="C179" s="728"/>
      <c r="D179" s="770"/>
      <c r="E179" s="741"/>
      <c r="F179" s="577"/>
      <c r="G179" s="741"/>
      <c r="H179" s="577"/>
      <c r="I179" s="741"/>
      <c r="J179" s="577"/>
      <c r="K179" s="728"/>
      <c r="L179" s="577"/>
      <c r="M179" s="741"/>
      <c r="N179" s="577"/>
      <c r="O179" s="741"/>
      <c r="P179" s="577"/>
      <c r="Q179" s="728"/>
      <c r="R179" s="577"/>
      <c r="S179" s="577"/>
      <c r="T179" s="577"/>
      <c r="U179" s="577"/>
      <c r="V179" s="577"/>
      <c r="W179" s="577"/>
      <c r="X179" s="577"/>
      <c r="Y179" s="744"/>
      <c r="Z179" s="718"/>
      <c r="AA179" s="609"/>
      <c r="AB179" s="614"/>
      <c r="AC179" s="578"/>
      <c r="AD179" s="578"/>
      <c r="AE179" s="578"/>
      <c r="AF179" s="578"/>
      <c r="AG179" s="578"/>
      <c r="AH179" s="578"/>
      <c r="AI179" s="578"/>
    </row>
    <row r="180" spans="1:35" ht="14.25" customHeight="1" x14ac:dyDescent="0.3">
      <c r="A180" s="721"/>
      <c r="B180" s="728"/>
      <c r="C180" s="749"/>
      <c r="D180" s="728"/>
      <c r="E180" s="749"/>
      <c r="F180" s="728"/>
      <c r="G180" s="749"/>
      <c r="H180" s="771"/>
      <c r="I180" s="749"/>
      <c r="J180" s="771"/>
      <c r="K180" s="749"/>
      <c r="L180" s="771"/>
      <c r="M180" s="749"/>
      <c r="N180" s="771"/>
      <c r="O180" s="749"/>
      <c r="P180" s="771"/>
      <c r="Q180" s="749"/>
      <c r="R180" s="771"/>
      <c r="S180" s="749"/>
      <c r="T180" s="728"/>
      <c r="U180" s="749"/>
      <c r="V180" s="771"/>
      <c r="W180" s="749"/>
      <c r="X180" s="771"/>
      <c r="Y180" s="750"/>
      <c r="Z180" s="718"/>
      <c r="AA180" s="609"/>
      <c r="AB180" s="614"/>
      <c r="AC180" s="578"/>
      <c r="AD180" s="578"/>
      <c r="AE180" s="578"/>
      <c r="AF180" s="578"/>
      <c r="AG180" s="578"/>
      <c r="AH180" s="578"/>
      <c r="AI180" s="578"/>
    </row>
    <row r="181" spans="1:35" ht="14.25" customHeight="1" x14ac:dyDescent="0.3">
      <c r="A181" s="721"/>
      <c r="B181" s="728"/>
      <c r="C181" s="749"/>
      <c r="D181" s="728"/>
      <c r="E181" s="749"/>
      <c r="F181" s="728"/>
      <c r="G181" s="749"/>
      <c r="H181" s="741"/>
      <c r="I181" s="749"/>
      <c r="J181" s="741"/>
      <c r="K181" s="749"/>
      <c r="L181" s="741"/>
      <c r="M181" s="749"/>
      <c r="N181" s="741"/>
      <c r="O181" s="749"/>
      <c r="P181" s="741"/>
      <c r="Q181" s="749"/>
      <c r="R181" s="741"/>
      <c r="S181" s="749"/>
      <c r="T181" s="728"/>
      <c r="U181" s="749"/>
      <c r="V181" s="741"/>
      <c r="W181" s="749"/>
      <c r="X181" s="741"/>
      <c r="Y181" s="750"/>
      <c r="Z181" s="718"/>
      <c r="AA181" s="609"/>
      <c r="AB181" s="614"/>
      <c r="AC181" s="578"/>
      <c r="AD181" s="578"/>
      <c r="AE181" s="578"/>
      <c r="AF181" s="578"/>
      <c r="AG181" s="578"/>
      <c r="AH181" s="578"/>
      <c r="AI181" s="578"/>
    </row>
    <row r="182" spans="1:35" ht="14.25" customHeight="1" x14ac:dyDescent="0.3">
      <c r="A182" s="721"/>
      <c r="B182" s="952"/>
      <c r="C182" s="574">
        <v>484</v>
      </c>
      <c r="D182" s="952" t="s">
        <v>562</v>
      </c>
      <c r="E182" s="575">
        <v>611</v>
      </c>
      <c r="F182" s="952"/>
      <c r="G182" s="575">
        <v>367</v>
      </c>
      <c r="H182" s="943" t="s">
        <v>562</v>
      </c>
      <c r="I182" s="575">
        <v>468.584</v>
      </c>
      <c r="J182" s="943"/>
      <c r="K182" s="575">
        <v>371.416</v>
      </c>
      <c r="L182" s="943"/>
      <c r="M182" s="575">
        <v>370</v>
      </c>
      <c r="N182" s="947"/>
      <c r="O182" s="575">
        <v>327</v>
      </c>
      <c r="P182" s="943"/>
      <c r="Q182" s="575">
        <v>318</v>
      </c>
      <c r="R182" s="943"/>
      <c r="S182" s="575">
        <v>339.76900000000001</v>
      </c>
      <c r="T182" s="945"/>
      <c r="U182" s="575">
        <v>395.99900000000002</v>
      </c>
      <c r="V182" s="947"/>
      <c r="W182" s="575">
        <v>377</v>
      </c>
      <c r="X182" s="947"/>
      <c r="Y182" s="737">
        <v>398</v>
      </c>
      <c r="Z182" s="718"/>
      <c r="AA182" s="609"/>
      <c r="AB182" s="614"/>
      <c r="AC182" s="578"/>
      <c r="AD182" s="578"/>
      <c r="AE182" s="578"/>
      <c r="AF182" s="578"/>
      <c r="AG182" s="578"/>
      <c r="AH182" s="578"/>
      <c r="AI182" s="578"/>
    </row>
    <row r="183" spans="1:35" ht="14.25" customHeight="1" x14ac:dyDescent="0.3">
      <c r="A183" s="721"/>
      <c r="B183" s="953"/>
      <c r="C183" s="741"/>
      <c r="D183" s="953"/>
      <c r="E183" s="741"/>
      <c r="F183" s="953"/>
      <c r="G183" s="741"/>
      <c r="H183" s="944"/>
      <c r="I183" s="741"/>
      <c r="J183" s="944"/>
      <c r="K183" s="741"/>
      <c r="L183" s="944"/>
      <c r="M183" s="741"/>
      <c r="N183" s="948"/>
      <c r="O183" s="741"/>
      <c r="P183" s="944"/>
      <c r="Q183" s="741"/>
      <c r="R183" s="944"/>
      <c r="S183" s="741"/>
      <c r="T183" s="946"/>
      <c r="U183" s="741"/>
      <c r="V183" s="948"/>
      <c r="W183" s="741"/>
      <c r="X183" s="948"/>
      <c r="Y183" s="738"/>
      <c r="Z183" s="718"/>
      <c r="AA183" s="609"/>
      <c r="AB183" s="614"/>
      <c r="AC183" s="578"/>
      <c r="AD183" s="578"/>
      <c r="AE183" s="578"/>
      <c r="AF183" s="578"/>
      <c r="AG183" s="578"/>
      <c r="AH183" s="578"/>
      <c r="AI183" s="578"/>
    </row>
    <row r="184" spans="1:35" ht="14.25" customHeight="1" x14ac:dyDescent="0.3">
      <c r="A184" s="721"/>
      <c r="B184" s="739" t="s">
        <v>615</v>
      </c>
      <c r="C184" s="577"/>
      <c r="D184" s="739" t="s">
        <v>376</v>
      </c>
      <c r="E184" s="740"/>
      <c r="F184" s="739" t="s">
        <v>377</v>
      </c>
      <c r="G184" s="740"/>
      <c r="H184" s="739" t="s">
        <v>378</v>
      </c>
      <c r="I184" s="740"/>
      <c r="J184" s="739" t="s">
        <v>379</v>
      </c>
      <c r="K184" s="740"/>
      <c r="L184" s="739" t="s">
        <v>380</v>
      </c>
      <c r="M184" s="740"/>
      <c r="N184" s="739" t="s">
        <v>381</v>
      </c>
      <c r="O184" s="740"/>
      <c r="P184" s="739" t="s">
        <v>382</v>
      </c>
      <c r="Q184" s="740"/>
      <c r="R184" s="739" t="s">
        <v>383</v>
      </c>
      <c r="S184" s="740"/>
      <c r="T184" s="739" t="s">
        <v>616</v>
      </c>
      <c r="U184" s="741"/>
      <c r="V184" s="739" t="s">
        <v>384</v>
      </c>
      <c r="W184" s="740"/>
      <c r="X184" s="739" t="s">
        <v>385</v>
      </c>
      <c r="Y184" s="742"/>
      <c r="Z184" s="718"/>
      <c r="AA184" s="609"/>
      <c r="AB184" s="614"/>
      <c r="AC184" s="578"/>
      <c r="AD184" s="578"/>
      <c r="AE184" s="578"/>
      <c r="AF184" s="578"/>
      <c r="AG184" s="578"/>
      <c r="AH184" s="578"/>
      <c r="AI184" s="578"/>
    </row>
    <row r="185" spans="1:35" ht="14.25" customHeight="1" x14ac:dyDescent="0.3">
      <c r="A185" s="721"/>
      <c r="B185" s="577" t="s">
        <v>324</v>
      </c>
      <c r="C185" s="743">
        <f>C182/1000</f>
        <v>0.48399999999999999</v>
      </c>
      <c r="D185" s="577" t="s">
        <v>242</v>
      </c>
      <c r="E185" s="743">
        <f>E182/1000</f>
        <v>0.61099999999999999</v>
      </c>
      <c r="F185" s="577" t="s">
        <v>242</v>
      </c>
      <c r="G185" s="577"/>
      <c r="H185" s="577" t="s">
        <v>216</v>
      </c>
      <c r="I185" s="577"/>
      <c r="J185" s="577" t="s">
        <v>218</v>
      </c>
      <c r="K185" s="577"/>
      <c r="L185" s="577" t="s">
        <v>217</v>
      </c>
      <c r="M185" s="577"/>
      <c r="N185" s="577" t="s">
        <v>217</v>
      </c>
      <c r="O185" s="577"/>
      <c r="P185" s="577" t="s">
        <v>217</v>
      </c>
      <c r="Q185" s="577"/>
      <c r="R185" s="577" t="s">
        <v>217</v>
      </c>
      <c r="S185" s="743">
        <f>(G182+I182+K182+M182++O182+Q182+S182)/1000</f>
        <v>2.5617690000000004</v>
      </c>
      <c r="T185" s="577" t="s">
        <v>242</v>
      </c>
      <c r="U185" s="577"/>
      <c r="V185" s="577" t="s">
        <v>218</v>
      </c>
      <c r="W185" s="577"/>
      <c r="X185" s="577" t="s">
        <v>217</v>
      </c>
      <c r="Y185" s="744"/>
      <c r="Z185" s="718"/>
      <c r="AA185" s="609"/>
      <c r="AB185" s="614"/>
      <c r="AC185" s="578"/>
      <c r="AD185" s="578"/>
      <c r="AE185" s="578"/>
      <c r="AF185" s="578"/>
      <c r="AG185" s="578"/>
      <c r="AH185" s="578"/>
      <c r="AI185" s="578"/>
    </row>
    <row r="186" spans="1:35" ht="14.25" customHeight="1" x14ac:dyDescent="0.3">
      <c r="A186" s="721"/>
      <c r="B186" s="580" t="s">
        <v>728</v>
      </c>
      <c r="C186" s="743"/>
      <c r="D186" s="577"/>
      <c r="E186" s="743"/>
      <c r="F186" s="580" t="s">
        <v>728</v>
      </c>
      <c r="G186" s="577"/>
      <c r="H186" s="577"/>
      <c r="I186" s="577"/>
      <c r="J186" s="580" t="s">
        <v>728</v>
      </c>
      <c r="K186" s="577"/>
      <c r="L186" s="580" t="s">
        <v>728</v>
      </c>
      <c r="M186" s="577"/>
      <c r="N186" s="577"/>
      <c r="O186" s="577"/>
      <c r="P186" s="580" t="s">
        <v>728</v>
      </c>
      <c r="Q186" s="577"/>
      <c r="R186" s="580" t="s">
        <v>728</v>
      </c>
      <c r="S186" s="743"/>
      <c r="T186" s="772"/>
      <c r="U186" s="772"/>
      <c r="V186" s="772"/>
      <c r="W186" s="772"/>
      <c r="X186" s="772"/>
      <c r="Y186" s="744"/>
      <c r="Z186" s="718"/>
      <c r="AA186" s="609"/>
      <c r="AB186" s="614"/>
      <c r="AC186" s="578"/>
      <c r="AD186" s="578"/>
      <c r="AE186" s="578"/>
      <c r="AF186" s="578"/>
      <c r="AG186" s="578"/>
      <c r="AH186" s="578"/>
      <c r="AI186" s="578"/>
    </row>
    <row r="187" spans="1:35" ht="14.25" customHeight="1" x14ac:dyDescent="0.3">
      <c r="A187" s="721"/>
      <c r="B187" s="577"/>
      <c r="C187" s="743"/>
      <c r="D187" s="577"/>
      <c r="E187" s="743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743"/>
      <c r="T187" s="939"/>
      <c r="U187" s="939"/>
      <c r="V187" s="939"/>
      <c r="W187" s="939"/>
      <c r="X187" s="939"/>
      <c r="Y187" s="939"/>
      <c r="Z187" s="718"/>
      <c r="AA187" s="609"/>
      <c r="AB187" s="614"/>
      <c r="AC187" s="578"/>
      <c r="AD187" s="578"/>
      <c r="AE187" s="578"/>
      <c r="AF187" s="578"/>
      <c r="AG187" s="578"/>
      <c r="AH187" s="578"/>
      <c r="AI187" s="578"/>
    </row>
    <row r="188" spans="1:35" ht="14.25" customHeight="1" x14ac:dyDescent="0.3">
      <c r="A188" s="721"/>
      <c r="B188" s="577"/>
      <c r="C188" s="741"/>
      <c r="D188" s="772"/>
      <c r="E188" s="772"/>
      <c r="F188" s="772"/>
      <c r="G188" s="772"/>
      <c r="H188" s="577"/>
      <c r="I188" s="772"/>
      <c r="J188" s="577"/>
      <c r="K188" s="772"/>
      <c r="L188" s="577"/>
      <c r="M188" s="772"/>
      <c r="N188" s="772"/>
      <c r="O188" s="772"/>
      <c r="P188" s="772"/>
      <c r="Q188" s="772"/>
      <c r="R188" s="772"/>
      <c r="S188" s="772"/>
      <c r="T188" s="772"/>
      <c r="U188" s="772"/>
      <c r="V188" s="772"/>
      <c r="W188" s="770"/>
      <c r="X188" s="772"/>
      <c r="Y188" s="730"/>
      <c r="Z188" s="718"/>
      <c r="AA188" s="609"/>
      <c r="AB188" s="614"/>
      <c r="AC188" s="578"/>
      <c r="AD188" s="578"/>
      <c r="AE188" s="578"/>
      <c r="AF188" s="578"/>
      <c r="AG188" s="578"/>
      <c r="AH188" s="578"/>
      <c r="AI188" s="578"/>
    </row>
    <row r="189" spans="1:35" ht="14.25" customHeight="1" x14ac:dyDescent="0.3">
      <c r="A189" s="721"/>
      <c r="B189" s="771"/>
      <c r="C189" s="749"/>
      <c r="D189" s="771"/>
      <c r="E189" s="749"/>
      <c r="F189" s="728"/>
      <c r="G189" s="749"/>
      <c r="H189" s="771"/>
      <c r="I189" s="749"/>
      <c r="J189" s="771"/>
      <c r="K189" s="749"/>
      <c r="L189" s="771"/>
      <c r="M189" s="749"/>
      <c r="N189" s="771"/>
      <c r="O189" s="749"/>
      <c r="P189" s="771"/>
      <c r="Q189" s="749"/>
      <c r="R189" s="728"/>
      <c r="S189" s="749"/>
      <c r="T189" s="771"/>
      <c r="U189" s="749"/>
      <c r="V189" s="771"/>
      <c r="W189" s="749"/>
      <c r="X189" s="771"/>
      <c r="Y189" s="750"/>
      <c r="Z189" s="718"/>
      <c r="AA189" s="609"/>
      <c r="AB189" s="614"/>
      <c r="AC189" s="578"/>
      <c r="AD189" s="578"/>
      <c r="AE189" s="578"/>
      <c r="AF189" s="578"/>
      <c r="AG189" s="578"/>
      <c r="AH189" s="578"/>
      <c r="AI189" s="578"/>
    </row>
    <row r="190" spans="1:35" ht="14.25" customHeight="1" x14ac:dyDescent="0.3">
      <c r="A190" s="721"/>
      <c r="B190" s="741"/>
      <c r="C190" s="749"/>
      <c r="D190" s="741"/>
      <c r="E190" s="749"/>
      <c r="F190" s="728"/>
      <c r="G190" s="749"/>
      <c r="H190" s="741"/>
      <c r="I190" s="749"/>
      <c r="J190" s="741"/>
      <c r="K190" s="749"/>
      <c r="L190" s="741"/>
      <c r="M190" s="749"/>
      <c r="N190" s="741"/>
      <c r="O190" s="749"/>
      <c r="P190" s="741"/>
      <c r="Q190" s="749"/>
      <c r="R190" s="728"/>
      <c r="S190" s="749"/>
      <c r="T190" s="741"/>
      <c r="U190" s="749"/>
      <c r="V190" s="741"/>
      <c r="W190" s="749"/>
      <c r="X190" s="741"/>
      <c r="Y190" s="750"/>
      <c r="Z190" s="718"/>
      <c r="AA190" s="609"/>
      <c r="AB190" s="614"/>
      <c r="AC190" s="578"/>
      <c r="AD190" s="578"/>
      <c r="AE190" s="578"/>
      <c r="AF190" s="578"/>
      <c r="AG190" s="578"/>
      <c r="AH190" s="578"/>
      <c r="AI190" s="578"/>
    </row>
    <row r="191" spans="1:35" ht="14.25" customHeight="1" x14ac:dyDescent="0.3">
      <c r="A191" s="721"/>
      <c r="B191" s="947"/>
      <c r="C191" s="574">
        <v>393</v>
      </c>
      <c r="D191" s="947"/>
      <c r="E191" s="575">
        <v>373.66</v>
      </c>
      <c r="F191" s="945"/>
      <c r="G191" s="575">
        <v>363</v>
      </c>
      <c r="H191" s="947"/>
      <c r="I191" s="575">
        <v>349</v>
      </c>
      <c r="J191" s="947"/>
      <c r="K191" s="575">
        <v>386</v>
      </c>
      <c r="L191" s="947"/>
      <c r="M191" s="575">
        <v>390</v>
      </c>
      <c r="N191" s="947"/>
      <c r="O191" s="575">
        <v>417</v>
      </c>
      <c r="P191" s="947"/>
      <c r="Q191" s="575">
        <v>422.99700000000001</v>
      </c>
      <c r="R191" s="945"/>
      <c r="S191" s="575">
        <v>340</v>
      </c>
      <c r="T191" s="947"/>
      <c r="U191" s="575">
        <v>365</v>
      </c>
      <c r="V191" s="943"/>
      <c r="W191" s="575">
        <v>403</v>
      </c>
      <c r="X191" s="947"/>
      <c r="Y191" s="737">
        <v>382</v>
      </c>
      <c r="Z191" s="718"/>
      <c r="AA191" s="609"/>
      <c r="AB191" s="614"/>
      <c r="AC191" s="578"/>
      <c r="AD191" s="578"/>
      <c r="AE191" s="578"/>
      <c r="AF191" s="578"/>
      <c r="AG191" s="578"/>
      <c r="AH191" s="578"/>
      <c r="AI191" s="578"/>
    </row>
    <row r="192" spans="1:35" ht="14.25" customHeight="1" x14ac:dyDescent="0.3">
      <c r="A192" s="721"/>
      <c r="B192" s="948"/>
      <c r="C192" s="741"/>
      <c r="D192" s="948"/>
      <c r="E192" s="741"/>
      <c r="F192" s="946"/>
      <c r="G192" s="741"/>
      <c r="H192" s="948"/>
      <c r="I192" s="741"/>
      <c r="J192" s="948"/>
      <c r="K192" s="741"/>
      <c r="L192" s="948"/>
      <c r="M192" s="741"/>
      <c r="N192" s="948"/>
      <c r="O192" s="741"/>
      <c r="P192" s="948"/>
      <c r="Q192" s="741"/>
      <c r="R192" s="946"/>
      <c r="S192" s="741"/>
      <c r="T192" s="948"/>
      <c r="U192" s="741"/>
      <c r="V192" s="944"/>
      <c r="W192" s="741"/>
      <c r="X192" s="948"/>
      <c r="Y192" s="738"/>
      <c r="Z192" s="718"/>
      <c r="AA192" s="609"/>
      <c r="AB192" s="614"/>
      <c r="AC192" s="578"/>
      <c r="AD192" s="578"/>
      <c r="AE192" s="578"/>
      <c r="AF192" s="578"/>
      <c r="AG192" s="578"/>
      <c r="AH192" s="578"/>
      <c r="AI192" s="578"/>
    </row>
    <row r="193" spans="1:35" ht="14.25" customHeight="1" x14ac:dyDescent="0.3">
      <c r="A193" s="721"/>
      <c r="B193" s="739" t="s">
        <v>386</v>
      </c>
      <c r="C193" s="577"/>
      <c r="D193" s="739" t="s">
        <v>387</v>
      </c>
      <c r="E193" s="740"/>
      <c r="F193" s="739" t="s">
        <v>617</v>
      </c>
      <c r="G193" s="740"/>
      <c r="H193" s="739" t="s">
        <v>388</v>
      </c>
      <c r="I193" s="740"/>
      <c r="J193" s="739" t="s">
        <v>389</v>
      </c>
      <c r="K193" s="740"/>
      <c r="L193" s="739" t="s">
        <v>390</v>
      </c>
      <c r="M193" s="740"/>
      <c r="N193" s="739" t="s">
        <v>391</v>
      </c>
      <c r="O193" s="740"/>
      <c r="P193" s="739" t="s">
        <v>392</v>
      </c>
      <c r="Q193" s="740"/>
      <c r="R193" s="739" t="s">
        <v>618</v>
      </c>
      <c r="S193" s="740"/>
      <c r="T193" s="739" t="s">
        <v>393</v>
      </c>
      <c r="U193" s="741"/>
      <c r="V193" s="739" t="s">
        <v>394</v>
      </c>
      <c r="W193" s="740"/>
      <c r="X193" s="739" t="s">
        <v>395</v>
      </c>
      <c r="Y193" s="742"/>
      <c r="Z193" s="718"/>
      <c r="AA193" s="609"/>
      <c r="AB193" s="614"/>
      <c r="AC193" s="578"/>
      <c r="AD193" s="578"/>
      <c r="AE193" s="578"/>
      <c r="AF193" s="578"/>
      <c r="AG193" s="578"/>
      <c r="AH193" s="578"/>
      <c r="AI193" s="578"/>
    </row>
    <row r="194" spans="1:35" ht="14.25" customHeight="1" x14ac:dyDescent="0.3">
      <c r="A194" s="721"/>
      <c r="B194" s="577" t="s">
        <v>217</v>
      </c>
      <c r="C194" s="577"/>
      <c r="D194" s="577" t="s">
        <v>217</v>
      </c>
      <c r="E194" s="743">
        <f>(U182+W182+Y182+C191+E191)/1000</f>
        <v>1.937659</v>
      </c>
      <c r="F194" s="577" t="s">
        <v>219</v>
      </c>
      <c r="G194" s="577"/>
      <c r="H194" s="577" t="s">
        <v>218</v>
      </c>
      <c r="I194" s="577"/>
      <c r="J194" s="577" t="s">
        <v>217</v>
      </c>
      <c r="K194" s="577"/>
      <c r="L194" s="577" t="s">
        <v>217</v>
      </c>
      <c r="M194" s="577"/>
      <c r="N194" s="577" t="s">
        <v>217</v>
      </c>
      <c r="O194" s="577"/>
      <c r="P194" s="577" t="s">
        <v>216</v>
      </c>
      <c r="Q194" s="743">
        <f>(G191+I191+K191++M191+O191+Q191)/1000</f>
        <v>2.3279969999999999</v>
      </c>
      <c r="R194" s="577" t="s">
        <v>219</v>
      </c>
      <c r="S194" s="577"/>
      <c r="T194" s="577" t="s">
        <v>217</v>
      </c>
      <c r="U194" s="577"/>
      <c r="V194" s="577" t="s">
        <v>217</v>
      </c>
      <c r="W194" s="577"/>
      <c r="X194" s="577" t="s">
        <v>218</v>
      </c>
      <c r="Y194" s="744"/>
      <c r="Z194" s="718"/>
      <c r="AA194" s="609"/>
      <c r="AB194" s="614"/>
      <c r="AC194" s="578"/>
      <c r="AD194" s="578"/>
      <c r="AE194" s="578"/>
      <c r="AF194" s="578"/>
      <c r="AG194" s="578"/>
      <c r="AH194" s="578"/>
      <c r="AI194" s="578"/>
    </row>
    <row r="195" spans="1:35" ht="14.25" customHeight="1" x14ac:dyDescent="0.3">
      <c r="A195" s="728"/>
      <c r="B195" s="728"/>
      <c r="C195" s="728"/>
      <c r="D195" s="728"/>
      <c r="E195" s="728"/>
      <c r="F195" s="728"/>
      <c r="G195" s="728"/>
      <c r="H195" s="728"/>
      <c r="I195" s="728"/>
      <c r="J195" s="728"/>
      <c r="K195" s="728"/>
      <c r="L195" s="728"/>
      <c r="M195" s="728"/>
      <c r="N195" s="728"/>
      <c r="O195" s="728"/>
      <c r="P195" s="728"/>
      <c r="Q195" s="577"/>
      <c r="R195" s="721"/>
      <c r="S195" s="577"/>
      <c r="T195" s="577"/>
      <c r="U195" s="577"/>
      <c r="V195" s="580" t="s">
        <v>728</v>
      </c>
      <c r="W195" s="577"/>
      <c r="X195" s="577"/>
      <c r="Y195" s="744"/>
      <c r="Z195" s="718"/>
      <c r="AA195" s="609"/>
      <c r="AB195" s="614"/>
      <c r="AC195" s="578"/>
      <c r="AD195" s="578"/>
      <c r="AE195" s="578"/>
      <c r="AF195" s="578"/>
      <c r="AG195" s="578"/>
      <c r="AH195" s="578"/>
      <c r="AI195" s="578"/>
    </row>
    <row r="196" spans="1:35" ht="14.25" customHeight="1" x14ac:dyDescent="0.3">
      <c r="A196" s="721"/>
      <c r="B196" s="940"/>
      <c r="C196" s="941"/>
      <c r="D196" s="941"/>
      <c r="E196" s="941"/>
      <c r="F196" s="941"/>
      <c r="G196" s="941"/>
      <c r="H196" s="941"/>
      <c r="I196" s="941"/>
      <c r="J196" s="941"/>
      <c r="K196" s="941"/>
      <c r="L196" s="941"/>
      <c r="M196" s="941"/>
      <c r="N196" s="941"/>
      <c r="O196" s="941"/>
      <c r="P196" s="941"/>
      <c r="Q196" s="941"/>
      <c r="R196" s="761"/>
      <c r="S196" s="577"/>
      <c r="T196" s="577"/>
      <c r="U196" s="577"/>
      <c r="V196" s="577"/>
      <c r="W196" s="577"/>
      <c r="X196" s="583" t="s">
        <v>730</v>
      </c>
      <c r="Y196" s="744"/>
      <c r="Z196" s="718"/>
      <c r="AA196" s="609"/>
      <c r="AB196" s="614"/>
      <c r="AC196" s="578"/>
      <c r="AD196" s="578"/>
      <c r="AE196" s="578"/>
      <c r="AF196" s="578"/>
      <c r="AG196" s="578"/>
      <c r="AH196" s="578"/>
      <c r="AI196" s="578"/>
    </row>
    <row r="197" spans="1:35" ht="14.25" customHeight="1" x14ac:dyDescent="0.3">
      <c r="A197" s="721"/>
      <c r="B197" s="728"/>
      <c r="C197" s="728"/>
      <c r="D197" s="728"/>
      <c r="E197" s="728"/>
      <c r="F197" s="728"/>
      <c r="G197" s="728"/>
      <c r="H197" s="728"/>
      <c r="I197" s="728"/>
      <c r="J197" s="728"/>
      <c r="K197" s="728"/>
      <c r="L197" s="728"/>
      <c r="M197" s="728"/>
      <c r="N197" s="728"/>
      <c r="O197" s="728"/>
      <c r="P197" s="728"/>
      <c r="Q197" s="728"/>
      <c r="R197" s="728"/>
      <c r="S197" s="728"/>
      <c r="T197" s="728"/>
      <c r="U197" s="728"/>
      <c r="V197" s="728"/>
      <c r="W197" s="728"/>
      <c r="X197" s="728"/>
      <c r="Y197" s="736"/>
      <c r="Z197" s="718"/>
      <c r="AA197" s="609"/>
      <c r="AB197" s="614"/>
      <c r="AC197" s="578"/>
      <c r="AD197" s="578"/>
      <c r="AE197" s="578"/>
      <c r="AF197" s="578"/>
      <c r="AG197" s="578"/>
      <c r="AH197" s="578"/>
      <c r="AI197" s="578"/>
    </row>
    <row r="198" spans="1:35" ht="14.25" customHeight="1" x14ac:dyDescent="0.3">
      <c r="A198" s="721"/>
      <c r="B198" s="771"/>
      <c r="C198" s="749"/>
      <c r="D198" s="771"/>
      <c r="E198" s="749"/>
      <c r="F198" s="771"/>
      <c r="G198" s="749"/>
      <c r="H198" s="771"/>
      <c r="I198" s="749"/>
      <c r="J198" s="771"/>
      <c r="K198" s="749"/>
      <c r="L198" s="771"/>
      <c r="M198" s="749"/>
      <c r="N198" s="771"/>
      <c r="O198" s="749"/>
      <c r="P198" s="771"/>
      <c r="Q198" s="749"/>
      <c r="R198" s="771"/>
      <c r="S198" s="749"/>
      <c r="T198" s="728"/>
      <c r="U198" s="749"/>
      <c r="V198" s="771"/>
      <c r="W198" s="749"/>
      <c r="X198" s="771"/>
      <c r="Y198" s="750"/>
      <c r="Z198" s="718"/>
      <c r="AA198" s="609"/>
      <c r="AB198" s="614"/>
      <c r="AC198" s="578"/>
      <c r="AD198" s="578"/>
      <c r="AE198" s="578"/>
      <c r="AF198" s="578"/>
      <c r="AG198" s="578"/>
      <c r="AH198" s="578"/>
      <c r="AI198" s="578"/>
    </row>
    <row r="199" spans="1:35" ht="14.25" customHeight="1" x14ac:dyDescent="0.3">
      <c r="A199" s="721"/>
      <c r="B199" s="741"/>
      <c r="C199" s="749"/>
      <c r="D199" s="741"/>
      <c r="E199" s="749"/>
      <c r="F199" s="741"/>
      <c r="G199" s="749"/>
      <c r="H199" s="741"/>
      <c r="I199" s="749"/>
      <c r="J199" s="741"/>
      <c r="K199" s="749"/>
      <c r="L199" s="741"/>
      <c r="M199" s="749"/>
      <c r="N199" s="741"/>
      <c r="O199" s="749"/>
      <c r="P199" s="741"/>
      <c r="Q199" s="749"/>
      <c r="R199" s="741"/>
      <c r="S199" s="749"/>
      <c r="T199" s="728"/>
      <c r="U199" s="749"/>
      <c r="V199" s="741"/>
      <c r="W199" s="749"/>
      <c r="X199" s="741"/>
      <c r="Y199" s="750"/>
      <c r="Z199" s="718"/>
      <c r="AA199" s="609"/>
      <c r="AB199" s="614"/>
      <c r="AC199" s="578"/>
      <c r="AD199" s="578"/>
      <c r="AE199" s="578"/>
      <c r="AF199" s="578"/>
      <c r="AG199" s="578"/>
      <c r="AH199" s="578"/>
      <c r="AI199" s="578"/>
    </row>
    <row r="200" spans="1:35" ht="14.25" customHeight="1" x14ac:dyDescent="0.3">
      <c r="A200" s="721"/>
      <c r="B200" s="943"/>
      <c r="C200" s="574">
        <v>395</v>
      </c>
      <c r="D200" s="960"/>
      <c r="E200" s="575">
        <v>385</v>
      </c>
      <c r="F200" s="962" t="s">
        <v>746</v>
      </c>
      <c r="G200" s="575">
        <v>381</v>
      </c>
      <c r="H200" s="962" t="s">
        <v>746</v>
      </c>
      <c r="I200" s="575">
        <v>395</v>
      </c>
      <c r="J200" s="962" t="s">
        <v>746</v>
      </c>
      <c r="K200" s="575">
        <v>403</v>
      </c>
      <c r="L200" s="962" t="s">
        <v>746</v>
      </c>
      <c r="M200" s="575">
        <v>383</v>
      </c>
      <c r="N200" s="962" t="s">
        <v>746</v>
      </c>
      <c r="O200" s="575">
        <v>386</v>
      </c>
      <c r="P200" s="962" t="s">
        <v>746</v>
      </c>
      <c r="Q200" s="575">
        <v>397</v>
      </c>
      <c r="R200" s="962" t="s">
        <v>746</v>
      </c>
      <c r="S200" s="575">
        <v>370.834</v>
      </c>
      <c r="T200" s="963" t="s">
        <v>794</v>
      </c>
      <c r="U200" s="575">
        <v>422</v>
      </c>
      <c r="V200" s="956" t="s">
        <v>747</v>
      </c>
      <c r="W200" s="575">
        <v>417</v>
      </c>
      <c r="X200" s="956" t="s">
        <v>747</v>
      </c>
      <c r="Y200" s="737">
        <v>400</v>
      </c>
      <c r="Z200" s="718"/>
      <c r="AA200" s="609"/>
      <c r="AB200" s="614"/>
      <c r="AC200" s="578"/>
      <c r="AD200" s="578"/>
      <c r="AE200" s="578"/>
      <c r="AF200" s="578"/>
      <c r="AG200" s="578"/>
      <c r="AH200" s="578"/>
      <c r="AI200" s="578"/>
    </row>
    <row r="201" spans="1:35" ht="14.25" customHeight="1" x14ac:dyDescent="0.3">
      <c r="A201" s="721"/>
      <c r="B201" s="944"/>
      <c r="C201" s="741"/>
      <c r="D201" s="961"/>
      <c r="E201" s="741"/>
      <c r="F201" s="957"/>
      <c r="G201" s="741"/>
      <c r="H201" s="957"/>
      <c r="I201" s="741"/>
      <c r="J201" s="957"/>
      <c r="K201" s="741"/>
      <c r="L201" s="957"/>
      <c r="M201" s="741"/>
      <c r="N201" s="957"/>
      <c r="O201" s="741"/>
      <c r="P201" s="957"/>
      <c r="Q201" s="741"/>
      <c r="R201" s="957"/>
      <c r="S201" s="741"/>
      <c r="T201" s="964"/>
      <c r="U201" s="741"/>
      <c r="V201" s="957"/>
      <c r="W201" s="741"/>
      <c r="X201" s="957"/>
      <c r="Y201" s="738"/>
      <c r="Z201" s="718">
        <v>10</v>
      </c>
      <c r="AA201" s="609">
        <v>9</v>
      </c>
      <c r="AB201" s="614">
        <v>7</v>
      </c>
      <c r="AC201" s="578"/>
      <c r="AD201" s="578"/>
      <c r="AE201" s="578"/>
      <c r="AF201" s="578"/>
      <c r="AG201" s="578"/>
      <c r="AH201" s="578"/>
      <c r="AI201" s="578"/>
    </row>
    <row r="202" spans="1:35" ht="14.25" customHeight="1" x14ac:dyDescent="0.3">
      <c r="A202" s="721"/>
      <c r="B202" s="739" t="s">
        <v>396</v>
      </c>
      <c r="C202" s="577"/>
      <c r="D202" s="739" t="s">
        <v>397</v>
      </c>
      <c r="E202" s="740"/>
      <c r="F202" s="739" t="s">
        <v>398</v>
      </c>
      <c r="G202" s="740"/>
      <c r="H202" s="739" t="s">
        <v>399</v>
      </c>
      <c r="I202" s="740"/>
      <c r="J202" s="739" t="s">
        <v>400</v>
      </c>
      <c r="K202" s="740"/>
      <c r="L202" s="739" t="s">
        <v>401</v>
      </c>
      <c r="M202" s="740"/>
      <c r="N202" s="739" t="s">
        <v>402</v>
      </c>
      <c r="O202" s="740"/>
      <c r="P202" s="739" t="s">
        <v>403</v>
      </c>
      <c r="Q202" s="740"/>
      <c r="R202" s="739" t="s">
        <v>404</v>
      </c>
      <c r="S202" s="740"/>
      <c r="T202" s="739" t="s">
        <v>619</v>
      </c>
      <c r="U202" s="741"/>
      <c r="V202" s="739" t="s">
        <v>405</v>
      </c>
      <c r="W202" s="740"/>
      <c r="X202" s="739" t="s">
        <v>406</v>
      </c>
      <c r="Y202" s="742"/>
      <c r="Z202" s="718"/>
      <c r="AA202" s="609"/>
      <c r="AB202" s="614"/>
      <c r="AC202" s="578"/>
      <c r="AD202" s="578"/>
      <c r="AE202" s="578"/>
      <c r="AF202" s="578"/>
      <c r="AG202" s="578"/>
      <c r="AH202" s="578"/>
      <c r="AI202" s="578"/>
    </row>
    <row r="203" spans="1:35" ht="14.25" customHeight="1" x14ac:dyDescent="0.3">
      <c r="A203" s="721"/>
      <c r="B203" s="577" t="s">
        <v>218</v>
      </c>
      <c r="C203" s="577"/>
      <c r="D203" s="577" t="s">
        <v>217</v>
      </c>
      <c r="E203" s="577"/>
      <c r="F203" s="577" t="s">
        <v>217</v>
      </c>
      <c r="G203" s="577"/>
      <c r="H203" s="577" t="s">
        <v>217</v>
      </c>
      <c r="I203" s="577"/>
      <c r="J203" s="577" t="s">
        <v>217</v>
      </c>
      <c r="K203" s="577"/>
      <c r="L203" s="577" t="s">
        <v>217</v>
      </c>
      <c r="M203" s="577"/>
      <c r="N203" s="577" t="s">
        <v>217</v>
      </c>
      <c r="O203" s="577"/>
      <c r="P203" s="577" t="s">
        <v>217</v>
      </c>
      <c r="Q203" s="577"/>
      <c r="R203" s="577" t="s">
        <v>217</v>
      </c>
      <c r="S203" s="743">
        <f>(S191+U191+YU191+W191+Y191+C200+E200+G200+I200+K200+M200++O200+Q200+S200)/1000</f>
        <v>4.9858339999999997</v>
      </c>
      <c r="T203" s="577" t="s">
        <v>242</v>
      </c>
      <c r="U203" s="577"/>
      <c r="V203" s="577" t="s">
        <v>218</v>
      </c>
      <c r="W203" s="577"/>
      <c r="X203" s="577" t="s">
        <v>218</v>
      </c>
      <c r="Y203" s="744"/>
      <c r="Z203" s="718"/>
      <c r="AA203" s="609"/>
      <c r="AB203" s="614"/>
      <c r="AC203" s="578"/>
      <c r="AD203" s="578"/>
      <c r="AE203" s="578"/>
      <c r="AF203" s="578"/>
      <c r="AG203" s="578"/>
      <c r="AH203" s="578"/>
      <c r="AI203" s="578"/>
    </row>
    <row r="204" spans="1:35" ht="14.25" customHeight="1" x14ac:dyDescent="0.3">
      <c r="A204" s="721"/>
      <c r="B204" s="580" t="s">
        <v>728</v>
      </c>
      <c r="C204" s="577"/>
      <c r="D204" s="580" t="s">
        <v>728</v>
      </c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743"/>
      <c r="T204" s="577"/>
      <c r="U204" s="577"/>
      <c r="V204" s="577"/>
      <c r="W204" s="577"/>
      <c r="X204" s="577"/>
      <c r="Y204" s="744"/>
      <c r="Z204" s="718"/>
      <c r="AA204" s="609"/>
      <c r="AB204" s="614"/>
      <c r="AC204" s="578"/>
      <c r="AD204" s="578"/>
      <c r="AE204" s="578"/>
      <c r="AF204" s="578"/>
      <c r="AG204" s="578"/>
      <c r="AH204" s="578"/>
      <c r="AI204" s="578"/>
    </row>
    <row r="205" spans="1:35" ht="14.25" customHeight="1" x14ac:dyDescent="0.3">
      <c r="A205" s="721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773"/>
      <c r="Q205" s="577"/>
      <c r="R205" s="773"/>
      <c r="S205" s="743"/>
      <c r="T205" s="577"/>
      <c r="U205" s="577"/>
      <c r="V205" s="773"/>
      <c r="W205" s="577"/>
      <c r="X205" s="773"/>
      <c r="Y205" s="744"/>
      <c r="Z205" s="718"/>
      <c r="AA205" s="609"/>
      <c r="AB205" s="614"/>
      <c r="AC205" s="578"/>
      <c r="AD205" s="578"/>
      <c r="AE205" s="578"/>
      <c r="AF205" s="578"/>
      <c r="AG205" s="578"/>
      <c r="AH205" s="578"/>
      <c r="AI205" s="578"/>
    </row>
    <row r="206" spans="1:35" ht="14.25" customHeight="1" x14ac:dyDescent="0.3">
      <c r="A206" s="721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577"/>
      <c r="O206" s="728"/>
      <c r="P206" s="577"/>
      <c r="Q206" s="728"/>
      <c r="R206" s="577"/>
      <c r="S206" s="741"/>
      <c r="T206" s="577"/>
      <c r="U206" s="741"/>
      <c r="V206" s="577"/>
      <c r="W206" s="741"/>
      <c r="X206" s="577"/>
      <c r="Y206" s="736"/>
      <c r="Z206" s="718"/>
      <c r="AA206" s="609"/>
      <c r="AB206" s="614"/>
      <c r="AC206" s="578"/>
      <c r="AD206" s="578"/>
      <c r="AE206" s="578"/>
      <c r="AF206" s="578"/>
      <c r="AG206" s="578"/>
      <c r="AH206" s="578"/>
      <c r="AI206" s="578"/>
    </row>
    <row r="207" spans="1:35" ht="14.25" customHeight="1" x14ac:dyDescent="0.3">
      <c r="A207" s="721"/>
      <c r="B207" s="771"/>
      <c r="C207" s="749"/>
      <c r="D207" s="771"/>
      <c r="E207" s="749"/>
      <c r="F207" s="771"/>
      <c r="G207" s="570"/>
      <c r="H207" s="771"/>
      <c r="I207" s="749"/>
      <c r="J207" s="771"/>
      <c r="K207" s="749"/>
      <c r="L207" s="771"/>
      <c r="M207" s="749"/>
      <c r="N207" s="771"/>
      <c r="O207" s="749"/>
      <c r="P207" s="771"/>
      <c r="Q207" s="749"/>
      <c r="R207" s="771"/>
      <c r="S207" s="749"/>
      <c r="T207" s="771"/>
      <c r="U207" s="749"/>
      <c r="V207" s="771"/>
      <c r="W207" s="749"/>
      <c r="X207" s="771"/>
      <c r="Y207" s="750"/>
      <c r="Z207" s="718"/>
      <c r="AA207" s="609"/>
      <c r="AB207" s="614"/>
      <c r="AC207" s="578"/>
      <c r="AD207" s="578"/>
      <c r="AE207" s="578"/>
      <c r="AF207" s="578"/>
      <c r="AG207" s="578"/>
      <c r="AH207" s="578"/>
      <c r="AI207" s="578"/>
    </row>
    <row r="208" spans="1:35" ht="14.25" customHeight="1" x14ac:dyDescent="0.3">
      <c r="A208" s="721"/>
      <c r="B208" s="741"/>
      <c r="C208" s="749"/>
      <c r="D208" s="741"/>
      <c r="E208" s="749"/>
      <c r="F208" s="741"/>
      <c r="G208" s="749"/>
      <c r="H208" s="741"/>
      <c r="I208" s="749"/>
      <c r="J208" s="741"/>
      <c r="K208" s="749"/>
      <c r="L208" s="741"/>
      <c r="M208" s="749"/>
      <c r="N208" s="741"/>
      <c r="O208" s="749"/>
      <c r="P208" s="741"/>
      <c r="Q208" s="749"/>
      <c r="R208" s="741"/>
      <c r="S208" s="749"/>
      <c r="T208" s="741"/>
      <c r="U208" s="749"/>
      <c r="V208" s="741"/>
      <c r="W208" s="749"/>
      <c r="X208" s="741"/>
      <c r="Y208" s="750"/>
      <c r="Z208" s="718"/>
      <c r="AA208" s="609"/>
      <c r="AB208" s="614"/>
      <c r="AC208" s="578"/>
      <c r="AD208" s="578"/>
      <c r="AE208" s="578"/>
      <c r="AF208" s="578"/>
      <c r="AG208" s="578"/>
      <c r="AH208" s="578"/>
      <c r="AI208" s="578"/>
    </row>
    <row r="209" spans="1:35" ht="14.25" customHeight="1" x14ac:dyDescent="0.3">
      <c r="A209" s="721"/>
      <c r="B209" s="956" t="s">
        <v>747</v>
      </c>
      <c r="C209" s="574">
        <v>421</v>
      </c>
      <c r="D209" s="956" t="s">
        <v>747</v>
      </c>
      <c r="E209" s="575">
        <v>419</v>
      </c>
      <c r="F209" s="956" t="s">
        <v>747</v>
      </c>
      <c r="G209" s="575">
        <v>402</v>
      </c>
      <c r="H209" s="954" t="s">
        <v>698</v>
      </c>
      <c r="I209" s="575">
        <v>402</v>
      </c>
      <c r="J209" s="954" t="s">
        <v>698</v>
      </c>
      <c r="K209" s="575">
        <v>411</v>
      </c>
      <c r="L209" s="954" t="s">
        <v>698</v>
      </c>
      <c r="M209" s="575">
        <v>355.16899999999998</v>
      </c>
      <c r="N209" s="956" t="s">
        <v>747</v>
      </c>
      <c r="O209" s="575">
        <v>390</v>
      </c>
      <c r="P209" s="956" t="s">
        <v>744</v>
      </c>
      <c r="Q209" s="575">
        <v>380</v>
      </c>
      <c r="R209" s="956" t="s">
        <v>744</v>
      </c>
      <c r="S209" s="575">
        <v>390</v>
      </c>
      <c r="T209" s="956" t="s">
        <v>744</v>
      </c>
      <c r="U209" s="575">
        <v>398</v>
      </c>
      <c r="V209" s="965"/>
      <c r="W209" s="575">
        <v>406</v>
      </c>
      <c r="X209" s="956" t="s">
        <v>744</v>
      </c>
      <c r="Y209" s="737">
        <v>371</v>
      </c>
      <c r="Z209" s="718">
        <v>11</v>
      </c>
      <c r="AA209" s="609">
        <v>10</v>
      </c>
      <c r="AB209" s="614">
        <v>10</v>
      </c>
      <c r="AC209" s="578"/>
      <c r="AD209" s="578"/>
      <c r="AE209" s="578"/>
      <c r="AF209" s="578"/>
      <c r="AG209" s="578"/>
      <c r="AH209" s="578"/>
      <c r="AI209" s="578"/>
    </row>
    <row r="210" spans="1:35" ht="14.25" customHeight="1" x14ac:dyDescent="0.3">
      <c r="A210" s="721"/>
      <c r="B210" s="957"/>
      <c r="C210" s="741"/>
      <c r="D210" s="957"/>
      <c r="E210" s="741"/>
      <c r="F210" s="957"/>
      <c r="G210" s="741"/>
      <c r="H210" s="955"/>
      <c r="I210" s="741"/>
      <c r="J210" s="955"/>
      <c r="K210" s="741"/>
      <c r="L210" s="955"/>
      <c r="M210" s="741"/>
      <c r="N210" s="957"/>
      <c r="O210" s="741"/>
      <c r="P210" s="957"/>
      <c r="Q210" s="741"/>
      <c r="R210" s="957"/>
      <c r="S210" s="741"/>
      <c r="T210" s="957"/>
      <c r="U210" s="741"/>
      <c r="V210" s="966"/>
      <c r="W210" s="741"/>
      <c r="X210" s="957"/>
      <c r="Y210" s="738"/>
      <c r="Z210" s="718"/>
      <c r="AA210" s="609"/>
      <c r="AB210" s="614"/>
      <c r="AC210" s="578"/>
      <c r="AD210" s="578"/>
      <c r="AE210" s="578"/>
      <c r="AF210" s="578"/>
      <c r="AG210" s="578"/>
      <c r="AH210" s="578"/>
      <c r="AI210" s="578"/>
    </row>
    <row r="211" spans="1:35" ht="14.25" customHeight="1" x14ac:dyDescent="0.3">
      <c r="A211" s="721"/>
      <c r="B211" s="739" t="s">
        <v>407</v>
      </c>
      <c r="C211" s="577"/>
      <c r="D211" s="739" t="s">
        <v>408</v>
      </c>
      <c r="E211" s="740"/>
      <c r="F211" s="739" t="s">
        <v>409</v>
      </c>
      <c r="G211" s="740"/>
      <c r="H211" s="739" t="s">
        <v>410</v>
      </c>
      <c r="I211" s="740"/>
      <c r="J211" s="739" t="s">
        <v>411</v>
      </c>
      <c r="K211" s="740"/>
      <c r="L211" s="739" t="s">
        <v>412</v>
      </c>
      <c r="M211" s="740"/>
      <c r="N211" s="739" t="s">
        <v>620</v>
      </c>
      <c r="O211" s="740"/>
      <c r="P211" s="739" t="s">
        <v>413</v>
      </c>
      <c r="Q211" s="740"/>
      <c r="R211" s="739" t="s">
        <v>414</v>
      </c>
      <c r="S211" s="740"/>
      <c r="T211" s="739" t="s">
        <v>621</v>
      </c>
      <c r="U211" s="741"/>
      <c r="V211" s="739" t="s">
        <v>622</v>
      </c>
      <c r="W211" s="740"/>
      <c r="X211" s="739" t="s">
        <v>623</v>
      </c>
      <c r="Y211" s="742"/>
      <c r="Z211" s="718"/>
      <c r="AA211" s="609"/>
      <c r="AB211" s="614"/>
      <c r="AC211" s="578"/>
      <c r="AD211" s="578"/>
      <c r="AE211" s="578"/>
      <c r="AF211" s="578"/>
      <c r="AG211" s="578"/>
      <c r="AH211" s="578"/>
      <c r="AI211" s="578"/>
    </row>
    <row r="212" spans="1:35" ht="14.25" customHeight="1" x14ac:dyDescent="0.3">
      <c r="A212" s="721"/>
      <c r="B212" s="577" t="s">
        <v>218</v>
      </c>
      <c r="C212" s="577"/>
      <c r="D212" s="577" t="s">
        <v>217</v>
      </c>
      <c r="E212" s="577"/>
      <c r="F212" s="577" t="s">
        <v>217</v>
      </c>
      <c r="G212" s="577"/>
      <c r="H212" s="577" t="s">
        <v>217</v>
      </c>
      <c r="I212" s="577"/>
      <c r="J212" s="577" t="s">
        <v>218</v>
      </c>
      <c r="K212" s="577"/>
      <c r="L212" s="577" t="s">
        <v>217</v>
      </c>
      <c r="M212" s="743">
        <f>(U200+W200+Y200+C209+E209+G209++I209+K209+M209)/1000</f>
        <v>3.6491689999999997</v>
      </c>
      <c r="N212" s="577" t="s">
        <v>215</v>
      </c>
      <c r="O212" s="577"/>
      <c r="P212" s="577" t="s">
        <v>217</v>
      </c>
      <c r="Q212" s="577"/>
      <c r="R212" s="577" t="s">
        <v>217</v>
      </c>
      <c r="S212" s="577"/>
      <c r="T212" s="577" t="s">
        <v>217</v>
      </c>
      <c r="U212" s="577"/>
      <c r="V212" s="577" t="s">
        <v>217</v>
      </c>
      <c r="W212" s="577"/>
      <c r="X212" s="577" t="s">
        <v>217</v>
      </c>
      <c r="Y212" s="744"/>
      <c r="Z212" s="718"/>
      <c r="AA212" s="609"/>
      <c r="AB212" s="614"/>
      <c r="AC212" s="578"/>
      <c r="AD212" s="578"/>
      <c r="AE212" s="578"/>
      <c r="AF212" s="578"/>
      <c r="AG212" s="578"/>
      <c r="AH212" s="578"/>
      <c r="AI212" s="578"/>
    </row>
    <row r="213" spans="1:35" ht="14.25" customHeight="1" x14ac:dyDescent="0.3">
      <c r="A213" s="721"/>
      <c r="B213" s="577"/>
      <c r="C213" s="577"/>
      <c r="D213" s="577"/>
      <c r="E213" s="577"/>
      <c r="F213" s="580" t="s">
        <v>728</v>
      </c>
      <c r="G213" s="577"/>
      <c r="H213" s="577"/>
      <c r="I213" s="577"/>
      <c r="J213" s="577"/>
      <c r="K213" s="577"/>
      <c r="L213" s="577"/>
      <c r="M213" s="743"/>
      <c r="N213" s="580" t="s">
        <v>728</v>
      </c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744"/>
      <c r="Z213" s="718"/>
      <c r="AA213" s="609"/>
      <c r="AB213" s="614"/>
      <c r="AC213" s="578"/>
      <c r="AD213" s="578"/>
      <c r="AE213" s="578"/>
      <c r="AF213" s="578"/>
      <c r="AG213" s="578"/>
      <c r="AH213" s="578"/>
      <c r="AI213" s="578"/>
    </row>
    <row r="214" spans="1:35" ht="14.25" customHeight="1" x14ac:dyDescent="0.3">
      <c r="A214" s="721"/>
      <c r="B214" s="865"/>
      <c r="C214" s="865"/>
      <c r="D214" s="865"/>
      <c r="E214" s="865"/>
      <c r="F214" s="865"/>
      <c r="G214" s="865"/>
      <c r="H214" s="865"/>
      <c r="I214" s="865"/>
      <c r="J214" s="865"/>
      <c r="K214" s="865"/>
      <c r="L214" s="865"/>
      <c r="M214" s="743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744"/>
      <c r="Z214" s="718"/>
      <c r="AA214" s="609"/>
      <c r="AB214" s="614"/>
      <c r="AC214" s="578"/>
      <c r="AD214" s="578"/>
      <c r="AE214" s="578"/>
      <c r="AF214" s="578"/>
      <c r="AG214" s="578"/>
      <c r="AH214" s="578"/>
      <c r="AI214" s="578"/>
    </row>
    <row r="215" spans="1:35" ht="14.25" customHeight="1" x14ac:dyDescent="0.3">
      <c r="A215" s="721"/>
      <c r="B215" s="728"/>
      <c r="C215" s="728"/>
      <c r="D215" s="728"/>
      <c r="E215" s="728"/>
      <c r="F215" s="728"/>
      <c r="G215" s="728"/>
      <c r="H215" s="728"/>
      <c r="I215" s="728"/>
      <c r="J215" s="728"/>
      <c r="K215" s="728"/>
      <c r="L215" s="728"/>
      <c r="M215" s="728"/>
      <c r="N215" s="577"/>
      <c r="O215" s="728"/>
      <c r="P215" s="577"/>
      <c r="Q215" s="728"/>
      <c r="R215" s="577"/>
      <c r="S215" s="741"/>
      <c r="T215" s="577"/>
      <c r="U215" s="741"/>
      <c r="V215" s="577"/>
      <c r="W215" s="741"/>
      <c r="X215" s="577"/>
      <c r="Y215" s="736"/>
      <c r="Z215" s="718"/>
      <c r="AA215" s="609"/>
      <c r="AB215" s="614"/>
      <c r="AC215" s="578"/>
      <c r="AD215" s="578"/>
      <c r="AE215" s="578"/>
      <c r="AF215" s="578"/>
      <c r="AG215" s="578"/>
      <c r="AH215" s="578"/>
      <c r="AI215" s="578"/>
    </row>
    <row r="216" spans="1:35" ht="14.25" customHeight="1" x14ac:dyDescent="0.3">
      <c r="A216" s="721"/>
      <c r="B216" s="771"/>
      <c r="C216" s="749"/>
      <c r="D216" s="771"/>
      <c r="E216" s="749"/>
      <c r="F216" s="771"/>
      <c r="G216" s="749"/>
      <c r="H216" s="771"/>
      <c r="I216" s="749"/>
      <c r="J216" s="728"/>
      <c r="K216" s="749"/>
      <c r="L216" s="771"/>
      <c r="M216" s="749"/>
      <c r="N216" s="771"/>
      <c r="O216" s="749"/>
      <c r="P216" s="771"/>
      <c r="Q216" s="749"/>
      <c r="R216" s="771"/>
      <c r="S216" s="749"/>
      <c r="T216" s="771"/>
      <c r="U216" s="749"/>
      <c r="V216" s="771"/>
      <c r="W216" s="749"/>
      <c r="X216" s="728"/>
      <c r="Y216" s="750"/>
      <c r="Z216" s="718"/>
      <c r="AA216" s="609"/>
      <c r="AB216" s="614"/>
      <c r="AC216" s="578"/>
      <c r="AD216" s="578"/>
      <c r="AE216" s="578"/>
      <c r="AF216" s="578"/>
      <c r="AG216" s="578"/>
      <c r="AH216" s="578"/>
      <c r="AI216" s="578"/>
    </row>
    <row r="217" spans="1:35" ht="14.25" customHeight="1" x14ac:dyDescent="0.3">
      <c r="A217" s="721"/>
      <c r="B217" s="741"/>
      <c r="C217" s="749"/>
      <c r="D217" s="741"/>
      <c r="E217" s="749"/>
      <c r="F217" s="741"/>
      <c r="G217" s="749"/>
      <c r="H217" s="741"/>
      <c r="I217" s="749"/>
      <c r="J217" s="728"/>
      <c r="K217" s="749"/>
      <c r="L217" s="741"/>
      <c r="M217" s="749"/>
      <c r="N217" s="741"/>
      <c r="O217" s="749"/>
      <c r="P217" s="741"/>
      <c r="Q217" s="749"/>
      <c r="R217" s="741"/>
      <c r="S217" s="749"/>
      <c r="T217" s="741"/>
      <c r="U217" s="749"/>
      <c r="V217" s="741"/>
      <c r="W217" s="749"/>
      <c r="X217" s="728"/>
      <c r="Y217" s="750"/>
      <c r="Z217" s="718"/>
      <c r="AA217" s="609"/>
      <c r="AB217" s="614"/>
      <c r="AC217" s="578"/>
      <c r="AD217" s="578"/>
      <c r="AE217" s="578"/>
      <c r="AF217" s="578"/>
      <c r="AG217" s="578"/>
      <c r="AH217" s="578"/>
      <c r="AI217" s="578"/>
    </row>
    <row r="218" spans="1:35" ht="14.25" customHeight="1" x14ac:dyDescent="0.3">
      <c r="A218" s="721"/>
      <c r="B218" s="956" t="s">
        <v>744</v>
      </c>
      <c r="C218" s="574">
        <v>392</v>
      </c>
      <c r="D218" s="956" t="s">
        <v>744</v>
      </c>
      <c r="E218" s="575">
        <v>390</v>
      </c>
      <c r="F218" s="943" t="s">
        <v>562</v>
      </c>
      <c r="G218" s="575">
        <v>401</v>
      </c>
      <c r="H218" s="943" t="s">
        <v>562</v>
      </c>
      <c r="I218" s="575">
        <v>406.005</v>
      </c>
      <c r="J218" s="958"/>
      <c r="K218" s="575">
        <v>385</v>
      </c>
      <c r="L218" s="954" t="s">
        <v>698</v>
      </c>
      <c r="M218" s="575">
        <v>380</v>
      </c>
      <c r="N218" s="954" t="s">
        <v>698</v>
      </c>
      <c r="O218" s="575">
        <v>380</v>
      </c>
      <c r="P218" s="954" t="s">
        <v>698</v>
      </c>
      <c r="Q218" s="575">
        <v>382</v>
      </c>
      <c r="R218" s="954" t="s">
        <v>698</v>
      </c>
      <c r="S218" s="575">
        <v>383.99099999999999</v>
      </c>
      <c r="T218" s="954" t="s">
        <v>698</v>
      </c>
      <c r="U218" s="575">
        <v>392.29500000000002</v>
      </c>
      <c r="V218" s="943"/>
      <c r="W218" s="575">
        <v>401.31</v>
      </c>
      <c r="X218" s="945"/>
      <c r="Y218" s="737">
        <v>352</v>
      </c>
      <c r="Z218" s="718"/>
      <c r="AA218" s="609"/>
      <c r="AB218" s="614"/>
      <c r="AC218" s="578"/>
      <c r="AD218" s="578"/>
      <c r="AE218" s="578"/>
      <c r="AF218" s="578"/>
      <c r="AG218" s="578"/>
      <c r="AH218" s="578"/>
      <c r="AI218" s="578"/>
    </row>
    <row r="219" spans="1:35" ht="14.25" customHeight="1" x14ac:dyDescent="0.3">
      <c r="A219" s="721"/>
      <c r="B219" s="957"/>
      <c r="C219" s="741"/>
      <c r="D219" s="957"/>
      <c r="E219" s="741"/>
      <c r="F219" s="944"/>
      <c r="G219" s="741"/>
      <c r="H219" s="944"/>
      <c r="I219" s="741"/>
      <c r="J219" s="959"/>
      <c r="K219" s="741"/>
      <c r="L219" s="955"/>
      <c r="M219" s="741"/>
      <c r="N219" s="955"/>
      <c r="O219" s="741"/>
      <c r="P219" s="955"/>
      <c r="Q219" s="741"/>
      <c r="R219" s="955"/>
      <c r="S219" s="741"/>
      <c r="T219" s="955"/>
      <c r="U219" s="741"/>
      <c r="V219" s="944"/>
      <c r="W219" s="741"/>
      <c r="X219" s="946"/>
      <c r="Y219" s="738"/>
      <c r="Z219" s="718">
        <v>7</v>
      </c>
      <c r="AA219" s="609">
        <v>7</v>
      </c>
      <c r="AB219" s="614">
        <v>4</v>
      </c>
      <c r="AC219" s="578"/>
      <c r="AD219" s="578"/>
      <c r="AE219" s="578"/>
      <c r="AF219" s="578"/>
      <c r="AG219" s="578"/>
      <c r="AH219" s="578"/>
      <c r="AI219" s="578"/>
    </row>
    <row r="220" spans="1:35" ht="14.25" customHeight="1" x14ac:dyDescent="0.3">
      <c r="A220" s="721"/>
      <c r="B220" s="739" t="s">
        <v>624</v>
      </c>
      <c r="C220" s="577"/>
      <c r="D220" s="739" t="s">
        <v>625</v>
      </c>
      <c r="E220" s="740"/>
      <c r="F220" s="739" t="s">
        <v>626</v>
      </c>
      <c r="G220" s="740"/>
      <c r="H220" s="739" t="s">
        <v>627</v>
      </c>
      <c r="I220" s="740"/>
      <c r="J220" s="739" t="s">
        <v>628</v>
      </c>
      <c r="K220" s="740"/>
      <c r="L220" s="739" t="s">
        <v>629</v>
      </c>
      <c r="M220" s="740"/>
      <c r="N220" s="739" t="s">
        <v>630</v>
      </c>
      <c r="O220" s="740"/>
      <c r="P220" s="739" t="s">
        <v>631</v>
      </c>
      <c r="Q220" s="740"/>
      <c r="R220" s="739" t="s">
        <v>632</v>
      </c>
      <c r="S220" s="740"/>
      <c r="T220" s="739" t="s">
        <v>633</v>
      </c>
      <c r="U220" s="741"/>
      <c r="V220" s="739" t="s">
        <v>634</v>
      </c>
      <c r="W220" s="740"/>
      <c r="X220" s="739" t="s">
        <v>635</v>
      </c>
      <c r="Y220" s="742"/>
      <c r="Z220" s="718"/>
      <c r="AA220" s="609"/>
      <c r="AB220" s="614"/>
      <c r="AC220" s="578"/>
      <c r="AD220" s="578"/>
      <c r="AE220" s="578"/>
      <c r="AF220" s="578"/>
      <c r="AG220" s="578"/>
      <c r="AH220" s="578"/>
      <c r="AI220" s="578"/>
    </row>
    <row r="221" spans="1:35" ht="14.25" customHeight="1" x14ac:dyDescent="0.3">
      <c r="A221" s="721"/>
      <c r="B221" s="577" t="s">
        <v>217</v>
      </c>
      <c r="C221" s="577"/>
      <c r="D221" s="577" t="s">
        <v>217</v>
      </c>
      <c r="E221" s="577"/>
      <c r="F221" s="577" t="s">
        <v>217</v>
      </c>
      <c r="G221" s="577"/>
      <c r="H221" s="577" t="s">
        <v>217</v>
      </c>
      <c r="I221" s="743">
        <f>(O209+Q209+S209+U209+W209+Y209+C218+E218+G218+I218)/1000</f>
        <v>3.9240050000000002</v>
      </c>
      <c r="J221" s="577" t="s">
        <v>242</v>
      </c>
      <c r="K221" s="577"/>
      <c r="L221" s="577" t="s">
        <v>217</v>
      </c>
      <c r="M221" s="577"/>
      <c r="N221" s="577" t="s">
        <v>217</v>
      </c>
      <c r="O221" s="577"/>
      <c r="P221" s="577" t="s">
        <v>217</v>
      </c>
      <c r="Q221" s="577"/>
      <c r="R221" s="577" t="s">
        <v>217</v>
      </c>
      <c r="S221" s="577"/>
      <c r="T221" s="577" t="s">
        <v>217</v>
      </c>
      <c r="U221" s="577"/>
      <c r="V221" s="577" t="s">
        <v>217</v>
      </c>
      <c r="W221" s="743">
        <f>(K218+M218+O218+Q218+S218+U218+W218)/1000</f>
        <v>2.704596</v>
      </c>
      <c r="X221" s="577" t="s">
        <v>242</v>
      </c>
      <c r="Y221" s="744"/>
      <c r="Z221" s="718"/>
      <c r="AA221" s="609"/>
      <c r="AB221" s="614"/>
      <c r="AC221" s="578"/>
      <c r="AD221" s="578"/>
      <c r="AE221" s="578"/>
      <c r="AF221" s="578"/>
      <c r="AG221" s="578"/>
      <c r="AH221" s="578"/>
      <c r="AI221" s="578"/>
    </row>
    <row r="222" spans="1:35" ht="14.25" customHeight="1" x14ac:dyDescent="0.3">
      <c r="A222" s="721"/>
      <c r="B222" s="577"/>
      <c r="C222" s="577"/>
      <c r="D222" s="577"/>
      <c r="E222" s="577"/>
      <c r="F222" s="577"/>
      <c r="G222" s="577"/>
      <c r="H222" s="577"/>
      <c r="I222" s="743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80" t="s">
        <v>728</v>
      </c>
      <c r="W222" s="743"/>
      <c r="X222" s="577"/>
      <c r="Y222" s="744"/>
      <c r="Z222" s="718"/>
      <c r="AA222" s="609"/>
      <c r="AB222" s="614"/>
      <c r="AC222" s="578"/>
      <c r="AD222" s="578"/>
      <c r="AE222" s="578"/>
      <c r="AF222" s="578"/>
      <c r="AG222" s="578"/>
      <c r="AH222" s="578"/>
      <c r="AI222" s="578"/>
    </row>
    <row r="223" spans="1:35" ht="14.25" customHeight="1" x14ac:dyDescent="0.3">
      <c r="A223" s="721"/>
      <c r="B223" s="577"/>
      <c r="C223" s="577"/>
      <c r="D223" s="577"/>
      <c r="E223" s="577"/>
      <c r="F223" s="577"/>
      <c r="G223" s="577"/>
      <c r="H223" s="577"/>
      <c r="I223" s="743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743"/>
      <c r="X223" s="577"/>
      <c r="Y223" s="744"/>
      <c r="Z223" s="718"/>
      <c r="AA223" s="609"/>
      <c r="AB223" s="614"/>
      <c r="AC223" s="578"/>
      <c r="AD223" s="578"/>
      <c r="AE223" s="578"/>
      <c r="AF223" s="578"/>
      <c r="AG223" s="578"/>
      <c r="AH223" s="578"/>
      <c r="AI223" s="578"/>
    </row>
    <row r="224" spans="1:35" ht="14.25" customHeight="1" x14ac:dyDescent="0.3">
      <c r="A224" s="721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8"/>
      <c r="P224" s="728"/>
      <c r="Q224" s="728"/>
      <c r="R224" s="728"/>
      <c r="S224" s="728"/>
      <c r="T224" s="728"/>
      <c r="U224" s="728"/>
      <c r="V224" s="728"/>
      <c r="W224" s="728"/>
      <c r="X224" s="728"/>
      <c r="Y224" s="736"/>
      <c r="Z224" s="718"/>
      <c r="AA224" s="609"/>
      <c r="AB224" s="614"/>
      <c r="AC224" s="578"/>
      <c r="AD224" s="578"/>
      <c r="AE224" s="578"/>
      <c r="AF224" s="578"/>
      <c r="AG224" s="578"/>
      <c r="AH224" s="578"/>
      <c r="AI224" s="578"/>
    </row>
    <row r="225" spans="1:35" ht="14.25" customHeight="1" x14ac:dyDescent="0.3">
      <c r="A225" s="721"/>
      <c r="B225" s="771"/>
      <c r="C225" s="749"/>
      <c r="D225" s="771"/>
      <c r="E225" s="749"/>
      <c r="F225" s="771"/>
      <c r="G225" s="749"/>
      <c r="H225" s="728"/>
      <c r="I225" s="749"/>
      <c r="J225" s="771"/>
      <c r="K225" s="749"/>
      <c r="L225" s="771"/>
      <c r="M225" s="749"/>
      <c r="N225" s="771"/>
      <c r="O225" s="749"/>
      <c r="P225" s="771"/>
      <c r="Q225" s="749"/>
      <c r="R225" s="771"/>
      <c r="S225" s="749"/>
      <c r="T225" s="771"/>
      <c r="U225" s="749"/>
      <c r="V225" s="771"/>
      <c r="W225" s="749"/>
      <c r="X225" s="771"/>
      <c r="Y225" s="750"/>
      <c r="Z225" s="718"/>
      <c r="AA225" s="609"/>
      <c r="AB225" s="614"/>
      <c r="AC225" s="578"/>
      <c r="AD225" s="578"/>
      <c r="AE225" s="578"/>
      <c r="AF225" s="578"/>
      <c r="AG225" s="578"/>
      <c r="AH225" s="578"/>
      <c r="AI225" s="578"/>
    </row>
    <row r="226" spans="1:35" ht="14.25" customHeight="1" x14ac:dyDescent="0.3">
      <c r="A226" s="721"/>
      <c r="B226" s="741"/>
      <c r="C226" s="749"/>
      <c r="D226" s="741"/>
      <c r="E226" s="749"/>
      <c r="F226" s="741"/>
      <c r="G226" s="749"/>
      <c r="H226" s="728"/>
      <c r="I226" s="749"/>
      <c r="J226" s="741"/>
      <c r="K226" s="749"/>
      <c r="L226" s="741"/>
      <c r="M226" s="749"/>
      <c r="N226" s="741"/>
      <c r="O226" s="749"/>
      <c r="P226" s="741"/>
      <c r="Q226" s="749"/>
      <c r="R226" s="741"/>
      <c r="S226" s="749"/>
      <c r="T226" s="741"/>
      <c r="U226" s="749"/>
      <c r="V226" s="741"/>
      <c r="W226" s="749"/>
      <c r="X226" s="741"/>
      <c r="Y226" s="750"/>
      <c r="Z226" s="718"/>
      <c r="AA226" s="609"/>
      <c r="AB226" s="614"/>
      <c r="AC226" s="578"/>
      <c r="AD226" s="578"/>
      <c r="AE226" s="578"/>
      <c r="AF226" s="578"/>
      <c r="AG226" s="578"/>
      <c r="AH226" s="578"/>
      <c r="AI226" s="578"/>
    </row>
    <row r="227" spans="1:35" ht="14.25" customHeight="1" x14ac:dyDescent="0.3">
      <c r="A227" s="721"/>
      <c r="B227" s="947"/>
      <c r="C227" s="574">
        <v>368</v>
      </c>
      <c r="D227" s="947"/>
      <c r="E227" s="575">
        <v>440</v>
      </c>
      <c r="F227" s="947"/>
      <c r="G227" s="575">
        <v>364.13200000000001</v>
      </c>
      <c r="H227" s="945"/>
      <c r="I227" s="575">
        <v>407</v>
      </c>
      <c r="J227" s="947"/>
      <c r="K227" s="575">
        <v>375</v>
      </c>
      <c r="L227" s="947"/>
      <c r="M227" s="575">
        <v>313</v>
      </c>
      <c r="N227" s="947"/>
      <c r="O227" s="575">
        <v>388</v>
      </c>
      <c r="P227" s="943" t="s">
        <v>562</v>
      </c>
      <c r="Q227" s="575">
        <v>414</v>
      </c>
      <c r="R227" s="943" t="s">
        <v>562</v>
      </c>
      <c r="S227" s="575">
        <v>385</v>
      </c>
      <c r="T227" s="947"/>
      <c r="U227" s="575">
        <v>360</v>
      </c>
      <c r="V227" s="947"/>
      <c r="W227" s="584">
        <v>382</v>
      </c>
      <c r="X227" s="947"/>
      <c r="Y227" s="774">
        <v>415</v>
      </c>
      <c r="Z227" s="718"/>
      <c r="AA227" s="609"/>
      <c r="AB227" s="614"/>
      <c r="AC227" s="578"/>
      <c r="AD227" s="578"/>
      <c r="AE227" s="578"/>
      <c r="AF227" s="578"/>
      <c r="AG227" s="578"/>
      <c r="AH227" s="578"/>
      <c r="AI227" s="578"/>
    </row>
    <row r="228" spans="1:35" ht="14.25" customHeight="1" x14ac:dyDescent="0.3">
      <c r="A228" s="721"/>
      <c r="B228" s="948"/>
      <c r="C228" s="741"/>
      <c r="D228" s="948"/>
      <c r="E228" s="741"/>
      <c r="F228" s="948"/>
      <c r="G228" s="741"/>
      <c r="H228" s="946"/>
      <c r="I228" s="741"/>
      <c r="J228" s="948"/>
      <c r="K228" s="741"/>
      <c r="L228" s="948"/>
      <c r="M228" s="741"/>
      <c r="N228" s="948"/>
      <c r="O228" s="741"/>
      <c r="P228" s="944"/>
      <c r="Q228" s="741"/>
      <c r="R228" s="944"/>
      <c r="S228" s="741"/>
      <c r="T228" s="948"/>
      <c r="U228" s="741"/>
      <c r="V228" s="948"/>
      <c r="W228" s="741"/>
      <c r="X228" s="948"/>
      <c r="Y228" s="738"/>
      <c r="Z228" s="718"/>
      <c r="AA228" s="609"/>
      <c r="AB228" s="614"/>
      <c r="AC228" s="578"/>
      <c r="AD228" s="578"/>
      <c r="AE228" s="578"/>
      <c r="AF228" s="578"/>
      <c r="AG228" s="578"/>
      <c r="AH228" s="578"/>
      <c r="AI228" s="578"/>
    </row>
    <row r="229" spans="1:35" ht="14.25" customHeight="1" x14ac:dyDescent="0.3">
      <c r="A229" s="721"/>
      <c r="B229" s="739" t="s">
        <v>636</v>
      </c>
      <c r="C229" s="577"/>
      <c r="D229" s="739" t="s">
        <v>637</v>
      </c>
      <c r="E229" s="740"/>
      <c r="F229" s="739" t="s">
        <v>638</v>
      </c>
      <c r="G229" s="740"/>
      <c r="H229" s="739" t="s">
        <v>639</v>
      </c>
      <c r="I229" s="740"/>
      <c r="J229" s="739" t="s">
        <v>640</v>
      </c>
      <c r="K229" s="740"/>
      <c r="L229" s="739" t="s">
        <v>641</v>
      </c>
      <c r="M229" s="740"/>
      <c r="N229" s="739" t="s">
        <v>642</v>
      </c>
      <c r="O229" s="740"/>
      <c r="P229" s="739" t="s">
        <v>643</v>
      </c>
      <c r="Q229" s="740"/>
      <c r="R229" s="739" t="s">
        <v>644</v>
      </c>
      <c r="S229" s="740"/>
      <c r="T229" s="739" t="s">
        <v>645</v>
      </c>
      <c r="U229" s="741"/>
      <c r="V229" s="739" t="s">
        <v>646</v>
      </c>
      <c r="W229" s="740"/>
      <c r="X229" s="775" t="s">
        <v>647</v>
      </c>
      <c r="Y229" s="742"/>
      <c r="Z229" s="718"/>
      <c r="AA229" s="609"/>
      <c r="AB229" s="614"/>
      <c r="AC229" s="578"/>
      <c r="AD229" s="578"/>
      <c r="AE229" s="578"/>
      <c r="AF229" s="578"/>
      <c r="AG229" s="578"/>
      <c r="AH229" s="578"/>
      <c r="AI229" s="578"/>
    </row>
    <row r="230" spans="1:35" ht="14.25" customHeight="1" x14ac:dyDescent="0.3">
      <c r="A230" s="721"/>
      <c r="B230" s="577" t="s">
        <v>217</v>
      </c>
      <c r="C230" s="577"/>
      <c r="D230" s="577" t="s">
        <v>217</v>
      </c>
      <c r="E230" s="577"/>
      <c r="F230" s="577" t="s">
        <v>216</v>
      </c>
      <c r="G230" s="743">
        <f>(Y218+C227+E227+G227)/1000</f>
        <v>1.524132</v>
      </c>
      <c r="H230" s="577" t="s">
        <v>219</v>
      </c>
      <c r="I230" s="577"/>
      <c r="J230" s="577" t="s">
        <v>217</v>
      </c>
      <c r="K230" s="577"/>
      <c r="L230" s="577" t="s">
        <v>217</v>
      </c>
      <c r="M230" s="577"/>
      <c r="N230" s="577" t="s">
        <v>217</v>
      </c>
      <c r="O230" s="577"/>
      <c r="P230" s="577" t="s">
        <v>216</v>
      </c>
      <c r="Q230" s="577"/>
      <c r="R230" s="577" t="s">
        <v>217</v>
      </c>
      <c r="S230" s="577"/>
      <c r="T230" s="577" t="s">
        <v>217</v>
      </c>
      <c r="U230" s="577"/>
      <c r="V230" s="577" t="s">
        <v>217</v>
      </c>
      <c r="W230" s="577"/>
      <c r="X230" s="577" t="s">
        <v>217</v>
      </c>
      <c r="Y230" s="744"/>
      <c r="Z230" s="718"/>
      <c r="AA230" s="609"/>
      <c r="AB230" s="614"/>
      <c r="AC230" s="578"/>
      <c r="AD230" s="578"/>
      <c r="AE230" s="578"/>
      <c r="AF230" s="578"/>
      <c r="AG230" s="578"/>
      <c r="AH230" s="578"/>
      <c r="AI230" s="578"/>
    </row>
    <row r="231" spans="1:35" ht="14.25" customHeight="1" x14ac:dyDescent="0.3">
      <c r="A231" s="721"/>
      <c r="B231" s="577"/>
      <c r="C231" s="577"/>
      <c r="D231" s="577"/>
      <c r="E231" s="577"/>
      <c r="F231" s="577"/>
      <c r="G231" s="743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744"/>
      <c r="Z231" s="718"/>
      <c r="AA231" s="609"/>
      <c r="AB231" s="614"/>
      <c r="AC231" s="578"/>
      <c r="AD231" s="578"/>
      <c r="AE231" s="578"/>
      <c r="AF231" s="578"/>
      <c r="AG231" s="578"/>
      <c r="AH231" s="578"/>
      <c r="AI231" s="578"/>
    </row>
    <row r="232" spans="1:35" ht="14.25" customHeight="1" x14ac:dyDescent="0.3">
      <c r="A232" s="721"/>
      <c r="B232" s="577"/>
      <c r="C232" s="577"/>
      <c r="D232" s="577"/>
      <c r="E232" s="577"/>
      <c r="F232" s="577"/>
      <c r="G232" s="743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744"/>
      <c r="Z232" s="718"/>
      <c r="AA232" s="609"/>
      <c r="AB232" s="614"/>
      <c r="AC232" s="578"/>
      <c r="AD232" s="578"/>
      <c r="AE232" s="578"/>
      <c r="AF232" s="578"/>
      <c r="AG232" s="578"/>
      <c r="AH232" s="578"/>
      <c r="AI232" s="578"/>
    </row>
    <row r="233" spans="1:35" ht="14.25" customHeight="1" x14ac:dyDescent="0.3">
      <c r="A233" s="721"/>
      <c r="B233" s="728"/>
      <c r="C233" s="728"/>
      <c r="D233" s="728"/>
      <c r="E233" s="728"/>
      <c r="F233" s="728"/>
      <c r="G233" s="728"/>
      <c r="H233" s="728"/>
      <c r="I233" s="728"/>
      <c r="J233" s="728"/>
      <c r="K233" s="728"/>
      <c r="L233" s="728"/>
      <c r="M233" s="728"/>
      <c r="N233" s="577"/>
      <c r="O233" s="728"/>
      <c r="P233" s="577"/>
      <c r="Q233" s="728"/>
      <c r="R233" s="577"/>
      <c r="S233" s="741"/>
      <c r="T233" s="577"/>
      <c r="U233" s="741"/>
      <c r="V233" s="577"/>
      <c r="W233" s="749"/>
      <c r="X233" s="577"/>
      <c r="Y233" s="736"/>
      <c r="Z233" s="718"/>
      <c r="AA233" s="609"/>
      <c r="AB233" s="614"/>
      <c r="AC233" s="578"/>
      <c r="AD233" s="578"/>
      <c r="AE233" s="578"/>
      <c r="AF233" s="578"/>
      <c r="AG233" s="578"/>
      <c r="AH233" s="578"/>
      <c r="AI233" s="578"/>
    </row>
    <row r="234" spans="1:35" ht="14.25" customHeight="1" x14ac:dyDescent="0.3">
      <c r="A234" s="721"/>
      <c r="B234" s="771"/>
      <c r="C234" s="749"/>
      <c r="D234" s="771"/>
      <c r="E234" s="749"/>
      <c r="F234" s="771"/>
      <c r="G234" s="749"/>
      <c r="H234" s="728"/>
      <c r="I234" s="749"/>
      <c r="J234" s="771"/>
      <c r="K234" s="749"/>
      <c r="L234" s="771"/>
      <c r="M234" s="749"/>
      <c r="N234" s="771"/>
      <c r="O234" s="749"/>
      <c r="P234" s="728"/>
      <c r="Q234" s="749"/>
      <c r="R234" s="728"/>
      <c r="S234" s="749"/>
      <c r="T234" s="771"/>
      <c r="U234" s="749"/>
      <c r="V234" s="728"/>
      <c r="W234" s="579"/>
      <c r="X234" s="771"/>
      <c r="Y234" s="750"/>
      <c r="Z234" s="718"/>
      <c r="AA234" s="609"/>
      <c r="AB234" s="614"/>
      <c r="AC234" s="578"/>
      <c r="AD234" s="578"/>
      <c r="AE234" s="578"/>
      <c r="AF234" s="578"/>
      <c r="AG234" s="578"/>
      <c r="AH234" s="578"/>
      <c r="AI234" s="578"/>
    </row>
    <row r="235" spans="1:35" ht="14.25" customHeight="1" x14ac:dyDescent="0.3">
      <c r="A235" s="721"/>
      <c r="B235" s="741"/>
      <c r="C235" s="749"/>
      <c r="D235" s="741"/>
      <c r="E235" s="749"/>
      <c r="F235" s="741"/>
      <c r="G235" s="749"/>
      <c r="H235" s="728"/>
      <c r="I235" s="749"/>
      <c r="J235" s="741"/>
      <c r="K235" s="749"/>
      <c r="L235" s="741"/>
      <c r="M235" s="749"/>
      <c r="N235" s="741"/>
      <c r="O235" s="749"/>
      <c r="P235" s="728"/>
      <c r="Q235" s="749"/>
      <c r="R235" s="728"/>
      <c r="S235" s="749"/>
      <c r="T235" s="741"/>
      <c r="U235" s="749"/>
      <c r="V235" s="728"/>
      <c r="W235" s="749"/>
      <c r="X235" s="741"/>
      <c r="Y235" s="750"/>
      <c r="Z235" s="718"/>
      <c r="AA235" s="609"/>
      <c r="AB235" s="614"/>
      <c r="AC235" s="578"/>
      <c r="AD235" s="578"/>
      <c r="AE235" s="578"/>
      <c r="AF235" s="578"/>
      <c r="AG235" s="578"/>
      <c r="AH235" s="578"/>
      <c r="AI235" s="578"/>
    </row>
    <row r="236" spans="1:35" ht="14.25" customHeight="1" x14ac:dyDescent="0.3">
      <c r="A236" s="721"/>
      <c r="B236" s="943" t="s">
        <v>562</v>
      </c>
      <c r="C236" s="574">
        <v>429</v>
      </c>
      <c r="D236" s="947"/>
      <c r="E236" s="575">
        <v>383</v>
      </c>
      <c r="F236" s="947"/>
      <c r="G236" s="575">
        <v>447.10700000000003</v>
      </c>
      <c r="H236" s="952" t="s">
        <v>562</v>
      </c>
      <c r="I236" s="575">
        <v>416</v>
      </c>
      <c r="J236" s="947"/>
      <c r="K236" s="575">
        <v>389</v>
      </c>
      <c r="L236" s="947"/>
      <c r="M236" s="575">
        <v>380</v>
      </c>
      <c r="N236" s="943" t="s">
        <v>562</v>
      </c>
      <c r="O236" s="575">
        <v>362.38400000000001</v>
      </c>
      <c r="P236" s="952" t="s">
        <v>562</v>
      </c>
      <c r="Q236" s="575">
        <v>263.31</v>
      </c>
      <c r="R236" s="945"/>
      <c r="S236" s="575">
        <v>393</v>
      </c>
      <c r="T236" s="943" t="s">
        <v>562</v>
      </c>
      <c r="U236" s="575">
        <v>384.17</v>
      </c>
      <c r="V236" s="945"/>
      <c r="W236" s="575">
        <v>348</v>
      </c>
      <c r="X236" s="947"/>
      <c r="Y236" s="737">
        <v>350</v>
      </c>
      <c r="Z236" s="718"/>
      <c r="AA236" s="609"/>
      <c r="AB236" s="614"/>
      <c r="AC236" s="578"/>
      <c r="AD236" s="578"/>
      <c r="AE236" s="578"/>
      <c r="AF236" s="578"/>
      <c r="AG236" s="578"/>
      <c r="AH236" s="578"/>
      <c r="AI236" s="578"/>
    </row>
    <row r="237" spans="1:35" ht="14.25" customHeight="1" x14ac:dyDescent="0.3">
      <c r="A237" s="721"/>
      <c r="B237" s="944"/>
      <c r="C237" s="741"/>
      <c r="D237" s="948"/>
      <c r="E237" s="741"/>
      <c r="F237" s="948"/>
      <c r="G237" s="741"/>
      <c r="H237" s="953"/>
      <c r="I237" s="741"/>
      <c r="J237" s="948"/>
      <c r="K237" s="741"/>
      <c r="L237" s="948"/>
      <c r="M237" s="741"/>
      <c r="N237" s="944"/>
      <c r="O237" s="741"/>
      <c r="P237" s="953"/>
      <c r="Q237" s="741"/>
      <c r="R237" s="946"/>
      <c r="S237" s="741"/>
      <c r="T237" s="944"/>
      <c r="U237" s="741"/>
      <c r="V237" s="946"/>
      <c r="W237" s="741"/>
      <c r="X237" s="948"/>
      <c r="Y237" s="738"/>
      <c r="Z237" s="718"/>
      <c r="AA237" s="609"/>
      <c r="AB237" s="614"/>
      <c r="AC237" s="578"/>
      <c r="AD237" s="578"/>
      <c r="AE237" s="578"/>
      <c r="AF237" s="578"/>
      <c r="AG237" s="578"/>
      <c r="AH237" s="578"/>
      <c r="AI237" s="578"/>
    </row>
    <row r="238" spans="1:35" ht="14.25" customHeight="1" x14ac:dyDescent="0.3">
      <c r="A238" s="721"/>
      <c r="B238" s="739" t="s">
        <v>648</v>
      </c>
      <c r="C238" s="577"/>
      <c r="D238" s="739" t="s">
        <v>649</v>
      </c>
      <c r="E238" s="740"/>
      <c r="F238" s="739" t="s">
        <v>650</v>
      </c>
      <c r="G238" s="740"/>
      <c r="H238" s="739" t="s">
        <v>651</v>
      </c>
      <c r="I238" s="740"/>
      <c r="J238" s="739" t="s">
        <v>652</v>
      </c>
      <c r="K238" s="740"/>
      <c r="L238" s="739" t="s">
        <v>653</v>
      </c>
      <c r="M238" s="740"/>
      <c r="N238" s="739" t="s">
        <v>654</v>
      </c>
      <c r="O238" s="740"/>
      <c r="P238" s="739" t="s">
        <v>655</v>
      </c>
      <c r="Q238" s="740"/>
      <c r="R238" s="739" t="s">
        <v>656</v>
      </c>
      <c r="S238" s="740"/>
      <c r="T238" s="739" t="s">
        <v>657</v>
      </c>
      <c r="U238" s="741"/>
      <c r="V238" s="739" t="s">
        <v>658</v>
      </c>
      <c r="W238" s="740"/>
      <c r="X238" s="739" t="s">
        <v>659</v>
      </c>
      <c r="Y238" s="742"/>
      <c r="Z238" s="718"/>
      <c r="AA238" s="609"/>
      <c r="AB238" s="614"/>
      <c r="AC238" s="578"/>
      <c r="AD238" s="578"/>
      <c r="AE238" s="578"/>
      <c r="AF238" s="578"/>
      <c r="AG238" s="578"/>
      <c r="AH238" s="578"/>
      <c r="AI238" s="578"/>
    </row>
    <row r="239" spans="1:35" ht="14.25" customHeight="1" x14ac:dyDescent="0.3">
      <c r="A239" s="721"/>
      <c r="B239" s="577" t="s">
        <v>218</v>
      </c>
      <c r="C239" s="577"/>
      <c r="D239" s="577" t="s">
        <v>216</v>
      </c>
      <c r="E239" s="577"/>
      <c r="F239" s="577" t="s">
        <v>216</v>
      </c>
      <c r="G239" s="743">
        <f>(I227+K227+M227+O227+Q227+S227+U227+W227+Y227+C236+E236+G236)/1000</f>
        <v>4.6981070000000003</v>
      </c>
      <c r="H239" s="577" t="s">
        <v>375</v>
      </c>
      <c r="I239" s="577"/>
      <c r="J239" s="577" t="s">
        <v>217</v>
      </c>
      <c r="K239" s="577"/>
      <c r="L239" s="577" t="s">
        <v>217</v>
      </c>
      <c r="M239" s="577"/>
      <c r="N239" s="577" t="s">
        <v>217</v>
      </c>
      <c r="O239" s="743">
        <f>(I236+K236+M236+O236)/1000</f>
        <v>1.5473840000000001</v>
      </c>
      <c r="P239" s="577" t="s">
        <v>660</v>
      </c>
      <c r="Q239" s="743">
        <f>Q236/1000</f>
        <v>0.26330999999999999</v>
      </c>
      <c r="R239" s="577" t="s">
        <v>814</v>
      </c>
      <c r="S239" s="577"/>
      <c r="T239" s="577" t="s">
        <v>217</v>
      </c>
      <c r="U239" s="743">
        <f>(S236+U236)/1000</f>
        <v>0.77717000000000003</v>
      </c>
      <c r="V239" s="577" t="s">
        <v>374</v>
      </c>
      <c r="W239" s="577"/>
      <c r="X239" s="577" t="s">
        <v>217</v>
      </c>
      <c r="Y239" s="744"/>
      <c r="Z239" s="718"/>
      <c r="AA239" s="609"/>
      <c r="AB239" s="614"/>
      <c r="AC239" s="578"/>
      <c r="AD239" s="578"/>
      <c r="AE239" s="578"/>
      <c r="AF239" s="578"/>
      <c r="AG239" s="578"/>
      <c r="AH239" s="578"/>
      <c r="AI239" s="578"/>
    </row>
    <row r="240" spans="1:35" ht="14.25" customHeight="1" x14ac:dyDescent="0.3">
      <c r="A240" s="721"/>
      <c r="B240" s="577"/>
      <c r="C240" s="577"/>
      <c r="D240" s="577"/>
      <c r="E240" s="577"/>
      <c r="F240" s="577"/>
      <c r="G240" s="743"/>
      <c r="H240" s="577"/>
      <c r="I240" s="577"/>
      <c r="J240" s="577"/>
      <c r="K240" s="577"/>
      <c r="L240" s="577"/>
      <c r="M240" s="577"/>
      <c r="N240" s="577"/>
      <c r="O240" s="743"/>
      <c r="P240" s="755"/>
      <c r="Q240" s="743"/>
      <c r="R240" s="755" t="s">
        <v>726</v>
      </c>
      <c r="S240" s="577"/>
      <c r="T240" s="577"/>
      <c r="U240" s="743"/>
      <c r="V240" s="577"/>
      <c r="W240" s="577"/>
      <c r="X240" s="577"/>
      <c r="Y240" s="744"/>
      <c r="Z240" s="718"/>
      <c r="AA240" s="609"/>
      <c r="AB240" s="614"/>
      <c r="AC240" s="578"/>
      <c r="AD240" s="578"/>
      <c r="AE240" s="578"/>
      <c r="AF240" s="578"/>
      <c r="AG240" s="578"/>
      <c r="AH240" s="578"/>
      <c r="AI240" s="578"/>
    </row>
    <row r="241" spans="1:35" ht="14.25" customHeight="1" x14ac:dyDescent="0.3">
      <c r="A241" s="721"/>
      <c r="B241" s="577"/>
      <c r="C241" s="577"/>
      <c r="D241" s="577"/>
      <c r="E241" s="577"/>
      <c r="F241" s="577"/>
      <c r="G241" s="743"/>
      <c r="H241" s="577"/>
      <c r="I241" s="577"/>
      <c r="J241" s="577"/>
      <c r="K241" s="577"/>
      <c r="L241" s="577"/>
      <c r="M241" s="577"/>
      <c r="N241" s="577"/>
      <c r="O241" s="743"/>
      <c r="P241" s="755" t="s">
        <v>726</v>
      </c>
      <c r="Q241" s="743"/>
      <c r="R241" s="949"/>
      <c r="S241" s="949"/>
      <c r="T241" s="949"/>
      <c r="U241" s="949"/>
      <c r="V241" s="949"/>
      <c r="W241" s="949"/>
      <c r="X241" s="949"/>
      <c r="Y241" s="744"/>
      <c r="Z241" s="718"/>
      <c r="AA241" s="609"/>
      <c r="AB241" s="614"/>
      <c r="AC241" s="578"/>
      <c r="AD241" s="578"/>
      <c r="AE241" s="578"/>
      <c r="AF241" s="578"/>
      <c r="AG241" s="578"/>
      <c r="AH241" s="578"/>
      <c r="AI241" s="578"/>
    </row>
    <row r="242" spans="1:35" ht="14.25" customHeight="1" x14ac:dyDescent="0.3">
      <c r="A242" s="721"/>
      <c r="B242" s="728"/>
      <c r="C242" s="746"/>
      <c r="D242" s="746"/>
      <c r="E242" s="746"/>
      <c r="F242" s="746"/>
      <c r="G242" s="746"/>
      <c r="H242" s="746"/>
      <c r="I242" s="746"/>
      <c r="J242" s="746"/>
      <c r="K242" s="746"/>
      <c r="L242" s="746"/>
      <c r="M242" s="746"/>
      <c r="N242" s="746"/>
      <c r="O242" s="746"/>
      <c r="P242" s="746"/>
      <c r="Q242" s="570"/>
      <c r="R242" s="570"/>
      <c r="S242" s="570"/>
      <c r="T242" s="570"/>
      <c r="U242" s="570"/>
      <c r="V242" s="570"/>
      <c r="W242" s="570"/>
      <c r="X242" s="570"/>
      <c r="Y242" s="776"/>
      <c r="Z242" s="718"/>
      <c r="AA242" s="609"/>
      <c r="AB242" s="614"/>
      <c r="AC242" s="578"/>
      <c r="AD242" s="578"/>
      <c r="AE242" s="578"/>
      <c r="AF242" s="578"/>
      <c r="AG242" s="578"/>
      <c r="AH242" s="578"/>
      <c r="AI242" s="578"/>
    </row>
    <row r="243" spans="1:35" ht="14.25" customHeight="1" x14ac:dyDescent="0.3">
      <c r="A243" s="721"/>
      <c r="B243" s="723"/>
      <c r="C243" s="746"/>
      <c r="D243" s="728"/>
      <c r="E243" s="746"/>
      <c r="F243" s="728"/>
      <c r="G243" s="746"/>
      <c r="H243" s="728"/>
      <c r="I243" s="746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776"/>
      <c r="Z243" s="718"/>
      <c r="AA243" s="609"/>
      <c r="AB243" s="614"/>
      <c r="AC243" s="578"/>
      <c r="AD243" s="578"/>
      <c r="AE243" s="578"/>
      <c r="AF243" s="578"/>
      <c r="AG243" s="578"/>
      <c r="AH243" s="578"/>
      <c r="AI243" s="578"/>
    </row>
    <row r="244" spans="1:35" ht="14.25" customHeight="1" x14ac:dyDescent="0.3">
      <c r="A244" s="721"/>
      <c r="B244" s="733"/>
      <c r="C244" s="746"/>
      <c r="D244" s="728"/>
      <c r="E244" s="746"/>
      <c r="F244" s="728"/>
      <c r="G244" s="746"/>
      <c r="H244" s="728"/>
      <c r="I244" s="746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776"/>
      <c r="Z244" s="718"/>
      <c r="AA244" s="609"/>
      <c r="AB244" s="614"/>
      <c r="AC244" s="578"/>
      <c r="AD244" s="578"/>
      <c r="AE244" s="578"/>
      <c r="AF244" s="578"/>
      <c r="AG244" s="578"/>
      <c r="AH244" s="578"/>
      <c r="AI244" s="578"/>
    </row>
    <row r="245" spans="1:35" ht="14.25" customHeight="1" x14ac:dyDescent="0.3">
      <c r="A245" s="721"/>
      <c r="B245" s="947"/>
      <c r="C245" s="574">
        <v>428.52600000000001</v>
      </c>
      <c r="D245" s="950" t="s">
        <v>562</v>
      </c>
      <c r="E245" s="575">
        <v>194.62799999999999</v>
      </c>
      <c r="F245" s="945"/>
      <c r="G245" s="575">
        <v>203.14099999999999</v>
      </c>
      <c r="H245" s="945"/>
      <c r="I245" s="777"/>
      <c r="J245" s="778"/>
      <c r="K245" s="570"/>
      <c r="L245" s="570"/>
      <c r="M245" s="570"/>
      <c r="N245" s="570"/>
      <c r="O245" s="570"/>
      <c r="P245" s="570"/>
      <c r="Q245" s="570"/>
      <c r="R245" s="570"/>
      <c r="S245" s="911">
        <v>1</v>
      </c>
      <c r="T245" s="912" t="s">
        <v>666</v>
      </c>
      <c r="U245" s="1021" t="s">
        <v>89</v>
      </c>
      <c r="V245" s="1022"/>
      <c r="W245" s="913" t="s">
        <v>750</v>
      </c>
      <c r="X245" s="570"/>
      <c r="Y245" s="776"/>
      <c r="Z245" s="718"/>
      <c r="AA245" s="609"/>
      <c r="AB245" s="614"/>
      <c r="AC245" s="578"/>
      <c r="AD245" s="578"/>
      <c r="AE245" s="578"/>
      <c r="AF245" s="578"/>
      <c r="AG245" s="578"/>
      <c r="AH245" s="578"/>
      <c r="AI245" s="578"/>
    </row>
    <row r="246" spans="1:35" ht="14.25" customHeight="1" x14ac:dyDescent="0.3">
      <c r="A246" s="721"/>
      <c r="B246" s="948"/>
      <c r="C246" s="733"/>
      <c r="D246" s="951"/>
      <c r="E246" s="733"/>
      <c r="F246" s="946"/>
      <c r="G246" s="733"/>
      <c r="H246" s="946"/>
      <c r="I246" s="733"/>
      <c r="J246" s="778"/>
      <c r="K246" s="570"/>
      <c r="L246" s="570"/>
      <c r="M246" s="570"/>
      <c r="N246" s="570"/>
      <c r="O246" s="570"/>
      <c r="P246" s="570"/>
      <c r="Q246" s="570"/>
      <c r="R246" s="570"/>
      <c r="S246" s="914">
        <f>S245+1</f>
        <v>2</v>
      </c>
      <c r="T246" s="915" t="s">
        <v>669</v>
      </c>
      <c r="U246" s="916" t="s">
        <v>751</v>
      </c>
      <c r="V246" s="917"/>
      <c r="W246" s="918" t="s">
        <v>748</v>
      </c>
      <c r="X246" s="570"/>
      <c r="Y246" s="776"/>
      <c r="Z246" s="718"/>
      <c r="AA246" s="609"/>
      <c r="AB246" s="614"/>
      <c r="AC246" s="578"/>
      <c r="AD246" s="578"/>
      <c r="AE246" s="578"/>
      <c r="AF246" s="578"/>
      <c r="AG246" s="578"/>
      <c r="AH246" s="578"/>
      <c r="AI246" s="578"/>
    </row>
    <row r="247" spans="1:35" ht="14.25" customHeight="1" x14ac:dyDescent="0.3">
      <c r="A247" s="721"/>
      <c r="B247" s="739" t="s">
        <v>661</v>
      </c>
      <c r="C247" s="577"/>
      <c r="D247" s="739" t="s">
        <v>662</v>
      </c>
      <c r="E247" s="740"/>
      <c r="F247" s="739" t="s">
        <v>663</v>
      </c>
      <c r="G247" s="740"/>
      <c r="H247" s="739" t="s">
        <v>664</v>
      </c>
      <c r="I247" s="579"/>
      <c r="J247" s="779"/>
      <c r="K247" s="570"/>
      <c r="L247" s="570"/>
      <c r="M247" s="570"/>
      <c r="N247" s="570"/>
      <c r="O247" s="570"/>
      <c r="P247" s="740"/>
      <c r="Q247" s="740"/>
      <c r="R247" s="740"/>
      <c r="S247" s="911">
        <f>S246+1</f>
        <v>3</v>
      </c>
      <c r="T247" s="919" t="s">
        <v>671</v>
      </c>
      <c r="U247" s="920" t="s">
        <v>672</v>
      </c>
      <c r="V247" s="581"/>
      <c r="W247" s="913" t="s">
        <v>750</v>
      </c>
      <c r="X247" s="740"/>
      <c r="Y247" s="742"/>
      <c r="Z247" s="718"/>
      <c r="AA247" s="609"/>
      <c r="AB247" s="614"/>
      <c r="AC247" s="578"/>
      <c r="AD247" s="578"/>
      <c r="AE247" s="578"/>
      <c r="AF247" s="578"/>
      <c r="AG247" s="578"/>
      <c r="AH247" s="578"/>
      <c r="AI247" s="578"/>
    </row>
    <row r="248" spans="1:35" ht="14.25" customHeight="1" x14ac:dyDescent="0.3">
      <c r="A248" s="721"/>
      <c r="B248" s="577" t="s">
        <v>217</v>
      </c>
      <c r="C248" s="743">
        <f>(W236+Y236+C245)/1000</f>
        <v>1.1265260000000001</v>
      </c>
      <c r="D248" s="577" t="s">
        <v>288</v>
      </c>
      <c r="E248" s="743">
        <f>E245/1000</f>
        <v>0.194628</v>
      </c>
      <c r="F248" s="577" t="s">
        <v>665</v>
      </c>
      <c r="G248" s="743">
        <f>G245/1000</f>
        <v>0.20314099999999999</v>
      </c>
      <c r="H248" s="577" t="s">
        <v>374</v>
      </c>
      <c r="I248" s="579"/>
      <c r="J248" s="779"/>
      <c r="K248" s="570"/>
      <c r="L248" s="570"/>
      <c r="M248" s="570"/>
      <c r="N248" s="570"/>
      <c r="O248" s="570"/>
      <c r="P248" s="577"/>
      <c r="Q248" s="577"/>
      <c r="R248" s="577"/>
      <c r="S248" s="921">
        <v>4</v>
      </c>
      <c r="T248" s="922" t="s">
        <v>697</v>
      </c>
      <c r="U248" s="923" t="s">
        <v>673</v>
      </c>
      <c r="V248" s="924"/>
      <c r="W248" s="913" t="s">
        <v>750</v>
      </c>
      <c r="X248" s="577"/>
      <c r="Y248" s="744"/>
      <c r="Z248" s="718"/>
      <c r="AA248" s="609"/>
      <c r="AB248" s="614"/>
      <c r="AC248" s="578"/>
      <c r="AD248" s="578"/>
      <c r="AE248" s="578"/>
      <c r="AF248" s="578"/>
      <c r="AG248" s="578"/>
      <c r="AH248" s="578"/>
      <c r="AI248" s="578"/>
    </row>
    <row r="249" spans="1:35" ht="14.25" customHeight="1" thickBot="1" x14ac:dyDescent="0.35">
      <c r="A249" s="721"/>
      <c r="B249" s="577"/>
      <c r="C249" s="743"/>
      <c r="D249" s="577"/>
      <c r="E249" s="743"/>
      <c r="F249" s="577"/>
      <c r="G249" s="743"/>
      <c r="H249" s="585" t="s">
        <v>752</v>
      </c>
      <c r="I249" s="586"/>
      <c r="J249" s="587"/>
      <c r="K249" s="570"/>
      <c r="L249" s="570"/>
      <c r="M249" s="570"/>
      <c r="N249" s="570"/>
      <c r="O249" s="570"/>
      <c r="P249" s="577"/>
      <c r="Q249" s="577"/>
      <c r="R249" s="577"/>
      <c r="S249" s="914">
        <v>5</v>
      </c>
      <c r="T249" s="915" t="s">
        <v>788</v>
      </c>
      <c r="U249" s="916" t="s">
        <v>769</v>
      </c>
      <c r="V249" s="914"/>
      <c r="W249" s="914" t="s">
        <v>748</v>
      </c>
      <c r="X249" s="577"/>
      <c r="Y249" s="744"/>
      <c r="Z249" s="718"/>
      <c r="AA249" s="609"/>
      <c r="AB249" s="614"/>
      <c r="AC249" s="578"/>
      <c r="AD249" s="578"/>
      <c r="AE249" s="578"/>
      <c r="AF249" s="578"/>
      <c r="AG249" s="578"/>
      <c r="AH249" s="578"/>
      <c r="AI249" s="578"/>
    </row>
    <row r="250" spans="1:35" ht="14.25" customHeight="1" x14ac:dyDescent="0.3">
      <c r="A250" s="1215"/>
      <c r="B250" s="1216"/>
      <c r="C250" s="1216"/>
      <c r="D250" s="1216"/>
      <c r="E250" s="1216"/>
      <c r="F250" s="1216" t="s">
        <v>816</v>
      </c>
      <c r="G250" s="1216"/>
      <c r="H250" s="1216" t="s">
        <v>816</v>
      </c>
      <c r="I250" s="579"/>
      <c r="J250" s="779"/>
      <c r="K250" s="570"/>
      <c r="L250" s="570"/>
      <c r="M250" s="570"/>
      <c r="N250" s="570"/>
      <c r="O250" s="570"/>
      <c r="P250" s="577"/>
      <c r="Q250" s="577"/>
      <c r="R250" s="577"/>
      <c r="S250" s="921">
        <f>S249+1</f>
        <v>6</v>
      </c>
      <c r="T250" s="922" t="s">
        <v>696</v>
      </c>
      <c r="U250" s="923" t="s">
        <v>753</v>
      </c>
      <c r="V250" s="924"/>
      <c r="W250" s="913" t="s">
        <v>750</v>
      </c>
      <c r="X250" s="577"/>
      <c r="Y250" s="744"/>
      <c r="Z250" s="718"/>
      <c r="AA250" s="609"/>
      <c r="AB250" s="614"/>
      <c r="AC250" s="578"/>
      <c r="AD250" s="578"/>
      <c r="AE250" s="578"/>
      <c r="AF250" s="578"/>
      <c r="AG250" s="578"/>
      <c r="AH250" s="578"/>
      <c r="AI250" s="578"/>
    </row>
    <row r="251" spans="1:35" ht="14.25" customHeight="1" x14ac:dyDescent="0.3">
      <c r="A251" s="780"/>
      <c r="B251" s="781"/>
      <c r="C251" s="781"/>
      <c r="D251" s="781"/>
      <c r="E251" s="781"/>
      <c r="F251" s="781"/>
      <c r="G251" s="781"/>
      <c r="H251" s="781"/>
      <c r="I251" s="579"/>
      <c r="J251" s="779"/>
      <c r="K251" s="570"/>
      <c r="L251" s="570"/>
      <c r="M251" s="570"/>
      <c r="N251" s="570"/>
      <c r="O251" s="570"/>
      <c r="P251" s="577"/>
      <c r="Q251" s="577"/>
      <c r="R251" s="577"/>
      <c r="S251" s="921">
        <v>7</v>
      </c>
      <c r="T251" s="922" t="s">
        <v>755</v>
      </c>
      <c r="U251" s="923" t="s">
        <v>756</v>
      </c>
      <c r="V251" s="921"/>
      <c r="W251" s="921" t="s">
        <v>750</v>
      </c>
      <c r="X251" s="577"/>
      <c r="Y251" s="744"/>
      <c r="Z251" s="718"/>
      <c r="AA251" s="609"/>
      <c r="AB251" s="614"/>
      <c r="AC251" s="578"/>
      <c r="AD251" s="578"/>
      <c r="AE251" s="578"/>
      <c r="AF251" s="578"/>
      <c r="AG251" s="578"/>
      <c r="AH251" s="578"/>
      <c r="AI251" s="578"/>
    </row>
    <row r="252" spans="1:35" ht="14.25" customHeight="1" x14ac:dyDescent="0.35">
      <c r="A252" s="782" t="s">
        <v>754</v>
      </c>
      <c r="B252" s="783"/>
      <c r="C252" s="783"/>
      <c r="D252" s="783"/>
      <c r="E252" s="783"/>
      <c r="F252" s="783"/>
      <c r="G252" s="783"/>
      <c r="H252" s="783"/>
      <c r="I252" s="784"/>
      <c r="J252" s="785"/>
      <c r="K252" s="786"/>
      <c r="L252" s="786"/>
      <c r="M252" s="570"/>
      <c r="N252" s="570"/>
      <c r="O252" s="570"/>
      <c r="P252" s="577"/>
      <c r="Q252" s="577"/>
      <c r="R252" s="577"/>
      <c r="S252" s="921">
        <f>S251+1</f>
        <v>8</v>
      </c>
      <c r="T252" s="913" t="s">
        <v>667</v>
      </c>
      <c r="U252" s="913" t="s">
        <v>749</v>
      </c>
      <c r="V252" s="913"/>
      <c r="W252" s="913" t="s">
        <v>750</v>
      </c>
      <c r="X252" s="577"/>
      <c r="Y252" s="744"/>
      <c r="Z252" s="718"/>
      <c r="AA252" s="609"/>
      <c r="AB252" s="614"/>
      <c r="AC252" s="578"/>
      <c r="AD252" s="578"/>
      <c r="AE252" s="578"/>
      <c r="AF252" s="578"/>
      <c r="AG252" s="578"/>
      <c r="AH252" s="578"/>
      <c r="AI252" s="578"/>
    </row>
    <row r="253" spans="1:35" ht="14.25" customHeight="1" x14ac:dyDescent="0.3">
      <c r="A253" s="780"/>
      <c r="B253" s="781"/>
      <c r="C253" s="781"/>
      <c r="D253" s="781"/>
      <c r="E253" s="781"/>
      <c r="F253" s="781"/>
      <c r="G253" s="781"/>
      <c r="H253" s="781"/>
      <c r="I253" s="579"/>
      <c r="J253" s="779"/>
      <c r="K253" s="570"/>
      <c r="L253" s="570"/>
      <c r="M253" s="570"/>
      <c r="N253" s="570"/>
      <c r="O253" s="570"/>
      <c r="P253" s="577"/>
      <c r="Q253" s="577"/>
      <c r="R253" s="577"/>
      <c r="S253" s="921">
        <f>S252+1</f>
        <v>9</v>
      </c>
      <c r="T253" s="925" t="s">
        <v>668</v>
      </c>
      <c r="U253" s="1017" t="s">
        <v>670</v>
      </c>
      <c r="V253" s="1018"/>
      <c r="W253" s="913" t="s">
        <v>750</v>
      </c>
      <c r="X253" s="577"/>
      <c r="Y253" s="744"/>
      <c r="Z253" s="718"/>
      <c r="AA253" s="609"/>
      <c r="AB253" s="614"/>
      <c r="AC253" s="578"/>
      <c r="AD253" s="578"/>
      <c r="AE253" s="578"/>
      <c r="AF253" s="578"/>
      <c r="AG253" s="578"/>
      <c r="AH253" s="578"/>
      <c r="AI253" s="578"/>
    </row>
    <row r="254" spans="1:35" ht="14.25" customHeight="1" thickBot="1" x14ac:dyDescent="0.35">
      <c r="A254" s="787"/>
      <c r="B254" s="788"/>
      <c r="C254" s="788"/>
      <c r="D254" s="789"/>
      <c r="E254" s="788"/>
      <c r="F254" s="789"/>
      <c r="G254" s="788"/>
      <c r="H254" s="788"/>
      <c r="I254" s="788"/>
      <c r="J254" s="788"/>
      <c r="K254" s="788"/>
      <c r="L254" s="788"/>
      <c r="M254" s="788"/>
      <c r="N254" s="788"/>
      <c r="O254" s="788"/>
      <c r="P254" s="789"/>
      <c r="Q254" s="790"/>
      <c r="R254" s="789"/>
      <c r="S254" s="914">
        <v>10</v>
      </c>
      <c r="T254" s="926" t="s">
        <v>809</v>
      </c>
      <c r="U254" s="1019" t="s">
        <v>799</v>
      </c>
      <c r="V254" s="1020"/>
      <c r="W254" s="914" t="s">
        <v>748</v>
      </c>
      <c r="X254" s="791"/>
      <c r="Y254" s="792"/>
      <c r="Z254" s="720"/>
      <c r="AA254" s="616"/>
      <c r="AB254" s="617"/>
      <c r="AC254" s="578"/>
      <c r="AD254" s="578"/>
      <c r="AE254" s="578"/>
      <c r="AF254" s="578"/>
      <c r="AG254" s="578"/>
      <c r="AH254" s="578"/>
      <c r="AI254" s="578"/>
    </row>
    <row r="255" spans="1:35" ht="14.25" customHeight="1" x14ac:dyDescent="0.3"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X255" s="561"/>
      <c r="Y255" s="561"/>
    </row>
    <row r="256" spans="1:35" ht="14.25" customHeight="1" x14ac:dyDescent="0.3"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</row>
    <row r="257" spans="2:25" ht="14.25" customHeight="1" x14ac:dyDescent="0.3"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</row>
    <row r="258" spans="2:25" ht="14.25" customHeight="1" x14ac:dyDescent="0.3"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</row>
    <row r="259" spans="2:25" ht="14.25" customHeight="1" x14ac:dyDescent="0.3"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</row>
    <row r="260" spans="2:25" ht="14.25" customHeight="1" x14ac:dyDescent="0.3"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</row>
    <row r="261" spans="2:25" ht="14.25" customHeight="1" x14ac:dyDescent="0.3"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</row>
    <row r="262" spans="2:25" ht="14.25" customHeight="1" x14ac:dyDescent="0.3"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</row>
    <row r="263" spans="2:25" ht="14.25" customHeight="1" x14ac:dyDescent="0.3"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</row>
    <row r="264" spans="2:25" ht="14.25" customHeight="1" x14ac:dyDescent="0.3"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</row>
    <row r="265" spans="2:25" ht="14.25" customHeight="1" x14ac:dyDescent="0.3"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</row>
    <row r="266" spans="2:25" ht="14.25" customHeight="1" x14ac:dyDescent="0.3"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</row>
    <row r="267" spans="2:25" ht="14.25" customHeight="1" x14ac:dyDescent="0.3"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</row>
    <row r="268" spans="2:25" ht="14.25" customHeight="1" x14ac:dyDescent="0.3"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</row>
    <row r="269" spans="2:25" ht="14.25" customHeight="1" x14ac:dyDescent="0.3"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</row>
    <row r="270" spans="2:25" ht="14.25" customHeight="1" x14ac:dyDescent="0.3"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</row>
    <row r="271" spans="2:25" ht="14.25" customHeight="1" x14ac:dyDescent="0.3"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</row>
    <row r="272" spans="2:25" ht="14.25" customHeight="1" x14ac:dyDescent="0.3"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</row>
    <row r="273" spans="2:25" ht="14.25" customHeight="1" x14ac:dyDescent="0.3"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</row>
    <row r="274" spans="2:25" ht="14.25" customHeight="1" x14ac:dyDescent="0.3"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</row>
    <row r="275" spans="2:25" ht="14.25" customHeight="1" x14ac:dyDescent="0.3"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</row>
    <row r="276" spans="2:25" ht="14.25" customHeight="1" x14ac:dyDescent="0.3"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</row>
    <row r="277" spans="2:25" ht="14.25" customHeight="1" x14ac:dyDescent="0.3"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</row>
    <row r="278" spans="2:25" ht="14.25" customHeight="1" x14ac:dyDescent="0.3"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</row>
    <row r="279" spans="2:25" ht="14.25" customHeight="1" x14ac:dyDescent="0.3"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</row>
    <row r="280" spans="2:25" ht="14.25" customHeight="1" x14ac:dyDescent="0.3"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</row>
    <row r="281" spans="2:25" ht="14.25" customHeight="1" x14ac:dyDescent="0.3"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</row>
    <row r="282" spans="2:25" ht="14.25" customHeight="1" x14ac:dyDescent="0.3"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</row>
    <row r="283" spans="2:25" ht="14.25" customHeight="1" x14ac:dyDescent="0.3"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</row>
    <row r="284" spans="2:25" ht="14.25" customHeight="1" x14ac:dyDescent="0.3"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</row>
    <row r="285" spans="2:25" ht="14.25" customHeight="1" x14ac:dyDescent="0.3"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</row>
    <row r="286" spans="2:25" ht="14.25" customHeight="1" x14ac:dyDescent="0.3"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</row>
    <row r="287" spans="2:25" ht="14.25" customHeight="1" x14ac:dyDescent="0.3"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</row>
    <row r="288" spans="2:25" ht="14.25" customHeight="1" x14ac:dyDescent="0.3"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</row>
    <row r="289" spans="2:25" ht="14.25" customHeight="1" x14ac:dyDescent="0.3"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</row>
    <row r="290" spans="2:25" ht="14.25" customHeight="1" x14ac:dyDescent="0.3"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</row>
    <row r="291" spans="2:25" ht="14.25" customHeight="1" x14ac:dyDescent="0.3"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</row>
    <row r="292" spans="2:25" ht="14.25" customHeight="1" x14ac:dyDescent="0.3"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</row>
    <row r="293" spans="2:25" ht="14.25" customHeight="1" x14ac:dyDescent="0.3"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</row>
    <row r="294" spans="2:25" ht="14.25" customHeight="1" x14ac:dyDescent="0.3"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</row>
    <row r="295" spans="2:25" ht="14.25" customHeight="1" x14ac:dyDescent="0.3"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</row>
    <row r="296" spans="2:25" ht="14.25" customHeight="1" x14ac:dyDescent="0.3">
      <c r="B296" s="561"/>
      <c r="C296" s="561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</row>
    <row r="297" spans="2:25" ht="14.25" customHeight="1" x14ac:dyDescent="0.3">
      <c r="B297" s="561"/>
      <c r="C297" s="561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</row>
    <row r="298" spans="2:25" ht="14.25" customHeight="1" x14ac:dyDescent="0.3">
      <c r="B298" s="561"/>
      <c r="C298" s="561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</row>
    <row r="299" spans="2:25" ht="14.25" customHeight="1" x14ac:dyDescent="0.3">
      <c r="B299" s="561"/>
      <c r="C299" s="561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</row>
    <row r="300" spans="2:25" ht="14.25" customHeight="1" x14ac:dyDescent="0.3"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</row>
    <row r="301" spans="2:25" ht="14.25" customHeight="1" x14ac:dyDescent="0.3"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</row>
    <row r="302" spans="2:25" ht="14.25" customHeight="1" x14ac:dyDescent="0.3"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</row>
    <row r="303" spans="2:25" ht="14.25" customHeight="1" x14ac:dyDescent="0.3"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</row>
    <row r="304" spans="2:25" ht="14.25" customHeight="1" x14ac:dyDescent="0.3"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</row>
    <row r="305" spans="2:25" ht="14.25" customHeight="1" x14ac:dyDescent="0.3">
      <c r="B305" s="561"/>
      <c r="C305" s="561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</row>
    <row r="306" spans="2:25" ht="14.25" customHeight="1" x14ac:dyDescent="0.3">
      <c r="B306" s="561"/>
      <c r="C306" s="561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</row>
    <row r="307" spans="2:25" ht="14.25" customHeight="1" x14ac:dyDescent="0.3">
      <c r="B307" s="561"/>
      <c r="C307" s="561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</row>
    <row r="308" spans="2:25" ht="14.25" customHeight="1" x14ac:dyDescent="0.3">
      <c r="B308" s="561"/>
      <c r="C308" s="561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</row>
    <row r="309" spans="2:25" ht="14.25" customHeight="1" x14ac:dyDescent="0.3"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</row>
    <row r="310" spans="2:25" ht="14.25" customHeight="1" x14ac:dyDescent="0.3"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</row>
    <row r="311" spans="2:25" ht="14.25" customHeight="1" x14ac:dyDescent="0.3"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</row>
    <row r="312" spans="2:25" ht="14.25" customHeight="1" x14ac:dyDescent="0.3"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</row>
    <row r="313" spans="2:25" ht="14.25" customHeight="1" x14ac:dyDescent="0.3"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</row>
    <row r="314" spans="2:25" ht="14.25" customHeight="1" x14ac:dyDescent="0.3">
      <c r="B314" s="561"/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</row>
    <row r="315" spans="2:25" ht="14.25" customHeight="1" x14ac:dyDescent="0.3">
      <c r="B315" s="561"/>
      <c r="C315" s="561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ht="14.25" customHeight="1" x14ac:dyDescent="0.3"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</row>
    <row r="317" spans="2:25" ht="14.25" customHeight="1" x14ac:dyDescent="0.3"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</row>
    <row r="318" spans="2:25" ht="14.25" customHeight="1" x14ac:dyDescent="0.3"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</row>
    <row r="319" spans="2:25" ht="14.25" customHeight="1" x14ac:dyDescent="0.3"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</row>
    <row r="320" spans="2:25" ht="14.25" customHeight="1" x14ac:dyDescent="0.3"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</row>
    <row r="321" spans="2:25" ht="14.25" customHeight="1" x14ac:dyDescent="0.3">
      <c r="B321" s="561"/>
      <c r="C321" s="561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</row>
    <row r="322" spans="2:25" ht="14.25" customHeight="1" x14ac:dyDescent="0.3"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</row>
    <row r="323" spans="2:25" ht="14.25" customHeight="1" x14ac:dyDescent="0.3"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</row>
    <row r="324" spans="2:25" ht="14.25" customHeight="1" x14ac:dyDescent="0.3"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</row>
    <row r="325" spans="2:25" ht="14.25" customHeight="1" x14ac:dyDescent="0.3"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</row>
    <row r="326" spans="2:25" ht="14.25" customHeight="1" x14ac:dyDescent="0.3"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</row>
    <row r="327" spans="2:25" ht="14.25" customHeight="1" x14ac:dyDescent="0.3">
      <c r="B327" s="561"/>
      <c r="C327" s="561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</row>
    <row r="328" spans="2:25" ht="14.25" customHeight="1" x14ac:dyDescent="0.3">
      <c r="B328" s="561"/>
      <c r="C328" s="561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</row>
    <row r="329" spans="2:25" ht="14.25" customHeight="1" x14ac:dyDescent="0.3"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</row>
    <row r="330" spans="2:25" ht="14.25" customHeight="1" x14ac:dyDescent="0.3"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</row>
    <row r="331" spans="2:25" ht="14.25" customHeight="1" x14ac:dyDescent="0.3"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</row>
    <row r="332" spans="2:25" ht="14.25" customHeight="1" x14ac:dyDescent="0.3"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</row>
    <row r="333" spans="2:25" ht="14.25" customHeight="1" x14ac:dyDescent="0.3"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</row>
    <row r="334" spans="2:25" ht="14.25" customHeight="1" x14ac:dyDescent="0.3">
      <c r="B334" s="561"/>
      <c r="C334" s="561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</row>
    <row r="335" spans="2:25" ht="14.25" customHeight="1" x14ac:dyDescent="0.3"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</row>
    <row r="336" spans="2:25" ht="14.25" customHeight="1" x14ac:dyDescent="0.3"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</row>
    <row r="337" spans="2:25" ht="14.25" customHeight="1" x14ac:dyDescent="0.3"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</row>
    <row r="338" spans="2:25" ht="14.25" customHeight="1" x14ac:dyDescent="0.3"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</row>
    <row r="339" spans="2:25" ht="14.25" customHeight="1" x14ac:dyDescent="0.3"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</row>
    <row r="340" spans="2:25" ht="14.25" customHeight="1" x14ac:dyDescent="0.3"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</row>
    <row r="341" spans="2:25" ht="14.25" customHeight="1" x14ac:dyDescent="0.3">
      <c r="B341" s="561"/>
      <c r="C341" s="561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</row>
    <row r="342" spans="2:25" ht="14.25" customHeight="1" x14ac:dyDescent="0.3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</row>
    <row r="343" spans="2:25" ht="14.25" customHeight="1" x14ac:dyDescent="0.3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</row>
    <row r="344" spans="2:25" ht="14.25" customHeight="1" x14ac:dyDescent="0.3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</row>
    <row r="345" spans="2:25" ht="14.25" customHeight="1" x14ac:dyDescent="0.3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</row>
    <row r="346" spans="2:25" ht="14.25" customHeight="1" x14ac:dyDescent="0.3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</row>
    <row r="347" spans="2:25" ht="14.25" customHeight="1" x14ac:dyDescent="0.3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</row>
    <row r="348" spans="2:25" ht="14.25" customHeight="1" x14ac:dyDescent="0.3"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</row>
    <row r="349" spans="2:25" ht="14.25" customHeight="1" x14ac:dyDescent="0.3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</row>
    <row r="350" spans="2:25" ht="14.25" customHeight="1" x14ac:dyDescent="0.3">
      <c r="B350" s="561"/>
      <c r="C350" s="561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</row>
    <row r="351" spans="2:25" ht="14.25" customHeight="1" x14ac:dyDescent="0.3">
      <c r="B351" s="561"/>
      <c r="C351" s="561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</row>
    <row r="352" spans="2:25" ht="14.25" customHeight="1" x14ac:dyDescent="0.3">
      <c r="B352" s="561"/>
      <c r="C352" s="561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</row>
    <row r="353" spans="2:25" ht="14.25" customHeight="1" x14ac:dyDescent="0.3">
      <c r="B353" s="561"/>
      <c r="C353" s="561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</row>
    <row r="354" spans="2:25" ht="14.25" customHeight="1" x14ac:dyDescent="0.3"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</row>
    <row r="355" spans="2:25" ht="14.25" customHeight="1" x14ac:dyDescent="0.3"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</row>
    <row r="356" spans="2:25" ht="14.25" customHeight="1" x14ac:dyDescent="0.3"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</row>
    <row r="357" spans="2:25" ht="14.25" customHeight="1" x14ac:dyDescent="0.3"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</row>
    <row r="358" spans="2:25" ht="14.25" customHeight="1" x14ac:dyDescent="0.3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</row>
    <row r="359" spans="2:25" ht="14.25" customHeight="1" x14ac:dyDescent="0.3"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</row>
    <row r="360" spans="2:25" ht="14.25" customHeight="1" x14ac:dyDescent="0.3"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</row>
    <row r="361" spans="2:25" ht="14.25" customHeight="1" x14ac:dyDescent="0.3"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</row>
    <row r="362" spans="2:25" ht="14.25" customHeight="1" x14ac:dyDescent="0.3"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</row>
    <row r="363" spans="2:25" ht="14.25" customHeight="1" x14ac:dyDescent="0.3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2:25" ht="14.25" customHeight="1" x14ac:dyDescent="0.3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</row>
    <row r="365" spans="2:25" ht="14.25" customHeight="1" x14ac:dyDescent="0.3"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</row>
    <row r="366" spans="2:25" ht="14.25" customHeight="1" x14ac:dyDescent="0.3"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</row>
    <row r="367" spans="2:25" ht="14.25" customHeight="1" x14ac:dyDescent="0.3"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</row>
    <row r="368" spans="2:25" ht="14.25" customHeight="1" x14ac:dyDescent="0.3"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</row>
    <row r="369" spans="2:25" ht="14.25" customHeight="1" x14ac:dyDescent="0.3"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</row>
    <row r="370" spans="2:25" ht="14.25" customHeight="1" x14ac:dyDescent="0.3"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</row>
    <row r="371" spans="2:25" ht="14.25" customHeight="1" x14ac:dyDescent="0.3"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</row>
    <row r="372" spans="2:25" ht="14.25" customHeight="1" x14ac:dyDescent="0.3"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</row>
    <row r="373" spans="2:25" ht="14.25" customHeight="1" x14ac:dyDescent="0.3"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</row>
    <row r="374" spans="2:25" ht="14.25" customHeight="1" x14ac:dyDescent="0.3"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</row>
    <row r="375" spans="2:25" ht="14.25" customHeight="1" x14ac:dyDescent="0.3"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</row>
    <row r="376" spans="2:25" ht="14.25" customHeight="1" x14ac:dyDescent="0.3"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</row>
    <row r="377" spans="2:25" ht="14.25" customHeight="1" x14ac:dyDescent="0.3"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</row>
    <row r="378" spans="2:25" ht="14.25" customHeight="1" x14ac:dyDescent="0.3"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</row>
    <row r="379" spans="2:25" ht="14.25" customHeight="1" x14ac:dyDescent="0.3"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</row>
    <row r="380" spans="2:25" ht="14.25" customHeight="1" x14ac:dyDescent="0.3"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</row>
    <row r="381" spans="2:25" ht="14.25" customHeight="1" x14ac:dyDescent="0.3"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</row>
    <row r="382" spans="2:25" ht="14.25" customHeight="1" x14ac:dyDescent="0.3"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</row>
    <row r="383" spans="2:25" ht="14.25" customHeight="1" x14ac:dyDescent="0.3"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</row>
    <row r="384" spans="2:25" ht="14.25" customHeight="1" x14ac:dyDescent="0.3">
      <c r="B384" s="561"/>
      <c r="C384" s="561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</row>
    <row r="385" spans="2:25" ht="14.25" customHeight="1" x14ac:dyDescent="0.3"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</row>
    <row r="386" spans="2:25" ht="14.25" customHeight="1" x14ac:dyDescent="0.3"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</row>
    <row r="387" spans="2:25" ht="14.25" customHeight="1" x14ac:dyDescent="0.3"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</row>
    <row r="388" spans="2:25" ht="14.25" customHeight="1" x14ac:dyDescent="0.3"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</row>
    <row r="389" spans="2:25" ht="14.25" customHeight="1" x14ac:dyDescent="0.3"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</row>
    <row r="390" spans="2:25" ht="14.25" customHeight="1" x14ac:dyDescent="0.3"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</row>
    <row r="391" spans="2:25" ht="14.25" customHeight="1" x14ac:dyDescent="0.3"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</row>
    <row r="392" spans="2:25" ht="14.25" customHeight="1" x14ac:dyDescent="0.3">
      <c r="B392" s="561"/>
      <c r="C392" s="561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</row>
    <row r="393" spans="2:25" ht="14.25" customHeight="1" x14ac:dyDescent="0.3">
      <c r="B393" s="561"/>
      <c r="C393" s="561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</row>
    <row r="394" spans="2:25" ht="14.25" customHeight="1" x14ac:dyDescent="0.3">
      <c r="B394" s="561"/>
      <c r="C394" s="561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</row>
    <row r="395" spans="2:25" ht="14.25" customHeight="1" x14ac:dyDescent="0.3">
      <c r="B395" s="561"/>
      <c r="C395" s="561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</row>
    <row r="396" spans="2:25" ht="14.25" customHeight="1" x14ac:dyDescent="0.3">
      <c r="B396" s="561"/>
      <c r="C396" s="561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</row>
    <row r="397" spans="2:25" ht="14.25" customHeight="1" x14ac:dyDescent="0.3">
      <c r="B397" s="561"/>
      <c r="C397" s="561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</row>
    <row r="398" spans="2:25" ht="14.25" customHeight="1" x14ac:dyDescent="0.3">
      <c r="B398" s="561"/>
      <c r="C398" s="561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</row>
    <row r="399" spans="2:25" ht="14.25" customHeight="1" x14ac:dyDescent="0.3"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</row>
    <row r="400" spans="2:25" ht="14.25" customHeight="1" x14ac:dyDescent="0.3"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</row>
    <row r="401" spans="2:25" ht="14.25" customHeight="1" x14ac:dyDescent="0.3"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</row>
    <row r="402" spans="2:25" ht="14.25" customHeight="1" x14ac:dyDescent="0.3"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</row>
    <row r="403" spans="2:25" ht="14.25" customHeight="1" x14ac:dyDescent="0.3"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</row>
    <row r="404" spans="2:25" ht="14.25" customHeight="1" x14ac:dyDescent="0.3"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</row>
    <row r="405" spans="2:25" ht="14.25" customHeight="1" x14ac:dyDescent="0.3"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</row>
    <row r="406" spans="2:25" ht="14.25" customHeight="1" x14ac:dyDescent="0.3"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</row>
    <row r="407" spans="2:25" ht="14.25" customHeight="1" x14ac:dyDescent="0.3"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</row>
    <row r="408" spans="2:25" ht="14.25" customHeight="1" x14ac:dyDescent="0.3"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</row>
    <row r="409" spans="2:25" ht="14.25" customHeight="1" x14ac:dyDescent="0.3"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</row>
    <row r="410" spans="2:25" ht="14.25" customHeight="1" x14ac:dyDescent="0.3"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</row>
    <row r="411" spans="2:25" ht="14.25" customHeight="1" x14ac:dyDescent="0.3"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</row>
    <row r="412" spans="2:25" ht="14.25" customHeight="1" x14ac:dyDescent="0.3"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</row>
    <row r="413" spans="2:25" ht="14.25" customHeight="1" x14ac:dyDescent="0.3"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</row>
    <row r="414" spans="2:25" ht="14.25" customHeight="1" x14ac:dyDescent="0.3">
      <c r="B414" s="561"/>
      <c r="C414" s="561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</row>
    <row r="415" spans="2:25" ht="14.25" customHeight="1" x14ac:dyDescent="0.3">
      <c r="B415" s="561"/>
      <c r="C415" s="561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</row>
    <row r="416" spans="2:25" ht="14.25" customHeight="1" x14ac:dyDescent="0.3"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</row>
    <row r="417" spans="2:25" ht="14.25" customHeight="1" x14ac:dyDescent="0.3"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</row>
    <row r="418" spans="2:25" ht="14.25" customHeight="1" x14ac:dyDescent="0.3"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</row>
    <row r="419" spans="2:25" ht="14.25" customHeight="1" x14ac:dyDescent="0.3"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</row>
    <row r="420" spans="2:25" ht="14.25" customHeight="1" x14ac:dyDescent="0.3"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</row>
    <row r="421" spans="2:25" ht="14.25" customHeight="1" x14ac:dyDescent="0.3"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</row>
    <row r="422" spans="2:25" ht="14.25" customHeight="1" x14ac:dyDescent="0.3"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</row>
    <row r="423" spans="2:25" ht="14.25" customHeight="1" x14ac:dyDescent="0.3"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</row>
    <row r="424" spans="2:25" ht="14.25" customHeight="1" x14ac:dyDescent="0.3"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</row>
    <row r="425" spans="2:25" ht="14.25" customHeight="1" x14ac:dyDescent="0.3"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</row>
    <row r="426" spans="2:25" ht="14.25" customHeight="1" x14ac:dyDescent="0.3"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</row>
    <row r="427" spans="2:25" ht="14.25" customHeight="1" x14ac:dyDescent="0.3"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</row>
    <row r="428" spans="2:25" ht="14.25" customHeight="1" x14ac:dyDescent="0.3">
      <c r="B428" s="561"/>
      <c r="C428" s="561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</row>
    <row r="429" spans="2:25" ht="14.25" customHeight="1" x14ac:dyDescent="0.3">
      <c r="B429" s="561"/>
      <c r="C429" s="561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</row>
    <row r="430" spans="2:25" ht="14.25" customHeight="1" x14ac:dyDescent="0.3">
      <c r="B430" s="561"/>
      <c r="C430" s="561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</row>
    <row r="431" spans="2:25" ht="14.25" customHeight="1" x14ac:dyDescent="0.3">
      <c r="B431" s="561"/>
      <c r="C431" s="561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</row>
    <row r="432" spans="2:25" ht="14.25" customHeight="1" x14ac:dyDescent="0.3">
      <c r="B432" s="561"/>
      <c r="C432" s="561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</row>
    <row r="433" spans="2:25" ht="14.25" customHeight="1" x14ac:dyDescent="0.3">
      <c r="B433" s="561"/>
      <c r="C433" s="561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</row>
    <row r="434" spans="2:25" ht="14.25" customHeight="1" x14ac:dyDescent="0.3">
      <c r="B434" s="561"/>
      <c r="C434" s="561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</row>
    <row r="435" spans="2:25" ht="14.25" customHeight="1" x14ac:dyDescent="0.3">
      <c r="B435" s="561"/>
      <c r="C435" s="561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</row>
    <row r="436" spans="2:25" ht="14.25" customHeight="1" x14ac:dyDescent="0.3">
      <c r="B436" s="561"/>
      <c r="C436" s="561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</row>
    <row r="437" spans="2:25" ht="14.25" customHeight="1" x14ac:dyDescent="0.3">
      <c r="B437" s="561"/>
      <c r="C437" s="561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</row>
    <row r="438" spans="2:25" ht="14.25" customHeight="1" x14ac:dyDescent="0.3"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</row>
    <row r="439" spans="2:25" ht="14.25" customHeight="1" x14ac:dyDescent="0.3"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</row>
    <row r="440" spans="2:25" ht="14.25" customHeight="1" x14ac:dyDescent="0.3"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</row>
    <row r="441" spans="2:25" ht="14.25" customHeight="1" x14ac:dyDescent="0.3"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</row>
    <row r="442" spans="2:25" ht="14.25" customHeight="1" x14ac:dyDescent="0.3"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</row>
    <row r="443" spans="2:25" ht="14.25" customHeight="1" x14ac:dyDescent="0.3">
      <c r="B443" s="561"/>
      <c r="C443" s="561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</row>
    <row r="444" spans="2:25" ht="14.25" customHeight="1" x14ac:dyDescent="0.3"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</row>
    <row r="445" spans="2:25" ht="14.25" customHeight="1" x14ac:dyDescent="0.3"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</row>
    <row r="446" spans="2:25" ht="14.25" customHeight="1" x14ac:dyDescent="0.3"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</row>
    <row r="447" spans="2:25" ht="14.25" customHeight="1" x14ac:dyDescent="0.3"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</row>
    <row r="448" spans="2:25" ht="14.25" customHeight="1" x14ac:dyDescent="0.3"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</row>
    <row r="449" spans="2:25" ht="14.25" customHeight="1" x14ac:dyDescent="0.3">
      <c r="B449" s="561"/>
      <c r="C449" s="561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</row>
    <row r="450" spans="2:25" ht="14.25" customHeight="1" x14ac:dyDescent="0.3">
      <c r="B450" s="561"/>
      <c r="C450" s="561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</row>
    <row r="451" spans="2:25" ht="14.25" customHeight="1" x14ac:dyDescent="0.3">
      <c r="B451" s="561"/>
      <c r="C451" s="561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</row>
    <row r="452" spans="2:25" ht="14.25" customHeight="1" x14ac:dyDescent="0.3">
      <c r="B452" s="561"/>
      <c r="C452" s="561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</row>
    <row r="453" spans="2:25" ht="14.25" customHeight="1" x14ac:dyDescent="0.3"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</row>
    <row r="454" spans="2:25" ht="14.25" customHeight="1" x14ac:dyDescent="0.3"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</row>
    <row r="455" spans="2:25" ht="14.25" customHeight="1" x14ac:dyDescent="0.3"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</row>
    <row r="456" spans="2:25" ht="14.25" customHeight="1" x14ac:dyDescent="0.3"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</row>
    <row r="457" spans="2:25" ht="14.25" customHeight="1" x14ac:dyDescent="0.3"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</row>
    <row r="458" spans="2:25" ht="14.25" customHeight="1" x14ac:dyDescent="0.3"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</row>
    <row r="459" spans="2:25" ht="14.25" customHeight="1" x14ac:dyDescent="0.3"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</row>
    <row r="460" spans="2:25" ht="14.25" customHeight="1" x14ac:dyDescent="0.3"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</row>
    <row r="461" spans="2:25" ht="14.25" customHeight="1" x14ac:dyDescent="0.3"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</row>
    <row r="462" spans="2:25" ht="14.25" customHeight="1" x14ac:dyDescent="0.3"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</row>
    <row r="463" spans="2:25" ht="14.25" customHeight="1" x14ac:dyDescent="0.3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</row>
    <row r="464" spans="2:25" ht="14.25" customHeight="1" x14ac:dyDescent="0.3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</row>
    <row r="465" spans="2:25" ht="14.25" customHeight="1" x14ac:dyDescent="0.3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</row>
    <row r="466" spans="2:25" ht="14.25" customHeight="1" x14ac:dyDescent="0.3"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</row>
    <row r="467" spans="2:25" ht="14.25" customHeight="1" x14ac:dyDescent="0.3"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</row>
    <row r="468" spans="2:25" ht="14.25" customHeight="1" x14ac:dyDescent="0.3"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</row>
    <row r="469" spans="2:25" ht="14.25" customHeight="1" x14ac:dyDescent="0.3"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</row>
    <row r="470" spans="2:25" ht="14.25" customHeight="1" x14ac:dyDescent="0.3"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</row>
    <row r="471" spans="2:25" ht="14.25" customHeight="1" x14ac:dyDescent="0.3"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</row>
    <row r="472" spans="2:25" ht="14.25" customHeight="1" x14ac:dyDescent="0.3"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</row>
    <row r="473" spans="2:25" ht="14.25" customHeight="1" x14ac:dyDescent="0.3"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</row>
    <row r="474" spans="2:25" ht="14.25" customHeight="1" x14ac:dyDescent="0.3"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</row>
    <row r="475" spans="2:25" ht="14.25" customHeight="1" x14ac:dyDescent="0.3"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</row>
    <row r="476" spans="2:25" ht="14.25" customHeight="1" x14ac:dyDescent="0.3"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</row>
    <row r="477" spans="2:25" ht="14.25" customHeight="1" x14ac:dyDescent="0.3"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</row>
    <row r="478" spans="2:25" ht="14.25" customHeight="1" x14ac:dyDescent="0.3"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</row>
    <row r="479" spans="2:25" ht="14.25" customHeight="1" x14ac:dyDescent="0.3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</row>
    <row r="480" spans="2:25" ht="14.25" customHeight="1" x14ac:dyDescent="0.3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</row>
    <row r="481" spans="2:25" ht="14.25" customHeight="1" x14ac:dyDescent="0.3"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</row>
    <row r="482" spans="2:25" ht="14.25" customHeight="1" x14ac:dyDescent="0.3"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</row>
    <row r="483" spans="2:25" ht="14.25" customHeight="1" x14ac:dyDescent="0.3"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</row>
    <row r="484" spans="2:25" ht="14.25" customHeight="1" x14ac:dyDescent="0.3"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</row>
    <row r="485" spans="2:25" ht="14.25" customHeight="1" x14ac:dyDescent="0.3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</row>
    <row r="486" spans="2:25" ht="14.25" customHeight="1" x14ac:dyDescent="0.3"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</row>
    <row r="487" spans="2:25" ht="14.25" customHeight="1" x14ac:dyDescent="0.3"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</row>
    <row r="488" spans="2:25" ht="14.25" customHeight="1" x14ac:dyDescent="0.3"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</row>
    <row r="489" spans="2:25" ht="14.25" customHeight="1" x14ac:dyDescent="0.3"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</row>
    <row r="490" spans="2:25" ht="14.25" customHeight="1" x14ac:dyDescent="0.3"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</row>
    <row r="491" spans="2:25" ht="14.25" customHeight="1" x14ac:dyDescent="0.3"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</row>
    <row r="492" spans="2:25" ht="14.25" customHeight="1" x14ac:dyDescent="0.3"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</row>
    <row r="493" spans="2:25" ht="14.25" customHeight="1" x14ac:dyDescent="0.3"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</row>
    <row r="494" spans="2:25" ht="14.25" customHeight="1" x14ac:dyDescent="0.3"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</row>
    <row r="495" spans="2:25" ht="14.25" customHeight="1" x14ac:dyDescent="0.3"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</row>
    <row r="496" spans="2:25" ht="14.25" customHeight="1" x14ac:dyDescent="0.3"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</row>
    <row r="497" spans="2:25" ht="14.25" customHeight="1" x14ac:dyDescent="0.3"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</row>
    <row r="498" spans="2:25" ht="14.25" customHeight="1" x14ac:dyDescent="0.3">
      <c r="B498" s="561"/>
      <c r="C498" s="561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</row>
    <row r="499" spans="2:25" ht="14.25" customHeight="1" x14ac:dyDescent="0.3">
      <c r="B499" s="561"/>
      <c r="C499" s="561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</row>
    <row r="500" spans="2:25" ht="14.25" customHeight="1" x14ac:dyDescent="0.3">
      <c r="B500" s="561"/>
      <c r="C500" s="561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</row>
    <row r="501" spans="2:25" ht="14.25" customHeight="1" x14ac:dyDescent="0.3">
      <c r="B501" s="561"/>
      <c r="C501" s="561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</row>
    <row r="502" spans="2:25" ht="14.25" customHeight="1" x14ac:dyDescent="0.3">
      <c r="B502" s="561"/>
      <c r="C502" s="561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</row>
    <row r="503" spans="2:25" ht="14.25" customHeight="1" x14ac:dyDescent="0.3">
      <c r="B503" s="561"/>
      <c r="C503" s="561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</row>
    <row r="504" spans="2:25" ht="14.25" customHeight="1" x14ac:dyDescent="0.3">
      <c r="B504" s="561"/>
      <c r="C504" s="561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</row>
    <row r="505" spans="2:25" ht="14.25" customHeight="1" x14ac:dyDescent="0.3">
      <c r="B505" s="561"/>
      <c r="C505" s="561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</row>
    <row r="506" spans="2:25" ht="14.25" customHeight="1" x14ac:dyDescent="0.3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</row>
    <row r="507" spans="2:25" ht="14.25" customHeight="1" x14ac:dyDescent="0.3">
      <c r="B507" s="561"/>
      <c r="C507" s="561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</row>
    <row r="508" spans="2:25" ht="14.25" customHeight="1" x14ac:dyDescent="0.3">
      <c r="B508" s="561"/>
      <c r="C508" s="561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</row>
    <row r="509" spans="2:25" ht="14.25" customHeight="1" x14ac:dyDescent="0.3">
      <c r="B509" s="561"/>
      <c r="C509" s="561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</row>
    <row r="510" spans="2:25" ht="14.25" customHeight="1" x14ac:dyDescent="0.3">
      <c r="B510" s="561"/>
      <c r="C510" s="561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</row>
    <row r="511" spans="2:25" ht="14.25" customHeight="1" x14ac:dyDescent="0.3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</row>
    <row r="512" spans="2:25" ht="14.25" customHeight="1" x14ac:dyDescent="0.3">
      <c r="B512" s="561"/>
      <c r="C512" s="561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</row>
    <row r="513" spans="2:25" ht="14.25" customHeight="1" x14ac:dyDescent="0.3">
      <c r="B513" s="561"/>
      <c r="C513" s="561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</row>
    <row r="514" spans="2:25" ht="14.25" customHeight="1" x14ac:dyDescent="0.3">
      <c r="B514" s="561"/>
      <c r="C514" s="561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</row>
    <row r="515" spans="2:25" ht="14.25" customHeight="1" x14ac:dyDescent="0.3">
      <c r="B515" s="561"/>
      <c r="C515" s="561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</row>
    <row r="516" spans="2:25" ht="14.25" customHeight="1" x14ac:dyDescent="0.3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</row>
    <row r="517" spans="2:25" ht="14.25" customHeight="1" x14ac:dyDescent="0.3">
      <c r="B517" s="561"/>
      <c r="C517" s="561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</row>
    <row r="518" spans="2:25" ht="14.25" customHeight="1" x14ac:dyDescent="0.3">
      <c r="B518" s="561"/>
      <c r="C518" s="561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</row>
    <row r="519" spans="2:25" ht="14.25" customHeight="1" x14ac:dyDescent="0.3">
      <c r="B519" s="561"/>
      <c r="C519" s="561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</row>
    <row r="520" spans="2:25" ht="14.25" customHeight="1" x14ac:dyDescent="0.3">
      <c r="B520" s="561"/>
      <c r="C520" s="561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</row>
    <row r="521" spans="2:25" ht="14.25" customHeight="1" x14ac:dyDescent="0.3">
      <c r="B521" s="561"/>
      <c r="C521" s="561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</row>
    <row r="522" spans="2:25" ht="14.25" customHeight="1" x14ac:dyDescent="0.3">
      <c r="B522" s="561"/>
      <c r="C522" s="561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</row>
    <row r="523" spans="2:25" ht="14.25" customHeight="1" x14ac:dyDescent="0.3">
      <c r="B523" s="561"/>
      <c r="C523" s="561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</row>
    <row r="524" spans="2:25" ht="14.25" customHeight="1" x14ac:dyDescent="0.3">
      <c r="B524" s="561"/>
      <c r="C524" s="561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</row>
    <row r="525" spans="2:25" ht="14.25" customHeight="1" x14ac:dyDescent="0.3">
      <c r="B525" s="561"/>
      <c r="C525" s="561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</row>
    <row r="526" spans="2:25" ht="14.25" customHeight="1" x14ac:dyDescent="0.3">
      <c r="B526" s="561"/>
      <c r="C526" s="561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</row>
    <row r="527" spans="2:25" ht="14.25" customHeight="1" x14ac:dyDescent="0.3">
      <c r="B527" s="561"/>
      <c r="C527" s="561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</row>
    <row r="528" spans="2:25" ht="14.25" customHeight="1" x14ac:dyDescent="0.3">
      <c r="B528" s="561"/>
      <c r="C528" s="561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</row>
    <row r="529" spans="2:25" ht="14.25" customHeight="1" x14ac:dyDescent="0.3">
      <c r="B529" s="561"/>
      <c r="C529" s="561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</row>
    <row r="530" spans="2:25" ht="14.25" customHeight="1" x14ac:dyDescent="0.3">
      <c r="B530" s="561"/>
      <c r="C530" s="561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</row>
    <row r="531" spans="2:25" ht="14.25" customHeight="1" x14ac:dyDescent="0.3">
      <c r="B531" s="561"/>
      <c r="C531" s="561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</row>
    <row r="532" spans="2:25" ht="14.25" customHeight="1" x14ac:dyDescent="0.3">
      <c r="B532" s="561"/>
      <c r="C532" s="561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</row>
    <row r="533" spans="2:25" ht="14.25" customHeight="1" x14ac:dyDescent="0.3">
      <c r="B533" s="561"/>
      <c r="C533" s="561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</row>
    <row r="534" spans="2:25" ht="14.25" customHeight="1" x14ac:dyDescent="0.3">
      <c r="B534" s="561"/>
      <c r="C534" s="561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</row>
    <row r="535" spans="2:25" ht="14.25" customHeight="1" x14ac:dyDescent="0.3">
      <c r="B535" s="561"/>
      <c r="C535" s="561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</row>
    <row r="536" spans="2:25" ht="14.25" customHeight="1" x14ac:dyDescent="0.3">
      <c r="B536" s="561"/>
      <c r="C536" s="561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</row>
    <row r="537" spans="2:25" ht="14.25" customHeight="1" x14ac:dyDescent="0.3">
      <c r="B537" s="561"/>
      <c r="C537" s="561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</row>
    <row r="538" spans="2:25" ht="14.25" customHeight="1" x14ac:dyDescent="0.3">
      <c r="B538" s="561"/>
      <c r="C538" s="561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</row>
    <row r="539" spans="2:25" ht="14.25" customHeight="1" x14ac:dyDescent="0.3">
      <c r="B539" s="561"/>
      <c r="C539" s="561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</row>
    <row r="540" spans="2:25" ht="14.25" customHeight="1" x14ac:dyDescent="0.3">
      <c r="B540" s="561"/>
      <c r="C540" s="561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</row>
    <row r="541" spans="2:25" ht="14.25" customHeight="1" x14ac:dyDescent="0.3">
      <c r="B541" s="561"/>
      <c r="C541" s="561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</row>
    <row r="542" spans="2:25" ht="14.25" customHeight="1" x14ac:dyDescent="0.3">
      <c r="B542" s="561"/>
      <c r="C542" s="561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</row>
    <row r="543" spans="2:25" ht="14.25" customHeight="1" x14ac:dyDescent="0.3">
      <c r="B543" s="561"/>
      <c r="C543" s="561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</row>
    <row r="544" spans="2:25" ht="14.25" customHeight="1" x14ac:dyDescent="0.3">
      <c r="B544" s="561"/>
      <c r="C544" s="561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</row>
    <row r="545" spans="2:25" ht="14.25" customHeight="1" x14ac:dyDescent="0.3">
      <c r="B545" s="561"/>
      <c r="C545" s="561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</row>
    <row r="546" spans="2:25" ht="14.25" customHeight="1" x14ac:dyDescent="0.3">
      <c r="B546" s="561"/>
      <c r="C546" s="561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</row>
    <row r="547" spans="2:25" ht="14.25" customHeight="1" x14ac:dyDescent="0.3">
      <c r="B547" s="561"/>
      <c r="C547" s="561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</row>
    <row r="548" spans="2:25" ht="14.25" customHeight="1" x14ac:dyDescent="0.3">
      <c r="B548" s="561"/>
      <c r="C548" s="561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</row>
    <row r="549" spans="2:25" ht="14.25" customHeight="1" x14ac:dyDescent="0.3">
      <c r="B549" s="561"/>
      <c r="C549" s="561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</row>
    <row r="550" spans="2:25" ht="14.25" customHeight="1" x14ac:dyDescent="0.3">
      <c r="B550" s="561"/>
      <c r="C550" s="561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</row>
    <row r="551" spans="2:25" ht="14.25" customHeight="1" x14ac:dyDescent="0.3">
      <c r="B551" s="561"/>
      <c r="C551" s="561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</row>
    <row r="552" spans="2:25" ht="14.25" customHeight="1" x14ac:dyDescent="0.3">
      <c r="B552" s="561"/>
      <c r="C552" s="561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</row>
    <row r="553" spans="2:25" ht="14.25" customHeight="1" x14ac:dyDescent="0.3">
      <c r="B553" s="561"/>
      <c r="C553" s="561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</row>
    <row r="554" spans="2:25" ht="14.25" customHeight="1" x14ac:dyDescent="0.3">
      <c r="B554" s="561"/>
      <c r="C554" s="561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</row>
    <row r="555" spans="2:25" ht="14.25" customHeight="1" x14ac:dyDescent="0.3">
      <c r="B555" s="561"/>
      <c r="C555" s="561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</row>
    <row r="556" spans="2:25" ht="14.25" customHeight="1" x14ac:dyDescent="0.3">
      <c r="B556" s="561"/>
      <c r="C556" s="561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</row>
    <row r="557" spans="2:25" ht="14.25" customHeight="1" x14ac:dyDescent="0.3">
      <c r="B557" s="561"/>
      <c r="C557" s="561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</row>
    <row r="558" spans="2:25" ht="14.25" customHeight="1" x14ac:dyDescent="0.3">
      <c r="B558" s="561"/>
      <c r="C558" s="561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</row>
    <row r="559" spans="2:25" ht="14.25" customHeight="1" x14ac:dyDescent="0.3">
      <c r="B559" s="561"/>
      <c r="C559" s="561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</row>
    <row r="560" spans="2:25" ht="14.25" customHeight="1" x14ac:dyDescent="0.3">
      <c r="B560" s="561"/>
      <c r="C560" s="561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</row>
    <row r="561" spans="2:25" ht="14.25" customHeight="1" x14ac:dyDescent="0.3">
      <c r="B561" s="561"/>
      <c r="C561" s="561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</row>
    <row r="562" spans="2:25" ht="14.25" customHeight="1" x14ac:dyDescent="0.3">
      <c r="B562" s="561"/>
      <c r="C562" s="561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</row>
    <row r="563" spans="2:25" ht="14.25" customHeight="1" x14ac:dyDescent="0.3">
      <c r="B563" s="561"/>
      <c r="C563" s="561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</row>
    <row r="564" spans="2:25" ht="14.25" customHeight="1" x14ac:dyDescent="0.3">
      <c r="B564" s="561"/>
      <c r="C564" s="561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</row>
    <row r="565" spans="2:25" ht="14.25" customHeight="1" x14ac:dyDescent="0.3">
      <c r="B565" s="561"/>
      <c r="C565" s="561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</row>
    <row r="566" spans="2:25" ht="14.25" customHeight="1" x14ac:dyDescent="0.3">
      <c r="B566" s="561"/>
      <c r="C566" s="561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</row>
    <row r="567" spans="2:25" ht="14.25" customHeight="1" x14ac:dyDescent="0.3">
      <c r="B567" s="561"/>
      <c r="C567" s="561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</row>
    <row r="568" spans="2:25" ht="14.25" customHeight="1" x14ac:dyDescent="0.3">
      <c r="B568" s="561"/>
      <c r="C568" s="561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</row>
    <row r="569" spans="2:25" ht="14.25" customHeight="1" x14ac:dyDescent="0.3">
      <c r="B569" s="561"/>
      <c r="C569" s="561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</row>
    <row r="570" spans="2:25" ht="14.25" customHeight="1" x14ac:dyDescent="0.3">
      <c r="B570" s="561"/>
      <c r="C570" s="561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</row>
    <row r="571" spans="2:25" ht="14.25" customHeight="1" x14ac:dyDescent="0.3">
      <c r="B571" s="561"/>
      <c r="C571" s="561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</row>
    <row r="572" spans="2:25" ht="14.25" customHeight="1" x14ac:dyDescent="0.3">
      <c r="B572" s="561"/>
      <c r="C572" s="561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</row>
    <row r="573" spans="2:25" ht="14.25" customHeight="1" x14ac:dyDescent="0.3">
      <c r="B573" s="561"/>
      <c r="C573" s="561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</row>
    <row r="574" spans="2:25" ht="14.25" customHeight="1" x14ac:dyDescent="0.3">
      <c r="B574" s="561"/>
      <c r="C574" s="561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</row>
    <row r="575" spans="2:25" ht="14.25" customHeight="1" x14ac:dyDescent="0.3">
      <c r="B575" s="561"/>
      <c r="C575" s="561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</row>
    <row r="576" spans="2:25" ht="14.25" customHeight="1" x14ac:dyDescent="0.3">
      <c r="B576" s="561"/>
      <c r="C576" s="561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</row>
    <row r="577" spans="2:25" ht="14.25" customHeight="1" x14ac:dyDescent="0.3">
      <c r="B577" s="561"/>
      <c r="C577" s="561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</row>
    <row r="578" spans="2:25" ht="14.25" customHeight="1" x14ac:dyDescent="0.3">
      <c r="B578" s="561"/>
      <c r="C578" s="561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</row>
    <row r="579" spans="2:25" ht="14.25" customHeight="1" x14ac:dyDescent="0.3">
      <c r="B579" s="561"/>
      <c r="C579" s="561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</row>
    <row r="580" spans="2:25" ht="14.25" customHeight="1" x14ac:dyDescent="0.3">
      <c r="B580" s="561"/>
      <c r="C580" s="561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</row>
    <row r="581" spans="2:25" ht="14.25" customHeight="1" x14ac:dyDescent="0.3">
      <c r="B581" s="561"/>
      <c r="C581" s="561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</row>
    <row r="582" spans="2:25" ht="14.25" customHeight="1" x14ac:dyDescent="0.3">
      <c r="B582" s="561"/>
      <c r="C582" s="561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</row>
    <row r="583" spans="2:25" ht="14.25" customHeight="1" x14ac:dyDescent="0.3">
      <c r="B583" s="561"/>
      <c r="C583" s="561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</row>
    <row r="584" spans="2:25" ht="14.25" customHeight="1" x14ac:dyDescent="0.3">
      <c r="B584" s="561"/>
      <c r="C584" s="561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</row>
    <row r="585" spans="2:25" ht="14.25" customHeight="1" x14ac:dyDescent="0.3">
      <c r="B585" s="561"/>
      <c r="C585" s="561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</row>
    <row r="586" spans="2:25" ht="14.25" customHeight="1" x14ac:dyDescent="0.3">
      <c r="B586" s="561"/>
      <c r="C586" s="561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</row>
    <row r="587" spans="2:25" ht="14.25" customHeight="1" x14ac:dyDescent="0.3">
      <c r="B587" s="561"/>
      <c r="C587" s="561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</row>
    <row r="588" spans="2:25" ht="14.25" customHeight="1" x14ac:dyDescent="0.3">
      <c r="B588" s="561"/>
      <c r="C588" s="561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</row>
    <row r="589" spans="2:25" ht="14.25" customHeight="1" x14ac:dyDescent="0.3">
      <c r="B589" s="561"/>
      <c r="C589" s="561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</row>
    <row r="590" spans="2:25" ht="14.25" customHeight="1" x14ac:dyDescent="0.3">
      <c r="B590" s="561"/>
      <c r="C590" s="561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</row>
    <row r="591" spans="2:25" ht="14.25" customHeight="1" x14ac:dyDescent="0.3">
      <c r="B591" s="561"/>
      <c r="C591" s="561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</row>
    <row r="592" spans="2:25" ht="14.25" customHeight="1" x14ac:dyDescent="0.3">
      <c r="B592" s="561"/>
      <c r="C592" s="561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</row>
    <row r="593" spans="2:25" ht="14.25" customHeight="1" x14ac:dyDescent="0.3">
      <c r="B593" s="561"/>
      <c r="C593" s="561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</row>
    <row r="594" spans="2:25" ht="14.25" customHeight="1" x14ac:dyDescent="0.3">
      <c r="B594" s="561"/>
      <c r="C594" s="561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</row>
    <row r="595" spans="2:25" ht="14.25" customHeight="1" x14ac:dyDescent="0.3">
      <c r="B595" s="561"/>
      <c r="C595" s="561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</row>
    <row r="596" spans="2:25" ht="14.25" customHeight="1" x14ac:dyDescent="0.3">
      <c r="B596" s="561"/>
      <c r="C596" s="561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</row>
    <row r="597" spans="2:25" ht="14.25" customHeight="1" x14ac:dyDescent="0.3">
      <c r="B597" s="561"/>
      <c r="C597" s="561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</row>
    <row r="598" spans="2:25" ht="14.25" customHeight="1" x14ac:dyDescent="0.3">
      <c r="B598" s="561"/>
      <c r="C598" s="561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</row>
    <row r="599" spans="2:25" ht="14.25" customHeight="1" x14ac:dyDescent="0.3">
      <c r="B599" s="561"/>
      <c r="C599" s="561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</row>
    <row r="600" spans="2:25" ht="14.25" customHeight="1" x14ac:dyDescent="0.3">
      <c r="B600" s="561"/>
      <c r="C600" s="561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</row>
    <row r="601" spans="2:25" ht="14.25" customHeight="1" x14ac:dyDescent="0.3">
      <c r="B601" s="561"/>
      <c r="C601" s="561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</row>
    <row r="602" spans="2:25" ht="14.25" customHeight="1" x14ac:dyDescent="0.3">
      <c r="B602" s="561"/>
      <c r="C602" s="561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</row>
    <row r="603" spans="2:25" ht="14.25" customHeight="1" x14ac:dyDescent="0.3">
      <c r="B603" s="561"/>
      <c r="C603" s="561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</row>
    <row r="604" spans="2:25" ht="14.25" customHeight="1" x14ac:dyDescent="0.3">
      <c r="B604" s="561"/>
      <c r="C604" s="561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</row>
    <row r="605" spans="2:25" ht="14.25" customHeight="1" x14ac:dyDescent="0.3">
      <c r="B605" s="561"/>
      <c r="C605" s="561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</row>
    <row r="606" spans="2:25" ht="14.25" customHeight="1" x14ac:dyDescent="0.3">
      <c r="B606" s="561"/>
      <c r="C606" s="561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</row>
    <row r="607" spans="2:25" ht="14.25" customHeight="1" x14ac:dyDescent="0.3">
      <c r="B607" s="561"/>
      <c r="C607" s="561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</row>
    <row r="608" spans="2:25" ht="14.25" customHeight="1" x14ac:dyDescent="0.3">
      <c r="B608" s="561"/>
      <c r="C608" s="561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</row>
    <row r="609" spans="2:25" ht="14.25" customHeight="1" x14ac:dyDescent="0.3">
      <c r="B609" s="561"/>
      <c r="C609" s="561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</row>
    <row r="610" spans="2:25" ht="14.25" customHeight="1" x14ac:dyDescent="0.3">
      <c r="B610" s="561"/>
      <c r="C610" s="561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</row>
    <row r="611" spans="2:25" ht="14.25" customHeight="1" x14ac:dyDescent="0.3">
      <c r="B611" s="561"/>
      <c r="C611" s="561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</row>
    <row r="612" spans="2:25" ht="14.25" customHeight="1" x14ac:dyDescent="0.3">
      <c r="B612" s="561"/>
      <c r="C612" s="561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</row>
    <row r="613" spans="2:25" ht="14.25" customHeight="1" x14ac:dyDescent="0.3">
      <c r="B613" s="561"/>
      <c r="C613" s="561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</row>
    <row r="614" spans="2:25" ht="14.25" customHeight="1" x14ac:dyDescent="0.3">
      <c r="B614" s="561"/>
      <c r="C614" s="561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</row>
    <row r="615" spans="2:25" ht="14.25" customHeight="1" x14ac:dyDescent="0.3">
      <c r="B615" s="561"/>
      <c r="C615" s="561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</row>
    <row r="616" spans="2:25" ht="14.25" customHeight="1" x14ac:dyDescent="0.3">
      <c r="B616" s="561"/>
      <c r="C616" s="561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</row>
    <row r="617" spans="2:25" ht="14.25" customHeight="1" x14ac:dyDescent="0.3">
      <c r="B617" s="561"/>
      <c r="C617" s="561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</row>
    <row r="618" spans="2:25" ht="14.25" customHeight="1" x14ac:dyDescent="0.3">
      <c r="B618" s="561"/>
      <c r="C618" s="561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</row>
    <row r="619" spans="2:25" ht="14.25" customHeight="1" x14ac:dyDescent="0.3">
      <c r="B619" s="561"/>
      <c r="C619" s="561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</row>
    <row r="620" spans="2:25" ht="14.25" customHeight="1" x14ac:dyDescent="0.3">
      <c r="B620" s="561"/>
      <c r="C620" s="561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</row>
    <row r="621" spans="2:25" ht="14.25" customHeight="1" x14ac:dyDescent="0.3">
      <c r="B621" s="561"/>
      <c r="C621" s="561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</row>
    <row r="622" spans="2:25" ht="14.25" customHeight="1" x14ac:dyDescent="0.3">
      <c r="B622" s="561"/>
      <c r="C622" s="561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</row>
    <row r="623" spans="2:25" ht="14.25" customHeight="1" x14ac:dyDescent="0.3">
      <c r="B623" s="561"/>
      <c r="C623" s="561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</row>
    <row r="624" spans="2:25" ht="14.25" customHeight="1" x14ac:dyDescent="0.3">
      <c r="B624" s="561"/>
      <c r="C624" s="561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</row>
    <row r="625" spans="2:25" ht="14.25" customHeight="1" x14ac:dyDescent="0.3">
      <c r="B625" s="561"/>
      <c r="C625" s="561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</row>
    <row r="626" spans="2:25" ht="14.25" customHeight="1" x14ac:dyDescent="0.3">
      <c r="B626" s="561"/>
      <c r="C626" s="561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</row>
    <row r="627" spans="2:25" ht="14.25" customHeight="1" x14ac:dyDescent="0.3">
      <c r="B627" s="561"/>
      <c r="C627" s="561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</row>
    <row r="628" spans="2:25" ht="14.25" customHeight="1" x14ac:dyDescent="0.3">
      <c r="B628" s="561"/>
      <c r="C628" s="561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</row>
    <row r="629" spans="2:25" ht="14.25" customHeight="1" x14ac:dyDescent="0.3">
      <c r="B629" s="561"/>
      <c r="C629" s="561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</row>
    <row r="630" spans="2:25" ht="14.25" customHeight="1" x14ac:dyDescent="0.3">
      <c r="B630" s="561"/>
      <c r="C630" s="561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</row>
    <row r="631" spans="2:25" ht="14.25" customHeight="1" x14ac:dyDescent="0.3">
      <c r="B631" s="561"/>
      <c r="C631" s="561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</row>
    <row r="632" spans="2:25" ht="14.25" customHeight="1" x14ac:dyDescent="0.3">
      <c r="B632" s="561"/>
      <c r="C632" s="561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</row>
    <row r="633" spans="2:25" ht="14.25" customHeight="1" x14ac:dyDescent="0.3">
      <c r="B633" s="561"/>
      <c r="C633" s="561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</row>
    <row r="634" spans="2:25" ht="14.25" customHeight="1" x14ac:dyDescent="0.3">
      <c r="B634" s="561"/>
      <c r="C634" s="561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</row>
    <row r="635" spans="2:25" ht="14.25" customHeight="1" x14ac:dyDescent="0.3">
      <c r="B635" s="561"/>
      <c r="C635" s="561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</row>
    <row r="636" spans="2:25" ht="14.25" customHeight="1" x14ac:dyDescent="0.3">
      <c r="B636" s="561"/>
      <c r="C636" s="561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</row>
    <row r="637" spans="2:25" ht="14.25" customHeight="1" x14ac:dyDescent="0.3">
      <c r="B637" s="561"/>
      <c r="C637" s="561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</row>
    <row r="638" spans="2:25" ht="14.25" customHeight="1" x14ac:dyDescent="0.3">
      <c r="B638" s="561"/>
      <c r="C638" s="561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</row>
    <row r="639" spans="2:25" ht="14.25" customHeight="1" x14ac:dyDescent="0.3">
      <c r="B639" s="561"/>
      <c r="C639" s="561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</row>
    <row r="640" spans="2:25" ht="14.25" customHeight="1" x14ac:dyDescent="0.3">
      <c r="B640" s="561"/>
      <c r="C640" s="561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</row>
    <row r="641" spans="2:25" ht="14.25" customHeight="1" x14ac:dyDescent="0.3">
      <c r="B641" s="561"/>
      <c r="C641" s="561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</row>
    <row r="642" spans="2:25" ht="14.25" customHeight="1" x14ac:dyDescent="0.3">
      <c r="B642" s="561"/>
      <c r="C642" s="561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</row>
    <row r="643" spans="2:25" ht="14.25" customHeight="1" x14ac:dyDescent="0.3">
      <c r="B643" s="561"/>
      <c r="C643" s="561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</row>
    <row r="644" spans="2:25" ht="14.25" customHeight="1" x14ac:dyDescent="0.3">
      <c r="B644" s="561"/>
      <c r="C644" s="561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</row>
    <row r="645" spans="2:25" ht="14.25" customHeight="1" x14ac:dyDescent="0.3">
      <c r="B645" s="561"/>
      <c r="C645" s="561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</row>
    <row r="646" spans="2:25" ht="14.25" customHeight="1" x14ac:dyDescent="0.3">
      <c r="B646" s="561"/>
      <c r="C646" s="561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</row>
    <row r="647" spans="2:25" ht="14.25" customHeight="1" x14ac:dyDescent="0.3">
      <c r="B647" s="561"/>
      <c r="C647" s="561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</row>
    <row r="648" spans="2:25" ht="14.25" customHeight="1" x14ac:dyDescent="0.3">
      <c r="B648" s="561"/>
      <c r="C648" s="561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</row>
    <row r="649" spans="2:25" ht="14.25" customHeight="1" x14ac:dyDescent="0.3">
      <c r="B649" s="561"/>
      <c r="C649" s="561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</row>
    <row r="650" spans="2:25" ht="14.25" customHeight="1" x14ac:dyDescent="0.3">
      <c r="B650" s="561"/>
      <c r="C650" s="561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</row>
    <row r="651" spans="2:25" ht="14.25" customHeight="1" x14ac:dyDescent="0.3">
      <c r="B651" s="561"/>
      <c r="C651" s="561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</row>
    <row r="652" spans="2:25" ht="14.25" customHeight="1" x14ac:dyDescent="0.3">
      <c r="B652" s="561"/>
      <c r="C652" s="561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</row>
    <row r="653" spans="2:25" ht="14.25" customHeight="1" x14ac:dyDescent="0.3">
      <c r="B653" s="561"/>
      <c r="C653" s="561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</row>
    <row r="654" spans="2:25" ht="14.25" customHeight="1" x14ac:dyDescent="0.3">
      <c r="B654" s="561"/>
      <c r="C654" s="561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</row>
    <row r="655" spans="2:25" ht="14.25" customHeight="1" x14ac:dyDescent="0.3">
      <c r="B655" s="561"/>
      <c r="C655" s="561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</row>
    <row r="656" spans="2:25" ht="14.25" customHeight="1" x14ac:dyDescent="0.3">
      <c r="B656" s="561"/>
      <c r="C656" s="561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</row>
    <row r="657" spans="2:25" ht="14.25" customHeight="1" x14ac:dyDescent="0.3">
      <c r="B657" s="561"/>
      <c r="C657" s="561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</row>
    <row r="658" spans="2:25" ht="14.25" customHeight="1" x14ac:dyDescent="0.3">
      <c r="B658" s="561"/>
      <c r="C658" s="561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</row>
    <row r="659" spans="2:25" ht="14.25" customHeight="1" x14ac:dyDescent="0.3">
      <c r="B659" s="561"/>
      <c r="C659" s="561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</row>
    <row r="660" spans="2:25" ht="14.25" customHeight="1" x14ac:dyDescent="0.3">
      <c r="B660" s="561"/>
      <c r="C660" s="561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</row>
    <row r="661" spans="2:25" ht="14.25" customHeight="1" x14ac:dyDescent="0.3">
      <c r="B661" s="561"/>
      <c r="C661" s="561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</row>
    <row r="662" spans="2:25" ht="14.25" customHeight="1" x14ac:dyDescent="0.3">
      <c r="B662" s="561"/>
      <c r="C662" s="561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</row>
    <row r="663" spans="2:25" ht="14.25" customHeight="1" x14ac:dyDescent="0.3">
      <c r="B663" s="561"/>
      <c r="C663" s="561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</row>
    <row r="664" spans="2:25" ht="14.25" customHeight="1" x14ac:dyDescent="0.3">
      <c r="B664" s="561"/>
      <c r="C664" s="561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</row>
    <row r="665" spans="2:25" ht="14.25" customHeight="1" x14ac:dyDescent="0.3">
      <c r="B665" s="561"/>
      <c r="C665" s="561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</row>
    <row r="666" spans="2:25" ht="14.25" customHeight="1" x14ac:dyDescent="0.3">
      <c r="B666" s="561"/>
      <c r="C666" s="561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</row>
    <row r="667" spans="2:25" ht="14.25" customHeight="1" x14ac:dyDescent="0.3">
      <c r="B667" s="561"/>
      <c r="C667" s="561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</row>
    <row r="668" spans="2:25" ht="14.25" customHeight="1" x14ac:dyDescent="0.3">
      <c r="B668" s="561"/>
      <c r="C668" s="561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</row>
    <row r="669" spans="2:25" ht="14.25" customHeight="1" x14ac:dyDescent="0.3">
      <c r="B669" s="561"/>
      <c r="C669" s="561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</row>
    <row r="670" spans="2:25" ht="14.25" customHeight="1" x14ac:dyDescent="0.3">
      <c r="B670" s="561"/>
      <c r="C670" s="561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</row>
    <row r="671" spans="2:25" ht="14.25" customHeight="1" x14ac:dyDescent="0.3">
      <c r="B671" s="561"/>
      <c r="C671" s="561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</row>
    <row r="672" spans="2:25" ht="14.25" customHeight="1" x14ac:dyDescent="0.3">
      <c r="B672" s="561"/>
      <c r="C672" s="561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</row>
    <row r="673" spans="2:25" ht="14.25" customHeight="1" x14ac:dyDescent="0.3">
      <c r="B673" s="561"/>
      <c r="C673" s="561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</row>
    <row r="674" spans="2:25" ht="14.25" customHeight="1" x14ac:dyDescent="0.3">
      <c r="B674" s="561"/>
      <c r="C674" s="561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</row>
    <row r="675" spans="2:25" ht="14.25" customHeight="1" x14ac:dyDescent="0.3">
      <c r="B675" s="561"/>
      <c r="C675" s="561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</row>
    <row r="676" spans="2:25" ht="14.25" customHeight="1" x14ac:dyDescent="0.3">
      <c r="B676" s="561"/>
      <c r="C676" s="561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</row>
    <row r="677" spans="2:25" ht="14.25" customHeight="1" x14ac:dyDescent="0.3">
      <c r="B677" s="561"/>
      <c r="C677" s="561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</row>
    <row r="678" spans="2:25" ht="14.25" customHeight="1" x14ac:dyDescent="0.3">
      <c r="B678" s="561"/>
      <c r="C678" s="561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</row>
    <row r="679" spans="2:25" ht="14.25" customHeight="1" x14ac:dyDescent="0.3">
      <c r="B679" s="561"/>
      <c r="C679" s="561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</row>
    <row r="680" spans="2:25" ht="14.25" customHeight="1" x14ac:dyDescent="0.3">
      <c r="B680" s="561"/>
      <c r="C680" s="561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</row>
    <row r="681" spans="2:25" ht="14.25" customHeight="1" x14ac:dyDescent="0.3">
      <c r="B681" s="561"/>
      <c r="C681" s="561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</row>
    <row r="682" spans="2:25" ht="14.25" customHeight="1" x14ac:dyDescent="0.3">
      <c r="B682" s="561"/>
      <c r="C682" s="561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</row>
    <row r="683" spans="2:25" ht="14.25" customHeight="1" x14ac:dyDescent="0.3">
      <c r="B683" s="561"/>
      <c r="C683" s="561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</row>
    <row r="684" spans="2:25" ht="14.25" customHeight="1" x14ac:dyDescent="0.3">
      <c r="B684" s="561"/>
      <c r="C684" s="561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</row>
    <row r="685" spans="2:25" ht="14.25" customHeight="1" x14ac:dyDescent="0.3">
      <c r="B685" s="561"/>
      <c r="C685" s="561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</row>
    <row r="686" spans="2:25" ht="14.25" customHeight="1" x14ac:dyDescent="0.3">
      <c r="B686" s="561"/>
      <c r="C686" s="561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</row>
    <row r="687" spans="2:25" ht="14.25" customHeight="1" x14ac:dyDescent="0.3">
      <c r="B687" s="561"/>
      <c r="C687" s="561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</row>
    <row r="688" spans="2:25" ht="14.25" customHeight="1" x14ac:dyDescent="0.3">
      <c r="B688" s="561"/>
      <c r="C688" s="561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</row>
    <row r="689" spans="2:25" ht="14.25" customHeight="1" x14ac:dyDescent="0.3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</row>
    <row r="690" spans="2:25" ht="14.25" customHeight="1" x14ac:dyDescent="0.3">
      <c r="B690" s="561"/>
      <c r="C690" s="561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</row>
    <row r="691" spans="2:25" ht="14.25" customHeight="1" x14ac:dyDescent="0.3">
      <c r="B691" s="561"/>
      <c r="C691" s="561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</row>
    <row r="692" spans="2:25" ht="14.25" customHeight="1" x14ac:dyDescent="0.3">
      <c r="B692" s="561"/>
      <c r="C692" s="561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</row>
    <row r="693" spans="2:25" ht="14.25" customHeight="1" x14ac:dyDescent="0.3">
      <c r="B693" s="561"/>
      <c r="C693" s="561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</row>
    <row r="694" spans="2:25" ht="14.25" customHeight="1" x14ac:dyDescent="0.3">
      <c r="B694" s="561"/>
      <c r="C694" s="561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</row>
    <row r="695" spans="2:25" ht="14.25" customHeight="1" x14ac:dyDescent="0.3">
      <c r="B695" s="561"/>
      <c r="C695" s="561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</row>
    <row r="696" spans="2:25" ht="14.25" customHeight="1" x14ac:dyDescent="0.3">
      <c r="B696" s="561"/>
      <c r="C696" s="561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</row>
    <row r="697" spans="2:25" ht="14.25" customHeight="1" x14ac:dyDescent="0.3">
      <c r="B697" s="561"/>
      <c r="C697" s="561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</row>
    <row r="698" spans="2:25" ht="14.25" customHeight="1" x14ac:dyDescent="0.3">
      <c r="B698" s="561"/>
      <c r="C698" s="561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</row>
    <row r="699" spans="2:25" ht="14.25" customHeight="1" x14ac:dyDescent="0.3">
      <c r="B699" s="561"/>
      <c r="C699" s="561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</row>
    <row r="700" spans="2:25" ht="14.25" customHeight="1" x14ac:dyDescent="0.3">
      <c r="B700" s="561"/>
      <c r="C700" s="561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</row>
    <row r="701" spans="2:25" ht="14.25" customHeight="1" x14ac:dyDescent="0.3">
      <c r="B701" s="561"/>
      <c r="C701" s="561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</row>
    <row r="702" spans="2:25" ht="14.25" customHeight="1" x14ac:dyDescent="0.3">
      <c r="B702" s="561"/>
      <c r="C702" s="561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</row>
    <row r="703" spans="2:25" ht="14.25" customHeight="1" x14ac:dyDescent="0.3">
      <c r="B703" s="561"/>
      <c r="C703" s="561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</row>
    <row r="704" spans="2:25" ht="14.25" customHeight="1" x14ac:dyDescent="0.3">
      <c r="B704" s="561"/>
      <c r="C704" s="561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</row>
    <row r="705" spans="2:25" ht="14.25" customHeight="1" x14ac:dyDescent="0.3">
      <c r="B705" s="561"/>
      <c r="C705" s="561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</row>
    <row r="706" spans="2:25" ht="14.25" customHeight="1" x14ac:dyDescent="0.3">
      <c r="B706" s="561"/>
      <c r="C706" s="561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</row>
    <row r="707" spans="2:25" ht="14.25" customHeight="1" x14ac:dyDescent="0.3">
      <c r="B707" s="561"/>
      <c r="C707" s="561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</row>
    <row r="708" spans="2:25" ht="14.25" customHeight="1" x14ac:dyDescent="0.3">
      <c r="B708" s="561"/>
      <c r="C708" s="561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</row>
    <row r="709" spans="2:25" ht="14.25" customHeight="1" x14ac:dyDescent="0.3">
      <c r="B709" s="561"/>
      <c r="C709" s="561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</row>
    <row r="710" spans="2:25" ht="14.25" customHeight="1" x14ac:dyDescent="0.3">
      <c r="B710" s="561"/>
      <c r="C710" s="561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</row>
    <row r="711" spans="2:25" ht="14.25" customHeight="1" x14ac:dyDescent="0.3">
      <c r="B711" s="561"/>
      <c r="C711" s="561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</row>
    <row r="712" spans="2:25" ht="14.25" customHeight="1" x14ac:dyDescent="0.3">
      <c r="B712" s="561"/>
      <c r="C712" s="561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</row>
    <row r="713" spans="2:25" ht="14.25" customHeight="1" x14ac:dyDescent="0.3">
      <c r="B713" s="561"/>
      <c r="C713" s="561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</row>
    <row r="714" spans="2:25" ht="14.25" customHeight="1" x14ac:dyDescent="0.3">
      <c r="B714" s="561"/>
      <c r="C714" s="561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</row>
    <row r="715" spans="2:25" ht="14.25" customHeight="1" x14ac:dyDescent="0.3">
      <c r="B715" s="561"/>
      <c r="C715" s="561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</row>
    <row r="716" spans="2:25" ht="14.25" customHeight="1" x14ac:dyDescent="0.3">
      <c r="B716" s="561"/>
      <c r="C716" s="561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</row>
    <row r="717" spans="2:25" ht="14.25" customHeight="1" x14ac:dyDescent="0.3">
      <c r="B717" s="561"/>
      <c r="C717" s="561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</row>
    <row r="718" spans="2:25" ht="14.25" customHeight="1" x14ac:dyDescent="0.3">
      <c r="B718" s="561"/>
      <c r="C718" s="561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</row>
    <row r="719" spans="2:25" ht="14.25" customHeight="1" x14ac:dyDescent="0.3">
      <c r="B719" s="561"/>
      <c r="C719" s="561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</row>
    <row r="720" spans="2:25" ht="14.25" customHeight="1" x14ac:dyDescent="0.3">
      <c r="B720" s="561"/>
      <c r="C720" s="561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</row>
    <row r="721" spans="2:25" ht="14.25" customHeight="1" x14ac:dyDescent="0.3">
      <c r="B721" s="561"/>
      <c r="C721" s="561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</row>
    <row r="722" spans="2:25" ht="14.25" customHeight="1" x14ac:dyDescent="0.3">
      <c r="B722" s="561"/>
      <c r="C722" s="561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</row>
    <row r="723" spans="2:25" ht="14.25" customHeight="1" x14ac:dyDescent="0.3">
      <c r="B723" s="561"/>
      <c r="C723" s="561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</row>
    <row r="724" spans="2:25" ht="14.25" customHeight="1" x14ac:dyDescent="0.3">
      <c r="B724" s="561"/>
      <c r="C724" s="561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</row>
    <row r="725" spans="2:25" ht="14.25" customHeight="1" x14ac:dyDescent="0.3">
      <c r="B725" s="561"/>
      <c r="C725" s="561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</row>
    <row r="726" spans="2:25" ht="14.25" customHeight="1" x14ac:dyDescent="0.3">
      <c r="B726" s="561"/>
      <c r="C726" s="561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</row>
    <row r="727" spans="2:25" ht="14.25" customHeight="1" x14ac:dyDescent="0.3">
      <c r="B727" s="561"/>
      <c r="C727" s="561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</row>
    <row r="728" spans="2:25" ht="14.25" customHeight="1" x14ac:dyDescent="0.3">
      <c r="B728" s="561"/>
      <c r="C728" s="561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</row>
    <row r="729" spans="2:25" ht="14.25" customHeight="1" x14ac:dyDescent="0.3">
      <c r="B729" s="561"/>
      <c r="C729" s="561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</row>
    <row r="730" spans="2:25" ht="14.25" customHeight="1" x14ac:dyDescent="0.3">
      <c r="B730" s="561"/>
      <c r="C730" s="561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</row>
    <row r="731" spans="2:25" ht="14.25" customHeight="1" x14ac:dyDescent="0.3">
      <c r="B731" s="561"/>
      <c r="C731" s="561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</row>
    <row r="732" spans="2:25" ht="14.25" customHeight="1" x14ac:dyDescent="0.3">
      <c r="B732" s="561"/>
      <c r="C732" s="561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</row>
    <row r="733" spans="2:25" ht="14.25" customHeight="1" x14ac:dyDescent="0.3">
      <c r="B733" s="561"/>
      <c r="C733" s="561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</row>
    <row r="734" spans="2:25" ht="14.25" customHeight="1" x14ac:dyDescent="0.3">
      <c r="B734" s="561"/>
      <c r="C734" s="561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</row>
    <row r="735" spans="2:25" ht="14.25" customHeight="1" x14ac:dyDescent="0.3">
      <c r="B735" s="561"/>
      <c r="C735" s="561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</row>
    <row r="736" spans="2:25" ht="14.25" customHeight="1" x14ac:dyDescent="0.3">
      <c r="B736" s="561"/>
      <c r="C736" s="561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</row>
    <row r="737" spans="2:25" ht="14.25" customHeight="1" x14ac:dyDescent="0.3">
      <c r="B737" s="561"/>
      <c r="C737" s="561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</row>
    <row r="738" spans="2:25" ht="14.25" customHeight="1" x14ac:dyDescent="0.3">
      <c r="B738" s="561"/>
      <c r="C738" s="561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</row>
    <row r="739" spans="2:25" ht="14.25" customHeight="1" x14ac:dyDescent="0.3">
      <c r="B739" s="561"/>
      <c r="C739" s="561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</row>
    <row r="740" spans="2:25" ht="14.25" customHeight="1" x14ac:dyDescent="0.3">
      <c r="B740" s="561"/>
      <c r="C740" s="561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</row>
    <row r="741" spans="2:25" ht="14.25" customHeight="1" x14ac:dyDescent="0.3">
      <c r="B741" s="561"/>
      <c r="C741" s="561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</row>
    <row r="742" spans="2:25" ht="14.25" customHeight="1" x14ac:dyDescent="0.3">
      <c r="B742" s="561"/>
      <c r="C742" s="561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</row>
    <row r="743" spans="2:25" ht="14.25" customHeight="1" x14ac:dyDescent="0.3">
      <c r="B743" s="561"/>
      <c r="C743" s="561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</row>
    <row r="744" spans="2:25" ht="14.25" customHeight="1" x14ac:dyDescent="0.3">
      <c r="B744" s="561"/>
      <c r="C744" s="561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</row>
    <row r="745" spans="2:25" ht="14.25" customHeight="1" x14ac:dyDescent="0.3">
      <c r="B745" s="561"/>
      <c r="C745" s="561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</row>
    <row r="746" spans="2:25" ht="14.25" customHeight="1" x14ac:dyDescent="0.3">
      <c r="B746" s="561"/>
      <c r="C746" s="561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</row>
    <row r="747" spans="2:25" ht="14.25" customHeight="1" x14ac:dyDescent="0.3">
      <c r="B747" s="561"/>
      <c r="C747" s="561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</row>
    <row r="748" spans="2:25" ht="14.25" customHeight="1" x14ac:dyDescent="0.3">
      <c r="B748" s="561"/>
      <c r="C748" s="561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</row>
    <row r="749" spans="2:25" ht="14.25" customHeight="1" x14ac:dyDescent="0.3">
      <c r="B749" s="561"/>
      <c r="C749" s="561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</row>
    <row r="750" spans="2:25" ht="14.25" customHeight="1" x14ac:dyDescent="0.3">
      <c r="B750" s="561"/>
      <c r="C750" s="561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</row>
    <row r="751" spans="2:25" ht="14.25" customHeight="1" x14ac:dyDescent="0.3">
      <c r="B751" s="561"/>
      <c r="C751" s="561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</row>
    <row r="752" spans="2:25" ht="14.25" customHeight="1" x14ac:dyDescent="0.3">
      <c r="B752" s="561"/>
      <c r="C752" s="561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</row>
    <row r="753" spans="2:25" ht="14.25" customHeight="1" x14ac:dyDescent="0.3">
      <c r="B753" s="561"/>
      <c r="C753" s="561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</row>
    <row r="754" spans="2:25" ht="14.25" customHeight="1" x14ac:dyDescent="0.3">
      <c r="B754" s="561"/>
      <c r="C754" s="561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</row>
    <row r="755" spans="2:25" ht="14.25" customHeight="1" x14ac:dyDescent="0.3">
      <c r="B755" s="561"/>
      <c r="C755" s="561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</row>
    <row r="756" spans="2:25" ht="14.25" customHeight="1" x14ac:dyDescent="0.3"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</row>
    <row r="757" spans="2:25" ht="14.25" customHeight="1" x14ac:dyDescent="0.3"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</row>
    <row r="758" spans="2:25" ht="14.25" customHeight="1" x14ac:dyDescent="0.3"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</row>
    <row r="759" spans="2:25" ht="14.25" customHeight="1" x14ac:dyDescent="0.3"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</row>
    <row r="760" spans="2:25" ht="14.25" customHeight="1" x14ac:dyDescent="0.3"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</row>
    <row r="761" spans="2:25" ht="14.25" customHeight="1" x14ac:dyDescent="0.3"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</row>
    <row r="762" spans="2:25" ht="14.25" customHeight="1" x14ac:dyDescent="0.3"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</row>
    <row r="763" spans="2:25" ht="14.25" customHeight="1" x14ac:dyDescent="0.3"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</row>
    <row r="764" spans="2:25" ht="14.25" customHeight="1" x14ac:dyDescent="0.3"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</row>
    <row r="765" spans="2:25" ht="14.25" customHeight="1" x14ac:dyDescent="0.3"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</row>
    <row r="766" spans="2:25" ht="14.25" customHeight="1" x14ac:dyDescent="0.3"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</row>
    <row r="767" spans="2:25" ht="14.25" customHeight="1" x14ac:dyDescent="0.3"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</row>
    <row r="768" spans="2:25" ht="14.25" customHeight="1" x14ac:dyDescent="0.3"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</row>
    <row r="769" spans="2:25" ht="14.25" customHeight="1" x14ac:dyDescent="0.3"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</row>
    <row r="770" spans="2:25" ht="14.25" customHeight="1" x14ac:dyDescent="0.3"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</row>
    <row r="771" spans="2:25" ht="14.25" customHeight="1" x14ac:dyDescent="0.3"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</row>
    <row r="772" spans="2:25" ht="14.25" customHeight="1" x14ac:dyDescent="0.3"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</row>
    <row r="773" spans="2:25" ht="14.25" customHeight="1" x14ac:dyDescent="0.3"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</row>
    <row r="774" spans="2:25" ht="14.25" customHeight="1" x14ac:dyDescent="0.3"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</row>
    <row r="775" spans="2:25" ht="14.25" customHeight="1" x14ac:dyDescent="0.3"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</row>
    <row r="776" spans="2:25" ht="14.25" customHeight="1" x14ac:dyDescent="0.3"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</row>
    <row r="777" spans="2:25" ht="14.25" customHeight="1" x14ac:dyDescent="0.3"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</row>
    <row r="778" spans="2:25" ht="14.25" customHeight="1" x14ac:dyDescent="0.3"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</row>
    <row r="779" spans="2:25" ht="14.25" customHeight="1" x14ac:dyDescent="0.3"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</row>
    <row r="780" spans="2:25" ht="14.25" customHeight="1" x14ac:dyDescent="0.3"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</row>
    <row r="781" spans="2:25" ht="14.25" customHeight="1" x14ac:dyDescent="0.3">
      <c r="B781" s="561"/>
      <c r="C781" s="561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</row>
    <row r="782" spans="2:25" ht="14.25" customHeight="1" x14ac:dyDescent="0.3">
      <c r="B782" s="561"/>
      <c r="C782" s="561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</row>
    <row r="783" spans="2:25" ht="14.25" customHeight="1" x14ac:dyDescent="0.3">
      <c r="B783" s="561"/>
      <c r="C783" s="561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</row>
    <row r="784" spans="2:25" ht="14.25" customHeight="1" x14ac:dyDescent="0.3">
      <c r="B784" s="561"/>
      <c r="C784" s="561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</row>
    <row r="785" spans="2:25" ht="14.25" customHeight="1" x14ac:dyDescent="0.3">
      <c r="B785" s="561"/>
      <c r="C785" s="561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</row>
    <row r="786" spans="2:25" ht="14.25" customHeight="1" x14ac:dyDescent="0.3">
      <c r="B786" s="561"/>
      <c r="C786" s="561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</row>
    <row r="787" spans="2:25" ht="14.25" customHeight="1" x14ac:dyDescent="0.3">
      <c r="B787" s="561"/>
      <c r="C787" s="561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</row>
    <row r="788" spans="2:25" ht="14.25" customHeight="1" x14ac:dyDescent="0.3">
      <c r="B788" s="561"/>
      <c r="C788" s="561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</row>
    <row r="789" spans="2:25" ht="14.25" customHeight="1" x14ac:dyDescent="0.3">
      <c r="B789" s="561"/>
      <c r="C789" s="561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</row>
    <row r="790" spans="2:25" ht="14.25" customHeight="1" x14ac:dyDescent="0.3">
      <c r="B790" s="561"/>
      <c r="C790" s="561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</row>
    <row r="791" spans="2:25" ht="14.25" customHeight="1" x14ac:dyDescent="0.3">
      <c r="B791" s="561"/>
      <c r="C791" s="561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</row>
    <row r="792" spans="2:25" ht="14.25" customHeight="1" x14ac:dyDescent="0.3">
      <c r="B792" s="561"/>
      <c r="C792" s="561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</row>
    <row r="793" spans="2:25" ht="14.25" customHeight="1" x14ac:dyDescent="0.3">
      <c r="B793" s="561"/>
      <c r="C793" s="561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</row>
    <row r="794" spans="2:25" ht="14.25" customHeight="1" x14ac:dyDescent="0.3">
      <c r="B794" s="561"/>
      <c r="C794" s="561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</row>
    <row r="795" spans="2:25" ht="14.25" customHeight="1" x14ac:dyDescent="0.3">
      <c r="B795" s="561"/>
      <c r="C795" s="561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</row>
    <row r="796" spans="2:25" ht="14.25" customHeight="1" x14ac:dyDescent="0.3">
      <c r="B796" s="561"/>
      <c r="C796" s="561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</row>
    <row r="797" spans="2:25" ht="14.25" customHeight="1" x14ac:dyDescent="0.3">
      <c r="B797" s="561"/>
      <c r="C797" s="561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</row>
    <row r="798" spans="2:25" ht="14.25" customHeight="1" x14ac:dyDescent="0.3">
      <c r="B798" s="561"/>
      <c r="C798" s="561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</row>
    <row r="799" spans="2:25" ht="14.25" customHeight="1" x14ac:dyDescent="0.3">
      <c r="B799" s="561"/>
      <c r="C799" s="561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</row>
    <row r="800" spans="2:25" ht="14.25" customHeight="1" x14ac:dyDescent="0.3">
      <c r="B800" s="561"/>
      <c r="C800" s="561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</row>
    <row r="801" spans="2:25" ht="14.25" customHeight="1" x14ac:dyDescent="0.3">
      <c r="B801" s="561"/>
      <c r="C801" s="561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</row>
    <row r="802" spans="2:25" ht="14.25" customHeight="1" x14ac:dyDescent="0.3">
      <c r="B802" s="561"/>
      <c r="C802" s="561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</row>
    <row r="803" spans="2:25" ht="14.25" customHeight="1" x14ac:dyDescent="0.3">
      <c r="B803" s="561"/>
      <c r="C803" s="561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</row>
    <row r="804" spans="2:25" ht="14.25" customHeight="1" x14ac:dyDescent="0.3">
      <c r="B804" s="561"/>
      <c r="C804" s="561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</row>
    <row r="805" spans="2:25" ht="14.25" customHeight="1" x14ac:dyDescent="0.3">
      <c r="B805" s="561"/>
      <c r="C805" s="561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</row>
    <row r="806" spans="2:25" ht="14.25" customHeight="1" x14ac:dyDescent="0.3">
      <c r="B806" s="561"/>
      <c r="C806" s="561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</row>
    <row r="807" spans="2:25" ht="14.25" customHeight="1" x14ac:dyDescent="0.3">
      <c r="B807" s="561"/>
      <c r="C807" s="561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</row>
    <row r="808" spans="2:25" ht="14.25" customHeight="1" x14ac:dyDescent="0.3">
      <c r="B808" s="561"/>
      <c r="C808" s="561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</row>
    <row r="809" spans="2:25" ht="14.25" customHeight="1" x14ac:dyDescent="0.3">
      <c r="B809" s="561"/>
      <c r="C809" s="561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</row>
    <row r="810" spans="2:25" ht="14.25" customHeight="1" x14ac:dyDescent="0.3">
      <c r="B810" s="561"/>
      <c r="C810" s="561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</row>
    <row r="811" spans="2:25" ht="14.25" customHeight="1" x14ac:dyDescent="0.3">
      <c r="B811" s="561"/>
      <c r="C811" s="561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</row>
    <row r="812" spans="2:25" ht="14.25" customHeight="1" x14ac:dyDescent="0.3">
      <c r="B812" s="561"/>
      <c r="C812" s="561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</row>
    <row r="813" spans="2:25" ht="14.25" customHeight="1" x14ac:dyDescent="0.3">
      <c r="B813" s="561"/>
      <c r="C813" s="561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</row>
    <row r="814" spans="2:25" ht="14.25" customHeight="1" x14ac:dyDescent="0.3">
      <c r="B814" s="561"/>
      <c r="C814" s="561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</row>
    <row r="815" spans="2:25" ht="14.25" customHeight="1" x14ac:dyDescent="0.3">
      <c r="B815" s="561"/>
      <c r="C815" s="561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</row>
    <row r="816" spans="2:25" ht="14.25" customHeight="1" x14ac:dyDescent="0.3">
      <c r="B816" s="561"/>
      <c r="C816" s="561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</row>
    <row r="817" spans="2:25" ht="14.25" customHeight="1" x14ac:dyDescent="0.3">
      <c r="B817" s="561"/>
      <c r="C817" s="561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</row>
    <row r="818" spans="2:25" ht="14.25" customHeight="1" x14ac:dyDescent="0.3">
      <c r="B818" s="561"/>
      <c r="C818" s="561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</row>
    <row r="819" spans="2:25" ht="14.25" customHeight="1" x14ac:dyDescent="0.3">
      <c r="B819" s="561"/>
      <c r="C819" s="561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</row>
    <row r="820" spans="2:25" ht="14.25" customHeight="1" x14ac:dyDescent="0.3">
      <c r="B820" s="561"/>
      <c r="C820" s="561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</row>
    <row r="821" spans="2:25" ht="14.25" customHeight="1" x14ac:dyDescent="0.3">
      <c r="B821" s="561"/>
      <c r="C821" s="561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</row>
    <row r="822" spans="2:25" ht="14.25" customHeight="1" x14ac:dyDescent="0.3">
      <c r="B822" s="561"/>
      <c r="C822" s="561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</row>
    <row r="823" spans="2:25" ht="14.25" customHeight="1" x14ac:dyDescent="0.3">
      <c r="B823" s="561"/>
      <c r="C823" s="561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</row>
    <row r="824" spans="2:25" ht="14.25" customHeight="1" x14ac:dyDescent="0.3">
      <c r="B824" s="561"/>
      <c r="C824" s="561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</row>
    <row r="825" spans="2:25" ht="14.25" customHeight="1" x14ac:dyDescent="0.3">
      <c r="B825" s="561"/>
      <c r="C825" s="561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</row>
    <row r="826" spans="2:25" ht="14.25" customHeight="1" x14ac:dyDescent="0.3">
      <c r="B826" s="561"/>
      <c r="C826" s="561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</row>
    <row r="827" spans="2:25" ht="14.25" customHeight="1" x14ac:dyDescent="0.3">
      <c r="B827" s="561"/>
      <c r="C827" s="561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</row>
    <row r="828" spans="2:25" ht="14.25" customHeight="1" x14ac:dyDescent="0.3">
      <c r="B828" s="561"/>
      <c r="C828" s="561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</row>
    <row r="829" spans="2:25" ht="14.25" customHeight="1" x14ac:dyDescent="0.3">
      <c r="B829" s="561"/>
      <c r="C829" s="561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</row>
    <row r="830" spans="2:25" ht="14.25" customHeight="1" x14ac:dyDescent="0.3">
      <c r="B830" s="561"/>
      <c r="C830" s="561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</row>
    <row r="831" spans="2:25" ht="14.25" customHeight="1" x14ac:dyDescent="0.3">
      <c r="B831" s="561"/>
      <c r="C831" s="561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</row>
    <row r="832" spans="2:25" ht="14.25" customHeight="1" x14ac:dyDescent="0.3">
      <c r="B832" s="561"/>
      <c r="C832" s="561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</row>
    <row r="833" spans="2:25" ht="14.25" customHeight="1" x14ac:dyDescent="0.3">
      <c r="B833" s="561"/>
      <c r="C833" s="561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</row>
    <row r="834" spans="2:25" ht="14.25" customHeight="1" x14ac:dyDescent="0.3">
      <c r="B834" s="561"/>
      <c r="C834" s="561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</row>
    <row r="835" spans="2:25" ht="14.25" customHeight="1" x14ac:dyDescent="0.3">
      <c r="B835" s="561"/>
      <c r="C835" s="561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</row>
    <row r="836" spans="2:25" ht="14.25" customHeight="1" x14ac:dyDescent="0.3">
      <c r="B836" s="561"/>
      <c r="C836" s="561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</row>
    <row r="837" spans="2:25" ht="14.25" customHeight="1" x14ac:dyDescent="0.3">
      <c r="B837" s="561"/>
      <c r="C837" s="561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</row>
    <row r="838" spans="2:25" ht="14.25" customHeight="1" x14ac:dyDescent="0.3">
      <c r="B838" s="561"/>
      <c r="C838" s="561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</row>
    <row r="839" spans="2:25" ht="14.25" customHeight="1" x14ac:dyDescent="0.3">
      <c r="B839" s="561"/>
      <c r="C839" s="561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</row>
    <row r="840" spans="2:25" ht="14.25" customHeight="1" x14ac:dyDescent="0.3">
      <c r="B840" s="561"/>
      <c r="C840" s="561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</row>
    <row r="841" spans="2:25" ht="14.25" customHeight="1" x14ac:dyDescent="0.3">
      <c r="B841" s="561"/>
      <c r="C841" s="561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</row>
    <row r="842" spans="2:25" ht="14.25" customHeight="1" x14ac:dyDescent="0.3">
      <c r="B842" s="561"/>
      <c r="C842" s="561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</row>
    <row r="843" spans="2:25" ht="14.25" customHeight="1" x14ac:dyDescent="0.3">
      <c r="B843" s="561"/>
      <c r="C843" s="561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</row>
    <row r="844" spans="2:25" ht="14.25" customHeight="1" x14ac:dyDescent="0.3">
      <c r="B844" s="561"/>
      <c r="C844" s="561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</row>
    <row r="845" spans="2:25" ht="14.25" customHeight="1" x14ac:dyDescent="0.3">
      <c r="B845" s="561"/>
      <c r="C845" s="561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</row>
    <row r="846" spans="2:25" ht="14.25" customHeight="1" x14ac:dyDescent="0.3">
      <c r="B846" s="561"/>
      <c r="C846" s="561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</row>
    <row r="847" spans="2:25" ht="14.25" customHeight="1" x14ac:dyDescent="0.3">
      <c r="B847" s="561"/>
      <c r="C847" s="561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</row>
    <row r="848" spans="2:25" ht="14.25" customHeight="1" x14ac:dyDescent="0.3">
      <c r="B848" s="561"/>
      <c r="C848" s="561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</row>
    <row r="849" spans="2:25" ht="14.25" customHeight="1" x14ac:dyDescent="0.3">
      <c r="B849" s="561"/>
      <c r="C849" s="561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</row>
    <row r="850" spans="2:25" ht="14.25" customHeight="1" x14ac:dyDescent="0.3">
      <c r="B850" s="561"/>
      <c r="C850" s="561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</row>
    <row r="851" spans="2:25" ht="14.25" customHeight="1" x14ac:dyDescent="0.3">
      <c r="B851" s="561"/>
      <c r="C851" s="561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</row>
    <row r="852" spans="2:25" ht="14.25" customHeight="1" x14ac:dyDescent="0.3">
      <c r="B852" s="561"/>
      <c r="C852" s="561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</row>
    <row r="853" spans="2:25" ht="14.25" customHeight="1" x14ac:dyDescent="0.3">
      <c r="B853" s="561"/>
      <c r="C853" s="561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</row>
    <row r="854" spans="2:25" ht="14.25" customHeight="1" x14ac:dyDescent="0.3">
      <c r="B854" s="561"/>
      <c r="C854" s="561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</row>
    <row r="855" spans="2:25" ht="14.25" customHeight="1" x14ac:dyDescent="0.3">
      <c r="B855" s="561"/>
      <c r="C855" s="561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</row>
    <row r="856" spans="2:25" ht="14.25" customHeight="1" x14ac:dyDescent="0.3">
      <c r="B856" s="561"/>
      <c r="C856" s="561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</row>
    <row r="857" spans="2:25" ht="14.25" customHeight="1" x14ac:dyDescent="0.3">
      <c r="B857" s="561"/>
      <c r="C857" s="561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</row>
    <row r="858" spans="2:25" ht="14.25" customHeight="1" x14ac:dyDescent="0.3">
      <c r="B858" s="561"/>
      <c r="C858" s="561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</row>
    <row r="859" spans="2:25" ht="14.25" customHeight="1" x14ac:dyDescent="0.3">
      <c r="B859" s="561"/>
      <c r="C859" s="561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</row>
    <row r="860" spans="2:25" ht="14.25" customHeight="1" x14ac:dyDescent="0.3">
      <c r="B860" s="561"/>
      <c r="C860" s="561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</row>
    <row r="861" spans="2:25" ht="14.25" customHeight="1" x14ac:dyDescent="0.3">
      <c r="B861" s="561"/>
      <c r="C861" s="561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</row>
    <row r="862" spans="2:25" ht="14.25" customHeight="1" x14ac:dyDescent="0.3">
      <c r="B862" s="561"/>
      <c r="C862" s="561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</row>
    <row r="863" spans="2:25" ht="14.25" customHeight="1" x14ac:dyDescent="0.3">
      <c r="B863" s="561"/>
      <c r="C863" s="561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</row>
    <row r="864" spans="2:25" ht="14.25" customHeight="1" x14ac:dyDescent="0.3">
      <c r="B864" s="561"/>
      <c r="C864" s="561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</row>
    <row r="865" spans="2:25" ht="14.25" customHeight="1" x14ac:dyDescent="0.3">
      <c r="B865" s="561"/>
      <c r="C865" s="561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</row>
    <row r="866" spans="2:25" ht="14.25" customHeight="1" x14ac:dyDescent="0.3">
      <c r="B866" s="561"/>
      <c r="C866" s="561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</row>
    <row r="867" spans="2:25" ht="14.25" customHeight="1" x14ac:dyDescent="0.3">
      <c r="B867" s="561"/>
      <c r="C867" s="561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</row>
    <row r="868" spans="2:25" ht="14.25" customHeight="1" x14ac:dyDescent="0.3">
      <c r="B868" s="561"/>
      <c r="C868" s="561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</row>
    <row r="869" spans="2:25" ht="14.25" customHeight="1" x14ac:dyDescent="0.3">
      <c r="B869" s="561"/>
      <c r="C869" s="561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</row>
    <row r="870" spans="2:25" ht="14.25" customHeight="1" x14ac:dyDescent="0.3">
      <c r="B870" s="561"/>
      <c r="C870" s="561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</row>
    <row r="871" spans="2:25" ht="14.25" customHeight="1" x14ac:dyDescent="0.3">
      <c r="B871" s="561"/>
      <c r="C871" s="561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</row>
    <row r="872" spans="2:25" ht="14.25" customHeight="1" x14ac:dyDescent="0.3">
      <c r="B872" s="561"/>
      <c r="C872" s="561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</row>
    <row r="873" spans="2:25" ht="14.25" customHeight="1" x14ac:dyDescent="0.3">
      <c r="B873" s="561"/>
      <c r="C873" s="561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</row>
    <row r="874" spans="2:25" ht="14.25" customHeight="1" x14ac:dyDescent="0.3">
      <c r="B874" s="561"/>
      <c r="C874" s="561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</row>
    <row r="875" spans="2:25" ht="14.25" customHeight="1" x14ac:dyDescent="0.3">
      <c r="B875" s="561"/>
      <c r="C875" s="561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</row>
    <row r="876" spans="2:25" ht="14.25" customHeight="1" x14ac:dyDescent="0.3">
      <c r="B876" s="561"/>
      <c r="C876" s="561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</row>
    <row r="877" spans="2:25" ht="14.25" customHeight="1" x14ac:dyDescent="0.3">
      <c r="B877" s="561"/>
      <c r="C877" s="561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</row>
    <row r="878" spans="2:25" ht="14.25" customHeight="1" x14ac:dyDescent="0.3">
      <c r="B878" s="561"/>
      <c r="C878" s="561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</row>
    <row r="879" spans="2:25" ht="14.25" customHeight="1" x14ac:dyDescent="0.3">
      <c r="B879" s="561"/>
      <c r="C879" s="561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</row>
    <row r="880" spans="2:25" ht="14.25" customHeight="1" x14ac:dyDescent="0.3">
      <c r="B880" s="561"/>
      <c r="C880" s="561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</row>
    <row r="881" spans="2:25" ht="14.25" customHeight="1" x14ac:dyDescent="0.3">
      <c r="B881" s="561"/>
      <c r="C881" s="561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</row>
    <row r="882" spans="2:25" ht="14.25" customHeight="1" x14ac:dyDescent="0.3">
      <c r="B882" s="561"/>
      <c r="C882" s="561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</row>
    <row r="883" spans="2:25" ht="14.25" customHeight="1" x14ac:dyDescent="0.3">
      <c r="B883" s="561"/>
      <c r="C883" s="561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</row>
    <row r="884" spans="2:25" ht="14.25" customHeight="1" x14ac:dyDescent="0.3">
      <c r="B884" s="561"/>
      <c r="C884" s="561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</row>
    <row r="885" spans="2:25" ht="14.25" customHeight="1" x14ac:dyDescent="0.3">
      <c r="B885" s="561"/>
      <c r="C885" s="561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</row>
    <row r="886" spans="2:25" ht="14.25" customHeight="1" x14ac:dyDescent="0.3">
      <c r="B886" s="561"/>
      <c r="C886" s="561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</row>
    <row r="887" spans="2:25" ht="14.25" customHeight="1" x14ac:dyDescent="0.3">
      <c r="B887" s="561"/>
      <c r="C887" s="561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</row>
    <row r="888" spans="2:25" ht="14.25" customHeight="1" x14ac:dyDescent="0.3">
      <c r="B888" s="561"/>
      <c r="C888" s="561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</row>
    <row r="889" spans="2:25" ht="14.25" customHeight="1" x14ac:dyDescent="0.3">
      <c r="B889" s="561"/>
      <c r="C889" s="561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</row>
    <row r="890" spans="2:25" ht="14.25" customHeight="1" x14ac:dyDescent="0.3">
      <c r="B890" s="561"/>
      <c r="C890" s="561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</row>
    <row r="891" spans="2:25" ht="14.25" customHeight="1" x14ac:dyDescent="0.3">
      <c r="B891" s="561"/>
      <c r="C891" s="561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</row>
    <row r="892" spans="2:25" ht="14.25" customHeight="1" x14ac:dyDescent="0.3">
      <c r="B892" s="561"/>
      <c r="C892" s="561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</row>
    <row r="893" spans="2:25" ht="14.25" customHeight="1" x14ac:dyDescent="0.3">
      <c r="B893" s="561"/>
      <c r="C893" s="561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</row>
    <row r="894" spans="2:25" ht="14.25" customHeight="1" x14ac:dyDescent="0.3">
      <c r="B894" s="561"/>
      <c r="C894" s="561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</row>
    <row r="895" spans="2:25" ht="14.25" customHeight="1" x14ac:dyDescent="0.3">
      <c r="B895" s="561"/>
      <c r="C895" s="561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</row>
    <row r="896" spans="2:25" ht="14.25" customHeight="1" x14ac:dyDescent="0.3">
      <c r="B896" s="561"/>
      <c r="C896" s="561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</row>
    <row r="897" spans="2:25" ht="14.25" customHeight="1" x14ac:dyDescent="0.3">
      <c r="B897" s="561"/>
      <c r="C897" s="561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</row>
    <row r="898" spans="2:25" ht="14.25" customHeight="1" x14ac:dyDescent="0.3">
      <c r="B898" s="561"/>
      <c r="C898" s="561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</row>
    <row r="899" spans="2:25" ht="14.25" customHeight="1" x14ac:dyDescent="0.3">
      <c r="B899" s="561"/>
      <c r="C899" s="561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</row>
    <row r="900" spans="2:25" ht="14.25" customHeight="1" x14ac:dyDescent="0.3">
      <c r="B900" s="561"/>
      <c r="C900" s="561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</row>
    <row r="901" spans="2:25" ht="14.25" customHeight="1" x14ac:dyDescent="0.3">
      <c r="B901" s="561"/>
      <c r="C901" s="561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</row>
    <row r="902" spans="2:25" ht="14.25" customHeight="1" x14ac:dyDescent="0.3">
      <c r="B902" s="561"/>
      <c r="C902" s="561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</row>
    <row r="903" spans="2:25" ht="14.25" customHeight="1" x14ac:dyDescent="0.3">
      <c r="B903" s="561"/>
      <c r="C903" s="561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</row>
    <row r="904" spans="2:25" ht="14.25" customHeight="1" x14ac:dyDescent="0.3">
      <c r="B904" s="561"/>
      <c r="C904" s="561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</row>
    <row r="905" spans="2:25" ht="14.25" customHeight="1" x14ac:dyDescent="0.3">
      <c r="B905" s="561"/>
      <c r="C905" s="561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</row>
    <row r="906" spans="2:25" ht="14.25" customHeight="1" x14ac:dyDescent="0.3">
      <c r="B906" s="561"/>
      <c r="C906" s="561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</row>
    <row r="907" spans="2:25" ht="14.25" customHeight="1" x14ac:dyDescent="0.3">
      <c r="B907" s="561"/>
      <c r="C907" s="561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</row>
    <row r="908" spans="2:25" ht="14.25" customHeight="1" x14ac:dyDescent="0.3">
      <c r="B908" s="561"/>
      <c r="C908" s="561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</row>
    <row r="909" spans="2:25" ht="14.25" customHeight="1" x14ac:dyDescent="0.3">
      <c r="B909" s="561"/>
      <c r="C909" s="561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</row>
    <row r="910" spans="2:25" ht="14.25" customHeight="1" x14ac:dyDescent="0.3">
      <c r="B910" s="561"/>
      <c r="C910" s="561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</row>
    <row r="911" spans="2:25" ht="14.25" customHeight="1" x14ac:dyDescent="0.3">
      <c r="B911" s="561"/>
      <c r="C911" s="561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</row>
    <row r="912" spans="2:25" ht="14.25" customHeight="1" x14ac:dyDescent="0.3">
      <c r="B912" s="561"/>
      <c r="C912" s="561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</row>
    <row r="913" spans="2:25" ht="14.25" customHeight="1" x14ac:dyDescent="0.3">
      <c r="B913" s="561"/>
      <c r="C913" s="561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</row>
    <row r="914" spans="2:25" ht="14.25" customHeight="1" x14ac:dyDescent="0.3">
      <c r="B914" s="561"/>
      <c r="C914" s="561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</row>
    <row r="915" spans="2:25" ht="14.25" customHeight="1" x14ac:dyDescent="0.3">
      <c r="B915" s="561"/>
      <c r="C915" s="561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</row>
    <row r="916" spans="2:25" ht="14.25" customHeight="1" x14ac:dyDescent="0.3">
      <c r="B916" s="561"/>
      <c r="C916" s="561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</row>
    <row r="917" spans="2:25" ht="14.25" customHeight="1" x14ac:dyDescent="0.3">
      <c r="B917" s="561"/>
      <c r="C917" s="561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</row>
    <row r="918" spans="2:25" ht="14.25" customHeight="1" x14ac:dyDescent="0.3">
      <c r="B918" s="561"/>
      <c r="C918" s="561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</row>
    <row r="919" spans="2:25" ht="14.25" customHeight="1" x14ac:dyDescent="0.3">
      <c r="B919" s="561"/>
      <c r="C919" s="561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</row>
    <row r="920" spans="2:25" ht="14.25" customHeight="1" x14ac:dyDescent="0.3">
      <c r="B920" s="561"/>
      <c r="C920" s="561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</row>
    <row r="921" spans="2:25" ht="14.25" customHeight="1" x14ac:dyDescent="0.3">
      <c r="B921" s="561"/>
      <c r="C921" s="561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</row>
    <row r="922" spans="2:25" ht="14.25" customHeight="1" x14ac:dyDescent="0.3">
      <c r="B922" s="561"/>
      <c r="C922" s="561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</row>
    <row r="923" spans="2:25" ht="14.25" customHeight="1" x14ac:dyDescent="0.3">
      <c r="B923" s="561"/>
      <c r="C923" s="561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</row>
    <row r="924" spans="2:25" ht="14.25" customHeight="1" x14ac:dyDescent="0.3">
      <c r="B924" s="561"/>
      <c r="C924" s="561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</row>
    <row r="925" spans="2:25" ht="14.25" customHeight="1" x14ac:dyDescent="0.3">
      <c r="B925" s="561"/>
      <c r="C925" s="561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</row>
    <row r="926" spans="2:25" ht="14.25" customHeight="1" x14ac:dyDescent="0.3">
      <c r="B926" s="561"/>
      <c r="C926" s="561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</row>
    <row r="927" spans="2:25" ht="14.25" customHeight="1" x14ac:dyDescent="0.3">
      <c r="B927" s="561"/>
      <c r="C927" s="561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</row>
    <row r="928" spans="2:25" ht="14.25" customHeight="1" x14ac:dyDescent="0.3">
      <c r="B928" s="561"/>
      <c r="C928" s="561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</row>
    <row r="929" spans="2:25" ht="14.25" customHeight="1" x14ac:dyDescent="0.3">
      <c r="B929" s="561"/>
      <c r="C929" s="561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</row>
    <row r="930" spans="2:25" ht="14.25" customHeight="1" x14ac:dyDescent="0.3">
      <c r="B930" s="561"/>
      <c r="C930" s="561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</row>
    <row r="931" spans="2:25" ht="14.25" customHeight="1" x14ac:dyDescent="0.3">
      <c r="B931" s="561"/>
      <c r="C931" s="561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</row>
    <row r="932" spans="2:25" ht="14.25" customHeight="1" x14ac:dyDescent="0.3">
      <c r="B932" s="561"/>
      <c r="C932" s="561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</row>
    <row r="933" spans="2:25" ht="14.25" customHeight="1" x14ac:dyDescent="0.3">
      <c r="B933" s="561"/>
      <c r="C933" s="561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</row>
    <row r="934" spans="2:25" ht="14.25" customHeight="1" x14ac:dyDescent="0.3">
      <c r="B934" s="561"/>
      <c r="C934" s="561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</row>
    <row r="935" spans="2:25" ht="14.25" customHeight="1" x14ac:dyDescent="0.3">
      <c r="B935" s="561"/>
      <c r="C935" s="561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</row>
    <row r="936" spans="2:25" ht="14.25" customHeight="1" x14ac:dyDescent="0.3">
      <c r="B936" s="561"/>
      <c r="C936" s="561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</row>
    <row r="937" spans="2:25" ht="14.25" customHeight="1" x14ac:dyDescent="0.3">
      <c r="B937" s="561"/>
      <c r="C937" s="561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</row>
    <row r="938" spans="2:25" ht="14.25" customHeight="1" x14ac:dyDescent="0.3">
      <c r="B938" s="561"/>
      <c r="C938" s="561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</row>
    <row r="939" spans="2:25" ht="14.25" customHeight="1" x14ac:dyDescent="0.3">
      <c r="B939" s="561"/>
      <c r="C939" s="561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</row>
    <row r="940" spans="2:25" ht="14.25" customHeight="1" x14ac:dyDescent="0.3">
      <c r="B940" s="561"/>
      <c r="C940" s="561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</row>
    <row r="941" spans="2:25" ht="14.25" customHeight="1" x14ac:dyDescent="0.3">
      <c r="B941" s="561"/>
      <c r="C941" s="561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</row>
    <row r="942" spans="2:25" ht="14.25" customHeight="1" x14ac:dyDescent="0.3">
      <c r="B942" s="561"/>
      <c r="C942" s="561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</row>
    <row r="943" spans="2:25" ht="14.25" customHeight="1" x14ac:dyDescent="0.3">
      <c r="B943" s="561"/>
      <c r="C943" s="561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</row>
    <row r="944" spans="2:25" ht="14.25" customHeight="1" x14ac:dyDescent="0.3">
      <c r="B944" s="561"/>
      <c r="C944" s="561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</row>
    <row r="945" spans="2:25" ht="14.25" customHeight="1" x14ac:dyDescent="0.3">
      <c r="B945" s="561"/>
      <c r="C945" s="561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</row>
    <row r="946" spans="2:25" ht="14.25" customHeight="1" x14ac:dyDescent="0.3">
      <c r="B946" s="561"/>
      <c r="C946" s="561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</row>
    <row r="947" spans="2:25" ht="14.25" customHeight="1" x14ac:dyDescent="0.3">
      <c r="B947" s="561"/>
      <c r="C947" s="561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</row>
    <row r="948" spans="2:25" ht="14.25" customHeight="1" x14ac:dyDescent="0.3">
      <c r="B948" s="561"/>
      <c r="C948" s="561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</row>
    <row r="949" spans="2:25" ht="14.25" customHeight="1" x14ac:dyDescent="0.3">
      <c r="B949" s="561"/>
      <c r="C949" s="561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</row>
    <row r="950" spans="2:25" ht="14.25" customHeight="1" x14ac:dyDescent="0.3">
      <c r="B950" s="561"/>
      <c r="C950" s="561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</row>
    <row r="951" spans="2:25" ht="14.25" customHeight="1" x14ac:dyDescent="0.3">
      <c r="B951" s="561"/>
      <c r="C951" s="561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</row>
    <row r="952" spans="2:25" ht="14.25" customHeight="1" x14ac:dyDescent="0.3">
      <c r="B952" s="561"/>
      <c r="C952" s="561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</row>
    <row r="953" spans="2:25" ht="14.25" customHeight="1" x14ac:dyDescent="0.3">
      <c r="B953" s="561"/>
      <c r="C953" s="561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</row>
    <row r="954" spans="2:25" ht="14.25" customHeight="1" x14ac:dyDescent="0.3">
      <c r="B954" s="561"/>
      <c r="C954" s="561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</row>
    <row r="955" spans="2:25" ht="14.25" customHeight="1" x14ac:dyDescent="0.3">
      <c r="B955" s="561"/>
      <c r="C955" s="561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</row>
    <row r="956" spans="2:25" ht="14.25" customHeight="1" x14ac:dyDescent="0.3">
      <c r="B956" s="561"/>
      <c r="C956" s="561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</row>
    <row r="957" spans="2:25" ht="14.25" customHeight="1" x14ac:dyDescent="0.3">
      <c r="B957" s="561"/>
      <c r="C957" s="561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</row>
    <row r="958" spans="2:25" ht="14.25" customHeight="1" x14ac:dyDescent="0.3">
      <c r="B958" s="561"/>
      <c r="C958" s="561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</row>
    <row r="959" spans="2:25" ht="14.25" customHeight="1" x14ac:dyDescent="0.3">
      <c r="B959" s="561"/>
      <c r="C959" s="561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</row>
    <row r="960" spans="2:25" ht="14.25" customHeight="1" x14ac:dyDescent="0.3">
      <c r="B960" s="561"/>
      <c r="C960" s="561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</row>
    <row r="961" spans="2:25" ht="14.25" customHeight="1" x14ac:dyDescent="0.3">
      <c r="B961" s="561"/>
      <c r="C961" s="561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</row>
    <row r="962" spans="2:25" ht="14.25" customHeight="1" x14ac:dyDescent="0.3">
      <c r="B962" s="561"/>
      <c r="C962" s="561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</row>
    <row r="963" spans="2:25" ht="14.25" customHeight="1" x14ac:dyDescent="0.3">
      <c r="B963" s="561"/>
      <c r="C963" s="561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</row>
    <row r="964" spans="2:25" ht="14.25" customHeight="1" x14ac:dyDescent="0.3">
      <c r="B964" s="561"/>
      <c r="C964" s="561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</row>
    <row r="965" spans="2:25" ht="14.25" customHeight="1" x14ac:dyDescent="0.3">
      <c r="B965" s="561"/>
      <c r="C965" s="561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</row>
    <row r="966" spans="2:25" ht="14.25" customHeight="1" x14ac:dyDescent="0.3">
      <c r="B966" s="561"/>
      <c r="C966" s="561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</row>
    <row r="967" spans="2:25" ht="14.25" customHeight="1" x14ac:dyDescent="0.3">
      <c r="B967" s="561"/>
      <c r="C967" s="561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</row>
    <row r="968" spans="2:25" ht="14.25" customHeight="1" x14ac:dyDescent="0.3">
      <c r="B968" s="561"/>
      <c r="C968" s="561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</row>
    <row r="969" spans="2:25" ht="14.25" customHeight="1" x14ac:dyDescent="0.3">
      <c r="B969" s="561"/>
      <c r="C969" s="561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</row>
    <row r="970" spans="2:25" ht="14.25" customHeight="1" x14ac:dyDescent="0.3">
      <c r="B970" s="561"/>
      <c r="C970" s="561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</row>
    <row r="971" spans="2:25" ht="14.25" customHeight="1" x14ac:dyDescent="0.3">
      <c r="B971" s="561"/>
      <c r="C971" s="561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</row>
    <row r="972" spans="2:25" ht="14.25" customHeight="1" x14ac:dyDescent="0.3">
      <c r="B972" s="561"/>
      <c r="C972" s="561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</row>
    <row r="973" spans="2:25" ht="14.25" customHeight="1" x14ac:dyDescent="0.3">
      <c r="B973" s="561"/>
      <c r="C973" s="561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</row>
    <row r="974" spans="2:25" ht="14.25" customHeight="1" x14ac:dyDescent="0.3">
      <c r="B974" s="561"/>
      <c r="C974" s="561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</row>
    <row r="975" spans="2:25" ht="14.25" customHeight="1" x14ac:dyDescent="0.3">
      <c r="B975" s="561"/>
      <c r="C975" s="561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</row>
    <row r="976" spans="2:25" ht="14.25" customHeight="1" x14ac:dyDescent="0.3">
      <c r="B976" s="561"/>
      <c r="C976" s="561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</row>
    <row r="977" spans="2:25" ht="14.25" customHeight="1" x14ac:dyDescent="0.3">
      <c r="B977" s="561"/>
      <c r="C977" s="561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</row>
    <row r="978" spans="2:25" ht="14.25" customHeight="1" x14ac:dyDescent="0.3">
      <c r="B978" s="561"/>
      <c r="C978" s="561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</row>
    <row r="979" spans="2:25" ht="14.25" customHeight="1" x14ac:dyDescent="0.3">
      <c r="B979" s="561"/>
      <c r="C979" s="561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</row>
    <row r="980" spans="2:25" ht="14.25" customHeight="1" x14ac:dyDescent="0.3">
      <c r="B980" s="561"/>
      <c r="C980" s="561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</row>
    <row r="981" spans="2:25" ht="14.25" customHeight="1" x14ac:dyDescent="0.3">
      <c r="B981" s="561"/>
      <c r="C981" s="561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</row>
    <row r="982" spans="2:25" ht="14.25" customHeight="1" x14ac:dyDescent="0.3">
      <c r="B982" s="561"/>
      <c r="C982" s="561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</row>
    <row r="983" spans="2:25" ht="14.25" customHeight="1" x14ac:dyDescent="0.3">
      <c r="B983" s="561"/>
      <c r="C983" s="561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</row>
    <row r="984" spans="2:25" ht="14.25" customHeight="1" x14ac:dyDescent="0.3">
      <c r="B984" s="561"/>
      <c r="C984" s="561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</row>
    <row r="985" spans="2:25" ht="14.25" customHeight="1" x14ac:dyDescent="0.3">
      <c r="B985" s="561"/>
      <c r="C985" s="561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</row>
    <row r="986" spans="2:25" ht="14.25" customHeight="1" x14ac:dyDescent="0.3">
      <c r="B986" s="561"/>
      <c r="C986" s="561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</row>
    <row r="987" spans="2:25" ht="14.25" customHeight="1" x14ac:dyDescent="0.3">
      <c r="B987" s="561"/>
      <c r="C987" s="561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</row>
    <row r="988" spans="2:25" ht="14.25" customHeight="1" x14ac:dyDescent="0.3">
      <c r="B988" s="561"/>
      <c r="C988" s="561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</row>
    <row r="989" spans="2:25" ht="14.25" customHeight="1" x14ac:dyDescent="0.3">
      <c r="B989" s="561"/>
      <c r="C989" s="561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</row>
    <row r="990" spans="2:25" ht="14.25" customHeight="1" x14ac:dyDescent="0.3">
      <c r="B990" s="561"/>
      <c r="C990" s="561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</row>
    <row r="991" spans="2:25" ht="14.25" customHeight="1" x14ac:dyDescent="0.3">
      <c r="B991" s="561"/>
      <c r="C991" s="561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</row>
    <row r="992" spans="2:25" ht="14.25" customHeight="1" x14ac:dyDescent="0.3">
      <c r="B992" s="561"/>
      <c r="C992" s="561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</row>
    <row r="993" spans="2:25" ht="14.25" customHeight="1" x14ac:dyDescent="0.3">
      <c r="B993" s="561"/>
      <c r="C993" s="561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</row>
    <row r="994" spans="2:25" ht="14.25" customHeight="1" x14ac:dyDescent="0.3">
      <c r="B994" s="561"/>
      <c r="C994" s="561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</row>
    <row r="995" spans="2:25" ht="14.25" customHeight="1" x14ac:dyDescent="0.3">
      <c r="B995" s="561"/>
      <c r="C995" s="561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</row>
    <row r="996" spans="2:25" ht="14.25" customHeight="1" x14ac:dyDescent="0.3">
      <c r="B996" s="561"/>
      <c r="C996" s="561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</row>
    <row r="997" spans="2:25" ht="14.25" customHeight="1" x14ac:dyDescent="0.3">
      <c r="B997" s="561"/>
      <c r="C997" s="561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</row>
    <row r="998" spans="2:25" ht="14.25" customHeight="1" x14ac:dyDescent="0.3">
      <c r="B998" s="561"/>
      <c r="C998" s="561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</row>
    <row r="999" spans="2:25" ht="14.25" customHeight="1" x14ac:dyDescent="0.3">
      <c r="B999" s="561"/>
      <c r="C999" s="561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</row>
    <row r="1000" spans="2:25" ht="14.25" customHeight="1" x14ac:dyDescent="0.3">
      <c r="B1000" s="561"/>
      <c r="C1000" s="561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</row>
    <row r="1001" spans="2:25" ht="14.25" customHeight="1" x14ac:dyDescent="0.3">
      <c r="B1001" s="561"/>
      <c r="C1001" s="561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</row>
    <row r="1002" spans="2:25" ht="14.25" customHeight="1" x14ac:dyDescent="0.3">
      <c r="B1002" s="561"/>
      <c r="C1002" s="561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</row>
    <row r="1003" spans="2:25" ht="14.25" customHeight="1" x14ac:dyDescent="0.3">
      <c r="B1003" s="561"/>
      <c r="C1003" s="561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</row>
    <row r="1004" spans="2:25" ht="14.25" customHeight="1" x14ac:dyDescent="0.3">
      <c r="B1004" s="561"/>
      <c r="C1004" s="561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</row>
    <row r="1005" spans="2:25" ht="14.25" customHeight="1" x14ac:dyDescent="0.3">
      <c r="B1005" s="561"/>
      <c r="C1005" s="561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  <c r="S1005" s="561"/>
      <c r="T1005" s="561"/>
      <c r="U1005" s="561"/>
      <c r="V1005" s="561"/>
      <c r="W1005" s="561"/>
      <c r="X1005" s="561"/>
      <c r="Y1005" s="561"/>
    </row>
    <row r="1006" spans="2:25" ht="14.25" customHeight="1" x14ac:dyDescent="0.3">
      <c r="B1006" s="561"/>
      <c r="C1006" s="561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  <c r="S1006" s="561"/>
      <c r="T1006" s="561"/>
      <c r="U1006" s="561"/>
      <c r="V1006" s="561"/>
      <c r="W1006" s="561"/>
      <c r="X1006" s="561"/>
      <c r="Y1006" s="561"/>
    </row>
    <row r="1007" spans="2:25" ht="14.25" customHeight="1" x14ac:dyDescent="0.3">
      <c r="B1007" s="561"/>
      <c r="C1007" s="561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  <c r="S1007" s="561"/>
      <c r="T1007" s="561"/>
      <c r="U1007" s="561"/>
      <c r="V1007" s="561"/>
      <c r="W1007" s="561"/>
      <c r="X1007" s="561"/>
      <c r="Y1007" s="561"/>
    </row>
    <row r="1008" spans="2:25" ht="14.25" customHeight="1" x14ac:dyDescent="0.3">
      <c r="B1008" s="561"/>
      <c r="C1008" s="561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  <c r="S1008" s="561"/>
      <c r="T1008" s="561"/>
      <c r="U1008" s="561"/>
      <c r="V1008" s="561"/>
      <c r="W1008" s="561"/>
      <c r="X1008" s="561"/>
      <c r="Y1008" s="561"/>
    </row>
    <row r="1009" spans="2:25" ht="14.25" customHeight="1" x14ac:dyDescent="0.3">
      <c r="B1009" s="561"/>
      <c r="C1009" s="561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  <c r="S1009" s="561"/>
      <c r="T1009" s="561"/>
      <c r="U1009" s="561"/>
      <c r="V1009" s="561"/>
      <c r="W1009" s="561"/>
      <c r="X1009" s="561"/>
      <c r="Y1009" s="561"/>
    </row>
    <row r="1010" spans="2:25" ht="14.25" customHeight="1" x14ac:dyDescent="0.3">
      <c r="B1010" s="561"/>
      <c r="C1010" s="561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  <c r="S1010" s="561"/>
      <c r="T1010" s="561"/>
      <c r="U1010" s="561"/>
      <c r="V1010" s="561"/>
      <c r="W1010" s="561"/>
      <c r="X1010" s="561"/>
      <c r="Y1010" s="561"/>
    </row>
    <row r="1011" spans="2:25" ht="14.25" customHeight="1" x14ac:dyDescent="0.3">
      <c r="B1011" s="561"/>
      <c r="C1011" s="561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  <c r="S1011" s="561"/>
      <c r="T1011" s="561"/>
      <c r="U1011" s="561"/>
      <c r="V1011" s="561"/>
      <c r="W1011" s="561"/>
      <c r="X1011" s="561"/>
      <c r="Y1011" s="561"/>
    </row>
    <row r="1012" spans="2:25" ht="14.25" customHeight="1" x14ac:dyDescent="0.3">
      <c r="B1012" s="561"/>
      <c r="C1012" s="561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  <c r="S1012" s="561"/>
      <c r="T1012" s="561"/>
      <c r="U1012" s="561"/>
      <c r="V1012" s="561"/>
      <c r="W1012" s="561"/>
      <c r="X1012" s="561"/>
      <c r="Y1012" s="561"/>
    </row>
    <row r="1013" spans="2:25" ht="14.25" customHeight="1" x14ac:dyDescent="0.3">
      <c r="B1013" s="561"/>
      <c r="C1013" s="561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  <c r="S1013" s="561"/>
      <c r="T1013" s="561"/>
      <c r="U1013" s="561"/>
      <c r="V1013" s="561"/>
      <c r="W1013" s="561"/>
      <c r="X1013" s="561"/>
      <c r="Y1013" s="561"/>
    </row>
    <row r="1014" spans="2:25" ht="14.25" customHeight="1" x14ac:dyDescent="0.3">
      <c r="B1014" s="561"/>
      <c r="C1014" s="561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  <c r="S1014" s="561"/>
      <c r="T1014" s="561"/>
      <c r="U1014" s="561"/>
      <c r="V1014" s="561"/>
      <c r="W1014" s="561"/>
      <c r="X1014" s="561"/>
      <c r="Y1014" s="561"/>
    </row>
    <row r="1015" spans="2:25" ht="14.25" customHeight="1" x14ac:dyDescent="0.3">
      <c r="B1015" s="561"/>
      <c r="C1015" s="561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  <c r="S1015" s="561"/>
      <c r="T1015" s="561"/>
      <c r="U1015" s="561"/>
      <c r="V1015" s="561"/>
      <c r="W1015" s="561"/>
      <c r="X1015" s="561"/>
      <c r="Y1015" s="561"/>
    </row>
    <row r="1016" spans="2:25" ht="14.25" customHeight="1" x14ac:dyDescent="0.3">
      <c r="B1016" s="561"/>
      <c r="C1016" s="561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  <c r="S1016" s="561"/>
      <c r="T1016" s="561"/>
      <c r="U1016" s="561"/>
      <c r="V1016" s="561"/>
      <c r="W1016" s="561"/>
      <c r="X1016" s="561"/>
      <c r="Y1016" s="561"/>
    </row>
    <row r="1017" spans="2:25" ht="14.25" customHeight="1" x14ac:dyDescent="0.3">
      <c r="B1017" s="561"/>
      <c r="C1017" s="561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  <c r="S1017" s="561"/>
      <c r="T1017" s="561"/>
      <c r="U1017" s="561"/>
      <c r="V1017" s="561"/>
      <c r="W1017" s="561"/>
      <c r="X1017" s="561"/>
      <c r="Y1017" s="561"/>
    </row>
    <row r="1018" spans="2:25" ht="14.25" customHeight="1" x14ac:dyDescent="0.3">
      <c r="B1018" s="561"/>
      <c r="C1018" s="561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  <c r="S1018" s="561"/>
      <c r="T1018" s="561"/>
      <c r="U1018" s="561"/>
      <c r="V1018" s="561"/>
      <c r="W1018" s="561"/>
      <c r="X1018" s="561"/>
      <c r="Y1018" s="561"/>
    </row>
    <row r="1019" spans="2:25" ht="14.25" customHeight="1" x14ac:dyDescent="0.3">
      <c r="B1019" s="561"/>
      <c r="C1019" s="561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  <c r="S1019" s="561"/>
      <c r="T1019" s="561"/>
      <c r="U1019" s="561"/>
      <c r="V1019" s="561"/>
      <c r="W1019" s="561"/>
      <c r="X1019" s="561"/>
      <c r="Y1019" s="561"/>
    </row>
    <row r="1020" spans="2:25" ht="14.25" customHeight="1" x14ac:dyDescent="0.3">
      <c r="B1020" s="561"/>
      <c r="C1020" s="561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  <c r="S1020" s="561"/>
      <c r="T1020" s="561"/>
      <c r="U1020" s="561"/>
      <c r="V1020" s="561"/>
      <c r="W1020" s="561"/>
      <c r="X1020" s="561"/>
      <c r="Y1020" s="561"/>
    </row>
    <row r="1021" spans="2:25" ht="14.25" customHeight="1" x14ac:dyDescent="0.3">
      <c r="B1021" s="561"/>
      <c r="C1021" s="561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  <c r="S1021" s="561"/>
      <c r="T1021" s="561"/>
      <c r="U1021" s="561"/>
      <c r="V1021" s="561"/>
      <c r="W1021" s="561"/>
      <c r="X1021" s="561"/>
      <c r="Y1021" s="561"/>
    </row>
    <row r="1022" spans="2:25" ht="14.25" customHeight="1" x14ac:dyDescent="0.3">
      <c r="B1022" s="561"/>
      <c r="C1022" s="561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  <c r="S1022" s="561"/>
      <c r="T1022" s="561"/>
      <c r="U1022" s="561"/>
      <c r="V1022" s="561"/>
      <c r="W1022" s="561"/>
      <c r="X1022" s="561"/>
      <c r="Y1022" s="561"/>
    </row>
    <row r="1023" spans="2:25" ht="14.25" customHeight="1" x14ac:dyDescent="0.3">
      <c r="B1023" s="561"/>
      <c r="C1023" s="561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  <c r="S1023" s="561"/>
      <c r="T1023" s="561"/>
      <c r="U1023" s="561"/>
      <c r="V1023" s="561"/>
      <c r="W1023" s="561"/>
      <c r="X1023" s="561"/>
      <c r="Y1023" s="561"/>
    </row>
    <row r="1024" spans="2:25" ht="14.25" customHeight="1" x14ac:dyDescent="0.3">
      <c r="B1024" s="561"/>
      <c r="C1024" s="561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  <c r="S1024" s="561"/>
      <c r="T1024" s="561"/>
      <c r="U1024" s="561"/>
      <c r="V1024" s="561"/>
      <c r="W1024" s="561"/>
      <c r="X1024" s="561"/>
      <c r="Y1024" s="561"/>
    </row>
    <row r="1025" spans="2:25" ht="14.25" customHeight="1" x14ac:dyDescent="0.3">
      <c r="B1025" s="561"/>
      <c r="C1025" s="561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  <c r="S1025" s="561"/>
      <c r="T1025" s="561"/>
      <c r="U1025" s="561"/>
      <c r="V1025" s="561"/>
      <c r="W1025" s="561"/>
      <c r="X1025" s="561"/>
      <c r="Y1025" s="561"/>
    </row>
    <row r="1026" spans="2:25" ht="14.25" customHeight="1" x14ac:dyDescent="0.3">
      <c r="B1026" s="561"/>
      <c r="C1026" s="561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  <c r="S1026" s="561"/>
      <c r="T1026" s="561"/>
      <c r="U1026" s="561"/>
      <c r="V1026" s="561"/>
      <c r="W1026" s="561"/>
      <c r="X1026" s="561"/>
      <c r="Y1026" s="561"/>
    </row>
    <row r="1027" spans="2:25" ht="14.25" customHeight="1" x14ac:dyDescent="0.3">
      <c r="B1027" s="561"/>
      <c r="C1027" s="561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  <c r="S1027" s="561"/>
      <c r="T1027" s="561"/>
      <c r="U1027" s="561"/>
      <c r="V1027" s="561"/>
      <c r="W1027" s="561"/>
      <c r="X1027" s="561"/>
      <c r="Y1027" s="561"/>
    </row>
    <row r="1028" spans="2:25" ht="14.25" customHeight="1" x14ac:dyDescent="0.3">
      <c r="B1028" s="561"/>
      <c r="C1028" s="561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  <c r="S1028" s="561"/>
      <c r="T1028" s="561"/>
      <c r="U1028" s="561"/>
      <c r="V1028" s="561"/>
      <c r="W1028" s="561"/>
      <c r="X1028" s="561"/>
      <c r="Y1028" s="561"/>
    </row>
    <row r="1029" spans="2:25" ht="14.25" customHeight="1" x14ac:dyDescent="0.3">
      <c r="B1029" s="561"/>
      <c r="C1029" s="561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  <c r="S1029" s="561"/>
      <c r="T1029" s="561"/>
      <c r="U1029" s="561"/>
      <c r="V1029" s="561"/>
      <c r="W1029" s="561"/>
      <c r="X1029" s="561"/>
      <c r="Y1029" s="561"/>
    </row>
    <row r="1030" spans="2:25" ht="14.25" customHeight="1" x14ac:dyDescent="0.3">
      <c r="B1030" s="561"/>
      <c r="C1030" s="561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  <c r="S1030" s="561"/>
      <c r="T1030" s="561"/>
      <c r="U1030" s="561"/>
      <c r="V1030" s="561"/>
      <c r="W1030" s="561"/>
      <c r="X1030" s="561"/>
      <c r="Y1030" s="561"/>
    </row>
    <row r="1031" spans="2:25" ht="14.25" customHeight="1" x14ac:dyDescent="0.3">
      <c r="B1031" s="561"/>
      <c r="C1031" s="561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  <c r="S1031" s="561"/>
      <c r="T1031" s="561"/>
      <c r="U1031" s="561"/>
      <c r="V1031" s="561"/>
      <c r="W1031" s="561"/>
      <c r="X1031" s="561"/>
      <c r="Y1031" s="561"/>
    </row>
    <row r="1032" spans="2:25" ht="14.25" customHeight="1" x14ac:dyDescent="0.3">
      <c r="B1032" s="561"/>
      <c r="C1032" s="561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  <c r="S1032" s="561"/>
      <c r="T1032" s="561"/>
      <c r="U1032" s="561"/>
      <c r="V1032" s="561"/>
      <c r="W1032" s="561"/>
      <c r="X1032" s="561"/>
      <c r="Y1032" s="561"/>
    </row>
    <row r="1033" spans="2:25" ht="14.25" customHeight="1" x14ac:dyDescent="0.3">
      <c r="B1033" s="561"/>
      <c r="C1033" s="561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  <c r="S1033" s="561"/>
      <c r="T1033" s="561"/>
      <c r="U1033" s="561"/>
      <c r="V1033" s="561"/>
      <c r="W1033" s="561"/>
      <c r="X1033" s="561"/>
      <c r="Y1033" s="561"/>
    </row>
    <row r="1034" spans="2:25" ht="14.25" customHeight="1" x14ac:dyDescent="0.3">
      <c r="B1034" s="561"/>
      <c r="C1034" s="561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  <c r="S1034" s="561"/>
      <c r="T1034" s="561"/>
      <c r="U1034" s="561"/>
      <c r="V1034" s="561"/>
      <c r="W1034" s="561"/>
      <c r="X1034" s="561"/>
      <c r="Y1034" s="561"/>
    </row>
    <row r="1035" spans="2:25" ht="14.25" customHeight="1" x14ac:dyDescent="0.3">
      <c r="B1035" s="561"/>
      <c r="C1035" s="561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  <c r="S1035" s="561"/>
      <c r="T1035" s="561"/>
      <c r="U1035" s="561"/>
      <c r="V1035" s="561"/>
      <c r="W1035" s="561"/>
      <c r="X1035" s="561"/>
      <c r="Y1035" s="561"/>
    </row>
    <row r="1036" spans="2:25" ht="14.25" customHeight="1" x14ac:dyDescent="0.3">
      <c r="B1036" s="561"/>
      <c r="C1036" s="561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  <c r="S1036" s="561"/>
      <c r="T1036" s="561"/>
      <c r="U1036" s="561"/>
      <c r="V1036" s="561"/>
      <c r="W1036" s="561"/>
      <c r="X1036" s="561"/>
      <c r="Y1036" s="561"/>
    </row>
    <row r="1037" spans="2:25" ht="14.25" customHeight="1" x14ac:dyDescent="0.3">
      <c r="B1037" s="561"/>
      <c r="C1037" s="561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  <c r="S1037" s="561"/>
      <c r="T1037" s="561"/>
      <c r="U1037" s="561"/>
      <c r="V1037" s="561"/>
      <c r="W1037" s="561"/>
      <c r="X1037" s="561"/>
      <c r="Y1037" s="561"/>
    </row>
    <row r="1038" spans="2:25" ht="14.25" customHeight="1" x14ac:dyDescent="0.3">
      <c r="B1038" s="561"/>
      <c r="C1038" s="561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  <c r="S1038" s="561"/>
      <c r="T1038" s="561"/>
      <c r="U1038" s="561"/>
      <c r="V1038" s="561"/>
      <c r="W1038" s="561"/>
      <c r="X1038" s="561"/>
      <c r="Y1038" s="561"/>
    </row>
    <row r="1039" spans="2:25" ht="14.25" customHeight="1" x14ac:dyDescent="0.3">
      <c r="B1039" s="561"/>
      <c r="C1039" s="561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  <c r="S1039" s="561"/>
      <c r="T1039" s="561"/>
      <c r="U1039" s="561"/>
      <c r="V1039" s="561"/>
      <c r="W1039" s="561"/>
      <c r="X1039" s="561"/>
      <c r="Y1039" s="561"/>
    </row>
    <row r="1040" spans="2:25" ht="14.25" customHeight="1" x14ac:dyDescent="0.3">
      <c r="B1040" s="561"/>
      <c r="C1040" s="561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  <c r="S1040" s="561"/>
      <c r="T1040" s="561"/>
      <c r="U1040" s="561"/>
      <c r="V1040" s="561"/>
      <c r="W1040" s="561"/>
      <c r="X1040" s="561"/>
      <c r="Y1040" s="561"/>
    </row>
    <row r="1041" spans="2:25" ht="14.25" customHeight="1" x14ac:dyDescent="0.3">
      <c r="B1041" s="561"/>
      <c r="C1041" s="561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  <c r="S1041" s="561"/>
      <c r="T1041" s="561"/>
      <c r="U1041" s="561"/>
      <c r="V1041" s="561"/>
      <c r="W1041" s="561"/>
      <c r="X1041" s="561"/>
      <c r="Y1041" s="561"/>
    </row>
    <row r="1042" spans="2:25" ht="14.25" customHeight="1" x14ac:dyDescent="0.3">
      <c r="B1042" s="561"/>
      <c r="C1042" s="561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  <c r="S1042" s="561"/>
      <c r="T1042" s="561"/>
      <c r="U1042" s="561"/>
      <c r="V1042" s="561"/>
      <c r="W1042" s="561"/>
      <c r="X1042" s="561"/>
      <c r="Y1042" s="561"/>
    </row>
    <row r="1043" spans="2:25" ht="14.25" customHeight="1" x14ac:dyDescent="0.3">
      <c r="B1043" s="561"/>
      <c r="C1043" s="561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  <c r="S1043" s="561"/>
      <c r="T1043" s="561"/>
      <c r="U1043" s="561"/>
      <c r="V1043" s="561"/>
      <c r="W1043" s="561"/>
      <c r="X1043" s="561"/>
      <c r="Y1043" s="561"/>
    </row>
    <row r="1044" spans="2:25" ht="14.25" customHeight="1" x14ac:dyDescent="0.3">
      <c r="B1044" s="561"/>
      <c r="C1044" s="561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  <c r="S1044" s="561"/>
      <c r="T1044" s="561"/>
      <c r="U1044" s="561"/>
      <c r="V1044" s="561"/>
      <c r="W1044" s="561"/>
      <c r="X1044" s="561"/>
      <c r="Y1044" s="561"/>
    </row>
    <row r="1045" spans="2:25" ht="14.25" customHeight="1" x14ac:dyDescent="0.3">
      <c r="B1045" s="561"/>
      <c r="C1045" s="561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  <c r="S1045" s="561"/>
      <c r="T1045" s="561"/>
      <c r="U1045" s="561"/>
      <c r="V1045" s="561"/>
      <c r="W1045" s="561"/>
      <c r="X1045" s="561"/>
      <c r="Y1045" s="561"/>
    </row>
    <row r="1046" spans="2:25" ht="14.25" customHeight="1" x14ac:dyDescent="0.3">
      <c r="B1046" s="561"/>
      <c r="C1046" s="561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  <c r="S1046" s="561"/>
      <c r="T1046" s="561"/>
      <c r="U1046" s="561"/>
      <c r="V1046" s="561"/>
      <c r="W1046" s="561"/>
      <c r="X1046" s="561"/>
      <c r="Y1046" s="561"/>
    </row>
    <row r="1047" spans="2:25" ht="14.25" customHeight="1" x14ac:dyDescent="0.3">
      <c r="B1047" s="561"/>
      <c r="C1047" s="561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  <c r="S1047" s="561"/>
      <c r="T1047" s="561"/>
      <c r="U1047" s="561"/>
      <c r="V1047" s="561"/>
      <c r="W1047" s="561"/>
      <c r="X1047" s="561"/>
      <c r="Y1047" s="561"/>
    </row>
    <row r="1048" spans="2:25" ht="14.25" customHeight="1" x14ac:dyDescent="0.3">
      <c r="B1048" s="561"/>
      <c r="C1048" s="561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  <c r="S1048" s="561"/>
      <c r="T1048" s="561"/>
      <c r="U1048" s="561"/>
      <c r="V1048" s="561"/>
      <c r="W1048" s="561"/>
      <c r="X1048" s="561"/>
      <c r="Y1048" s="561"/>
    </row>
    <row r="1049" spans="2:25" ht="14.25" customHeight="1" x14ac:dyDescent="0.3">
      <c r="B1049" s="561"/>
      <c r="C1049" s="561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  <c r="S1049" s="561"/>
      <c r="T1049" s="561"/>
      <c r="U1049" s="561"/>
      <c r="V1049" s="561"/>
      <c r="W1049" s="561"/>
      <c r="X1049" s="561"/>
      <c r="Y1049" s="561"/>
    </row>
    <row r="1050" spans="2:25" ht="14.25" customHeight="1" x14ac:dyDescent="0.3">
      <c r="B1050" s="561"/>
      <c r="C1050" s="561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  <c r="S1050" s="561"/>
      <c r="T1050" s="561"/>
      <c r="U1050" s="561"/>
      <c r="V1050" s="561"/>
      <c r="W1050" s="561"/>
      <c r="X1050" s="561"/>
      <c r="Y1050" s="561"/>
    </row>
    <row r="1051" spans="2:25" ht="14.25" customHeight="1" x14ac:dyDescent="0.3">
      <c r="B1051" s="561"/>
      <c r="C1051" s="561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  <c r="S1051" s="561"/>
      <c r="T1051" s="561"/>
      <c r="U1051" s="561"/>
      <c r="V1051" s="561"/>
      <c r="W1051" s="561"/>
      <c r="X1051" s="561"/>
      <c r="Y1051" s="561"/>
    </row>
    <row r="1052" spans="2:25" ht="14.25" customHeight="1" x14ac:dyDescent="0.3">
      <c r="B1052" s="561"/>
      <c r="C1052" s="561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  <c r="S1052" s="561"/>
      <c r="T1052" s="561"/>
      <c r="U1052" s="561"/>
      <c r="V1052" s="561"/>
      <c r="W1052" s="561"/>
      <c r="X1052" s="561"/>
      <c r="Y1052" s="561"/>
    </row>
    <row r="1053" spans="2:25" ht="14.25" customHeight="1" x14ac:dyDescent="0.3">
      <c r="B1053" s="561"/>
      <c r="C1053" s="561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  <c r="S1053" s="561"/>
      <c r="T1053" s="561"/>
      <c r="U1053" s="561"/>
      <c r="V1053" s="561"/>
      <c r="W1053" s="561"/>
      <c r="X1053" s="561"/>
      <c r="Y1053" s="561"/>
    </row>
    <row r="1054" spans="2:25" ht="14.25" customHeight="1" x14ac:dyDescent="0.3">
      <c r="B1054" s="561"/>
      <c r="C1054" s="561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  <c r="S1054" s="561"/>
      <c r="T1054" s="561"/>
      <c r="U1054" s="561"/>
      <c r="V1054" s="561"/>
      <c r="W1054" s="561"/>
      <c r="X1054" s="561"/>
      <c r="Y1054" s="561"/>
    </row>
    <row r="1055" spans="2:25" ht="14.25" customHeight="1" x14ac:dyDescent="0.3">
      <c r="B1055" s="561"/>
      <c r="C1055" s="561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  <c r="S1055" s="561"/>
      <c r="T1055" s="561"/>
      <c r="U1055" s="561"/>
      <c r="V1055" s="561"/>
      <c r="W1055" s="561"/>
      <c r="X1055" s="561"/>
      <c r="Y1055" s="561"/>
    </row>
    <row r="1056" spans="2:25" ht="14.25" customHeight="1" x14ac:dyDescent="0.3">
      <c r="B1056" s="561"/>
      <c r="C1056" s="561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  <c r="S1056" s="561"/>
      <c r="T1056" s="561"/>
      <c r="U1056" s="561"/>
      <c r="V1056" s="561"/>
      <c r="W1056" s="561"/>
      <c r="X1056" s="561"/>
      <c r="Y1056" s="561"/>
    </row>
    <row r="1057" spans="2:25" ht="14.25" customHeight="1" x14ac:dyDescent="0.3">
      <c r="B1057" s="561"/>
      <c r="C1057" s="561"/>
      <c r="D1057" s="561"/>
      <c r="E1057" s="561"/>
      <c r="F1057" s="561"/>
      <c r="G1057" s="561"/>
      <c r="H1057" s="561"/>
      <c r="I1057" s="561"/>
      <c r="J1057" s="561"/>
      <c r="K1057" s="561"/>
      <c r="L1057" s="561"/>
      <c r="M1057" s="561"/>
      <c r="N1057" s="561"/>
      <c r="O1057" s="561"/>
      <c r="P1057" s="561"/>
      <c r="Q1057" s="561"/>
      <c r="R1057" s="561"/>
      <c r="S1057" s="561"/>
      <c r="T1057" s="561"/>
      <c r="U1057" s="561"/>
      <c r="V1057" s="561"/>
      <c r="W1057" s="561"/>
      <c r="X1057" s="561"/>
      <c r="Y1057" s="561"/>
    </row>
    <row r="1058" spans="2:25" ht="14.25" customHeight="1" x14ac:dyDescent="0.3">
      <c r="B1058" s="561"/>
      <c r="C1058" s="561"/>
      <c r="D1058" s="561"/>
      <c r="E1058" s="561"/>
      <c r="F1058" s="561"/>
      <c r="G1058" s="561"/>
      <c r="H1058" s="561"/>
      <c r="I1058" s="561"/>
      <c r="J1058" s="561"/>
      <c r="K1058" s="561"/>
      <c r="L1058" s="561"/>
      <c r="M1058" s="561"/>
      <c r="N1058" s="561"/>
      <c r="O1058" s="561"/>
      <c r="P1058" s="561"/>
      <c r="Q1058" s="561"/>
      <c r="R1058" s="561"/>
      <c r="S1058" s="561"/>
      <c r="T1058" s="561"/>
      <c r="U1058" s="561"/>
      <c r="V1058" s="561"/>
      <c r="W1058" s="561"/>
      <c r="X1058" s="561"/>
      <c r="Y1058" s="561"/>
    </row>
    <row r="1059" spans="2:25" ht="14.25" customHeight="1" x14ac:dyDescent="0.3">
      <c r="B1059" s="561"/>
      <c r="C1059" s="561"/>
      <c r="D1059" s="561"/>
      <c r="E1059" s="561"/>
      <c r="F1059" s="561"/>
      <c r="G1059" s="561"/>
      <c r="H1059" s="561"/>
      <c r="I1059" s="561"/>
      <c r="J1059" s="561"/>
      <c r="K1059" s="561"/>
      <c r="L1059" s="561"/>
      <c r="M1059" s="561"/>
      <c r="N1059" s="561"/>
      <c r="O1059" s="561"/>
      <c r="P1059" s="561"/>
      <c r="Q1059" s="561"/>
      <c r="R1059" s="561"/>
      <c r="S1059" s="561"/>
      <c r="T1059" s="561"/>
      <c r="U1059" s="561"/>
      <c r="V1059" s="561"/>
      <c r="W1059" s="561"/>
      <c r="X1059" s="561"/>
      <c r="Y1059" s="561"/>
    </row>
    <row r="1060" spans="2:25" ht="14.25" customHeight="1" x14ac:dyDescent="0.3">
      <c r="B1060" s="561"/>
      <c r="C1060" s="561"/>
      <c r="D1060" s="561"/>
      <c r="E1060" s="561"/>
      <c r="F1060" s="561"/>
      <c r="G1060" s="561"/>
      <c r="H1060" s="561"/>
      <c r="I1060" s="561"/>
      <c r="J1060" s="561"/>
      <c r="K1060" s="561"/>
      <c r="L1060" s="561"/>
      <c r="M1060" s="561"/>
      <c r="N1060" s="561"/>
      <c r="O1060" s="561"/>
      <c r="P1060" s="561"/>
      <c r="Q1060" s="561"/>
      <c r="R1060" s="561"/>
      <c r="S1060" s="561"/>
      <c r="T1060" s="561"/>
      <c r="U1060" s="561"/>
      <c r="V1060" s="561"/>
      <c r="W1060" s="561"/>
      <c r="X1060" s="561"/>
      <c r="Y1060" s="561"/>
    </row>
    <row r="1061" spans="2:25" ht="14.25" customHeight="1" x14ac:dyDescent="0.3">
      <c r="B1061" s="561"/>
      <c r="C1061" s="561"/>
      <c r="D1061" s="561"/>
      <c r="E1061" s="561"/>
      <c r="F1061" s="561"/>
      <c r="G1061" s="561"/>
      <c r="H1061" s="561"/>
      <c r="I1061" s="561"/>
      <c r="J1061" s="561"/>
      <c r="K1061" s="561"/>
      <c r="L1061" s="561"/>
      <c r="M1061" s="561"/>
      <c r="N1061" s="561"/>
      <c r="O1061" s="561"/>
      <c r="P1061" s="561"/>
      <c r="Q1061" s="561"/>
      <c r="R1061" s="561"/>
      <c r="S1061" s="561"/>
      <c r="T1061" s="561"/>
      <c r="U1061" s="561"/>
      <c r="V1061" s="561"/>
      <c r="W1061" s="561"/>
      <c r="X1061" s="561"/>
      <c r="Y1061" s="561"/>
    </row>
    <row r="1062" spans="2:25" ht="14.25" customHeight="1" x14ac:dyDescent="0.3">
      <c r="B1062" s="561"/>
      <c r="C1062" s="561"/>
      <c r="D1062" s="561"/>
      <c r="E1062" s="561"/>
      <c r="F1062" s="561"/>
      <c r="G1062" s="561"/>
      <c r="H1062" s="561"/>
      <c r="I1062" s="561"/>
      <c r="J1062" s="561"/>
      <c r="K1062" s="561"/>
      <c r="L1062" s="561"/>
      <c r="M1062" s="561"/>
      <c r="N1062" s="561"/>
      <c r="O1062" s="561"/>
      <c r="P1062" s="561"/>
      <c r="Q1062" s="561"/>
      <c r="R1062" s="561"/>
      <c r="S1062" s="561"/>
      <c r="T1062" s="561"/>
      <c r="U1062" s="561"/>
      <c r="V1062" s="561"/>
      <c r="W1062" s="561"/>
      <c r="X1062" s="561"/>
      <c r="Y1062" s="561"/>
    </row>
    <row r="1063" spans="2:25" ht="14.25" customHeight="1" x14ac:dyDescent="0.3">
      <c r="B1063" s="561"/>
      <c r="C1063" s="561"/>
      <c r="D1063" s="561"/>
      <c r="E1063" s="561"/>
      <c r="F1063" s="561"/>
      <c r="G1063" s="561"/>
      <c r="H1063" s="561"/>
      <c r="I1063" s="561"/>
      <c r="J1063" s="561"/>
      <c r="K1063" s="561"/>
      <c r="L1063" s="561"/>
      <c r="M1063" s="561"/>
      <c r="N1063" s="561"/>
      <c r="O1063" s="561"/>
      <c r="P1063" s="561"/>
      <c r="Q1063" s="561"/>
      <c r="R1063" s="561"/>
      <c r="S1063" s="561"/>
      <c r="T1063" s="561"/>
      <c r="U1063" s="561"/>
      <c r="V1063" s="561"/>
      <c r="W1063" s="561"/>
      <c r="X1063" s="561"/>
      <c r="Y1063" s="561"/>
    </row>
  </sheetData>
  <mergeCells count="329"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05" t="s">
        <v>770</v>
      </c>
      <c r="B1" s="706" t="s">
        <v>771</v>
      </c>
      <c r="C1" s="706" t="s">
        <v>772</v>
      </c>
      <c r="D1" s="706" t="s">
        <v>773</v>
      </c>
      <c r="E1" s="706" t="s">
        <v>774</v>
      </c>
      <c r="F1" s="707" t="s">
        <v>775</v>
      </c>
      <c r="G1" s="708" t="s">
        <v>776</v>
      </c>
      <c r="H1" s="709" t="s">
        <v>777</v>
      </c>
      <c r="I1" s="710" t="s">
        <v>778</v>
      </c>
      <c r="J1" s="707" t="s">
        <v>779</v>
      </c>
      <c r="K1" s="706" t="s">
        <v>780</v>
      </c>
      <c r="L1" s="707" t="s">
        <v>781</v>
      </c>
      <c r="M1" s="711" t="s">
        <v>782</v>
      </c>
      <c r="N1" s="705" t="s">
        <v>783</v>
      </c>
      <c r="O1" s="712" t="s">
        <v>784</v>
      </c>
      <c r="P1" s="713" t="s">
        <v>785</v>
      </c>
      <c r="Q1" s="714" t="s">
        <v>71</v>
      </c>
      <c r="R1" s="706" t="s">
        <v>99</v>
      </c>
      <c r="S1" s="706" t="s">
        <v>82</v>
      </c>
      <c r="T1" s="706" t="s">
        <v>84</v>
      </c>
      <c r="U1" s="706" t="s">
        <v>786</v>
      </c>
      <c r="V1" s="706" t="s">
        <v>787</v>
      </c>
      <c r="W1" s="713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2026-04-16T10:39:13Z</cp:lastPrinted>
  <dcterms:created xsi:type="dcterms:W3CDTF">2025-09-08T16:55:31Z</dcterms:created>
  <dcterms:modified xsi:type="dcterms:W3CDTF">2026-04-16T12:43:49Z</dcterms:modified>
</cp:coreProperties>
</file>