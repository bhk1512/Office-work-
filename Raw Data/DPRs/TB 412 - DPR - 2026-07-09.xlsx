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July-2026\"/>
    </mc:Choice>
  </mc:AlternateContent>
  <bookViews>
    <workbookView xWindow="0" yWindow="0" windowWidth="20490" windowHeight="7500" tabRatio="676" firstSheet="1" activeTab="13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state="hidden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oundation" sheetId="2" r:id="rId22"/>
    <sheet name="Earthing Pending" sheetId="42" state="hidden" r:id="rId23"/>
    <sheet name="Erection" sheetId="32" r:id="rId24"/>
    <sheet name="Earthing" sheetId="7" r:id="rId25"/>
    <sheet name="Stringing" sheetId="46" r:id="rId26"/>
    <sheet name="Earthing Balance" sheetId="45" state="hidden" r:id="rId27"/>
    <sheet name="Statutary " sheetId="43" r:id="rId28"/>
    <sheet name="Power line Crossings " sheetId="30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8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8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8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8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8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8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8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8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8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8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8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8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8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Earthing!$A$176:$I$242</definedName>
    <definedName name="_xlnm._FilterDatabase" localSheetId="26" hidden="1">'Earthing Balance'!$A$2:$F$2</definedName>
    <definedName name="_xlnm._FilterDatabase" localSheetId="23" hidden="1">Erection!$A$76:$K$157</definedName>
    <definedName name="_xlnm._FilterDatabase" localSheetId="21" hidden="1">Foundation!$A$2:$L$199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WIP!$A$35:$K$64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8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8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8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8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8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8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8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8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8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8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8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8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8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8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8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8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8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8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8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8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8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8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8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8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8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8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8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8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8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8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8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8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8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8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8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8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8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8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8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8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8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8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8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8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8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8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8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8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8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8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8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8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8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8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Foundation!$A$1:$E$126</definedName>
    <definedName name="_xlnm.Print_Area" localSheetId="6">'GANG Mapping MAY-26 '!$A$1:$H$119</definedName>
    <definedName name="_xlnm.Print_Area" localSheetId="28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SZ'!$A$1:$AF$220</definedName>
    <definedName name="_xlnm.Print_Area" localSheetId="12">'VC 220 TM'!$A$1:$AA$55</definedName>
    <definedName name="_xlnm.Print_Area" localSheetId="5">WIP!$A$1:$J$67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8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8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8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8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8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8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8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8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8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8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8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8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8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8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8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8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8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8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8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8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8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8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8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8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8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8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23" l="1"/>
  <c r="G42" i="23"/>
  <c r="B29" i="23"/>
  <c r="A2" i="23" l="1"/>
  <c r="H21" i="23" l="1"/>
  <c r="H20" i="23"/>
  <c r="G40" i="23" l="1"/>
  <c r="B37" i="23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G41" i="23"/>
  <c r="G38" i="23"/>
  <c r="F39" i="23" s="1"/>
  <c r="G39" i="23" s="1"/>
  <c r="G37" i="23"/>
  <c r="H19" i="23"/>
  <c r="G26" i="23" s="1"/>
  <c r="H18" i="23"/>
  <c r="H17" i="23"/>
  <c r="G22" i="23" s="1"/>
  <c r="H22" i="23" s="1"/>
  <c r="X86" i="38" l="1"/>
  <c r="G36" i="23" l="1"/>
  <c r="M39" i="15" l="1"/>
  <c r="L22" i="28"/>
  <c r="L17" i="28"/>
  <c r="L16" i="28"/>
  <c r="L15" i="28"/>
  <c r="L14" i="28"/>
  <c r="L13" i="28"/>
  <c r="L12" i="28"/>
  <c r="L11" i="28"/>
  <c r="L10" i="28"/>
  <c r="G52" i="5"/>
  <c r="G51" i="5"/>
  <c r="G48" i="5"/>
  <c r="G33" i="5"/>
  <c r="H177" i="7" l="1"/>
  <c r="H3" i="7"/>
  <c r="I5" i="46"/>
  <c r="I6" i="46" s="1"/>
  <c r="I7" i="46" s="1"/>
  <c r="D160" i="32" l="1"/>
  <c r="D158" i="32"/>
  <c r="D73" i="32"/>
  <c r="D17" i="32"/>
  <c r="J4" i="32"/>
  <c r="G324" i="2"/>
  <c r="G323" i="2"/>
  <c r="G322" i="2"/>
  <c r="G321" i="2"/>
  <c r="G320" i="2"/>
  <c r="J3" i="2" l="1"/>
  <c r="J209" i="2"/>
  <c r="F234" i="2"/>
  <c r="F233" i="2"/>
  <c r="F196" i="2"/>
  <c r="AF142" i="40" l="1"/>
  <c r="I59" i="5" l="1"/>
  <c r="H150" i="7" l="1"/>
  <c r="B18" i="23" l="1"/>
  <c r="B19" i="23" s="1"/>
  <c r="B20" i="23" l="1"/>
  <c r="B21" i="23" s="1"/>
  <c r="B22" i="23" s="1"/>
  <c r="B23" i="23" s="1"/>
  <c r="B24" i="23" s="1"/>
  <c r="B25" i="23" s="1"/>
  <c r="B26" i="23" s="1"/>
  <c r="B27" i="23" s="1"/>
  <c r="J77" i="32"/>
  <c r="J26" i="32"/>
  <c r="J239" i="2" l="1"/>
  <c r="F227" i="2"/>
  <c r="F39" i="5" l="1"/>
  <c r="W111" i="38"/>
  <c r="W33" i="38"/>
  <c r="AC38" i="39" l="1"/>
  <c r="AC30" i="39"/>
  <c r="AA162" i="38" l="1"/>
  <c r="Z162" i="38"/>
  <c r="Y162" i="38"/>
  <c r="X162" i="38"/>
  <c r="E118" i="37" l="1"/>
  <c r="I141" i="37" l="1"/>
  <c r="W119" i="38" l="1"/>
  <c r="F223" i="2" l="1"/>
  <c r="AG219" i="40" l="1"/>
  <c r="AF219" i="40"/>
  <c r="AE219" i="40"/>
  <c r="AD219" i="40"/>
  <c r="AC219" i="40"/>
  <c r="AB215" i="40"/>
  <c r="AB208" i="40"/>
  <c r="AB201" i="40"/>
  <c r="AB194" i="40"/>
  <c r="AB186" i="40"/>
  <c r="AB178" i="40"/>
  <c r="AB171" i="40"/>
  <c r="AB164" i="40"/>
  <c r="AB157" i="40"/>
  <c r="AB149" i="40"/>
  <c r="AB142" i="40"/>
  <c r="AB134" i="40"/>
  <c r="AB126" i="40"/>
  <c r="AB118" i="40"/>
  <c r="AB110" i="40"/>
  <c r="AB102" i="40"/>
  <c r="AB95" i="40"/>
  <c r="AB88" i="40"/>
  <c r="AB81" i="40"/>
  <c r="AB74" i="40"/>
  <c r="AB67" i="40"/>
  <c r="AB60" i="40"/>
  <c r="AB53" i="40"/>
  <c r="AB46" i="40"/>
  <c r="AB39" i="40"/>
  <c r="AB32" i="40"/>
  <c r="AH23" i="40"/>
  <c r="AH32" i="40" s="1"/>
  <c r="AH39" i="40" s="1"/>
  <c r="AH46" i="40" s="1"/>
  <c r="AH53" i="40" s="1"/>
  <c r="AH60" i="40" s="1"/>
  <c r="AH67" i="40" s="1"/>
  <c r="AH74" i="40" s="1"/>
  <c r="AH81" i="40" s="1"/>
  <c r="AH88" i="40" s="1"/>
  <c r="AH95" i="40" s="1"/>
  <c r="AH102" i="40" s="1"/>
  <c r="AH110" i="40" s="1"/>
  <c r="AH118" i="40" s="1"/>
  <c r="AH126" i="40" s="1"/>
  <c r="AH134" i="40" s="1"/>
  <c r="AH142" i="40" s="1"/>
  <c r="AH149" i="40" s="1"/>
  <c r="AH157" i="40" s="1"/>
  <c r="AH164" i="40" s="1"/>
  <c r="AH171" i="40" s="1"/>
  <c r="AH178" i="40" s="1"/>
  <c r="AH186" i="40" s="1"/>
  <c r="AH194" i="40" s="1"/>
  <c r="AH201" i="40" s="1"/>
  <c r="AH208" i="40" s="1"/>
  <c r="AH215" i="40" s="1"/>
  <c r="AB23" i="40"/>
  <c r="AI53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7" i="38"/>
  <c r="W150" i="38"/>
  <c r="W142" i="38"/>
  <c r="W134" i="38"/>
  <c r="W126" i="38"/>
  <c r="AA86" i="38"/>
  <c r="Z86" i="38"/>
  <c r="Y86" i="38"/>
  <c r="W82" i="38"/>
  <c r="W74" i="38"/>
  <c r="W65" i="38"/>
  <c r="W57" i="38"/>
  <c r="W49" i="38"/>
  <c r="W41" i="38"/>
  <c r="C13" i="38"/>
  <c r="C90" i="38" s="1"/>
  <c r="K54" i="39" l="1"/>
  <c r="L54" i="39"/>
  <c r="P53" i="39"/>
  <c r="N54" i="39"/>
  <c r="W162" i="38"/>
  <c r="W86" i="38"/>
  <c r="M54" i="39"/>
  <c r="O54" i="39"/>
  <c r="P52" i="39"/>
  <c r="P51" i="39"/>
  <c r="P50" i="39"/>
  <c r="W45" i="39"/>
  <c r="AB219" i="40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300" i="2" l="1"/>
  <c r="F299" i="2" l="1"/>
  <c r="I57" i="5" l="1"/>
  <c r="K57" i="5" s="1"/>
  <c r="I58" i="5"/>
  <c r="K58" i="5" s="1"/>
  <c r="K59" i="5"/>
  <c r="I60" i="5"/>
  <c r="K60" i="5"/>
  <c r="H20" i="28" l="1"/>
  <c r="E87" i="32" l="1"/>
  <c r="E86" i="32" l="1"/>
  <c r="E84" i="32"/>
  <c r="E80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8" i="28"/>
  <c r="G118" i="37" l="1"/>
  <c r="G6" i="37"/>
  <c r="L20" i="28" l="1"/>
  <c r="L18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32" i="32" l="1"/>
  <c r="E79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19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2" i="28"/>
  <c r="E16" i="28"/>
  <c r="L23" i="28"/>
  <c r="J17" i="28"/>
  <c r="H18" i="28"/>
  <c r="H17" i="28"/>
  <c r="H16" i="28"/>
  <c r="H15" i="28"/>
  <c r="H14" i="28"/>
  <c r="H13" i="28"/>
  <c r="H12" i="28"/>
  <c r="G19" i="28"/>
  <c r="G18" i="28"/>
  <c r="G17" i="28"/>
  <c r="F23" i="28"/>
  <c r="F22" i="28"/>
  <c r="F20" i="28"/>
  <c r="F19" i="28"/>
  <c r="F18" i="28"/>
  <c r="F17" i="28"/>
  <c r="F16" i="28"/>
  <c r="E20" i="28"/>
  <c r="E19" i="28"/>
  <c r="E18" i="28"/>
  <c r="E17" i="28"/>
  <c r="E15" i="28"/>
  <c r="E14" i="28"/>
  <c r="E13" i="28"/>
  <c r="E12" i="28"/>
  <c r="G53" i="5"/>
  <c r="G16" i="28" s="1"/>
  <c r="G32" i="5"/>
  <c r="I19" i="28"/>
  <c r="G30" i="5" l="1"/>
  <c r="E32" i="22" l="1"/>
  <c r="H23" i="28" l="1"/>
  <c r="H22" i="28"/>
  <c r="H21" i="28"/>
  <c r="H11" i="28"/>
  <c r="G31" i="5"/>
  <c r="D4" i="23"/>
  <c r="F181" i="7" l="1"/>
  <c r="F182" i="7" s="1"/>
  <c r="F221" i="2"/>
  <c r="F245" i="2" l="1"/>
  <c r="J10" i="28" l="1"/>
  <c r="G10" i="28"/>
  <c r="H10" i="28"/>
  <c r="E11" i="28"/>
  <c r="E21" i="28"/>
  <c r="E22" i="28"/>
  <c r="E23" i="28"/>
  <c r="J11" i="28"/>
  <c r="J12" i="28"/>
  <c r="J13" i="28"/>
  <c r="J14" i="28"/>
  <c r="J15" i="28"/>
  <c r="J16" i="28"/>
  <c r="J19" i="28"/>
  <c r="J20" i="28"/>
  <c r="J21" i="28"/>
  <c r="J22" i="28"/>
  <c r="J23" i="28"/>
  <c r="G20" i="28"/>
  <c r="G21" i="28"/>
  <c r="G22" i="28"/>
  <c r="G23" i="28"/>
  <c r="F58" i="5"/>
  <c r="D16" i="28"/>
  <c r="D17" i="28"/>
  <c r="D18" i="28"/>
  <c r="D19" i="28"/>
  <c r="D20" i="28"/>
  <c r="D22" i="28"/>
  <c r="D23" i="28"/>
  <c r="C17" i="28"/>
  <c r="C15" i="28"/>
  <c r="C16" i="28"/>
  <c r="C18" i="28"/>
  <c r="C19" i="28"/>
  <c r="C20" i="28"/>
  <c r="C21" i="28"/>
  <c r="C22" i="28"/>
  <c r="C23" i="28"/>
  <c r="K53" i="5"/>
  <c r="C11" i="28"/>
  <c r="C12" i="28"/>
  <c r="C13" i="28"/>
  <c r="C14" i="28"/>
  <c r="C10" i="28"/>
  <c r="F21" i="28" l="1"/>
  <c r="F244" i="2"/>
  <c r="F220" i="2"/>
  <c r="F219" i="2"/>
  <c r="F218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0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3" i="28" l="1"/>
  <c r="K15" i="5"/>
  <c r="K20" i="5"/>
  <c r="K16" i="5" l="1"/>
  <c r="I15" i="28"/>
  <c r="K18" i="5"/>
  <c r="I17" i="28"/>
  <c r="K19" i="5"/>
  <c r="I18" i="28"/>
  <c r="K11" i="5"/>
  <c r="K23" i="5"/>
  <c r="K14" i="5"/>
  <c r="K13" i="5"/>
  <c r="K24" i="5"/>
  <c r="K22" i="5"/>
  <c r="K17" i="5"/>
  <c r="K21" i="5"/>
  <c r="K12" i="5"/>
  <c r="D3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6" i="28"/>
  <c r="K16" i="28" s="1"/>
  <c r="K36" i="5"/>
  <c r="K38" i="5"/>
  <c r="I21" i="28"/>
  <c r="K41" i="5"/>
  <c r="I12" i="28"/>
  <c r="K56" i="5"/>
  <c r="K54" i="5"/>
  <c r="I11" i="28"/>
  <c r="K47" i="5"/>
  <c r="K29" i="5"/>
  <c r="K30" i="5"/>
  <c r="K31" i="5"/>
  <c r="F51" i="5"/>
  <c r="F14" i="28" s="1"/>
  <c r="F48" i="5"/>
  <c r="F11" i="28" s="1"/>
  <c r="I23" i="28" l="1"/>
  <c r="K23" i="28" s="1"/>
  <c r="I20" i="28"/>
  <c r="K20" i="28" s="1"/>
  <c r="I22" i="28"/>
  <c r="K22" i="28" s="1"/>
  <c r="F52" i="5"/>
  <c r="F15" i="28" s="1"/>
  <c r="K33" i="5"/>
  <c r="K37" i="5"/>
  <c r="K19" i="28"/>
  <c r="K35" i="5"/>
  <c r="K17" i="28"/>
  <c r="K55" i="5"/>
  <c r="K18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2" i="28" s="1"/>
  <c r="F50" i="5" l="1"/>
  <c r="F13" i="28" s="1"/>
  <c r="E13" i="22"/>
  <c r="C16" i="22"/>
  <c r="F58" i="22"/>
  <c r="F52" i="22"/>
  <c r="F40" i="22"/>
  <c r="F46" i="22"/>
  <c r="F34" i="22"/>
  <c r="F13" i="22" l="1"/>
  <c r="F16" i="22" s="1"/>
  <c r="E16" i="22"/>
  <c r="I10" i="28"/>
  <c r="F10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7" i="15"/>
  <c r="M36" i="15"/>
  <c r="M41" i="15"/>
  <c r="J34" i="15"/>
  <c r="D28" i="5"/>
  <c r="D10" i="28" s="1"/>
  <c r="K10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11" i="28" s="1"/>
  <c r="D39" i="5"/>
  <c r="D14" i="28" l="1"/>
  <c r="G14" i="28"/>
  <c r="K39" i="5"/>
  <c r="D21" i="28"/>
  <c r="K21" i="28" s="1"/>
  <c r="K48" i="5"/>
  <c r="D11" i="28"/>
  <c r="K11" i="28" s="1"/>
  <c r="B60" i="22"/>
  <c r="F60" i="22" s="1"/>
  <c r="B61" i="22"/>
  <c r="D52" i="5"/>
  <c r="G15" i="28" s="1"/>
  <c r="D49" i="5"/>
  <c r="G49" i="5" s="1"/>
  <c r="G12" i="28" s="1"/>
  <c r="K49" i="5" l="1"/>
  <c r="D12" i="28"/>
  <c r="K12" i="28" s="1"/>
  <c r="K52" i="5"/>
  <c r="D15" i="28"/>
  <c r="K15" i="28" s="1"/>
  <c r="F61" i="22"/>
  <c r="F63" i="22" s="1"/>
  <c r="B63" i="22"/>
  <c r="B26" i="22"/>
  <c r="D50" i="5"/>
  <c r="G13" i="28" s="1"/>
  <c r="K50" i="5" l="1"/>
  <c r="D13" i="28"/>
  <c r="K13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4" i="28"/>
  <c r="K14" i="28" s="1"/>
</calcChain>
</file>

<file path=xl/sharedStrings.xml><?xml version="1.0" encoding="utf-8"?>
<sst xmlns="http://schemas.openxmlformats.org/spreadsheetml/2006/main" count="12352" uniqueCount="2221">
  <si>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</si>
  <si>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</si>
  <si>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</si>
  <si>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</si>
  <si>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</si>
  <si>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</si>
  <si>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</si>
  <si>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</si>
  <si>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</si>
  <si>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</si>
  <si>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</si>
  <si>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</si>
  <si>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</si>
  <si>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</si>
  <si>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</si>
  <si>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</si>
  <si>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</si>
  <si>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</si>
  <si>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</si>
  <si>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</si>
  <si>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</si>
  <si>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</si>
  <si>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</si>
  <si>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</si>
  <si>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</si>
  <si>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</si>
  <si>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</si>
  <si>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</si>
  <si>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</si>
  <si>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</si>
  <si>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</si>
  <si>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</si>
  <si>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</si>
  <si>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</si>
  <si>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</si>
  <si>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</si>
  <si>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</si>
  <si>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</si>
  <si>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</si>
  <si>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</si>
  <si>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</si>
  <si>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</si>
  <si>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</si>
  <si>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</si>
  <si>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</si>
  <si>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</si>
  <si>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</si>
  <si>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</si>
  <si>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</si>
  <si>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</si>
  <si>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</si>
  <si>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</si>
  <si>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</si>
  <si>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</si>
  <si>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</si>
  <si>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</si>
  <si>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</si>
  <si>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</si>
  <si>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</si>
  <si>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</si>
  <si>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</si>
  <si>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</si>
  <si>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</si>
  <si>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</si>
  <si>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</si>
  <si>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</si>
  <si>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</si>
  <si>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</si>
  <si>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</si>
  <si>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</si>
  <si>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</si>
  <si>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</si>
  <si>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</si>
  <si>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</si>
  <si>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</si>
  <si>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</si>
  <si>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</si>
  <si>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</si>
  <si>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</si>
  <si>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</si>
  <si>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</si>
  <si>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</si>
  <si>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</si>
  <si>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</si>
  <si>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</si>
  <si>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</si>
  <si>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</si>
  <si>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</si>
  <si>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</si>
  <si>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</si>
  <si>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</si>
  <si>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</si>
  <si>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</si>
  <si>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</si>
  <si>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</si>
  <si>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</si>
  <si>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</si>
  <si>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</si>
  <si>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</si>
  <si>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</si>
  <si>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</si>
  <si>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</si>
  <si>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</si>
  <si>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</si>
  <si>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</si>
  <si>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</si>
  <si>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</si>
  <si>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</si>
  <si>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</si>
  <si>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</si>
  <si>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</si>
  <si>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</si>
  <si>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</si>
  <si>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</si>
  <si>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</si>
  <si>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</si>
  <si>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</si>
  <si>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</si>
  <si>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</si>
  <si>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</si>
  <si>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</si>
  <si>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</si>
  <si>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</si>
  <si>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</si>
  <si>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</si>
  <si>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</si>
  <si>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</si>
  <si>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</si>
  <si>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</si>
  <si>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</si>
  <si>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</si>
  <si>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</si>
  <si>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</si>
  <si>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</si>
  <si>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</si>
  <si>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</si>
  <si>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</si>
  <si>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</si>
  <si>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</si>
  <si>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</si>
  <si>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</si>
  <si>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</si>
  <si>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</si>
  <si>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</si>
  <si>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</si>
  <si>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</si>
  <si>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</si>
  <si>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</si>
  <si>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</si>
  <si>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</si>
  <si>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</si>
  <si>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</si>
  <si>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</si>
  <si>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</si>
  <si>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</si>
  <si>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</si>
  <si>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</si>
  <si>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</si>
  <si>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</si>
  <si>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</si>
  <si>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</si>
  <si>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</si>
  <si>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</si>
  <si>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</si>
  <si>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</si>
  <si>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</si>
  <si>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</si>
  <si>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</si>
  <si>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</si>
  <si>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</si>
  <si>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</si>
  <si>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</si>
  <si>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</si>
  <si>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</si>
  <si>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</si>
  <si>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</si>
  <si>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</si>
  <si>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</si>
  <si>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</si>
  <si>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</si>
  <si>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</si>
  <si>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</si>
  <si>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</si>
  <si>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</si>
  <si>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</si>
  <si>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</si>
  <si>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</si>
  <si>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</si>
  <si>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</si>
  <si>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</si>
  <si>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</si>
  <si>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</si>
  <si>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</si>
  <si>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</si>
  <si>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</si>
  <si>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</si>
  <si>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</si>
  <si>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</si>
  <si>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</si>
  <si>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</si>
  <si>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</si>
  <si>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</si>
  <si>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</si>
  <si>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</si>
  <si>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</si>
  <si>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</si>
  <si>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</si>
  <si>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</si>
  <si>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</si>
  <si>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</si>
  <si>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</si>
  <si>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</si>
  <si>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</si>
  <si>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</si>
  <si>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</si>
  <si>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</si>
  <si>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</si>
  <si>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</si>
  <si>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</si>
  <si>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</si>
  <si>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</si>
  <si>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</si>
  <si>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</si>
  <si>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</si>
  <si>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</si>
  <si>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</si>
  <si>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</si>
  <si>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</si>
  <si>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</si>
  <si>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</si>
  <si>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</si>
  <si>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</si>
  <si>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</si>
  <si>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</si>
  <si>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</si>
  <si>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</si>
  <si>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</si>
  <si>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</si>
  <si>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</si>
  <si>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</si>
  <si>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</si>
  <si>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</si>
  <si>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</si>
  <si>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</si>
  <si>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</si>
  <si>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</si>
  <si>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</si>
  <si>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</si>
  <si>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</si>
  <si>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</si>
  <si>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</si>
  <si>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</si>
  <si>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</si>
  <si>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</si>
  <si>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</si>
  <si>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</si>
  <si>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</si>
  <si>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</si>
  <si>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</si>
  <si>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</si>
  <si>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</si>
  <si>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</si>
  <si>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</si>
  <si>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</si>
  <si>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</si>
  <si>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</si>
  <si>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</si>
  <si>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</si>
  <si>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</si>
  <si>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</si>
  <si>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</si>
  <si>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</si>
  <si>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</si>
  <si>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</si>
  <si>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</si>
  <si>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</si>
  <si>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</si>
  <si>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</si>
  <si>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</si>
  <si>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</si>
  <si>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</si>
  <si>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</si>
  <si>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</si>
  <si>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</si>
  <si>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</si>
  <si>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</si>
  <si>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</si>
  <si>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</si>
  <si>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</si>
  <si>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</si>
  <si>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</si>
  <si>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</si>
  <si>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</si>
  <si>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</si>
  <si>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</si>
  <si>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</si>
  <si>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</si>
  <si>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</si>
  <si>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</si>
  <si>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</si>
  <si>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</si>
  <si>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</si>
  <si>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</si>
  <si>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</si>
  <si>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</si>
  <si>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</si>
  <si>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</si>
  <si>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</si>
  <si>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</si>
  <si>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</si>
  <si>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</si>
  <si>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</si>
  <si>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</si>
  <si>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</si>
  <si>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</si>
  <si>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</si>
  <si>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</si>
  <si>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</si>
  <si>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</si>
  <si>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</si>
  <si>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</si>
  <si>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</si>
  <si>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</si>
  <si>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</si>
  <si>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</si>
  <si>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</si>
  <si>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</si>
  <si>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</si>
  <si>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</si>
  <si>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</si>
  <si>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</si>
  <si>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</si>
  <si>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</si>
  <si>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</si>
  <si>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</si>
  <si>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</si>
  <si>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</si>
  <si>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</si>
  <si>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</si>
  <si>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</si>
  <si>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</si>
  <si>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</si>
  <si>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</si>
  <si>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</si>
  <si>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</si>
  <si>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</si>
  <si>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</si>
  <si>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</si>
  <si>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</si>
  <si>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</si>
  <si>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</si>
  <si>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</si>
  <si>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</si>
  <si>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</si>
  <si>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</si>
  <si>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</si>
  <si>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</si>
  <si>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</si>
  <si>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</si>
  <si>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</si>
  <si>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</si>
  <si>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</si>
  <si>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</si>
  <si>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</si>
  <si>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</si>
  <si>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</si>
  <si>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</si>
  <si>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</si>
  <si>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</si>
  <si>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</si>
  <si>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</si>
  <si>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</si>
  <si>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</si>
  <si>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</si>
  <si>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</si>
  <si>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</si>
  <si>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</si>
  <si>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</si>
  <si>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</si>
  <si>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</si>
  <si>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</si>
  <si>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</si>
  <si>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</si>
  <si>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</si>
  <si>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</si>
  <si>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</si>
  <si>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</si>
  <si>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</si>
  <si>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</si>
  <si>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</si>
  <si>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</si>
  <si>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</si>
  <si>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</si>
  <si>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</si>
  <si>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</si>
  <si>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</si>
  <si>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</si>
  <si>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</si>
  <si>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</si>
  <si>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</si>
  <si>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</si>
  <si>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</si>
  <si>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</si>
  <si>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</si>
  <si>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</si>
  <si>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</si>
  <si>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</si>
  <si>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</si>
  <si>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</si>
  <si>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</si>
  <si>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</si>
  <si>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</si>
  <si>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</si>
  <si>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</si>
  <si>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</si>
  <si>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</si>
  <si>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</si>
  <si>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</si>
  <si>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</si>
  <si>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</si>
  <si>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</si>
  <si>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</si>
  <si>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</si>
  <si>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</si>
  <si>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</si>
  <si>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</si>
  <si>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</si>
  <si>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</si>
  <si>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</si>
  <si>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</si>
  <si>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</si>
  <si>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</si>
  <si>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</si>
  <si>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</si>
  <si>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</si>
  <si>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</si>
  <si>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</si>
  <si>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</si>
  <si>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</si>
  <si>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</si>
  <si>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</si>
  <si>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</si>
  <si>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</si>
  <si>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</si>
  <si>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</si>
  <si>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</si>
  <si>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</si>
  <si>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</si>
  <si>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</si>
  <si>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</si>
  <si>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</si>
  <si>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</si>
  <si>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</si>
  <si>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</si>
  <si>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</si>
  <si>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</si>
  <si>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</si>
  <si>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</si>
  <si>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</si>
  <si>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</si>
  <si>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</si>
  <si>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</si>
  <si>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</si>
  <si>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</si>
  <si>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</si>
  <si>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</si>
  <si>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</si>
  <si>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</si>
  <si>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</si>
  <si>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</si>
  <si>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</si>
  <si>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</si>
  <si>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</si>
  <si>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</si>
  <si>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</si>
  <si>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</si>
  <si>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</si>
  <si>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</si>
  <si>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</si>
  <si>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</si>
  <si>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</si>
  <si>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</si>
  <si>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</si>
  <si>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</si>
  <si>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</si>
  <si>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</si>
  <si>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</si>
  <si>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</si>
  <si>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</si>
  <si>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</si>
  <si>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</si>
  <si>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</si>
  <si>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</si>
  <si>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</si>
  <si>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</si>
  <si>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</si>
  <si>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</si>
  <si>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</si>
  <si>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</si>
  <si>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</si>
  <si>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</si>
  <si>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</si>
  <si>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</si>
  <si>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</si>
  <si>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</si>
  <si>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</si>
  <si>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</si>
  <si>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</si>
  <si>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</si>
  <si>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</si>
  <si>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</si>
  <si>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</si>
  <si>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</si>
  <si>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</si>
  <si>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</si>
  <si>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</si>
  <si>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</si>
  <si>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</si>
  <si>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</si>
  <si>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</si>
  <si>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</si>
  <si>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</si>
  <si>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</si>
  <si>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</si>
  <si>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</si>
  <si>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</si>
  <si>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</si>
  <si>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</si>
  <si>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</si>
  <si>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</si>
  <si>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</si>
  <si>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</si>
  <si>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</si>
  <si>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</si>
  <si>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</si>
  <si>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</si>
  <si>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</si>
  <si>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</si>
  <si>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</si>
  <si>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</si>
  <si>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</si>
  <si>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</si>
  <si>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</si>
  <si>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</si>
  <si>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</si>
  <si>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</si>
  <si>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</si>
  <si>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</si>
  <si>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</si>
  <si>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</si>
  <si>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</si>
  <si>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</si>
  <si>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</si>
  <si>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</si>
  <si>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</si>
  <si>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</si>
  <si>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</si>
  <si>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</si>
  <si>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</si>
  <si>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</si>
  <si>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</si>
  <si>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</si>
  <si>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</si>
  <si>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</si>
  <si>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</si>
  <si>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</si>
  <si>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</si>
  <si>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</si>
  <si>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</si>
  <si>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</si>
  <si>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</si>
  <si>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</si>
  <si>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</si>
  <si>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</si>
  <si>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</si>
  <si>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</si>
  <si>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</si>
  <si>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</si>
  <si>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</si>
  <si>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</si>
  <si>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</si>
  <si>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</si>
  <si>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</si>
  <si>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</si>
  <si>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</si>
  <si>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</si>
  <si>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</si>
  <si>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</si>
  <si>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</si>
  <si>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</si>
  <si>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</si>
  <si>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</si>
  <si>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</si>
  <si>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</si>
  <si>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</si>
  <si>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</si>
  <si>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</si>
  <si>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</si>
  <si>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</si>
  <si>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</si>
  <si>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</si>
  <si>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</si>
  <si>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</si>
  <si>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</si>
  <si>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</si>
  <si>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</si>
  <si>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</si>
  <si>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</si>
  <si>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</si>
  <si>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</si>
  <si>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</si>
  <si>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</si>
  <si>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</si>
  <si>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</si>
  <si>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</si>
  <si>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</si>
  <si>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</si>
  <si>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</si>
  <si>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</si>
  <si>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</si>
  <si>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</si>
  <si>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</si>
  <si>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</si>
  <si>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</si>
  <si>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</si>
  <si>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</si>
  <si>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</si>
  <si>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</si>
  <si>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</si>
  <si>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</si>
  <si>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</si>
  <si>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</si>
  <si>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</si>
  <si>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</si>
  <si>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</si>
  <si>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</si>
  <si>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</si>
  <si>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</si>
  <si>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</si>
  <si>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</si>
  <si>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</si>
  <si>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</si>
  <si>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</si>
  <si>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</si>
  <si>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</si>
  <si>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</si>
  <si>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</si>
  <si>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</si>
  <si>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</si>
  <si>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</si>
  <si>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</si>
  <si>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</si>
  <si>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</si>
  <si>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</si>
  <si>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</si>
  <si>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</si>
  <si>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</si>
  <si>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</si>
  <si>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</si>
  <si>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</si>
  <si>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</si>
  <si>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</si>
  <si>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</si>
  <si>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</si>
  <si>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</si>
  <si>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</si>
  <si>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</si>
  <si>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</si>
  <si>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</si>
  <si>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</si>
  <si>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</si>
  <si>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</si>
  <si>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</si>
  <si>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</si>
  <si>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</si>
  <si>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</si>
  <si>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</si>
  <si>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</si>
  <si>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</si>
  <si>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</si>
  <si>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</si>
  <si>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</si>
  <si>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</si>
  <si>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</si>
  <si>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</si>
  <si>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</si>
  <si>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</si>
  <si>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</si>
  <si>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</si>
  <si>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</si>
  <si>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</si>
  <si>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</si>
  <si>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</si>
  <si>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</si>
  <si>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</si>
  <si>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</si>
  <si>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</si>
  <si>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</si>
  <si>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</si>
  <si>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</si>
  <si>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</si>
  <si>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</si>
  <si>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</si>
  <si>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</si>
  <si>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</si>
  <si>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</si>
  <si>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</si>
  <si>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</si>
  <si>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</si>
  <si>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</si>
  <si>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</si>
  <si>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</si>
  <si>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</si>
  <si>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</si>
  <si>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</si>
  <si>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</si>
  <si>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</si>
  <si>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</si>
  <si>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</si>
  <si>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</si>
  <si>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</si>
  <si>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</si>
  <si>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</si>
  <si>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</si>
  <si>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</si>
  <si>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</si>
  <si>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</si>
  <si>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</si>
  <si>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</si>
  <si>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</si>
  <si>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</si>
  <si>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</si>
  <si>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</si>
  <si>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</si>
  <si>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</si>
  <si>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</si>
  <si>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</si>
  <si>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</si>
  <si>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</si>
  <si>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</si>
  <si>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</si>
  <si>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</si>
  <si>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</si>
  <si>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</si>
  <si>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</si>
  <si>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</si>
  <si>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</si>
  <si>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</si>
  <si>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</si>
  <si>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</si>
  <si>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</si>
  <si>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</si>
  <si>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</si>
  <si>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</si>
  <si>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</si>
  <si>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</si>
  <si>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</si>
  <si>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</si>
  <si>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</si>
  <si>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</si>
  <si>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</si>
  <si>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</si>
  <si>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</si>
  <si>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</si>
  <si>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</si>
  <si>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</si>
  <si>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</si>
  <si>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</si>
  <si>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</si>
  <si>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</si>
  <si>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</si>
  <si>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</si>
  <si>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</si>
  <si>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</si>
  <si>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</si>
  <si>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</si>
  <si>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</si>
  <si>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</si>
  <si>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</si>
  <si>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</si>
  <si>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</si>
  <si>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</si>
  <si>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</si>
  <si>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</si>
  <si>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</si>
  <si>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</si>
  <si>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</si>
  <si>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</si>
  <si>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</si>
  <si>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</si>
  <si>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</si>
  <si>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</si>
  <si>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</si>
  <si>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</si>
  <si>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</si>
  <si>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</si>
  <si>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</si>
  <si>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</si>
  <si>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</si>
  <si>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</si>
  <si>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</si>
  <si>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</si>
  <si>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</si>
  <si>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</si>
  <si>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</si>
  <si>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</si>
  <si>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</si>
  <si>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</si>
  <si>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</si>
  <si>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</si>
  <si>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</si>
  <si>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</si>
  <si>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</si>
  <si>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</si>
  <si>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</si>
  <si>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</si>
  <si>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</si>
  <si>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</si>
  <si>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</si>
  <si>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</si>
  <si>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</si>
  <si>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</si>
  <si>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</si>
  <si>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</si>
  <si>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</si>
  <si>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</si>
  <si>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</si>
  <si>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</si>
  <si>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</si>
  <si>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</si>
  <si>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</si>
  <si>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</si>
  <si>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</si>
  <si>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</si>
  <si>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</si>
  <si>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</si>
  <si>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</si>
  <si>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</si>
  <si>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</si>
  <si>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</si>
  <si>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</si>
  <si>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</si>
  <si>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</si>
  <si>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</si>
  <si>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</si>
  <si>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</si>
  <si>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</si>
  <si>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</si>
  <si>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</si>
  <si>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</si>
  <si>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</si>
  <si>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</si>
  <si>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</si>
  <si>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</si>
  <si>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</si>
  <si>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</si>
  <si>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</si>
  <si>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</si>
  <si>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</si>
  <si>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</si>
  <si>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</si>
  <si>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</si>
  <si>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</si>
  <si>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</si>
  <si>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</si>
  <si>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</si>
  <si>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</si>
  <si>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</si>
  <si>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</si>
  <si>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</si>
  <si>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</si>
  <si>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</si>
  <si>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</si>
  <si>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</si>
  <si>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</si>
  <si>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</si>
  <si>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</si>
  <si>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</si>
  <si>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</si>
  <si>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</si>
  <si>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</si>
  <si>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</si>
  <si>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</si>
  <si>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</si>
  <si>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</si>
  <si>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</si>
  <si>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</si>
  <si>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</si>
  <si>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</si>
  <si>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</si>
  <si>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</si>
  <si>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</si>
  <si>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</si>
  <si>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</si>
  <si>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</si>
  <si>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</si>
  <si>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</si>
  <si>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</si>
  <si>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</si>
  <si>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</si>
  <si>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</si>
  <si>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</si>
  <si>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</si>
  <si>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</si>
  <si>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</si>
  <si>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</si>
  <si>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</si>
  <si>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</si>
  <si>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</si>
  <si>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</si>
  <si>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</si>
  <si>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</si>
  <si>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</si>
  <si>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</si>
  <si>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</si>
  <si>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</si>
  <si>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</si>
  <si>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</si>
  <si>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</si>
  <si>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</si>
  <si>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</si>
  <si>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</si>
  <si>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</si>
  <si>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</si>
  <si>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</si>
  <si>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</si>
  <si>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</si>
  <si>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</si>
  <si>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</si>
  <si>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</si>
  <si>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</si>
  <si>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</si>
  <si>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</si>
  <si>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</si>
  <si>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</si>
  <si>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</si>
  <si>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</si>
  <si>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</si>
  <si>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</si>
  <si>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</si>
  <si>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</si>
  <si>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</si>
  <si>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</si>
  <si>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</si>
  <si>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</si>
  <si>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</si>
  <si>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</si>
  <si>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</si>
  <si>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</si>
  <si>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</si>
  <si>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</si>
  <si>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</si>
  <si>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</si>
  <si>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</si>
  <si>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</si>
  <si>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220kV Chhapra(New) Amnour DCDS with Twin Moose Conductor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</si>
  <si>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</si>
  <si>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</si>
  <si>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</si>
  <si>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</si>
  <si>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</si>
  <si>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</si>
  <si>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</si>
  <si>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</si>
  <si>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</si>
  <si>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</si>
  <si>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</si>
  <si>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</si>
  <si>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</si>
  <si>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</si>
  <si>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</si>
  <si>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</si>
  <si>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</si>
  <si>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</si>
  <si>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</si>
  <si>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</si>
  <si>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</si>
  <si>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</si>
  <si>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</si>
  <si>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</si>
  <si>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</si>
  <si>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</si>
  <si>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</si>
  <si>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</si>
  <si>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</si>
  <si>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</si>
  <si>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</si>
  <si>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</si>
  <si>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</si>
  <si>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</si>
  <si>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</si>
  <si>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</si>
  <si>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</si>
  <si>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</si>
  <si>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</si>
  <si>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</si>
  <si>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</si>
  <si>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4DD+`8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</si>
  <si>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</si>
  <si>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</si>
  <si>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</si>
  <si>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</si>
  <si>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</si>
  <si>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</si>
  <si>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</si>
  <si>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</si>
  <si>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</si>
  <si>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</si>
  <si>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</si>
  <si>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</si>
  <si>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</si>
  <si>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</si>
  <si>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</si>
  <si>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</si>
  <si>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</si>
  <si>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</si>
  <si>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</si>
  <si>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</si>
  <si>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</si>
  <si>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</si>
  <si>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</si>
  <si>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</si>
  <si>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</si>
  <si>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</si>
  <si>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</si>
  <si>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</si>
  <si>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</si>
  <si>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</si>
  <si>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</si>
  <si>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</si>
  <si>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</si>
  <si>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</si>
  <si>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</si>
  <si>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</si>
  <si>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</si>
  <si>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</si>
  <si>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</si>
  <si>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</si>
  <si>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</si>
  <si>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</si>
  <si>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</si>
  <si>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</si>
  <si>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</si>
  <si>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</si>
  <si>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</si>
  <si>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</si>
  <si>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</si>
  <si>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</si>
  <si>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</si>
  <si>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</si>
  <si>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</si>
  <si>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</si>
  <si>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</si>
  <si>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</si>
  <si>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</si>
  <si>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</si>
  <si>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</si>
  <si>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</si>
  <si>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</si>
  <si>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</si>
  <si>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</si>
  <si>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</si>
  <si>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</si>
  <si>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</si>
  <si>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</si>
  <si>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</si>
  <si>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</si>
  <si>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</si>
  <si>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</si>
  <si>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</si>
  <si>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</si>
  <si>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</si>
  <si>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</si>
  <si>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</si>
  <si>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</si>
  <si>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</si>
  <si>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</si>
  <si>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</si>
  <si>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</si>
  <si>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</si>
  <si>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</si>
  <si>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</si>
  <si>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</si>
  <si>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</si>
  <si>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</si>
  <si>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</si>
  <si>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</si>
  <si>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</si>
  <si>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</si>
  <si>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</si>
  <si>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</si>
  <si>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</si>
  <si>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</si>
  <si>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</si>
  <si>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</si>
  <si>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</si>
  <si>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</si>
  <si>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</si>
  <si>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</si>
  <si>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</si>
  <si>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</si>
  <si>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</si>
  <si>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</si>
  <si>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</si>
  <si>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</si>
  <si>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</si>
  <si>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</si>
  <si>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</si>
  <si>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</si>
  <si>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</si>
  <si>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</si>
  <si>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</si>
  <si>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</si>
  <si>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</si>
  <si>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</si>
  <si>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</si>
  <si>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</si>
  <si>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</si>
  <si>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</si>
  <si>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</si>
  <si>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</si>
  <si>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</si>
  <si>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</si>
  <si>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</si>
  <si>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</si>
  <si>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</si>
  <si>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</si>
  <si>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</si>
  <si>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</si>
  <si>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</si>
  <si>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</si>
  <si>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</si>
  <si>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</si>
  <si>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</si>
  <si>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</si>
  <si>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</si>
  <si>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</si>
  <si>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</si>
  <si>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</si>
  <si>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</si>
  <si>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</si>
  <si>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</si>
  <si>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</si>
  <si>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</si>
  <si>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</si>
  <si>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</si>
  <si>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</si>
  <si>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</si>
  <si>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</si>
  <si>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</si>
  <si>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</si>
  <si>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</si>
  <si>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</si>
  <si>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</si>
  <si>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</si>
  <si>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</si>
  <si>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</si>
  <si>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</si>
  <si>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</si>
  <si>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</si>
  <si>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</si>
  <si>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</si>
  <si>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</si>
  <si>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</si>
  <si>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</si>
  <si>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</si>
  <si>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</si>
  <si>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</si>
  <si>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</si>
  <si>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</si>
  <si>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</si>
  <si>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</si>
  <si>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</si>
  <si>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</si>
  <si>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</si>
  <si>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</si>
  <si>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</si>
  <si>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</si>
  <si>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</si>
  <si>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</si>
  <si>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</si>
  <si>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</si>
  <si>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</si>
  <si>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</si>
  <si>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</si>
  <si>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</si>
  <si>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</si>
  <si>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</si>
  <si>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</si>
  <si>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</si>
  <si>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</si>
  <si>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</si>
  <si>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</si>
  <si>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</si>
  <si>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</si>
  <si>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</si>
  <si>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</si>
  <si>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</si>
  <si>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</si>
  <si>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</si>
  <si>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</si>
  <si>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</si>
  <si>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</si>
  <si>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</si>
  <si>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</si>
  <si>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</si>
  <si>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</si>
  <si>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</si>
  <si>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</si>
  <si>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</si>
  <si>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</si>
  <si>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</si>
  <si>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</si>
  <si>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</si>
  <si>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</si>
  <si>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</si>
  <si>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</si>
  <si>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</si>
  <si>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</si>
  <si>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</si>
  <si>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</si>
  <si>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</si>
  <si>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</si>
  <si>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</si>
  <si>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</si>
  <si>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</si>
  <si>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</si>
  <si>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</si>
  <si>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</si>
  <si>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</si>
  <si>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</si>
  <si>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</si>
  <si>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</si>
  <si>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</si>
  <si>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</si>
  <si>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</si>
  <si>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</si>
  <si>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</si>
  <si>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</si>
  <si>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</si>
  <si>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</si>
  <si>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</si>
  <si>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</si>
  <si>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</si>
  <si>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</si>
  <si>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</si>
  <si>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</si>
  <si>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</si>
  <si>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</si>
  <si>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</si>
  <si>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</si>
  <si>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</si>
  <si>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</si>
  <si>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</si>
  <si>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</si>
  <si>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</si>
  <si>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</si>
  <si>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</si>
  <si>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</si>
  <si>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</si>
  <si>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</si>
  <si>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</si>
  <si>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</si>
  <si>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</si>
  <si>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</si>
  <si>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</si>
  <si>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</si>
  <si>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</si>
  <si>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</si>
  <si>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</si>
  <si>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</si>
  <si>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</si>
  <si>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</si>
  <si>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</si>
  <si>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</si>
  <si>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</si>
  <si>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</si>
  <si>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</si>
  <si>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</si>
  <si>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</si>
  <si>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</si>
  <si>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</si>
  <si>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</si>
  <si>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</si>
  <si>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</si>
  <si>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</si>
  <si>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</si>
  <si>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</si>
  <si>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</si>
  <si>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</si>
  <si>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</si>
  <si>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</si>
  <si>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</si>
  <si>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</si>
  <si>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</si>
  <si>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</si>
  <si>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</si>
  <si>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</si>
  <si>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</si>
  <si>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</si>
  <si>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</si>
  <si>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</si>
  <si>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</si>
  <si>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</si>
  <si>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</si>
  <si>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</si>
  <si>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</si>
  <si>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</si>
  <si>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</si>
  <si>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</si>
  <si>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</si>
  <si>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</si>
  <si>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</si>
  <si>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</si>
  <si>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</si>
  <si>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</si>
  <si>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</si>
  <si>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</si>
  <si>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</si>
  <si>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</si>
  <si>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</si>
  <si>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</si>
  <si>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</si>
  <si>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</si>
  <si>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</si>
  <si>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</si>
  <si>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</si>
  <si>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</si>
  <si>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</si>
  <si>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</si>
  <si>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</si>
  <si>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</si>
  <si>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</si>
  <si>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</si>
  <si>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</si>
  <si>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</si>
  <si>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</si>
  <si>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</si>
  <si>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</si>
  <si>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</si>
  <si>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</si>
  <si>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</si>
  <si>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</si>
  <si>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</si>
  <si>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</si>
  <si>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</si>
  <si>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</si>
  <si>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</si>
  <si>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</si>
  <si>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</si>
  <si>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</si>
  <si>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</si>
  <si>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</si>
  <si>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</si>
  <si>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</si>
  <si>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</si>
  <si>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</si>
  <si>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</si>
  <si>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</si>
  <si>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</si>
  <si>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</si>
  <si>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</si>
  <si>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</si>
  <si>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</si>
  <si>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</si>
  <si>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</si>
  <si>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</si>
  <si>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</si>
  <si>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</si>
  <si>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</si>
  <si>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</si>
  <si>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</si>
  <si>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</si>
  <si>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</si>
  <si>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</si>
  <si>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</si>
  <si>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</si>
  <si>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</si>
  <si>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</si>
  <si>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</si>
  <si>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</si>
  <si>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</si>
  <si>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</si>
  <si>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</si>
  <si>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</si>
  <si>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</si>
  <si>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</si>
  <si>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</si>
  <si>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</si>
  <si>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</si>
  <si>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</si>
  <si>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</si>
  <si>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</si>
  <si>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</si>
  <si>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</si>
  <si>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</si>
  <si>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</si>
  <si>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</si>
  <si>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</si>
  <si>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</si>
  <si>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</si>
  <si>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</si>
  <si>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</si>
  <si>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</si>
  <si>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</si>
  <si>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</si>
  <si>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</si>
  <si>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</si>
  <si>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</si>
  <si>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</si>
  <si>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</si>
  <si>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</si>
  <si>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</si>
  <si>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</si>
  <si>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</si>
  <si>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</si>
  <si>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</si>
  <si>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</si>
  <si>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</si>
  <si>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</si>
  <si>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</si>
  <si>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</si>
  <si>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</si>
  <si>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</si>
  <si>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</si>
  <si>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</si>
  <si>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</si>
  <si>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</si>
  <si>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</si>
  <si>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</si>
  <si>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</si>
  <si>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</si>
  <si>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</si>
  <si>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</si>
  <si>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</si>
  <si>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</si>
  <si>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</si>
  <si>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</si>
  <si>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</si>
  <si>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</si>
  <si>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</si>
  <si>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</si>
  <si>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</si>
  <si>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</si>
  <si>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</si>
  <si>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</si>
  <si>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</si>
  <si>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</si>
  <si>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</si>
  <si>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</si>
  <si>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</si>
  <si>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</si>
  <si>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</si>
  <si>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</si>
  <si>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</si>
  <si>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</si>
  <si>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</si>
  <si>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</si>
  <si>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</si>
  <si>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</si>
  <si>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</si>
  <si>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</si>
  <si>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</si>
  <si>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</si>
  <si>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</si>
  <si>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</si>
  <si>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</si>
  <si>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</si>
  <si>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</si>
  <si>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</si>
  <si>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</si>
  <si>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</si>
  <si>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</si>
  <si>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</si>
  <si>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</si>
  <si>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</si>
  <si>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</si>
  <si>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</si>
  <si>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</si>
  <si>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</si>
  <si>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</si>
  <si>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</si>
  <si>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</si>
  <si>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</si>
  <si>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</si>
  <si>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</si>
  <si>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</si>
  <si>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</si>
  <si>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</si>
  <si>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</si>
  <si>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</si>
  <si>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</si>
  <si>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</si>
  <si>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</si>
  <si>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</si>
  <si>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</si>
  <si>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</si>
  <si>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</si>
  <si>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</si>
  <si>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</si>
  <si>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</si>
  <si>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</si>
  <si>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</si>
  <si>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</si>
  <si>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</si>
  <si>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</si>
  <si>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</si>
  <si>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</si>
  <si>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</si>
  <si>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</si>
  <si>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</si>
  <si>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</si>
  <si>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</si>
  <si>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</si>
  <si>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</si>
  <si>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</si>
  <si>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</si>
  <si>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</si>
  <si>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</si>
  <si>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</si>
  <si>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</si>
  <si>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</si>
  <si>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</si>
  <si>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</si>
  <si>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</si>
  <si>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</si>
  <si>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</si>
  <si>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</si>
  <si>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</si>
  <si>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</si>
  <si>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</si>
  <si>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</si>
  <si>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</si>
  <si>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</si>
  <si>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</si>
  <si>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</si>
  <si>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</si>
  <si>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</si>
  <si>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</si>
  <si>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</si>
  <si>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</si>
  <si>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</si>
  <si>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</si>
  <si>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</si>
  <si>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</si>
  <si>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</si>
  <si>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</si>
  <si>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</si>
  <si>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</si>
  <si>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</si>
  <si>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</si>
  <si>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</si>
  <si>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</si>
  <si>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</si>
  <si>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</si>
  <si>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</si>
  <si>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</si>
  <si>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</si>
  <si>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</si>
  <si>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</si>
  <si>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</si>
  <si>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</si>
  <si>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</si>
  <si>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</si>
  <si>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</si>
  <si>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</si>
  <si>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</si>
  <si>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</si>
  <si>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</si>
  <si>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</si>
  <si>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</si>
  <si>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</si>
  <si>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</si>
  <si>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</si>
  <si>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</si>
  <si>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</si>
  <si>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</si>
  <si>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</si>
  <si>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</si>
  <si>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</si>
  <si>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</si>
  <si>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</si>
  <si>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</si>
  <si>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</si>
  <si>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</si>
  <si>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</si>
  <si>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</si>
  <si>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</si>
  <si>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</si>
  <si>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</si>
  <si>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</si>
  <si>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</si>
  <si>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</si>
  <si>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</si>
  <si>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</si>
  <si>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</si>
  <si>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</si>
  <si>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</si>
  <si>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</si>
  <si>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</si>
  <si>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</si>
  <si>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</si>
  <si>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</si>
  <si>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</si>
  <si>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</si>
  <si>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</si>
  <si>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</si>
  <si>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</si>
  <si>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</si>
  <si>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</si>
  <si>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</si>
  <si>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</si>
  <si>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</si>
  <si>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</si>
  <si>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</si>
  <si>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</si>
  <si>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</si>
  <si>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</si>
  <si>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</si>
  <si>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</si>
  <si>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</si>
  <si>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</si>
  <si>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</si>
  <si>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</si>
  <si>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</si>
  <si>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</si>
  <si>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</si>
  <si>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</si>
  <si>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</si>
  <si>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</si>
  <si>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</si>
  <si>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</si>
  <si>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</si>
  <si>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</si>
  <si>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</si>
  <si>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</si>
  <si>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</si>
  <si>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</si>
  <si>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</si>
  <si>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</si>
  <si>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</si>
  <si>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</si>
  <si>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</si>
  <si>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</si>
  <si>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</si>
  <si>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</si>
  <si>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</si>
  <si>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</si>
  <si>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</si>
  <si>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</si>
  <si>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</si>
  <si>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</si>
  <si>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</si>
  <si>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</si>
  <si>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</si>
  <si>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</si>
  <si>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</si>
  <si>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</si>
  <si>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</si>
  <si>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</si>
  <si>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</si>
  <si>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</si>
  <si>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</si>
  <si>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</si>
  <si>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</si>
  <si>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</si>
  <si>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</si>
  <si>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</si>
  <si>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</si>
  <si>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</si>
  <si>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</si>
  <si>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</si>
  <si>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</si>
  <si>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</si>
  <si>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</si>
  <si>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</si>
  <si>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</si>
  <si>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</si>
  <si>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</si>
  <si>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</si>
  <si>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</si>
  <si>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</si>
  <si>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</si>
  <si>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</si>
  <si>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</si>
  <si>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</si>
  <si>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</si>
  <si>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</si>
  <si>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</si>
  <si>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</si>
  <si>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</si>
  <si>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</si>
  <si>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</si>
  <si>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</si>
  <si>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</si>
  <si>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</si>
  <si>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</si>
  <si>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</si>
  <si>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</si>
  <si>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</si>
  <si>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</si>
  <si>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</si>
  <si>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</si>
  <si>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</si>
  <si>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</si>
  <si>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</si>
  <si>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</si>
  <si>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</si>
  <si>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</si>
  <si>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</si>
  <si>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</si>
  <si>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</si>
  <si>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</si>
  <si>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</si>
  <si>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</si>
  <si>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</si>
  <si>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</si>
  <si>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</si>
  <si>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</si>
  <si>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</si>
  <si>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</si>
  <si>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</si>
  <si>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</si>
  <si>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</si>
  <si>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</si>
  <si>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</si>
  <si>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</si>
  <si>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</si>
  <si>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</si>
  <si>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</si>
  <si>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</si>
  <si>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</si>
  <si>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</si>
  <si>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</si>
  <si>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</si>
  <si>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</si>
  <si>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</si>
  <si>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</si>
  <si>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</si>
  <si>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</si>
  <si>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</si>
  <si>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</si>
  <si>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</si>
  <si>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</si>
  <si>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</si>
  <si>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</si>
  <si>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</si>
  <si>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</si>
  <si>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</si>
  <si>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</si>
  <si>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</si>
  <si>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</si>
  <si>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</si>
  <si>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</si>
  <si>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</si>
  <si>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</si>
  <si>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</si>
  <si>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</si>
  <si>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</si>
  <si>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</si>
  <si>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</si>
  <si>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</si>
  <si>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</si>
  <si>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</si>
  <si>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</si>
  <si>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</si>
  <si>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</si>
  <si>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</si>
  <si>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</si>
  <si>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</si>
  <si>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</si>
  <si>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</si>
  <si>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</si>
  <si>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</si>
  <si>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</si>
  <si>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</si>
  <si>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</si>
  <si>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</si>
  <si>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</si>
  <si>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</si>
  <si>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</si>
  <si>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</si>
  <si>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</si>
  <si>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</si>
  <si>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</si>
  <si>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</si>
  <si>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</si>
  <si>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</si>
  <si>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</si>
  <si>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</si>
  <si>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</si>
  <si>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</si>
  <si>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</si>
  <si>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</si>
  <si>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</si>
  <si>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</si>
  <si>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</si>
  <si>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</si>
  <si>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</si>
  <si>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</si>
  <si>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</si>
  <si>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</si>
  <si>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</si>
  <si>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</si>
  <si>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</si>
  <si>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</si>
  <si>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</si>
  <si>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</si>
  <si>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</si>
  <si>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</si>
  <si>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</si>
  <si>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</si>
  <si>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</si>
  <si>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</si>
  <si>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</si>
  <si>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</si>
  <si>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</si>
  <si>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</si>
  <si>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</si>
  <si>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</si>
  <si>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</si>
  <si>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</si>
  <si>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</si>
  <si>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</si>
  <si>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</si>
  <si>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</si>
  <si>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</si>
  <si>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</si>
  <si>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</si>
  <si>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</si>
  <si>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</si>
  <si>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</si>
  <si>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</si>
  <si>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</si>
  <si>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</si>
  <si>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</si>
  <si>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</si>
  <si>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</si>
  <si>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</si>
  <si>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</si>
  <si>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</si>
  <si>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</si>
  <si>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</si>
  <si>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</si>
  <si>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</si>
  <si>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</si>
  <si>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</si>
  <si>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</si>
  <si>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</si>
  <si>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</si>
  <si>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</si>
  <si>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</si>
  <si>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</si>
  <si>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</si>
  <si>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</si>
  <si>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</si>
  <si>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</si>
  <si>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</si>
  <si>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</si>
  <si>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</si>
  <si>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</si>
  <si>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</si>
  <si>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</si>
  <si>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</si>
  <si>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</si>
  <si>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</si>
  <si>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</si>
  <si>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</si>
  <si>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</si>
  <si>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</si>
  <si>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</si>
  <si>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</si>
  <si>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</si>
  <si>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</si>
  <si>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</si>
  <si>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</si>
  <si>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</si>
  <si>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</si>
  <si>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</si>
  <si>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</si>
  <si>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</si>
  <si>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</si>
  <si>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</si>
  <si>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</si>
  <si>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</si>
  <si>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</si>
  <si>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</si>
  <si>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</si>
  <si>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</si>
  <si>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</si>
  <si>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</si>
  <si>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</si>
  <si>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</si>
  <si>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</si>
  <si>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</si>
  <si>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</si>
  <si>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</si>
  <si>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</si>
  <si>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</si>
  <si>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</si>
  <si>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</si>
  <si>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</si>
  <si>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</si>
  <si>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</si>
  <si>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</si>
  <si>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</si>
  <si>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>Apr'26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</si>
  <si>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</si>
  <si>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</si>
  <si>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</si>
  <si>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</si>
  <si>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</si>
  <si>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</si>
  <si>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</si>
  <si>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</si>
  <si>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</si>
  <si>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</si>
  <si>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</si>
  <si>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</si>
  <si>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</si>
  <si>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</si>
  <si>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</si>
  <si>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</si>
  <si>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</si>
  <si>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</si>
  <si>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</si>
  <si>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</si>
  <si>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</si>
  <si>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</si>
  <si>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</si>
  <si>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</si>
  <si>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</si>
  <si>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</si>
  <si>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</si>
  <si>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</si>
  <si>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 xml:space="preserve">DA+3 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</si>
  <si>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</si>
  <si>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</si>
  <si>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</si>
  <si>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</si>
  <si>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</si>
  <si>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</si>
  <si>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</si>
  <si>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</si>
  <si>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</si>
  <si>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</si>
  <si>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</si>
  <si>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</si>
  <si>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</si>
  <si>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>1 MRC HOLD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</si>
  <si>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</si>
  <si>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</si>
  <si>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</si>
  <si>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</si>
  <si>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</si>
  <si>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</si>
  <si>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</si>
  <si>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</si>
  <si>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</si>
  <si>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</si>
  <si>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</si>
  <si>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</si>
  <si>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</si>
  <si>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</si>
  <si>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</si>
  <si>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</si>
  <si>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</si>
  <si>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</si>
  <si>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</si>
  <si>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</si>
  <si>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</si>
  <si>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</si>
  <si>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</si>
  <si>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</si>
  <si>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</si>
  <si>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</si>
  <si>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</si>
  <si>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</si>
  <si>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</si>
  <si>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</si>
  <si>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</si>
  <si>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</si>
  <si>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</si>
  <si>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</si>
  <si>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</si>
  <si>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</si>
  <si>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</si>
  <si>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</si>
  <si>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</si>
  <si>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</si>
  <si>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</si>
  <si>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</si>
  <si>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</si>
  <si>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</si>
  <si>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</si>
  <si>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</si>
  <si>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</si>
  <si>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</si>
  <si>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</si>
  <si>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</si>
  <si>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</si>
  <si>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</si>
  <si>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</si>
  <si>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</si>
  <si>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</si>
  <si>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</si>
  <si>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</si>
  <si>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</si>
  <si>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</si>
  <si>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</si>
  <si>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</si>
  <si>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</si>
  <si>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</si>
  <si>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</si>
  <si>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</si>
  <si>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</si>
  <si>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</si>
  <si>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</si>
  <si>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</si>
  <si>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400 KV LOOP IN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</si>
  <si>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</si>
  <si>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</si>
  <si>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</si>
  <si>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</si>
  <si>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</si>
  <si>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</si>
  <si>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</si>
  <si>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</si>
  <si>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HOLD Design</t>
  </si>
  <si>
    <t>ROW 02 Pit RCC Done</t>
  </si>
  <si>
    <t>HOLD Spl Tower</t>
  </si>
  <si>
    <t>HOLD NH/RLY</t>
  </si>
  <si>
    <t>HOLD RLY</t>
  </si>
  <si>
    <t>BREDA HOLD</t>
  </si>
  <si>
    <t>1.5 MRC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</si>
  <si>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</si>
  <si>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</si>
  <si>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</si>
  <si>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</si>
  <si>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</si>
  <si>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</si>
  <si>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</si>
  <si>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</si>
  <si>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</si>
  <si>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</si>
  <si>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</si>
  <si>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</si>
  <si>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</si>
  <si>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</si>
  <si>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</si>
  <si>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</si>
  <si>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</si>
  <si>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</si>
  <si>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</si>
  <si>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</si>
  <si>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</si>
  <si>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</si>
  <si>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</si>
  <si>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</si>
  <si>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</si>
  <si>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</si>
  <si>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</si>
  <si>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</si>
  <si>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</si>
  <si>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</si>
  <si>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</si>
  <si>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</si>
  <si>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</si>
  <si>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</si>
  <si>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</si>
  <si>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</si>
  <si>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</si>
  <si>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</si>
  <si>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</si>
  <si>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</si>
  <si>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</si>
  <si>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</si>
  <si>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</si>
  <si>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Corridore details are received from Railway  on 17.03.2026 Revise detailed survey submitted to BSPTCL site office on 08.05.2026</t>
  </si>
  <si>
    <t>In M/C section</t>
  </si>
  <si>
    <t>Swarashish </t>
  </si>
  <si>
    <t>IOCL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</si>
  <si>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</si>
  <si>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</si>
  <si>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</si>
  <si>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</si>
  <si>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</si>
  <si>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</si>
  <si>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Proposal Signed by BSPTCL EEE and Letter issue to DRM Varanasi Division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</si>
  <si>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</si>
  <si>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</si>
  <si>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</si>
  <si>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</si>
  <si>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</si>
  <si>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</si>
  <si>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</si>
  <si>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</si>
  <si>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</si>
  <si>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</si>
  <si>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</si>
  <si>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</si>
  <si>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</si>
  <si>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</si>
  <si>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</si>
  <si>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75/0 – Banpur village, Bhagwanpur Hat, Maharajganj – Sunil Singh S/o Dinanath Singh (Mob: 9931838464)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</si>
  <si>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</si>
  <si>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</si>
  <si>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</si>
  <si>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</si>
  <si>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</si>
  <si>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</si>
  <si>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</si>
  <si>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</si>
  <si>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131/0 – Mayatola village, Khaira, Chapra Sadar – Rajesh Ray S/o Late Bukhan Ray (Mob: 7324007820) asking for land compensation. KEC Letter Ref-187 issued to BSPTCL on 11.02.2026.</t>
  </si>
  <si>
    <t>Location No. 131/0-132/0 – Mayatola village, Khaira, Chapra Sadar – Birendra Rai (Mob: 9661849386) asking for land compensation.</t>
  </si>
  <si>
    <t>Location No. 137/1 – Madhopur village, Garkha, Chapra Sadar – Nagendra Mahto S/o Sartaj Singh (Mob: 9798101771) asking for line diversion. Letter issued from BSPTCL to Police Station Garkha on 07.04.2026.</t>
  </si>
  <si>
    <t>Location No. 102/0 – Sahpur village, Baniyapur, Chapra Sadar – Virendra Singh S/o Satyanarayan Singh (Mob: 9134411094), Vijay Singh S/o Satyanarayan Singh (Mob: 8757101652) and Bheem Singh S/o Vijay Singh (Mob: 8981904772) asking for land compensation. Letter issued from BSPTCL to Police Station Baniyapur on 07.04.2026.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</si>
  <si>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</si>
  <si>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</si>
  <si>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>FOR 220 KV D/C Chhapra - Amnour TL Twin Moose</t>
  </si>
  <si>
    <t>Location No. 12/0 – Tarwar village, Madaura Sub Division – Raju Singh &amp; Mrigendra Singh (Mob: 7464007290) asking for line diversion. Letter issued from SDM Madaura to BDO Amnor on 21.02.2026.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</si>
  <si>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</si>
  <si>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</si>
  <si>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</si>
  <si>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</si>
  <si>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</si>
  <si>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</si>
  <si>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</si>
  <si>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</si>
  <si>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May'26</t>
  </si>
  <si>
    <t>15</t>
  </si>
  <si>
    <t>K2 KUMAR</t>
  </si>
  <si>
    <t>2</t>
  </si>
  <si>
    <t>11</t>
  </si>
  <si>
    <t>20</t>
  </si>
  <si>
    <t xml:space="preserve">DD+0 1MRC </t>
  </si>
  <si>
    <t>Suman Kumar Singh</t>
  </si>
  <si>
    <t>Nirajan</t>
  </si>
  <si>
    <t>FROM</t>
  </si>
  <si>
    <t>TO</t>
  </si>
  <si>
    <t>Section  (Km)</t>
  </si>
  <si>
    <t>RABISH</t>
  </si>
  <si>
    <t>0.00/41.381</t>
  </si>
  <si>
    <t>0.00/21.279</t>
  </si>
  <si>
    <t>0.00/20.102</t>
  </si>
  <si>
    <t>Reyansh</t>
  </si>
  <si>
    <t>SGSE India Pvt  Ltd</t>
  </si>
  <si>
    <t>DB+3 1MRC</t>
  </si>
  <si>
    <t xml:space="preserve">DD+6 1MRC </t>
  </si>
  <si>
    <t>Tarush</t>
  </si>
  <si>
    <t>shakti</t>
  </si>
  <si>
    <t>Suman Singh</t>
  </si>
  <si>
    <t>Sub Contractor Name</t>
  </si>
  <si>
    <t>5/0 LO</t>
  </si>
  <si>
    <t>Yashoda Devi</t>
  </si>
  <si>
    <t>0.00/101.101</t>
  </si>
  <si>
    <t>Final Sag Completed</t>
  </si>
  <si>
    <t>SGSE</t>
  </si>
  <si>
    <t>YASHODA DEVI</t>
  </si>
  <si>
    <t>147A/0</t>
  </si>
  <si>
    <t>AP-6/0 to AP-7</t>
  </si>
  <si>
    <t>31/63</t>
  </si>
  <si>
    <t>30/66</t>
  </si>
  <si>
    <t>15/28</t>
  </si>
  <si>
    <t>Submitted to Chapra NHAI office ON 11-06-2026</t>
  </si>
  <si>
    <t>Swarashish Sasmal &amp; Uttam Rai</t>
  </si>
  <si>
    <t xml:space="preserve">DD+9 </t>
  </si>
  <si>
    <t>S</t>
  </si>
  <si>
    <t>25/28</t>
  </si>
  <si>
    <t>Proposal Submittet to Chhapra NHAI office as on 30.06.2026</t>
  </si>
  <si>
    <t>Joint Site Visit with NHAI schedule by 08.07.2026</t>
  </si>
  <si>
    <t>Jun'2026</t>
  </si>
  <si>
    <t>Jun'26</t>
  </si>
  <si>
    <t>DD+9 3MRC</t>
  </si>
  <si>
    <t>June'26</t>
  </si>
  <si>
    <t>4</t>
  </si>
  <si>
    <t>June'2026</t>
  </si>
  <si>
    <t>32</t>
  </si>
  <si>
    <t>TOTAl</t>
  </si>
  <si>
    <t>Section</t>
  </si>
  <si>
    <t>Section Length</t>
  </si>
  <si>
    <t>Anjum</t>
  </si>
  <si>
    <t>Cumm. Progress up to Last Month (June'26)</t>
  </si>
  <si>
    <t>Target as per L2 Schedule Cummulative (upto July'26)</t>
  </si>
  <si>
    <t>Target of Month for (July'2026)</t>
  </si>
  <si>
    <t>Comp This Month (July'2026)</t>
  </si>
  <si>
    <t>1.65 KM Detailed Survey Submitted</t>
  </si>
  <si>
    <t xml:space="preserve">2.369  km profile submitted to BSPTCL HO </t>
  </si>
  <si>
    <t>Harware fittings required to start stringing</t>
  </si>
  <si>
    <t>65/129</t>
  </si>
  <si>
    <t>43/63</t>
  </si>
  <si>
    <t>SBK</t>
  </si>
  <si>
    <t>Riyansh Construction</t>
  </si>
  <si>
    <t>Bottom Section WIP</t>
  </si>
  <si>
    <t>Material Shifting  WIP</t>
  </si>
  <si>
    <t>1st Section WIP</t>
  </si>
  <si>
    <t xml:space="preserve">DA+6 </t>
  </si>
  <si>
    <t>Excavation WIP</t>
  </si>
  <si>
    <t>Pit Marking WIP</t>
  </si>
  <si>
    <t>Work Stopped due to ROW</t>
  </si>
  <si>
    <t>Excavation WIP &amp; Material Shifting WIP</t>
  </si>
  <si>
    <t>Location No. 36/0 LO – Pasurampur village, Parsa – Subhash Kumar (Mob: 9915604865) reported ROW issue at location. Letter issued from BSPTCL to SDM Chapra on 07.05.2026.</t>
  </si>
  <si>
    <t>Location No. 39/0 LO – Pasurampur village, Parsa – Subhash Kumar (Mob: 9915604865) reported ROW issue at location. Letter issued from BSPTCL to SDM Chapra on 07.05.2026.</t>
  </si>
  <si>
    <t>Location No. 7/0 LI – Pasurampur village, Parsa – Subhash Kumar (Mob: 9915604865) reported ROW issue at location. Letter issued from BSPTCL to SDM Chapra on 07.05.2026.</t>
  </si>
  <si>
    <t>DD+0 Aux</t>
  </si>
  <si>
    <t>13/28</t>
  </si>
  <si>
    <t xml:space="preserve">DD+0 </t>
  </si>
  <si>
    <t>RCC WIP</t>
  </si>
  <si>
    <t>25/66</t>
  </si>
  <si>
    <t>Submitted to BSPTCL Gopalgang</t>
  </si>
  <si>
    <t>Prop setting WIP</t>
  </si>
  <si>
    <t>144/336</t>
  </si>
  <si>
    <t>07.07.2026</t>
  </si>
  <si>
    <t>84/336</t>
  </si>
  <si>
    <t>Date-09/07/2026</t>
  </si>
  <si>
    <t>49/66</t>
  </si>
  <si>
    <t>24/63</t>
  </si>
  <si>
    <t>92/129</t>
  </si>
  <si>
    <t>49/129</t>
  </si>
  <si>
    <t>202/336</t>
  </si>
  <si>
    <t>Conductor Paying out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</si>
</sst>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Tahoma"/>
      <family val="2"/>
    </font>
    <font>
      <sz val="12"/>
      <color rgb="FF000000"/>
      <name val="Inherit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6"/>
        <bgColor rgb="FFF2F2F2"/>
      </patternFill>
    </fill>
    <fill>
      <patternFill patternType="solid">
        <fgColor theme="6"/>
        <bgColor indexed="64"/>
      </patternFill>
    </fill>
  </fills>
  <borders count="1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41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49" fontId="29" fillId="13" borderId="27" xfId="0" applyNumberFormat="1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34" fillId="13" borderId="83" xfId="0" applyFont="1" applyFill="1" applyBorder="1"/>
    <xf numFmtId="0" fontId="34" fillId="13" borderId="78" xfId="0" applyFont="1" applyFill="1" applyBorder="1"/>
    <xf numFmtId="0" fontId="34" fillId="13" borderId="79" xfId="0" applyFont="1" applyFill="1" applyBorder="1"/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0" fontId="21" fillId="13" borderId="0" xfId="0" applyFont="1" applyFill="1" applyAlignment="1">
      <alignment horizontal="left" vertical="top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0" fontId="22" fillId="13" borderId="0" xfId="0" applyFont="1" applyFill="1" applyAlignment="1"/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72" fillId="0" borderId="0" xfId="4" applyFont="1" applyBorder="1" applyAlignment="1">
      <alignment horizontal="center" vertical="center"/>
    </xf>
    <xf numFmtId="0" fontId="72" fillId="0" borderId="0" xfId="4" applyFont="1" applyBorder="1" applyAlignment="1">
      <alignment horizontal="center" vertical="center" wrapText="1"/>
    </xf>
    <xf numFmtId="0" fontId="72" fillId="13" borderId="0" xfId="4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6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8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99" fillId="13" borderId="1" xfId="0" applyFont="1" applyFill="1" applyBorder="1" applyAlignment="1">
      <alignment horizontal="center" vertical="center" wrapText="1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0" fillId="13" borderId="65" xfId="0" applyFill="1" applyBorder="1" applyAlignment="1">
      <alignment horizontal="center" vertical="center"/>
    </xf>
    <xf numFmtId="14" fontId="0" fillId="13" borderId="39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0" fillId="13" borderId="1" xfId="3" applyFont="1" applyFill="1" applyBorder="1" applyAlignment="1">
      <alignment horizontal="center" vertical="center" wrapText="1"/>
    </xf>
    <xf numFmtId="0" fontId="100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1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1" fillId="13" borderId="114" xfId="3" applyNumberFormat="1" applyFont="1" applyFill="1" applyBorder="1" applyAlignment="1">
      <alignment horizontal="center" vertical="center"/>
    </xf>
    <xf numFmtId="1" fontId="101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1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1" fillId="0" borderId="39" xfId="3" applyNumberFormat="1" applyFont="1" applyBorder="1" applyAlignment="1">
      <alignment horizontal="center" vertical="center"/>
    </xf>
    <xf numFmtId="1" fontId="101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1" fillId="0" borderId="138" xfId="3" applyNumberFormat="1" applyFont="1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/>
    </xf>
    <xf numFmtId="1" fontId="101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7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7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1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2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69" fillId="0" borderId="0" xfId="4" quotePrefix="1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3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3" fillId="15" borderId="0" xfId="0" applyFont="1" applyFill="1" applyBorder="1" applyAlignment="1">
      <alignment horizontal="center" vertical="center" wrapText="1"/>
    </xf>
    <xf numFmtId="1" fontId="104" fillId="22" borderId="0" xfId="0" applyNumberFormat="1" applyFont="1" applyFill="1" applyBorder="1" applyAlignment="1">
      <alignment horizontal="center" vertical="top"/>
    </xf>
    <xf numFmtId="1" fontId="104" fillId="13" borderId="0" xfId="0" applyNumberFormat="1" applyFont="1" applyFill="1" applyBorder="1" applyAlignment="1">
      <alignment horizontal="center" vertical="top"/>
    </xf>
    <xf numFmtId="1" fontId="101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4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1" fillId="13" borderId="0" xfId="0" applyNumberFormat="1" applyFont="1" applyFill="1" applyAlignment="1">
      <alignment horizontal="center" vertical="top"/>
    </xf>
    <xf numFmtId="1" fontId="104" fillId="13" borderId="0" xfId="0" applyNumberFormat="1" applyFont="1" applyFill="1" applyAlignment="1">
      <alignment horizontal="left" vertical="center"/>
    </xf>
    <xf numFmtId="1" fontId="104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6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0" fontId="0" fillId="13" borderId="12" xfId="0" quotePrefix="1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01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1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7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1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08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7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4" fontId="18" fillId="13" borderId="1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top" wrapText="1"/>
    </xf>
    <xf numFmtId="0" fontId="0" fillId="13" borderId="1" xfId="4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49" fontId="0" fillId="13" borderId="0" xfId="0" quotePrefix="1" applyNumberForma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14" fontId="0" fillId="0" borderId="0" xfId="4" applyNumberFormat="1" applyFont="1" applyBorder="1" applyAlignment="1">
      <alignment horizontal="center" vertical="center"/>
    </xf>
    <xf numFmtId="14" fontId="18" fillId="0" borderId="0" xfId="4" applyNumberFormat="1" applyFont="1" applyBorder="1" applyAlignment="1">
      <alignment horizontal="center" vertical="center"/>
    </xf>
    <xf numFmtId="0" fontId="0" fillId="0" borderId="0" xfId="4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8" fillId="0" borderId="0" xfId="4" applyFont="1" applyBorder="1" applyAlignment="1">
      <alignment horizontal="center" vertical="center"/>
    </xf>
    <xf numFmtId="168" fontId="0" fillId="13" borderId="0" xfId="4" applyNumberFormat="1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vertical="center" wrapText="1"/>
    </xf>
    <xf numFmtId="0" fontId="14" fillId="13" borderId="0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5" fillId="13" borderId="61" xfId="0" quotePrefix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14" fontId="0" fillId="0" borderId="1" xfId="0" applyNumberFormat="1" applyBorder="1"/>
    <xf numFmtId="0" fontId="0" fillId="2" borderId="41" xfId="0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" fontId="0" fillId="2" borderId="32" xfId="0" applyNumberForma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164" fontId="8" fillId="2" borderId="32" xfId="0" applyNumberFormat="1" applyFont="1" applyFill="1" applyBorder="1" applyAlignment="1">
      <alignment horizontal="center" vertical="center"/>
    </xf>
    <xf numFmtId="167" fontId="6" fillId="23" borderId="32" xfId="4" applyNumberFormat="1" applyFont="1" applyFill="1" applyBorder="1" applyAlignment="1">
      <alignment horizontal="center" vertical="center" wrapText="1"/>
    </xf>
    <xf numFmtId="164" fontId="61" fillId="23" borderId="32" xfId="4" applyNumberFormat="1" applyFont="1" applyFill="1" applyBorder="1" applyAlignment="1">
      <alignment horizontal="center" vertical="center" wrapText="1"/>
    </xf>
    <xf numFmtId="164" fontId="0" fillId="2" borderId="32" xfId="0" applyNumberFormat="1" applyFill="1" applyBorder="1" applyAlignment="1">
      <alignment horizontal="center" vertical="center"/>
    </xf>
    <xf numFmtId="1" fontId="0" fillId="2" borderId="42" xfId="0" applyNumberForma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 wrapText="1"/>
    </xf>
    <xf numFmtId="171" fontId="8" fillId="2" borderId="44" xfId="0" applyNumberFormat="1" applyFon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top" wrapText="1"/>
    </xf>
    <xf numFmtId="1" fontId="0" fillId="2" borderId="44" xfId="0" applyNumberFormat="1" applyFill="1" applyBorder="1" applyAlignment="1">
      <alignment horizontal="left" vertical="center"/>
    </xf>
    <xf numFmtId="0" fontId="0" fillId="2" borderId="45" xfId="0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/>
    </xf>
    <xf numFmtId="2" fontId="0" fillId="2" borderId="46" xfId="0" applyNumberFormat="1" applyFill="1" applyBorder="1" applyAlignment="1">
      <alignment horizontal="center" vertical="center"/>
    </xf>
    <xf numFmtId="164" fontId="8" fillId="2" borderId="46" xfId="0" applyNumberFormat="1" applyFont="1" applyFill="1" applyBorder="1" applyAlignment="1">
      <alignment horizontal="center" vertical="center"/>
    </xf>
    <xf numFmtId="2" fontId="61" fillId="23" borderId="46" xfId="4" applyNumberFormat="1" applyFont="1" applyFill="1" applyBorder="1" applyAlignment="1">
      <alignment horizontal="center" vertical="center" wrapText="1"/>
    </xf>
    <xf numFmtId="164" fontId="0" fillId="2" borderId="46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left" vertical="center"/>
    </xf>
    <xf numFmtId="1" fontId="8" fillId="2" borderId="32" xfId="0" applyNumberFormat="1" applyFont="1" applyFill="1" applyBorder="1" applyAlignment="1">
      <alignment horizontal="center" vertical="center"/>
    </xf>
    <xf numFmtId="1" fontId="8" fillId="2" borderId="42" xfId="0" applyNumberFormat="1" applyFont="1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/>
    </xf>
    <xf numFmtId="1" fontId="8" fillId="2" borderId="44" xfId="0" applyNumberFormat="1" applyFont="1" applyFill="1" applyBorder="1" applyAlignment="1">
      <alignment horizontal="left" vertical="center"/>
    </xf>
    <xf numFmtId="1" fontId="8" fillId="2" borderId="46" xfId="0" applyNumberFormat="1" applyFont="1" applyFill="1" applyBorder="1" applyAlignment="1">
      <alignment horizontal="center" vertical="center"/>
    </xf>
    <xf numFmtId="2" fontId="8" fillId="2" borderId="46" xfId="0" applyNumberFormat="1" applyFont="1" applyFill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left" vertical="center"/>
    </xf>
    <xf numFmtId="2" fontId="0" fillId="0" borderId="32" xfId="0" applyNumberFormat="1" applyBorder="1" applyAlignment="1">
      <alignment horizontal="center"/>
    </xf>
    <xf numFmtId="1" fontId="0" fillId="2" borderId="42" xfId="0" applyNumberFormat="1" applyFill="1" applyBorder="1" applyAlignment="1">
      <alignment horizontal="left" vertical="center" wrapText="1"/>
    </xf>
    <xf numFmtId="1" fontId="0" fillId="2" borderId="44" xfId="0" applyNumberFormat="1" applyFill="1" applyBorder="1" applyAlignment="1">
      <alignment horizontal="left" vertical="center" wrapText="1"/>
    </xf>
    <xf numFmtId="172" fontId="0" fillId="2" borderId="44" xfId="5" applyNumberFormat="1" applyFont="1" applyFill="1" applyBorder="1" applyAlignment="1">
      <alignment horizontal="left" vertical="center" wrapText="1"/>
    </xf>
    <xf numFmtId="2" fontId="0" fillId="0" borderId="46" xfId="0" applyNumberFormat="1" applyBorder="1" applyAlignment="1">
      <alignment horizontal="center"/>
    </xf>
    <xf numFmtId="0" fontId="0" fillId="0" borderId="145" xfId="0" applyBorder="1"/>
    <xf numFmtId="0" fontId="0" fillId="0" borderId="66" xfId="0" applyBorder="1"/>
    <xf numFmtId="0" fontId="0" fillId="0" borderId="17" xfId="0" applyBorder="1"/>
    <xf numFmtId="0" fontId="0" fillId="0" borderId="77" xfId="0" applyBorder="1"/>
    <xf numFmtId="49" fontId="0" fillId="0" borderId="1" xfId="4" applyNumberFormat="1" applyFont="1" applyBorder="1" applyAlignment="1">
      <alignment horizontal="center" vertical="center" wrapText="1"/>
    </xf>
    <xf numFmtId="0" fontId="112" fillId="13" borderId="0" xfId="0" applyFont="1" applyFill="1" applyBorder="1" applyAlignment="1">
      <alignment horizontal="center" vertical="center" wrapText="1"/>
    </xf>
    <xf numFmtId="0" fontId="113" fillId="16" borderId="139" xfId="0" applyFont="1" applyFill="1" applyBorder="1" applyAlignment="1">
      <alignment horizontal="center" vertical="center" readingOrder="1"/>
    </xf>
    <xf numFmtId="0" fontId="113" fillId="16" borderId="139" xfId="0" applyFont="1" applyFill="1" applyBorder="1" applyAlignment="1">
      <alignment horizontal="center" vertical="center" wrapText="1" readingOrder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41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10" fillId="5" borderId="50" xfId="0" applyFont="1" applyFill="1" applyBorder="1" applyAlignment="1">
      <alignment horizontal="center" vertical="center" wrapText="1"/>
    </xf>
    <xf numFmtId="0" fontId="10" fillId="5" borderId="51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center" vertical="center"/>
    </xf>
    <xf numFmtId="0" fontId="60" fillId="0" borderId="15" xfId="4" applyFont="1" applyBorder="1" applyAlignment="1">
      <alignment horizontal="center" vertical="center"/>
    </xf>
    <xf numFmtId="0" fontId="60" fillId="0" borderId="16" xfId="4" applyFont="1" applyBorder="1" applyAlignment="1">
      <alignment horizontal="center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center" vertical="center"/>
    </xf>
    <xf numFmtId="0" fontId="60" fillId="15" borderId="15" xfId="4" applyFont="1" applyFill="1" applyBorder="1" applyAlignment="1">
      <alignment horizontal="center" vertical="center"/>
    </xf>
    <xf numFmtId="0" fontId="60" fillId="15" borderId="16" xfId="4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61" fillId="0" borderId="75" xfId="4" applyFont="1" applyBorder="1" applyAlignment="1">
      <alignment horizontal="center" vertical="center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/>
    </xf>
    <xf numFmtId="0" fontId="97" fillId="13" borderId="14" xfId="0" applyFont="1" applyFill="1" applyBorder="1" applyAlignment="1">
      <alignment horizontal="center" vertical="center" wrapText="1"/>
    </xf>
    <xf numFmtId="0" fontId="97" fillId="13" borderId="15" xfId="0" applyFont="1" applyFill="1" applyBorder="1" applyAlignment="1">
      <alignment horizontal="center" vertical="center" wrapText="1"/>
    </xf>
    <xf numFmtId="0" fontId="97" fillId="13" borderId="16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97" fillId="1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15" borderId="13" xfId="0" applyFont="1" applyFill="1" applyBorder="1" applyAlignment="1">
      <alignment horizontal="center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3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left" vertical="center"/>
    </xf>
    <xf numFmtId="0" fontId="34" fillId="13" borderId="0" xfId="0" applyFont="1" applyFill="1" applyBorder="1" applyAlignment="1">
      <alignment horizont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1" fontId="35" fillId="13" borderId="136" xfId="0" applyNumberFormat="1" applyFont="1" applyFill="1" applyBorder="1" applyAlignment="1">
      <alignment horizontal="center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2" fontId="29" fillId="13" borderId="61" xfId="0" applyNumberFormat="1" applyFont="1" applyFill="1" applyBorder="1" applyAlignment="1">
      <alignment horizontal="center" wrapText="1"/>
    </xf>
    <xf numFmtId="1" fontId="92" fillId="7" borderId="73" xfId="0" applyNumberFormat="1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35" fillId="15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1" fontId="104" fillId="15" borderId="0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2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68" fillId="13" borderId="0" xfId="0" applyNumberFormat="1" applyFont="1" applyFill="1" applyAlignment="1">
      <alignment horizontal="center" vertical="top" wrapText="1"/>
    </xf>
    <xf numFmtId="2" fontId="29" fillId="13" borderId="0" xfId="0" applyNumberFormat="1" applyFont="1" applyFill="1" applyBorder="1" applyAlignment="1">
      <alignment horizontal="center" wrapText="1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54" fillId="7" borderId="73" xfId="0" applyNumberFormat="1" applyFont="1" applyFill="1" applyBorder="1" applyAlignment="1">
      <alignment horizontal="center"/>
    </xf>
    <xf numFmtId="1" fontId="35" fillId="15" borderId="87" xfId="0" applyNumberFormat="1" applyFont="1" applyFill="1" applyBorder="1" applyAlignment="1">
      <alignment horizontal="center"/>
    </xf>
    <xf numFmtId="1" fontId="35" fillId="15" borderId="88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4" xfId="0" applyFont="1" applyFill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1" fontId="29" fillId="13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0" fontId="109" fillId="13" borderId="33" xfId="0" quotePrefix="1" applyFont="1" applyFill="1" applyBorder="1" applyAlignment="1">
      <alignment horizontal="center"/>
    </xf>
    <xf numFmtId="0" fontId="109" fillId="13" borderId="22" xfId="0" quotePrefix="1" applyFont="1" applyFill="1" applyBorder="1" applyAlignment="1">
      <alignment horizontal="center"/>
    </xf>
    <xf numFmtId="0" fontId="109" fillId="13" borderId="53" xfId="0" quotePrefix="1" applyFont="1" applyFill="1" applyBorder="1" applyAlignment="1">
      <alignment horizontal="center"/>
    </xf>
    <xf numFmtId="0" fontId="109" fillId="13" borderId="86" xfId="0" applyFont="1" applyFill="1" applyBorder="1" applyAlignment="1">
      <alignment horizontal="center" vertical="center"/>
    </xf>
    <xf numFmtId="0" fontId="109" fillId="13" borderId="15" xfId="0" applyFont="1" applyFill="1" applyBorder="1" applyAlignment="1">
      <alignment horizontal="center" vertical="center"/>
    </xf>
    <xf numFmtId="0" fontId="109" fillId="13" borderId="16" xfId="0" applyFont="1" applyFill="1" applyBorder="1" applyAlignment="1">
      <alignment horizontal="center" vertical="center"/>
    </xf>
    <xf numFmtId="0" fontId="109" fillId="13" borderId="14" xfId="0" applyFont="1" applyFill="1" applyBorder="1" applyAlignment="1">
      <alignment horizontal="center"/>
    </xf>
    <xf numFmtId="0" fontId="109" fillId="13" borderId="16" xfId="0" applyFont="1" applyFill="1" applyBorder="1" applyAlignment="1">
      <alignment horizontal="center"/>
    </xf>
    <xf numFmtId="0" fontId="109" fillId="13" borderId="14" xfId="0" quotePrefix="1" applyFont="1" applyFill="1" applyBorder="1" applyAlignment="1">
      <alignment horizontal="center"/>
    </xf>
    <xf numFmtId="0" fontId="109" fillId="13" borderId="15" xfId="0" quotePrefix="1" applyFont="1" applyFill="1" applyBorder="1" applyAlignment="1">
      <alignment horizontal="center"/>
    </xf>
    <xf numFmtId="0" fontId="109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09" fillId="13" borderId="21" xfId="0" applyFont="1" applyFill="1" applyBorder="1" applyAlignment="1">
      <alignment horizontal="center" vertical="center"/>
    </xf>
    <xf numFmtId="0" fontId="109" fillId="13" borderId="23" xfId="0" applyFont="1" applyFill="1" applyBorder="1" applyAlignment="1">
      <alignment horizontal="center" vertical="center"/>
    </xf>
    <xf numFmtId="0" fontId="109" fillId="13" borderId="27" xfId="0" applyFont="1" applyFill="1" applyBorder="1" applyAlignment="1">
      <alignment horizontal="center" vertical="center"/>
    </xf>
    <xf numFmtId="0" fontId="109" fillId="13" borderId="29" xfId="0" applyFont="1" applyFill="1" applyBorder="1" applyAlignment="1">
      <alignment horizontal="center" vertical="center"/>
    </xf>
    <xf numFmtId="0" fontId="22" fillId="13" borderId="19" xfId="0" applyFont="1" applyFill="1" applyBorder="1" applyAlignment="1">
      <alignment horizontal="center" vertical="top" wrapText="1"/>
    </xf>
    <xf numFmtId="1" fontId="111" fillId="13" borderId="19" xfId="0" applyNumberFormat="1" applyFont="1" applyFill="1" applyBorder="1" applyAlignment="1">
      <alignment horizontal="center" vertical="center" wrapText="1"/>
    </xf>
    <xf numFmtId="0" fontId="109" fillId="13" borderId="103" xfId="0" applyFont="1" applyFill="1" applyBorder="1" applyAlignment="1">
      <alignment horizontal="center" vertical="center"/>
    </xf>
    <xf numFmtId="0" fontId="109" fillId="13" borderId="22" xfId="0" applyFont="1" applyFill="1" applyBorder="1" applyAlignment="1">
      <alignment horizontal="center" vertical="center"/>
    </xf>
    <xf numFmtId="0" fontId="109" fillId="13" borderId="31" xfId="0" applyFont="1" applyFill="1" applyBorder="1" applyAlignment="1">
      <alignment horizontal="center" vertical="center"/>
    </xf>
    <xf numFmtId="0" fontId="109" fillId="13" borderId="33" xfId="0" applyFont="1" applyFill="1" applyBorder="1" applyAlignment="1">
      <alignment horizontal="center"/>
    </xf>
    <xf numFmtId="0" fontId="109" fillId="13" borderId="31" xfId="0" applyFont="1" applyFill="1" applyBorder="1" applyAlignment="1">
      <alignment horizontal="center"/>
    </xf>
    <xf numFmtId="0" fontId="21" fillId="13" borderId="24" xfId="0" applyFont="1" applyFill="1" applyBorder="1" applyAlignment="1">
      <alignment horizontal="right"/>
    </xf>
    <xf numFmtId="0" fontId="21" fillId="13" borderId="0" xfId="0" applyFont="1" applyFill="1" applyAlignment="1">
      <alignment horizontal="right"/>
    </xf>
    <xf numFmtId="0" fontId="34" fillId="13" borderId="82" xfId="0" applyFont="1" applyFill="1" applyBorder="1" applyAlignment="1">
      <alignment horizontal="center" wrapText="1"/>
    </xf>
    <xf numFmtId="0" fontId="34" fillId="13" borderId="63" xfId="0" applyFont="1" applyFill="1" applyBorder="1" applyAlignment="1">
      <alignment horizontal="center" wrapText="1"/>
    </xf>
    <xf numFmtId="0" fontId="109" fillId="13" borderId="43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/>
    </xf>
    <xf numFmtId="0" fontId="109" fillId="13" borderId="44" xfId="0" applyFont="1" applyFill="1" applyBorder="1" applyAlignment="1">
      <alignment horizontal="center"/>
    </xf>
    <xf numFmtId="0" fontId="109" fillId="13" borderId="45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/>
    </xf>
    <xf numFmtId="0" fontId="109" fillId="13" borderId="47" xfId="0" applyFont="1" applyFill="1" applyBorder="1" applyAlignment="1">
      <alignment horizontal="center"/>
    </xf>
    <xf numFmtId="0" fontId="109" fillId="13" borderId="59" xfId="0" applyFont="1" applyFill="1" applyBorder="1" applyAlignment="1">
      <alignment horizontal="center"/>
    </xf>
    <xf numFmtId="0" fontId="109" fillId="13" borderId="56" xfId="0" applyFont="1" applyFill="1" applyBorder="1" applyAlignment="1">
      <alignment horizontal="center"/>
    </xf>
    <xf numFmtId="1" fontId="34" fillId="13" borderId="80" xfId="0" applyNumberFormat="1" applyFont="1" applyFill="1" applyBorder="1" applyAlignment="1">
      <alignment horizontal="center" wrapText="1"/>
    </xf>
    <xf numFmtId="1" fontId="34" fillId="13" borderId="80" xfId="0" applyNumberFormat="1" applyFont="1" applyFill="1" applyBorder="1" applyAlignment="1">
      <alignment horizontal="center" vertical="center" wrapText="1"/>
    </xf>
    <xf numFmtId="0" fontId="34" fillId="13" borderId="81" xfId="0" applyFont="1" applyFill="1" applyBorder="1" applyAlignment="1">
      <alignment horizontal="center" vertical="center" wrapText="1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49" fontId="5" fillId="26" borderId="13" xfId="0" applyNumberFormat="1" applyFont="1" applyFill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2" fontId="110" fillId="7" borderId="115" xfId="0" applyNumberFormat="1" applyFont="1" applyFill="1" applyBorder="1" applyAlignment="1">
      <alignment horizontal="center"/>
    </xf>
    <xf numFmtId="2" fontId="110" fillId="7" borderId="116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2" fontId="5" fillId="0" borderId="64" xfId="0" applyNumberFormat="1" applyFont="1" applyBorder="1" applyAlignment="1">
      <alignment horizontal="right" vertical="center"/>
    </xf>
    <xf numFmtId="2" fontId="5" fillId="0" borderId="66" xfId="0" applyNumberFormat="1" applyFont="1" applyBorder="1" applyAlignment="1">
      <alignment horizontal="right" vertical="center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14" xfId="0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17" fontId="3" fillId="13" borderId="1" xfId="0" applyNumberFormat="1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168" fontId="0" fillId="13" borderId="13" xfId="4" applyNumberFormat="1" applyFont="1" applyFill="1" applyBorder="1" applyAlignment="1">
      <alignment horizontal="center" vertical="center"/>
    </xf>
    <xf numFmtId="0" fontId="0" fillId="13" borderId="13" xfId="4" applyNumberFormat="1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0" borderId="1" xfId="0" quotePrefix="1" applyNumberFormat="1" applyFont="1" applyBorder="1" applyAlignment="1">
      <alignment horizontal="center" vertical="center" wrapText="1"/>
    </xf>
    <xf numFmtId="14" fontId="15" fillId="0" borderId="12" xfId="0" quotePrefix="1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168" fontId="0" fillId="13" borderId="1" xfId="4" quotePrefix="1" applyNumberFormat="1" applyFont="1" applyFill="1" applyBorder="1" applyAlignment="1">
      <alignment horizontal="center" vertical="center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6" borderId="12" xfId="0" applyFont="1" applyFill="1" applyBorder="1" applyAlignment="1">
      <alignment horizontal="center" vertical="center" wrapText="1"/>
    </xf>
    <xf numFmtId="0" fontId="1" fillId="36" borderId="13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164" fontId="0" fillId="0" borderId="0" xfId="0" applyNumberFormat="1"/>
    <xf numFmtId="14" fontId="0" fillId="13" borderId="1" xfId="4" applyNumberFormat="1" applyFont="1" applyFill="1" applyBorder="1" applyAlignment="1">
      <alignment horizontal="center" vertical="center"/>
    </xf>
    <xf numFmtId="0" fontId="69" fillId="13" borderId="146" xfId="0" applyFont="1" applyFill="1" applyBorder="1" applyAlignment="1">
      <alignment horizontal="center" vertical="center" wrapText="1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47"/>
      <tableStyleElement type="firstRowStripe" dxfId="546"/>
      <tableStyleElement type="secondRowStripe" dxfId="545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71</xdr:row>
      <xdr:rowOff>-1</xdr:rowOff>
    </xdr:from>
    <xdr:to>
      <xdr:col>7</xdr:col>
      <xdr:colOff>-1</xdr:colOff>
      <xdr:row>72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71</xdr:row>
      <xdr:rowOff>64519</xdr:rowOff>
    </xdr:from>
    <xdr:to>
      <xdr:col>14</xdr:col>
      <xdr:colOff>752782</xdr:colOff>
      <xdr:row>73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71</xdr:row>
      <xdr:rowOff>23811</xdr:rowOff>
    </xdr:from>
    <xdr:to>
      <xdr:col>3</xdr:col>
      <xdr:colOff>12336</xdr:colOff>
      <xdr:row>72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71</xdr:row>
      <xdr:rowOff>0</xdr:rowOff>
    </xdr:from>
    <xdr:to>
      <xdr:col>5</xdr:col>
      <xdr:colOff>9524</xdr:colOff>
      <xdr:row>73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71</xdr:row>
      <xdr:rowOff>41843</xdr:rowOff>
    </xdr:from>
    <xdr:to>
      <xdr:col>17</xdr:col>
      <xdr:colOff>1</xdr:colOff>
      <xdr:row>73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269875</xdr:rowOff>
    </xdr:from>
    <xdr:to>
      <xdr:col>11</xdr:col>
      <xdr:colOff>1</xdr:colOff>
      <xdr:row>73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73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79</xdr:row>
      <xdr:rowOff>-1</xdr:rowOff>
    </xdr:from>
    <xdr:to>
      <xdr:col>7</xdr:col>
      <xdr:colOff>-1</xdr:colOff>
      <xdr:row>80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79</xdr:row>
      <xdr:rowOff>23811</xdr:rowOff>
    </xdr:from>
    <xdr:to>
      <xdr:col>3</xdr:col>
      <xdr:colOff>12336</xdr:colOff>
      <xdr:row>80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78</xdr:row>
      <xdr:rowOff>161061</xdr:rowOff>
    </xdr:from>
    <xdr:to>
      <xdr:col>5</xdr:col>
      <xdr:colOff>9524</xdr:colOff>
      <xdr:row>81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71</xdr:row>
      <xdr:rowOff>27253</xdr:rowOff>
    </xdr:from>
    <xdr:to>
      <xdr:col>21</xdr:col>
      <xdr:colOff>9525</xdr:colOff>
      <xdr:row>73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77954" y="6816979"/>
          <a:ext cx="179717" cy="879231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116</xdr:row>
      <xdr:rowOff>-1</xdr:rowOff>
    </xdr:from>
    <xdr:to>
      <xdr:col>5</xdr:col>
      <xdr:colOff>-1</xdr:colOff>
      <xdr:row>117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116</xdr:row>
      <xdr:rowOff>28575</xdr:rowOff>
    </xdr:from>
    <xdr:to>
      <xdr:col>13</xdr:col>
      <xdr:colOff>0</xdr:colOff>
      <xdr:row>118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116</xdr:row>
      <xdr:rowOff>23811</xdr:rowOff>
    </xdr:from>
    <xdr:to>
      <xdr:col>3</xdr:col>
      <xdr:colOff>12336</xdr:colOff>
      <xdr:row>117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116</xdr:row>
      <xdr:rowOff>0</xdr:rowOff>
    </xdr:from>
    <xdr:to>
      <xdr:col>17</xdr:col>
      <xdr:colOff>11906</xdr:colOff>
      <xdr:row>118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96</xdr:row>
      <xdr:rowOff>47625</xdr:rowOff>
    </xdr:from>
    <xdr:to>
      <xdr:col>15</xdr:col>
      <xdr:colOff>19050</xdr:colOff>
      <xdr:row>97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116</xdr:row>
      <xdr:rowOff>0</xdr:rowOff>
    </xdr:from>
    <xdr:to>
      <xdr:col>9</xdr:col>
      <xdr:colOff>1</xdr:colOff>
      <xdr:row>118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116</xdr:row>
      <xdr:rowOff>79375</xdr:rowOff>
    </xdr:from>
    <xdr:to>
      <xdr:col>7</xdr:col>
      <xdr:colOff>31750</xdr:colOff>
      <xdr:row>118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116</xdr:row>
      <xdr:rowOff>0</xdr:rowOff>
    </xdr:from>
    <xdr:to>
      <xdr:col>11</xdr:col>
      <xdr:colOff>0</xdr:colOff>
      <xdr:row>118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131</xdr:row>
      <xdr:rowOff>-1</xdr:rowOff>
    </xdr:from>
    <xdr:to>
      <xdr:col>13</xdr:col>
      <xdr:colOff>-1</xdr:colOff>
      <xdr:row>132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131</xdr:row>
      <xdr:rowOff>35718</xdr:rowOff>
    </xdr:from>
    <xdr:to>
      <xdr:col>21</xdr:col>
      <xdr:colOff>15363</xdr:colOff>
      <xdr:row>133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131</xdr:row>
      <xdr:rowOff>23811</xdr:rowOff>
    </xdr:from>
    <xdr:to>
      <xdr:col>9</xdr:col>
      <xdr:colOff>12336</xdr:colOff>
      <xdr:row>132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130</xdr:row>
      <xdr:rowOff>161061</xdr:rowOff>
    </xdr:from>
    <xdr:to>
      <xdr:col>11</xdr:col>
      <xdr:colOff>9524</xdr:colOff>
      <xdr:row>133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139</xdr:row>
      <xdr:rowOff>27253</xdr:rowOff>
    </xdr:from>
    <xdr:to>
      <xdr:col>7</xdr:col>
      <xdr:colOff>25400</xdr:colOff>
      <xdr:row>141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139</xdr:row>
      <xdr:rowOff>41843</xdr:rowOff>
    </xdr:from>
    <xdr:to>
      <xdr:col>3</xdr:col>
      <xdr:colOff>1</xdr:colOff>
      <xdr:row>141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11906</xdr:colOff>
      <xdr:row>141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130</xdr:row>
      <xdr:rowOff>190500</xdr:rowOff>
    </xdr:from>
    <xdr:to>
      <xdr:col>17</xdr:col>
      <xdr:colOff>1</xdr:colOff>
      <xdr:row>133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130</xdr:row>
      <xdr:rowOff>174626</xdr:rowOff>
    </xdr:from>
    <xdr:to>
      <xdr:col>15</xdr:col>
      <xdr:colOff>15875</xdr:colOff>
      <xdr:row>133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131</xdr:row>
      <xdr:rowOff>23810</xdr:rowOff>
    </xdr:from>
    <xdr:to>
      <xdr:col>19</xdr:col>
      <xdr:colOff>11907</xdr:colOff>
      <xdr:row>133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147</xdr:row>
      <xdr:rowOff>-1</xdr:rowOff>
    </xdr:from>
    <xdr:to>
      <xdr:col>3</xdr:col>
      <xdr:colOff>-1</xdr:colOff>
      <xdr:row>148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147</xdr:row>
      <xdr:rowOff>35718</xdr:rowOff>
    </xdr:from>
    <xdr:to>
      <xdr:col>11</xdr:col>
      <xdr:colOff>15363</xdr:colOff>
      <xdr:row>149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139</xdr:row>
      <xdr:rowOff>23811</xdr:rowOff>
    </xdr:from>
    <xdr:to>
      <xdr:col>19</xdr:col>
      <xdr:colOff>12336</xdr:colOff>
      <xdr:row>140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138</xdr:row>
      <xdr:rowOff>269875</xdr:rowOff>
    </xdr:from>
    <xdr:to>
      <xdr:col>21</xdr:col>
      <xdr:colOff>9524</xdr:colOff>
      <xdr:row>141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147</xdr:row>
      <xdr:rowOff>9281</xdr:rowOff>
    </xdr:from>
    <xdr:to>
      <xdr:col>17</xdr:col>
      <xdr:colOff>9525</xdr:colOff>
      <xdr:row>148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147</xdr:row>
      <xdr:rowOff>41843</xdr:rowOff>
    </xdr:from>
    <xdr:to>
      <xdr:col>13</xdr:col>
      <xdr:colOff>1</xdr:colOff>
      <xdr:row>149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15</xdr:col>
      <xdr:colOff>11906</xdr:colOff>
      <xdr:row>149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146</xdr:row>
      <xdr:rowOff>381001</xdr:rowOff>
    </xdr:from>
    <xdr:to>
      <xdr:col>6</xdr:col>
      <xdr:colOff>1000124</xdr:colOff>
      <xdr:row>149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147</xdr:row>
      <xdr:rowOff>7325</xdr:rowOff>
    </xdr:from>
    <xdr:to>
      <xdr:col>5</xdr:col>
      <xdr:colOff>17971</xdr:colOff>
      <xdr:row>149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147</xdr:row>
      <xdr:rowOff>23810</xdr:rowOff>
    </xdr:from>
    <xdr:to>
      <xdr:col>9</xdr:col>
      <xdr:colOff>11907</xdr:colOff>
      <xdr:row>149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154</xdr:row>
      <xdr:rowOff>-1</xdr:rowOff>
    </xdr:from>
    <xdr:to>
      <xdr:col>3</xdr:col>
      <xdr:colOff>-1</xdr:colOff>
      <xdr:row>155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154</xdr:row>
      <xdr:rowOff>35718</xdr:rowOff>
    </xdr:from>
    <xdr:to>
      <xdr:col>11</xdr:col>
      <xdr:colOff>15363</xdr:colOff>
      <xdr:row>156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147</xdr:row>
      <xdr:rowOff>23811</xdr:rowOff>
    </xdr:from>
    <xdr:to>
      <xdr:col>19</xdr:col>
      <xdr:colOff>12336</xdr:colOff>
      <xdr:row>148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147</xdr:row>
      <xdr:rowOff>15875</xdr:rowOff>
    </xdr:from>
    <xdr:to>
      <xdr:col>21</xdr:col>
      <xdr:colOff>9524</xdr:colOff>
      <xdr:row>149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153</xdr:row>
      <xdr:rowOff>161746</xdr:rowOff>
    </xdr:from>
    <xdr:to>
      <xdr:col>7</xdr:col>
      <xdr:colOff>1</xdr:colOff>
      <xdr:row>156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154</xdr:row>
      <xdr:rowOff>7325</xdr:rowOff>
    </xdr:from>
    <xdr:to>
      <xdr:col>5</xdr:col>
      <xdr:colOff>17971</xdr:colOff>
      <xdr:row>156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154</xdr:row>
      <xdr:rowOff>23810</xdr:rowOff>
    </xdr:from>
    <xdr:to>
      <xdr:col>9</xdr:col>
      <xdr:colOff>11907</xdr:colOff>
      <xdr:row>156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75</xdr:row>
      <xdr:rowOff>0</xdr:rowOff>
    </xdr:from>
    <xdr:to>
      <xdr:col>19</xdr:col>
      <xdr:colOff>263191</xdr:colOff>
      <xdr:row>75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116</xdr:row>
      <xdr:rowOff>79375</xdr:rowOff>
    </xdr:from>
    <xdr:to>
      <xdr:col>9</xdr:col>
      <xdr:colOff>560717</xdr:colOff>
      <xdr:row>120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912429" y="25071161"/>
          <a:ext cx="179717" cy="873183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263191</xdr:colOff>
      <xdr:row>75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73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263191</xdr:colOff>
      <xdr:row>75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75</xdr:row>
      <xdr:rowOff>0</xdr:rowOff>
    </xdr:from>
    <xdr:to>
      <xdr:col>15</xdr:col>
      <xdr:colOff>279066</xdr:colOff>
      <xdr:row>75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75</xdr:row>
      <xdr:rowOff>0</xdr:rowOff>
    </xdr:from>
    <xdr:to>
      <xdr:col>9</xdr:col>
      <xdr:colOff>247316</xdr:colOff>
      <xdr:row>75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75</xdr:row>
      <xdr:rowOff>0</xdr:rowOff>
    </xdr:from>
    <xdr:to>
      <xdr:col>11</xdr:col>
      <xdr:colOff>247316</xdr:colOff>
      <xdr:row>75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74</xdr:row>
      <xdr:rowOff>317500</xdr:rowOff>
    </xdr:from>
    <xdr:to>
      <xdr:col>13</xdr:col>
      <xdr:colOff>279066</xdr:colOff>
      <xdr:row>75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263191</xdr:colOff>
      <xdr:row>75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3</xdr:col>
      <xdr:colOff>263191</xdr:colOff>
      <xdr:row>83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263191</xdr:colOff>
      <xdr:row>152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11</xdr:col>
      <xdr:colOff>263191</xdr:colOff>
      <xdr:row>136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123</xdr:row>
      <xdr:rowOff>-1</xdr:rowOff>
    </xdr:from>
    <xdr:to>
      <xdr:col>13</xdr:col>
      <xdr:colOff>-1</xdr:colOff>
      <xdr:row>124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123</xdr:row>
      <xdr:rowOff>35718</xdr:rowOff>
    </xdr:from>
    <xdr:to>
      <xdr:col>21</xdr:col>
      <xdr:colOff>15363</xdr:colOff>
      <xdr:row>125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123</xdr:row>
      <xdr:rowOff>23811</xdr:rowOff>
    </xdr:from>
    <xdr:to>
      <xdr:col>9</xdr:col>
      <xdr:colOff>12336</xdr:colOff>
      <xdr:row>124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122</xdr:row>
      <xdr:rowOff>476250</xdr:rowOff>
    </xdr:from>
    <xdr:to>
      <xdr:col>11</xdr:col>
      <xdr:colOff>9524</xdr:colOff>
      <xdr:row>125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131</xdr:row>
      <xdr:rowOff>27253</xdr:rowOff>
    </xdr:from>
    <xdr:to>
      <xdr:col>7</xdr:col>
      <xdr:colOff>9525</xdr:colOff>
      <xdr:row>133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131</xdr:row>
      <xdr:rowOff>41843</xdr:rowOff>
    </xdr:from>
    <xdr:to>
      <xdr:col>3</xdr:col>
      <xdr:colOff>1</xdr:colOff>
      <xdr:row>133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11906</xdr:colOff>
      <xdr:row>133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122</xdr:row>
      <xdr:rowOff>460375</xdr:rowOff>
    </xdr:from>
    <xdr:to>
      <xdr:col>17</xdr:col>
      <xdr:colOff>1</xdr:colOff>
      <xdr:row>125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122</xdr:row>
      <xdr:rowOff>428625</xdr:rowOff>
    </xdr:from>
    <xdr:to>
      <xdr:col>15</xdr:col>
      <xdr:colOff>35943</xdr:colOff>
      <xdr:row>125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123</xdr:row>
      <xdr:rowOff>23810</xdr:rowOff>
    </xdr:from>
    <xdr:to>
      <xdr:col>19</xdr:col>
      <xdr:colOff>11907</xdr:colOff>
      <xdr:row>125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127</xdr:row>
      <xdr:rowOff>0</xdr:rowOff>
    </xdr:from>
    <xdr:to>
      <xdr:col>19</xdr:col>
      <xdr:colOff>263191</xdr:colOff>
      <xdr:row>128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263191</xdr:colOff>
      <xdr:row>128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108</xdr:row>
      <xdr:rowOff>31750</xdr:rowOff>
    </xdr:from>
    <xdr:to>
      <xdr:col>6</xdr:col>
      <xdr:colOff>984250</xdr:colOff>
      <xdr:row>109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108</xdr:row>
      <xdr:rowOff>31750</xdr:rowOff>
    </xdr:from>
    <xdr:to>
      <xdr:col>15</xdr:col>
      <xdr:colOff>15363</xdr:colOff>
      <xdr:row>110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108</xdr:row>
      <xdr:rowOff>63500</xdr:rowOff>
    </xdr:from>
    <xdr:to>
      <xdr:col>3</xdr:col>
      <xdr:colOff>12336</xdr:colOff>
      <xdr:row>109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108</xdr:row>
      <xdr:rowOff>0</xdr:rowOff>
    </xdr:from>
    <xdr:to>
      <xdr:col>5</xdr:col>
      <xdr:colOff>9524</xdr:colOff>
      <xdr:row>110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108</xdr:row>
      <xdr:rowOff>27253</xdr:rowOff>
    </xdr:from>
    <xdr:to>
      <xdr:col>21</xdr:col>
      <xdr:colOff>9525</xdr:colOff>
      <xdr:row>110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108</xdr:row>
      <xdr:rowOff>41843</xdr:rowOff>
    </xdr:from>
    <xdr:to>
      <xdr:col>17</xdr:col>
      <xdr:colOff>1</xdr:colOff>
      <xdr:row>110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11906</xdr:colOff>
      <xdr:row>110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108</xdr:row>
      <xdr:rowOff>15875</xdr:rowOff>
    </xdr:from>
    <xdr:to>
      <xdr:col>11</xdr:col>
      <xdr:colOff>1</xdr:colOff>
      <xdr:row>110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35943</xdr:colOff>
      <xdr:row>110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108</xdr:row>
      <xdr:rowOff>15876</xdr:rowOff>
    </xdr:from>
    <xdr:to>
      <xdr:col>13</xdr:col>
      <xdr:colOff>11907</xdr:colOff>
      <xdr:row>110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116</xdr:row>
      <xdr:rowOff>15875</xdr:rowOff>
    </xdr:from>
    <xdr:to>
      <xdr:col>14</xdr:col>
      <xdr:colOff>775738</xdr:colOff>
      <xdr:row>118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116</xdr:row>
      <xdr:rowOff>27253</xdr:rowOff>
    </xdr:from>
    <xdr:to>
      <xdr:col>21</xdr:col>
      <xdr:colOff>9525</xdr:colOff>
      <xdr:row>118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11906</xdr:colOff>
      <xdr:row>118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11906</xdr:colOff>
      <xdr:row>128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27253</xdr:rowOff>
    </xdr:from>
    <xdr:to>
      <xdr:col>5</xdr:col>
      <xdr:colOff>9525</xdr:colOff>
      <xdr:row>125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11906</xdr:colOff>
      <xdr:row>125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123</xdr:row>
      <xdr:rowOff>27253</xdr:rowOff>
    </xdr:from>
    <xdr:to>
      <xdr:col>7</xdr:col>
      <xdr:colOff>9525</xdr:colOff>
      <xdr:row>125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11906</xdr:colOff>
      <xdr:row>125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139</xdr:row>
      <xdr:rowOff>-1</xdr:rowOff>
    </xdr:from>
    <xdr:to>
      <xdr:col>9</xdr:col>
      <xdr:colOff>-1</xdr:colOff>
      <xdr:row>140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139</xdr:row>
      <xdr:rowOff>35718</xdr:rowOff>
    </xdr:from>
    <xdr:to>
      <xdr:col>17</xdr:col>
      <xdr:colOff>15363</xdr:colOff>
      <xdr:row>141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139</xdr:row>
      <xdr:rowOff>0</xdr:rowOff>
    </xdr:from>
    <xdr:to>
      <xdr:col>13</xdr:col>
      <xdr:colOff>31751</xdr:colOff>
      <xdr:row>141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139</xdr:row>
      <xdr:rowOff>7325</xdr:rowOff>
    </xdr:from>
    <xdr:to>
      <xdr:col>11</xdr:col>
      <xdr:colOff>17971</xdr:colOff>
      <xdr:row>141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139</xdr:row>
      <xdr:rowOff>23810</xdr:rowOff>
    </xdr:from>
    <xdr:to>
      <xdr:col>15</xdr:col>
      <xdr:colOff>11907</xdr:colOff>
      <xdr:row>141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116</xdr:row>
      <xdr:rowOff>47625</xdr:rowOff>
    </xdr:from>
    <xdr:to>
      <xdr:col>19</xdr:col>
      <xdr:colOff>107161</xdr:colOff>
      <xdr:row>121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263191</xdr:colOff>
      <xdr:row>128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263191</xdr:colOff>
      <xdr:row>136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263191</xdr:colOff>
      <xdr:row>136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127</xdr:row>
      <xdr:rowOff>0</xdr:rowOff>
    </xdr:from>
    <xdr:to>
      <xdr:col>21</xdr:col>
      <xdr:colOff>263191</xdr:colOff>
      <xdr:row>128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143</xdr:row>
      <xdr:rowOff>0</xdr:rowOff>
    </xdr:from>
    <xdr:to>
      <xdr:col>11</xdr:col>
      <xdr:colOff>263191</xdr:colOff>
      <xdr:row>144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263191</xdr:colOff>
      <xdr:row>144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263191</xdr:colOff>
      <xdr:row>152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263191</xdr:colOff>
      <xdr:row>152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263191</xdr:colOff>
      <xdr:row>136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19</xdr:col>
      <xdr:colOff>263191</xdr:colOff>
      <xdr:row>136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134</xdr:row>
      <xdr:rowOff>190500</xdr:rowOff>
    </xdr:from>
    <xdr:to>
      <xdr:col>21</xdr:col>
      <xdr:colOff>279066</xdr:colOff>
      <xdr:row>136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263191</xdr:colOff>
      <xdr:row>159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151</xdr:row>
      <xdr:rowOff>0</xdr:rowOff>
    </xdr:from>
    <xdr:to>
      <xdr:col>21</xdr:col>
      <xdr:colOff>263191</xdr:colOff>
      <xdr:row>152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263191</xdr:colOff>
      <xdr:row>144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263191</xdr:colOff>
      <xdr:row>144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0</xdr:rowOff>
    </xdr:from>
    <xdr:to>
      <xdr:col>3</xdr:col>
      <xdr:colOff>263191</xdr:colOff>
      <xdr:row>136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263191</xdr:colOff>
      <xdr:row>136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263191</xdr:colOff>
      <xdr:row>136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263191</xdr:colOff>
      <xdr:row>144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263191</xdr:colOff>
      <xdr:row>144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143</xdr:row>
      <xdr:rowOff>0</xdr:rowOff>
    </xdr:from>
    <xdr:to>
      <xdr:col>21</xdr:col>
      <xdr:colOff>263191</xdr:colOff>
      <xdr:row>144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263191</xdr:colOff>
      <xdr:row>159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492125</xdr:colOff>
      <xdr:row>22</xdr:row>
      <xdr:rowOff>0</xdr:rowOff>
    </xdr:from>
    <xdr:ext cx="266700" cy="873125"/>
    <xdr:pic>
      <xdr:nvPicPr>
        <xdr:cNvPr id="4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0" y="51625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31750</xdr:colOff>
      <xdr:row>30</xdr:row>
      <xdr:rowOff>142875</xdr:rowOff>
    </xdr:from>
    <xdr:ext cx="266700" cy="873125"/>
    <xdr:pic>
      <xdr:nvPicPr>
        <xdr:cNvPr id="4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9400" y="69913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111125</xdr:colOff>
      <xdr:row>116</xdr:row>
      <xdr:rowOff>95250</xdr:rowOff>
    </xdr:from>
    <xdr:ext cx="266700" cy="873125"/>
    <xdr:pic>
      <xdr:nvPicPr>
        <xdr:cNvPr id="409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100" y="2504122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142875</xdr:colOff>
      <xdr:row>99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122</xdr:row>
      <xdr:rowOff>476250</xdr:rowOff>
    </xdr:from>
    <xdr:to>
      <xdr:col>0</xdr:col>
      <xdr:colOff>619125</xdr:colOff>
      <xdr:row>125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112</xdr:row>
      <xdr:rowOff>0</xdr:rowOff>
    </xdr:from>
    <xdr:to>
      <xdr:col>11</xdr:col>
      <xdr:colOff>263191</xdr:colOff>
      <xdr:row>113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263191</xdr:colOff>
      <xdr:row>75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127</xdr:row>
      <xdr:rowOff>0</xdr:rowOff>
    </xdr:from>
    <xdr:to>
      <xdr:col>3</xdr:col>
      <xdr:colOff>263191</xdr:colOff>
      <xdr:row>128</xdr:row>
      <xdr:rowOff>22560</xdr:rowOff>
    </xdr:to>
    <xdr:cxnSp macro="">
      <xdr:nvCxnSpPr>
        <xdr:cNvPr id="4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127</xdr:row>
      <xdr:rowOff>0</xdr:rowOff>
    </xdr:from>
    <xdr:to>
      <xdr:col>11</xdr:col>
      <xdr:colOff>263191</xdr:colOff>
      <xdr:row>128</xdr:row>
      <xdr:rowOff>22560</xdr:rowOff>
    </xdr:to>
    <xdr:cxnSp macro="">
      <xdr:nvCxnSpPr>
        <xdr:cNvPr id="4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2381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120</xdr:row>
      <xdr:rowOff>0</xdr:rowOff>
    </xdr:from>
    <xdr:to>
      <xdr:col>17</xdr:col>
      <xdr:colOff>263191</xdr:colOff>
      <xdr:row>121</xdr:row>
      <xdr:rowOff>22559</xdr:rowOff>
    </xdr:to>
    <xdr:cxnSp macro="">
      <xdr:nvCxnSpPr>
        <xdr:cNvPr id="4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5793095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263191</xdr:colOff>
      <xdr:row>152</xdr:row>
      <xdr:rowOff>22559</xdr:rowOff>
    </xdr:to>
    <xdr:cxnSp macro="">
      <xdr:nvCxnSpPr>
        <xdr:cNvPr id="4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1667" y="32536190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263191</xdr:colOff>
      <xdr:row>113</xdr:row>
      <xdr:rowOff>22559</xdr:rowOff>
    </xdr:to>
    <xdr:cxnSp macro="">
      <xdr:nvCxnSpPr>
        <xdr:cNvPr id="4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13333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112</xdr:row>
      <xdr:rowOff>0</xdr:rowOff>
    </xdr:from>
    <xdr:to>
      <xdr:col>21</xdr:col>
      <xdr:colOff>263191</xdr:colOff>
      <xdr:row>113</xdr:row>
      <xdr:rowOff>22559</xdr:rowOff>
    </xdr:to>
    <xdr:cxnSp macro="">
      <xdr:nvCxnSpPr>
        <xdr:cNvPr id="42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51667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0</xdr:rowOff>
    </xdr:from>
    <xdr:to>
      <xdr:col>3</xdr:col>
      <xdr:colOff>263191</xdr:colOff>
      <xdr:row>121</xdr:row>
      <xdr:rowOff>22558</xdr:rowOff>
    </xdr:to>
    <xdr:cxnSp macro="">
      <xdr:nvCxnSpPr>
        <xdr:cNvPr id="42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5793095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309260" y="2315190"/>
          <a:ext cx="195942" cy="1195614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261937</xdr:colOff>
      <xdr:row>24</xdr:row>
      <xdr:rowOff>35718</xdr:rowOff>
    </xdr:to>
    <xdr:cxnSp macro="">
      <xdr:nvCxnSpPr>
        <xdr:cNvPr id="105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3885664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261937</xdr:colOff>
      <xdr:row>39</xdr:row>
      <xdr:rowOff>229194</xdr:rowOff>
    </xdr:to>
    <xdr:cxnSp macro="">
      <xdr:nvCxnSpPr>
        <xdr:cNvPr id="106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1385352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261937</xdr:colOff>
      <xdr:row>39</xdr:row>
      <xdr:rowOff>229194</xdr:rowOff>
    </xdr:to>
    <xdr:cxnSp macro="">
      <xdr:nvCxnSpPr>
        <xdr:cNvPr id="107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695039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261937</xdr:colOff>
      <xdr:row>24</xdr:row>
      <xdr:rowOff>35718</xdr:rowOff>
    </xdr:to>
    <xdr:cxnSp macro="">
      <xdr:nvCxnSpPr>
        <xdr:cNvPr id="108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5878711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261937</xdr:colOff>
      <xdr:row>24</xdr:row>
      <xdr:rowOff>35718</xdr:rowOff>
    </xdr:to>
    <xdr:cxnSp macro="">
      <xdr:nvCxnSpPr>
        <xdr:cNvPr id="109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4613672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6912317" y="2609599"/>
          <a:ext cx="195942" cy="1482807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20</xdr:row>
      <xdr:rowOff>15240</xdr:rowOff>
    </xdr:from>
    <xdr:to>
      <xdr:col>2</xdr:col>
      <xdr:colOff>15240</xdr:colOff>
      <xdr:row>22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4</xdr:col>
      <xdr:colOff>15240</xdr:colOff>
      <xdr:row>21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6</xdr:col>
      <xdr:colOff>15240</xdr:colOff>
      <xdr:row>21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15240</xdr:colOff>
      <xdr:row>21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</xdr:row>
      <xdr:rowOff>0</xdr:rowOff>
    </xdr:from>
    <xdr:to>
      <xdr:col>10</xdr:col>
      <xdr:colOff>15240</xdr:colOff>
      <xdr:row>21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12</xdr:col>
      <xdr:colOff>15240</xdr:colOff>
      <xdr:row>21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15240</xdr:colOff>
      <xdr:row>21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0</xdr:rowOff>
    </xdr:from>
    <xdr:to>
      <xdr:col>16</xdr:col>
      <xdr:colOff>15240</xdr:colOff>
      <xdr:row>21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15240</xdr:colOff>
      <xdr:row>21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</xdr:row>
      <xdr:rowOff>0</xdr:rowOff>
    </xdr:from>
    <xdr:to>
      <xdr:col>22</xdr:col>
      <xdr:colOff>15240</xdr:colOff>
      <xdr:row>21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0</xdr:rowOff>
    </xdr:from>
    <xdr:to>
      <xdr:col>24</xdr:col>
      <xdr:colOff>15240</xdr:colOff>
      <xdr:row>21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15240</xdr:colOff>
      <xdr:row>21</xdr:row>
      <xdr:rowOff>175260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0412075" y="490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29</xdr:row>
      <xdr:rowOff>15240</xdr:rowOff>
    </xdr:from>
    <xdr:to>
      <xdr:col>2</xdr:col>
      <xdr:colOff>15240</xdr:colOff>
      <xdr:row>31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4</xdr:col>
      <xdr:colOff>15240</xdr:colOff>
      <xdr:row>30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15240</xdr:colOff>
      <xdr:row>30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15240</xdr:colOff>
      <xdr:row>30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10</xdr:col>
      <xdr:colOff>15240</xdr:colOff>
      <xdr:row>30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12</xdr:col>
      <xdr:colOff>15240</xdr:colOff>
      <xdr:row>30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15240</xdr:colOff>
      <xdr:row>30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16</xdr:col>
      <xdr:colOff>15240</xdr:colOff>
      <xdr:row>30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15240</xdr:colOff>
      <xdr:row>30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15240</xdr:colOff>
      <xdr:row>30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15240</xdr:colOff>
      <xdr:row>30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29</xdr:row>
      <xdr:rowOff>0</xdr:rowOff>
    </xdr:from>
    <xdr:to>
      <xdr:col>24</xdr:col>
      <xdr:colOff>15240</xdr:colOff>
      <xdr:row>30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15240</xdr:colOff>
      <xdr:row>30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36</xdr:row>
      <xdr:rowOff>15240</xdr:rowOff>
    </xdr:from>
    <xdr:to>
      <xdr:col>2</xdr:col>
      <xdr:colOff>15240</xdr:colOff>
      <xdr:row>38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4</xdr:col>
      <xdr:colOff>15240</xdr:colOff>
      <xdr:row>37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36</xdr:row>
      <xdr:rowOff>0</xdr:rowOff>
    </xdr:from>
    <xdr:to>
      <xdr:col>6</xdr:col>
      <xdr:colOff>15240</xdr:colOff>
      <xdr:row>37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36</xdr:row>
      <xdr:rowOff>15875</xdr:rowOff>
    </xdr:from>
    <xdr:to>
      <xdr:col>8</xdr:col>
      <xdr:colOff>15240</xdr:colOff>
      <xdr:row>37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36</xdr:row>
      <xdr:rowOff>15875</xdr:rowOff>
    </xdr:from>
    <xdr:to>
      <xdr:col>10</xdr:col>
      <xdr:colOff>15240</xdr:colOff>
      <xdr:row>37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36</xdr:row>
      <xdr:rowOff>15875</xdr:rowOff>
    </xdr:from>
    <xdr:to>
      <xdr:col>12</xdr:col>
      <xdr:colOff>15240</xdr:colOff>
      <xdr:row>37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36</xdr:row>
      <xdr:rowOff>15875</xdr:rowOff>
    </xdr:from>
    <xdr:to>
      <xdr:col>14</xdr:col>
      <xdr:colOff>15240</xdr:colOff>
      <xdr:row>37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36</xdr:row>
      <xdr:rowOff>15875</xdr:rowOff>
    </xdr:from>
    <xdr:to>
      <xdr:col>16</xdr:col>
      <xdr:colOff>15240</xdr:colOff>
      <xdr:row>37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36</xdr:row>
      <xdr:rowOff>15875</xdr:rowOff>
    </xdr:from>
    <xdr:to>
      <xdr:col>18</xdr:col>
      <xdr:colOff>15240</xdr:colOff>
      <xdr:row>37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36</xdr:row>
      <xdr:rowOff>15875</xdr:rowOff>
    </xdr:from>
    <xdr:to>
      <xdr:col>20</xdr:col>
      <xdr:colOff>15240</xdr:colOff>
      <xdr:row>37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36</xdr:row>
      <xdr:rowOff>15875</xdr:rowOff>
    </xdr:from>
    <xdr:to>
      <xdr:col>22</xdr:col>
      <xdr:colOff>15240</xdr:colOff>
      <xdr:row>37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36</xdr:row>
      <xdr:rowOff>15875</xdr:rowOff>
    </xdr:from>
    <xdr:to>
      <xdr:col>24</xdr:col>
      <xdr:colOff>15240</xdr:colOff>
      <xdr:row>37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36</xdr:row>
      <xdr:rowOff>15875</xdr:rowOff>
    </xdr:from>
    <xdr:to>
      <xdr:col>26</xdr:col>
      <xdr:colOff>15240</xdr:colOff>
      <xdr:row>37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43</xdr:row>
      <xdr:rowOff>15240</xdr:rowOff>
    </xdr:from>
    <xdr:to>
      <xdr:col>2</xdr:col>
      <xdr:colOff>15240</xdr:colOff>
      <xdr:row>45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15240</xdr:colOff>
      <xdr:row>44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43296</xdr:colOff>
      <xdr:row>43</xdr:row>
      <xdr:rowOff>17972</xdr:rowOff>
    </xdr:from>
    <xdr:to>
      <xdr:col>6</xdr:col>
      <xdr:colOff>4458</xdr:colOff>
      <xdr:row>44</xdr:row>
      <xdr:rowOff>216478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4307898" y="11231495"/>
          <a:ext cx="913662" cy="458278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8</xdr:col>
      <xdr:colOff>15240</xdr:colOff>
      <xdr:row>44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43</xdr:row>
      <xdr:rowOff>0</xdr:rowOff>
    </xdr:from>
    <xdr:to>
      <xdr:col>10</xdr:col>
      <xdr:colOff>15240</xdr:colOff>
      <xdr:row>44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43</xdr:row>
      <xdr:rowOff>0</xdr:rowOff>
    </xdr:from>
    <xdr:to>
      <xdr:col>12</xdr:col>
      <xdr:colOff>15240</xdr:colOff>
      <xdr:row>44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15240</xdr:colOff>
      <xdr:row>44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16</xdr:col>
      <xdr:colOff>15240</xdr:colOff>
      <xdr:row>44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43</xdr:row>
      <xdr:rowOff>0</xdr:rowOff>
    </xdr:from>
    <xdr:to>
      <xdr:col>18</xdr:col>
      <xdr:colOff>15240</xdr:colOff>
      <xdr:row>44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43</xdr:row>
      <xdr:rowOff>0</xdr:rowOff>
    </xdr:from>
    <xdr:to>
      <xdr:col>20</xdr:col>
      <xdr:colOff>15240</xdr:colOff>
      <xdr:row>44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15240</xdr:colOff>
      <xdr:row>44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43</xdr:row>
      <xdr:rowOff>0</xdr:rowOff>
    </xdr:from>
    <xdr:to>
      <xdr:col>24</xdr:col>
      <xdr:colOff>15240</xdr:colOff>
      <xdr:row>44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26</xdr:col>
      <xdr:colOff>15240</xdr:colOff>
      <xdr:row>44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50</xdr:row>
      <xdr:rowOff>15240</xdr:rowOff>
    </xdr:from>
    <xdr:to>
      <xdr:col>2</xdr:col>
      <xdr:colOff>15240</xdr:colOff>
      <xdr:row>52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15240</xdr:colOff>
      <xdr:row>51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15240</xdr:colOff>
      <xdr:row>51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15240</xdr:colOff>
      <xdr:row>51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50</xdr:row>
      <xdr:rowOff>0</xdr:rowOff>
    </xdr:from>
    <xdr:to>
      <xdr:col>10</xdr:col>
      <xdr:colOff>15240</xdr:colOff>
      <xdr:row>51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12</xdr:col>
      <xdr:colOff>15240</xdr:colOff>
      <xdr:row>51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15240</xdr:colOff>
      <xdr:row>51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16</xdr:col>
      <xdr:colOff>15240</xdr:colOff>
      <xdr:row>51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50</xdr:row>
      <xdr:rowOff>0</xdr:rowOff>
    </xdr:from>
    <xdr:to>
      <xdr:col>18</xdr:col>
      <xdr:colOff>15240</xdr:colOff>
      <xdr:row>51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15240</xdr:colOff>
      <xdr:row>51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22</xdr:col>
      <xdr:colOff>15240</xdr:colOff>
      <xdr:row>51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50</xdr:row>
      <xdr:rowOff>0</xdr:rowOff>
    </xdr:from>
    <xdr:to>
      <xdr:col>24</xdr:col>
      <xdr:colOff>15240</xdr:colOff>
      <xdr:row>51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15240</xdr:colOff>
      <xdr:row>51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57</xdr:row>
      <xdr:rowOff>15240</xdr:rowOff>
    </xdr:from>
    <xdr:to>
      <xdr:col>2</xdr:col>
      <xdr:colOff>15240</xdr:colOff>
      <xdr:row>59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57</xdr:row>
      <xdr:rowOff>0</xdr:rowOff>
    </xdr:from>
    <xdr:to>
      <xdr:col>4</xdr:col>
      <xdr:colOff>15240</xdr:colOff>
      <xdr:row>58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15240</xdr:colOff>
      <xdr:row>93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4</xdr:col>
      <xdr:colOff>15240</xdr:colOff>
      <xdr:row>93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92</xdr:row>
      <xdr:rowOff>0</xdr:rowOff>
    </xdr:from>
    <xdr:to>
      <xdr:col>6</xdr:col>
      <xdr:colOff>15240</xdr:colOff>
      <xdr:row>93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15240</xdr:colOff>
      <xdr:row>93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15240</xdr:colOff>
      <xdr:row>93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12</xdr:col>
      <xdr:colOff>15240</xdr:colOff>
      <xdr:row>93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15240</xdr:colOff>
      <xdr:row>93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92</xdr:row>
      <xdr:rowOff>0</xdr:rowOff>
    </xdr:from>
    <xdr:to>
      <xdr:col>16</xdr:col>
      <xdr:colOff>15240</xdr:colOff>
      <xdr:row>93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92</xdr:row>
      <xdr:rowOff>0</xdr:rowOff>
    </xdr:from>
    <xdr:to>
      <xdr:col>18</xdr:col>
      <xdr:colOff>15240</xdr:colOff>
      <xdr:row>93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15240</xdr:colOff>
      <xdr:row>93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92</xdr:row>
      <xdr:rowOff>0</xdr:rowOff>
    </xdr:from>
    <xdr:to>
      <xdr:col>22</xdr:col>
      <xdr:colOff>15240</xdr:colOff>
      <xdr:row>93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92</xdr:row>
      <xdr:rowOff>0</xdr:rowOff>
    </xdr:from>
    <xdr:to>
      <xdr:col>24</xdr:col>
      <xdr:colOff>15240</xdr:colOff>
      <xdr:row>93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15240</xdr:colOff>
      <xdr:row>93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99</xdr:row>
      <xdr:rowOff>0</xdr:rowOff>
    </xdr:from>
    <xdr:to>
      <xdr:col>2</xdr:col>
      <xdr:colOff>15240</xdr:colOff>
      <xdr:row>100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4</xdr:col>
      <xdr:colOff>15240</xdr:colOff>
      <xdr:row>100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99</xdr:row>
      <xdr:rowOff>0</xdr:rowOff>
    </xdr:from>
    <xdr:to>
      <xdr:col>6</xdr:col>
      <xdr:colOff>15240</xdr:colOff>
      <xdr:row>100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99</xdr:row>
      <xdr:rowOff>0</xdr:rowOff>
    </xdr:from>
    <xdr:to>
      <xdr:col>8</xdr:col>
      <xdr:colOff>15240</xdr:colOff>
      <xdr:row>100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99</xdr:row>
      <xdr:rowOff>0</xdr:rowOff>
    </xdr:from>
    <xdr:to>
      <xdr:col>10</xdr:col>
      <xdr:colOff>15240</xdr:colOff>
      <xdr:row>100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99</xdr:row>
      <xdr:rowOff>0</xdr:rowOff>
    </xdr:from>
    <xdr:to>
      <xdr:col>12</xdr:col>
      <xdr:colOff>15240</xdr:colOff>
      <xdr:row>100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99</xdr:row>
      <xdr:rowOff>0</xdr:rowOff>
    </xdr:from>
    <xdr:to>
      <xdr:col>14</xdr:col>
      <xdr:colOff>15240</xdr:colOff>
      <xdr:row>100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99</xdr:row>
      <xdr:rowOff>0</xdr:rowOff>
    </xdr:from>
    <xdr:to>
      <xdr:col>16</xdr:col>
      <xdr:colOff>15240</xdr:colOff>
      <xdr:row>100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99</xdr:row>
      <xdr:rowOff>0</xdr:rowOff>
    </xdr:from>
    <xdr:to>
      <xdr:col>18</xdr:col>
      <xdr:colOff>15240</xdr:colOff>
      <xdr:row>100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99</xdr:row>
      <xdr:rowOff>0</xdr:rowOff>
    </xdr:from>
    <xdr:to>
      <xdr:col>20</xdr:col>
      <xdr:colOff>15240</xdr:colOff>
      <xdr:row>100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99</xdr:row>
      <xdr:rowOff>0</xdr:rowOff>
    </xdr:from>
    <xdr:to>
      <xdr:col>22</xdr:col>
      <xdr:colOff>15240</xdr:colOff>
      <xdr:row>100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99</xdr:row>
      <xdr:rowOff>0</xdr:rowOff>
    </xdr:from>
    <xdr:to>
      <xdr:col>24</xdr:col>
      <xdr:colOff>15240</xdr:colOff>
      <xdr:row>100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99</xdr:row>
      <xdr:rowOff>0</xdr:rowOff>
    </xdr:from>
    <xdr:to>
      <xdr:col>26</xdr:col>
      <xdr:colOff>15240</xdr:colOff>
      <xdr:row>100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15240</xdr:colOff>
      <xdr:row>108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107</xdr:row>
      <xdr:rowOff>0</xdr:rowOff>
    </xdr:from>
    <xdr:to>
      <xdr:col>4</xdr:col>
      <xdr:colOff>15240</xdr:colOff>
      <xdr:row>108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6</xdr:col>
      <xdr:colOff>15240</xdr:colOff>
      <xdr:row>108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107</xdr:row>
      <xdr:rowOff>0</xdr:rowOff>
    </xdr:from>
    <xdr:to>
      <xdr:col>8</xdr:col>
      <xdr:colOff>15240</xdr:colOff>
      <xdr:row>108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107</xdr:row>
      <xdr:rowOff>0</xdr:rowOff>
    </xdr:from>
    <xdr:to>
      <xdr:col>10</xdr:col>
      <xdr:colOff>15240</xdr:colOff>
      <xdr:row>108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107</xdr:row>
      <xdr:rowOff>0</xdr:rowOff>
    </xdr:from>
    <xdr:to>
      <xdr:col>12</xdr:col>
      <xdr:colOff>15240</xdr:colOff>
      <xdr:row>108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15240</xdr:colOff>
      <xdr:row>108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107</xdr:row>
      <xdr:rowOff>0</xdr:rowOff>
    </xdr:from>
    <xdr:to>
      <xdr:col>16</xdr:col>
      <xdr:colOff>15240</xdr:colOff>
      <xdr:row>108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107</xdr:row>
      <xdr:rowOff>0</xdr:rowOff>
    </xdr:from>
    <xdr:to>
      <xdr:col>18</xdr:col>
      <xdr:colOff>15240</xdr:colOff>
      <xdr:row>108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107</xdr:row>
      <xdr:rowOff>0</xdr:rowOff>
    </xdr:from>
    <xdr:to>
      <xdr:col>20</xdr:col>
      <xdr:colOff>15240</xdr:colOff>
      <xdr:row>108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107</xdr:row>
      <xdr:rowOff>0</xdr:rowOff>
    </xdr:from>
    <xdr:to>
      <xdr:col>22</xdr:col>
      <xdr:colOff>15240</xdr:colOff>
      <xdr:row>108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107</xdr:row>
      <xdr:rowOff>0</xdr:rowOff>
    </xdr:from>
    <xdr:to>
      <xdr:col>24</xdr:col>
      <xdr:colOff>15240</xdr:colOff>
      <xdr:row>108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107</xdr:row>
      <xdr:rowOff>0</xdr:rowOff>
    </xdr:from>
    <xdr:to>
      <xdr:col>26</xdr:col>
      <xdr:colOff>15240</xdr:colOff>
      <xdr:row>108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115</xdr:row>
      <xdr:rowOff>31750</xdr:rowOff>
    </xdr:from>
    <xdr:to>
      <xdr:col>2</xdr:col>
      <xdr:colOff>15240</xdr:colOff>
      <xdr:row>117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115</xdr:row>
      <xdr:rowOff>31750</xdr:rowOff>
    </xdr:from>
    <xdr:to>
      <xdr:col>4</xdr:col>
      <xdr:colOff>15240</xdr:colOff>
      <xdr:row>117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115</xdr:row>
      <xdr:rowOff>31750</xdr:rowOff>
    </xdr:from>
    <xdr:to>
      <xdr:col>6</xdr:col>
      <xdr:colOff>15240</xdr:colOff>
      <xdr:row>117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115</xdr:row>
      <xdr:rowOff>31750</xdr:rowOff>
    </xdr:from>
    <xdr:to>
      <xdr:col>8</xdr:col>
      <xdr:colOff>15240</xdr:colOff>
      <xdr:row>117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115</xdr:row>
      <xdr:rowOff>31750</xdr:rowOff>
    </xdr:from>
    <xdr:to>
      <xdr:col>10</xdr:col>
      <xdr:colOff>15240</xdr:colOff>
      <xdr:row>117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115</xdr:row>
      <xdr:rowOff>31750</xdr:rowOff>
    </xdr:from>
    <xdr:to>
      <xdr:col>12</xdr:col>
      <xdr:colOff>15240</xdr:colOff>
      <xdr:row>117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115</xdr:row>
      <xdr:rowOff>31750</xdr:rowOff>
    </xdr:from>
    <xdr:to>
      <xdr:col>14</xdr:col>
      <xdr:colOff>15240</xdr:colOff>
      <xdr:row>117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115</xdr:row>
      <xdr:rowOff>31750</xdr:rowOff>
    </xdr:from>
    <xdr:to>
      <xdr:col>16</xdr:col>
      <xdr:colOff>15240</xdr:colOff>
      <xdr:row>117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115</xdr:row>
      <xdr:rowOff>31750</xdr:rowOff>
    </xdr:from>
    <xdr:to>
      <xdr:col>18</xdr:col>
      <xdr:colOff>15240</xdr:colOff>
      <xdr:row>117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115</xdr:row>
      <xdr:rowOff>31750</xdr:rowOff>
    </xdr:from>
    <xdr:to>
      <xdr:col>20</xdr:col>
      <xdr:colOff>15240</xdr:colOff>
      <xdr:row>117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115</xdr:row>
      <xdr:rowOff>31750</xdr:rowOff>
    </xdr:from>
    <xdr:to>
      <xdr:col>22</xdr:col>
      <xdr:colOff>15240</xdr:colOff>
      <xdr:row>117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115</xdr:row>
      <xdr:rowOff>31750</xdr:rowOff>
    </xdr:from>
    <xdr:to>
      <xdr:col>24</xdr:col>
      <xdr:colOff>15240</xdr:colOff>
      <xdr:row>117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115</xdr:row>
      <xdr:rowOff>31750</xdr:rowOff>
    </xdr:from>
    <xdr:to>
      <xdr:col>26</xdr:col>
      <xdr:colOff>15240</xdr:colOff>
      <xdr:row>117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15240</xdr:colOff>
      <xdr:row>124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123</xdr:row>
      <xdr:rowOff>0</xdr:rowOff>
    </xdr:from>
    <xdr:to>
      <xdr:col>4</xdr:col>
      <xdr:colOff>15240</xdr:colOff>
      <xdr:row>124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123</xdr:row>
      <xdr:rowOff>0</xdr:rowOff>
    </xdr:from>
    <xdr:to>
      <xdr:col>6</xdr:col>
      <xdr:colOff>15240</xdr:colOff>
      <xdr:row>124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123</xdr:row>
      <xdr:rowOff>0</xdr:rowOff>
    </xdr:from>
    <xdr:to>
      <xdr:col>8</xdr:col>
      <xdr:colOff>15240</xdr:colOff>
      <xdr:row>124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123</xdr:row>
      <xdr:rowOff>0</xdr:rowOff>
    </xdr:from>
    <xdr:to>
      <xdr:col>10</xdr:col>
      <xdr:colOff>15240</xdr:colOff>
      <xdr:row>124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123</xdr:row>
      <xdr:rowOff>0</xdr:rowOff>
    </xdr:from>
    <xdr:to>
      <xdr:col>12</xdr:col>
      <xdr:colOff>15240</xdr:colOff>
      <xdr:row>124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123</xdr:row>
      <xdr:rowOff>0</xdr:rowOff>
    </xdr:from>
    <xdr:to>
      <xdr:col>14</xdr:col>
      <xdr:colOff>15240</xdr:colOff>
      <xdr:row>124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123</xdr:row>
      <xdr:rowOff>0</xdr:rowOff>
    </xdr:from>
    <xdr:to>
      <xdr:col>16</xdr:col>
      <xdr:colOff>15240</xdr:colOff>
      <xdr:row>124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123</xdr:row>
      <xdr:rowOff>0</xdr:rowOff>
    </xdr:from>
    <xdr:to>
      <xdr:col>18</xdr:col>
      <xdr:colOff>15240</xdr:colOff>
      <xdr:row>124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123</xdr:row>
      <xdr:rowOff>0</xdr:rowOff>
    </xdr:from>
    <xdr:to>
      <xdr:col>20</xdr:col>
      <xdr:colOff>15240</xdr:colOff>
      <xdr:row>124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123</xdr:row>
      <xdr:rowOff>0</xdr:rowOff>
    </xdr:from>
    <xdr:to>
      <xdr:col>22</xdr:col>
      <xdr:colOff>15240</xdr:colOff>
      <xdr:row>124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15240</xdr:colOff>
      <xdr:row>124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123</xdr:row>
      <xdr:rowOff>0</xdr:rowOff>
    </xdr:from>
    <xdr:to>
      <xdr:col>26</xdr:col>
      <xdr:colOff>15240</xdr:colOff>
      <xdr:row>124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15240</xdr:colOff>
      <xdr:row>132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131</xdr:row>
      <xdr:rowOff>0</xdr:rowOff>
    </xdr:from>
    <xdr:to>
      <xdr:col>4</xdr:col>
      <xdr:colOff>15240</xdr:colOff>
      <xdr:row>132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131</xdr:row>
      <xdr:rowOff>0</xdr:rowOff>
    </xdr:from>
    <xdr:to>
      <xdr:col>6</xdr:col>
      <xdr:colOff>15240</xdr:colOff>
      <xdr:row>132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131</xdr:row>
      <xdr:rowOff>0</xdr:rowOff>
    </xdr:from>
    <xdr:to>
      <xdr:col>8</xdr:col>
      <xdr:colOff>15240</xdr:colOff>
      <xdr:row>132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131</xdr:row>
      <xdr:rowOff>0</xdr:rowOff>
    </xdr:from>
    <xdr:to>
      <xdr:col>10</xdr:col>
      <xdr:colOff>15240</xdr:colOff>
      <xdr:row>132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131</xdr:row>
      <xdr:rowOff>0</xdr:rowOff>
    </xdr:from>
    <xdr:to>
      <xdr:col>12</xdr:col>
      <xdr:colOff>15240</xdr:colOff>
      <xdr:row>132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131</xdr:row>
      <xdr:rowOff>0</xdr:rowOff>
    </xdr:from>
    <xdr:to>
      <xdr:col>14</xdr:col>
      <xdr:colOff>15240</xdr:colOff>
      <xdr:row>132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131</xdr:row>
      <xdr:rowOff>0</xdr:rowOff>
    </xdr:from>
    <xdr:to>
      <xdr:col>16</xdr:col>
      <xdr:colOff>15240</xdr:colOff>
      <xdr:row>132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131</xdr:row>
      <xdr:rowOff>0</xdr:rowOff>
    </xdr:from>
    <xdr:to>
      <xdr:col>18</xdr:col>
      <xdr:colOff>15240</xdr:colOff>
      <xdr:row>132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131</xdr:row>
      <xdr:rowOff>0</xdr:rowOff>
    </xdr:from>
    <xdr:to>
      <xdr:col>20</xdr:col>
      <xdr:colOff>15240</xdr:colOff>
      <xdr:row>132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131</xdr:row>
      <xdr:rowOff>0</xdr:rowOff>
    </xdr:from>
    <xdr:to>
      <xdr:col>22</xdr:col>
      <xdr:colOff>15240</xdr:colOff>
      <xdr:row>132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131</xdr:row>
      <xdr:rowOff>0</xdr:rowOff>
    </xdr:from>
    <xdr:to>
      <xdr:col>24</xdr:col>
      <xdr:colOff>15240</xdr:colOff>
      <xdr:row>132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131</xdr:row>
      <xdr:rowOff>0</xdr:rowOff>
    </xdr:from>
    <xdr:to>
      <xdr:col>26</xdr:col>
      <xdr:colOff>15240</xdr:colOff>
      <xdr:row>132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15240</xdr:colOff>
      <xdr:row>140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139</xdr:row>
      <xdr:rowOff>76200</xdr:rowOff>
    </xdr:from>
    <xdr:to>
      <xdr:col>4</xdr:col>
      <xdr:colOff>60032</xdr:colOff>
      <xdr:row>140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139</xdr:row>
      <xdr:rowOff>0</xdr:rowOff>
    </xdr:from>
    <xdr:to>
      <xdr:col>6</xdr:col>
      <xdr:colOff>15240</xdr:colOff>
      <xdr:row>140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15240</xdr:colOff>
      <xdr:row>140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139</xdr:row>
      <xdr:rowOff>0</xdr:rowOff>
    </xdr:from>
    <xdr:to>
      <xdr:col>10</xdr:col>
      <xdr:colOff>15240</xdr:colOff>
      <xdr:row>140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15240</xdr:colOff>
      <xdr:row>140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139</xdr:row>
      <xdr:rowOff>0</xdr:rowOff>
    </xdr:from>
    <xdr:to>
      <xdr:col>14</xdr:col>
      <xdr:colOff>15240</xdr:colOff>
      <xdr:row>140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139</xdr:row>
      <xdr:rowOff>0</xdr:rowOff>
    </xdr:from>
    <xdr:to>
      <xdr:col>16</xdr:col>
      <xdr:colOff>15240</xdr:colOff>
      <xdr:row>140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139</xdr:row>
      <xdr:rowOff>0</xdr:rowOff>
    </xdr:from>
    <xdr:to>
      <xdr:col>18</xdr:col>
      <xdr:colOff>15240</xdr:colOff>
      <xdr:row>140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139</xdr:row>
      <xdr:rowOff>0</xdr:rowOff>
    </xdr:from>
    <xdr:to>
      <xdr:col>20</xdr:col>
      <xdr:colOff>15240</xdr:colOff>
      <xdr:row>140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139</xdr:row>
      <xdr:rowOff>0</xdr:rowOff>
    </xdr:from>
    <xdr:to>
      <xdr:col>22</xdr:col>
      <xdr:colOff>15240</xdr:colOff>
      <xdr:row>140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139</xdr:row>
      <xdr:rowOff>0</xdr:rowOff>
    </xdr:from>
    <xdr:to>
      <xdr:col>24</xdr:col>
      <xdr:colOff>15240</xdr:colOff>
      <xdr:row>140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139</xdr:row>
      <xdr:rowOff>0</xdr:rowOff>
    </xdr:from>
    <xdr:to>
      <xdr:col>26</xdr:col>
      <xdr:colOff>15240</xdr:colOff>
      <xdr:row>140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146</xdr:row>
      <xdr:rowOff>31750</xdr:rowOff>
    </xdr:from>
    <xdr:to>
      <xdr:col>2</xdr:col>
      <xdr:colOff>15240</xdr:colOff>
      <xdr:row>148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146</xdr:row>
      <xdr:rowOff>31750</xdr:rowOff>
    </xdr:from>
    <xdr:to>
      <xdr:col>4</xdr:col>
      <xdr:colOff>15240</xdr:colOff>
      <xdr:row>148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146</xdr:row>
      <xdr:rowOff>31750</xdr:rowOff>
    </xdr:from>
    <xdr:to>
      <xdr:col>6</xdr:col>
      <xdr:colOff>15240</xdr:colOff>
      <xdr:row>148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146</xdr:row>
      <xdr:rowOff>31750</xdr:rowOff>
    </xdr:from>
    <xdr:to>
      <xdr:col>8</xdr:col>
      <xdr:colOff>15240</xdr:colOff>
      <xdr:row>148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146</xdr:row>
      <xdr:rowOff>31750</xdr:rowOff>
    </xdr:from>
    <xdr:to>
      <xdr:col>10</xdr:col>
      <xdr:colOff>15240</xdr:colOff>
      <xdr:row>148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146</xdr:row>
      <xdr:rowOff>31750</xdr:rowOff>
    </xdr:from>
    <xdr:to>
      <xdr:col>12</xdr:col>
      <xdr:colOff>15240</xdr:colOff>
      <xdr:row>148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146</xdr:row>
      <xdr:rowOff>31750</xdr:rowOff>
    </xdr:from>
    <xdr:to>
      <xdr:col>14</xdr:col>
      <xdr:colOff>15240</xdr:colOff>
      <xdr:row>148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146</xdr:row>
      <xdr:rowOff>31750</xdr:rowOff>
    </xdr:from>
    <xdr:to>
      <xdr:col>16</xdr:col>
      <xdr:colOff>15240</xdr:colOff>
      <xdr:row>148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146</xdr:row>
      <xdr:rowOff>31750</xdr:rowOff>
    </xdr:from>
    <xdr:to>
      <xdr:col>18</xdr:col>
      <xdr:colOff>15240</xdr:colOff>
      <xdr:row>148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146</xdr:row>
      <xdr:rowOff>31750</xdr:rowOff>
    </xdr:from>
    <xdr:to>
      <xdr:col>20</xdr:col>
      <xdr:colOff>15240</xdr:colOff>
      <xdr:row>148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146</xdr:row>
      <xdr:rowOff>31750</xdr:rowOff>
    </xdr:from>
    <xdr:to>
      <xdr:col>22</xdr:col>
      <xdr:colOff>15240</xdr:colOff>
      <xdr:row>148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146</xdr:row>
      <xdr:rowOff>15875</xdr:rowOff>
    </xdr:from>
    <xdr:to>
      <xdr:col>24</xdr:col>
      <xdr:colOff>15240</xdr:colOff>
      <xdr:row>147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146</xdr:row>
      <xdr:rowOff>15875</xdr:rowOff>
    </xdr:from>
    <xdr:to>
      <xdr:col>26</xdr:col>
      <xdr:colOff>15240</xdr:colOff>
      <xdr:row>147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15240</xdr:colOff>
      <xdr:row>155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15240</xdr:colOff>
      <xdr:row>155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154</xdr:row>
      <xdr:rowOff>0</xdr:rowOff>
    </xdr:from>
    <xdr:to>
      <xdr:col>6</xdr:col>
      <xdr:colOff>15240</xdr:colOff>
      <xdr:row>155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15240</xdr:colOff>
      <xdr:row>155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154</xdr:row>
      <xdr:rowOff>15875</xdr:rowOff>
    </xdr:from>
    <xdr:to>
      <xdr:col>10</xdr:col>
      <xdr:colOff>31115</xdr:colOff>
      <xdr:row>155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154</xdr:row>
      <xdr:rowOff>0</xdr:rowOff>
    </xdr:from>
    <xdr:to>
      <xdr:col>12</xdr:col>
      <xdr:colOff>15240</xdr:colOff>
      <xdr:row>155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15240</xdr:colOff>
      <xdr:row>155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154</xdr:row>
      <xdr:rowOff>0</xdr:rowOff>
    </xdr:from>
    <xdr:to>
      <xdr:col>16</xdr:col>
      <xdr:colOff>15240</xdr:colOff>
      <xdr:row>155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154</xdr:row>
      <xdr:rowOff>0</xdr:rowOff>
    </xdr:from>
    <xdr:to>
      <xdr:col>18</xdr:col>
      <xdr:colOff>15240</xdr:colOff>
      <xdr:row>155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15240</xdr:colOff>
      <xdr:row>155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154</xdr:row>
      <xdr:rowOff>0</xdr:rowOff>
    </xdr:from>
    <xdr:to>
      <xdr:col>22</xdr:col>
      <xdr:colOff>15240</xdr:colOff>
      <xdr:row>155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154</xdr:row>
      <xdr:rowOff>0</xdr:rowOff>
    </xdr:from>
    <xdr:to>
      <xdr:col>24</xdr:col>
      <xdr:colOff>15240</xdr:colOff>
      <xdr:row>155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15240</xdr:colOff>
      <xdr:row>155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161</xdr:row>
      <xdr:rowOff>0</xdr:rowOff>
    </xdr:from>
    <xdr:to>
      <xdr:col>2</xdr:col>
      <xdr:colOff>15240</xdr:colOff>
      <xdr:row>162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15240</xdr:colOff>
      <xdr:row>162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161</xdr:row>
      <xdr:rowOff>0</xdr:rowOff>
    </xdr:from>
    <xdr:to>
      <xdr:col>6</xdr:col>
      <xdr:colOff>15240</xdr:colOff>
      <xdr:row>162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161</xdr:row>
      <xdr:rowOff>0</xdr:rowOff>
    </xdr:from>
    <xdr:to>
      <xdr:col>8</xdr:col>
      <xdr:colOff>15240</xdr:colOff>
      <xdr:row>162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161</xdr:row>
      <xdr:rowOff>0</xdr:rowOff>
    </xdr:from>
    <xdr:to>
      <xdr:col>10</xdr:col>
      <xdr:colOff>15240</xdr:colOff>
      <xdr:row>162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161</xdr:row>
      <xdr:rowOff>0</xdr:rowOff>
    </xdr:from>
    <xdr:to>
      <xdr:col>12</xdr:col>
      <xdr:colOff>15240</xdr:colOff>
      <xdr:row>162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161</xdr:row>
      <xdr:rowOff>0</xdr:rowOff>
    </xdr:from>
    <xdr:to>
      <xdr:col>14</xdr:col>
      <xdr:colOff>15240</xdr:colOff>
      <xdr:row>162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161</xdr:row>
      <xdr:rowOff>0</xdr:rowOff>
    </xdr:from>
    <xdr:to>
      <xdr:col>16</xdr:col>
      <xdr:colOff>15240</xdr:colOff>
      <xdr:row>162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161</xdr:row>
      <xdr:rowOff>0</xdr:rowOff>
    </xdr:from>
    <xdr:to>
      <xdr:col>18</xdr:col>
      <xdr:colOff>15240</xdr:colOff>
      <xdr:row>162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161</xdr:row>
      <xdr:rowOff>0</xdr:rowOff>
    </xdr:from>
    <xdr:to>
      <xdr:col>20</xdr:col>
      <xdr:colOff>15240</xdr:colOff>
      <xdr:row>162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161</xdr:row>
      <xdr:rowOff>0</xdr:rowOff>
    </xdr:from>
    <xdr:to>
      <xdr:col>22</xdr:col>
      <xdr:colOff>15240</xdr:colOff>
      <xdr:row>162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161</xdr:row>
      <xdr:rowOff>0</xdr:rowOff>
    </xdr:from>
    <xdr:to>
      <xdr:col>24</xdr:col>
      <xdr:colOff>15240</xdr:colOff>
      <xdr:row>162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161</xdr:row>
      <xdr:rowOff>0</xdr:rowOff>
    </xdr:from>
    <xdr:to>
      <xdr:col>26</xdr:col>
      <xdr:colOff>15240</xdr:colOff>
      <xdr:row>162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168</xdr:row>
      <xdr:rowOff>0</xdr:rowOff>
    </xdr:from>
    <xdr:to>
      <xdr:col>2</xdr:col>
      <xdr:colOff>15240</xdr:colOff>
      <xdr:row>169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168</xdr:row>
      <xdr:rowOff>0</xdr:rowOff>
    </xdr:from>
    <xdr:to>
      <xdr:col>4</xdr:col>
      <xdr:colOff>15240</xdr:colOff>
      <xdr:row>169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168</xdr:row>
      <xdr:rowOff>0</xdr:rowOff>
    </xdr:from>
    <xdr:to>
      <xdr:col>6</xdr:col>
      <xdr:colOff>15240</xdr:colOff>
      <xdr:row>169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168</xdr:row>
      <xdr:rowOff>0</xdr:rowOff>
    </xdr:from>
    <xdr:to>
      <xdr:col>8</xdr:col>
      <xdr:colOff>15240</xdr:colOff>
      <xdr:row>169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168</xdr:row>
      <xdr:rowOff>0</xdr:rowOff>
    </xdr:from>
    <xdr:to>
      <xdr:col>10</xdr:col>
      <xdr:colOff>15240</xdr:colOff>
      <xdr:row>169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168</xdr:row>
      <xdr:rowOff>0</xdr:rowOff>
    </xdr:from>
    <xdr:to>
      <xdr:col>12</xdr:col>
      <xdr:colOff>15240</xdr:colOff>
      <xdr:row>169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168</xdr:row>
      <xdr:rowOff>0</xdr:rowOff>
    </xdr:from>
    <xdr:to>
      <xdr:col>14</xdr:col>
      <xdr:colOff>15240</xdr:colOff>
      <xdr:row>169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168</xdr:row>
      <xdr:rowOff>0</xdr:rowOff>
    </xdr:from>
    <xdr:to>
      <xdr:col>16</xdr:col>
      <xdr:colOff>15240</xdr:colOff>
      <xdr:row>169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168</xdr:row>
      <xdr:rowOff>0</xdr:rowOff>
    </xdr:from>
    <xdr:to>
      <xdr:col>18</xdr:col>
      <xdr:colOff>15240</xdr:colOff>
      <xdr:row>169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168</xdr:row>
      <xdr:rowOff>0</xdr:rowOff>
    </xdr:from>
    <xdr:to>
      <xdr:col>20</xdr:col>
      <xdr:colOff>15240</xdr:colOff>
      <xdr:row>169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168</xdr:row>
      <xdr:rowOff>0</xdr:rowOff>
    </xdr:from>
    <xdr:to>
      <xdr:col>22</xdr:col>
      <xdr:colOff>15240</xdr:colOff>
      <xdr:row>169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168</xdr:row>
      <xdr:rowOff>0</xdr:rowOff>
    </xdr:from>
    <xdr:to>
      <xdr:col>24</xdr:col>
      <xdr:colOff>15240</xdr:colOff>
      <xdr:row>169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168</xdr:row>
      <xdr:rowOff>0</xdr:rowOff>
    </xdr:from>
    <xdr:to>
      <xdr:col>26</xdr:col>
      <xdr:colOff>15240</xdr:colOff>
      <xdr:row>169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175</xdr:row>
      <xdr:rowOff>0</xdr:rowOff>
    </xdr:from>
    <xdr:to>
      <xdr:col>2</xdr:col>
      <xdr:colOff>15240</xdr:colOff>
      <xdr:row>176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175</xdr:row>
      <xdr:rowOff>0</xdr:rowOff>
    </xdr:from>
    <xdr:to>
      <xdr:col>4</xdr:col>
      <xdr:colOff>15240</xdr:colOff>
      <xdr:row>176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175</xdr:row>
      <xdr:rowOff>0</xdr:rowOff>
    </xdr:from>
    <xdr:to>
      <xdr:col>6</xdr:col>
      <xdr:colOff>15240</xdr:colOff>
      <xdr:row>176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175</xdr:row>
      <xdr:rowOff>0</xdr:rowOff>
    </xdr:from>
    <xdr:to>
      <xdr:col>8</xdr:col>
      <xdr:colOff>15240</xdr:colOff>
      <xdr:row>176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175</xdr:row>
      <xdr:rowOff>0</xdr:rowOff>
    </xdr:from>
    <xdr:to>
      <xdr:col>10</xdr:col>
      <xdr:colOff>15240</xdr:colOff>
      <xdr:row>176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175</xdr:row>
      <xdr:rowOff>0</xdr:rowOff>
    </xdr:from>
    <xdr:to>
      <xdr:col>12</xdr:col>
      <xdr:colOff>15240</xdr:colOff>
      <xdr:row>176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175</xdr:row>
      <xdr:rowOff>0</xdr:rowOff>
    </xdr:from>
    <xdr:to>
      <xdr:col>14</xdr:col>
      <xdr:colOff>15240</xdr:colOff>
      <xdr:row>176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175</xdr:row>
      <xdr:rowOff>0</xdr:rowOff>
    </xdr:from>
    <xdr:to>
      <xdr:col>16</xdr:col>
      <xdr:colOff>15240</xdr:colOff>
      <xdr:row>176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175</xdr:row>
      <xdr:rowOff>0</xdr:rowOff>
    </xdr:from>
    <xdr:to>
      <xdr:col>18</xdr:col>
      <xdr:colOff>15240</xdr:colOff>
      <xdr:row>176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175</xdr:row>
      <xdr:rowOff>0</xdr:rowOff>
    </xdr:from>
    <xdr:to>
      <xdr:col>20</xdr:col>
      <xdr:colOff>15240</xdr:colOff>
      <xdr:row>176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175</xdr:row>
      <xdr:rowOff>0</xdr:rowOff>
    </xdr:from>
    <xdr:to>
      <xdr:col>22</xdr:col>
      <xdr:colOff>15240</xdr:colOff>
      <xdr:row>176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175</xdr:row>
      <xdr:rowOff>0</xdr:rowOff>
    </xdr:from>
    <xdr:to>
      <xdr:col>24</xdr:col>
      <xdr:colOff>15240</xdr:colOff>
      <xdr:row>176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175</xdr:row>
      <xdr:rowOff>0</xdr:rowOff>
    </xdr:from>
    <xdr:to>
      <xdr:col>26</xdr:col>
      <xdr:colOff>15240</xdr:colOff>
      <xdr:row>176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183</xdr:row>
      <xdr:rowOff>0</xdr:rowOff>
    </xdr:from>
    <xdr:to>
      <xdr:col>2</xdr:col>
      <xdr:colOff>15240</xdr:colOff>
      <xdr:row>184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15240</xdr:colOff>
      <xdr:row>184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183</xdr:row>
      <xdr:rowOff>0</xdr:rowOff>
    </xdr:from>
    <xdr:to>
      <xdr:col>6</xdr:col>
      <xdr:colOff>15240</xdr:colOff>
      <xdr:row>184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183</xdr:row>
      <xdr:rowOff>0</xdr:rowOff>
    </xdr:from>
    <xdr:to>
      <xdr:col>8</xdr:col>
      <xdr:colOff>15240</xdr:colOff>
      <xdr:row>184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183</xdr:row>
      <xdr:rowOff>0</xdr:rowOff>
    </xdr:from>
    <xdr:to>
      <xdr:col>10</xdr:col>
      <xdr:colOff>15240</xdr:colOff>
      <xdr:row>184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183</xdr:row>
      <xdr:rowOff>0</xdr:rowOff>
    </xdr:from>
    <xdr:to>
      <xdr:col>12</xdr:col>
      <xdr:colOff>15240</xdr:colOff>
      <xdr:row>184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15240</xdr:colOff>
      <xdr:row>184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183</xdr:row>
      <xdr:rowOff>0</xdr:rowOff>
    </xdr:from>
    <xdr:to>
      <xdr:col>16</xdr:col>
      <xdr:colOff>15240</xdr:colOff>
      <xdr:row>184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183</xdr:row>
      <xdr:rowOff>0</xdr:rowOff>
    </xdr:from>
    <xdr:to>
      <xdr:col>18</xdr:col>
      <xdr:colOff>15240</xdr:colOff>
      <xdr:row>184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183</xdr:row>
      <xdr:rowOff>0</xdr:rowOff>
    </xdr:from>
    <xdr:to>
      <xdr:col>20</xdr:col>
      <xdr:colOff>15240</xdr:colOff>
      <xdr:row>184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183</xdr:row>
      <xdr:rowOff>0</xdr:rowOff>
    </xdr:from>
    <xdr:to>
      <xdr:col>22</xdr:col>
      <xdr:colOff>15240</xdr:colOff>
      <xdr:row>184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183</xdr:row>
      <xdr:rowOff>0</xdr:rowOff>
    </xdr:from>
    <xdr:to>
      <xdr:col>24</xdr:col>
      <xdr:colOff>15240</xdr:colOff>
      <xdr:row>184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183</xdr:row>
      <xdr:rowOff>0</xdr:rowOff>
    </xdr:from>
    <xdr:to>
      <xdr:col>26</xdr:col>
      <xdr:colOff>15240</xdr:colOff>
      <xdr:row>184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191</xdr:row>
      <xdr:rowOff>0</xdr:rowOff>
    </xdr:from>
    <xdr:to>
      <xdr:col>2</xdr:col>
      <xdr:colOff>15240</xdr:colOff>
      <xdr:row>192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191</xdr:row>
      <xdr:rowOff>0</xdr:rowOff>
    </xdr:from>
    <xdr:to>
      <xdr:col>4</xdr:col>
      <xdr:colOff>15240</xdr:colOff>
      <xdr:row>192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15240</xdr:colOff>
      <xdr:row>192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191</xdr:row>
      <xdr:rowOff>0</xdr:rowOff>
    </xdr:from>
    <xdr:to>
      <xdr:col>8</xdr:col>
      <xdr:colOff>15240</xdr:colOff>
      <xdr:row>192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191</xdr:row>
      <xdr:rowOff>0</xdr:rowOff>
    </xdr:from>
    <xdr:to>
      <xdr:col>10</xdr:col>
      <xdr:colOff>15240</xdr:colOff>
      <xdr:row>192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191</xdr:row>
      <xdr:rowOff>0</xdr:rowOff>
    </xdr:from>
    <xdr:to>
      <xdr:col>12</xdr:col>
      <xdr:colOff>15240</xdr:colOff>
      <xdr:row>192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191</xdr:row>
      <xdr:rowOff>0</xdr:rowOff>
    </xdr:from>
    <xdr:to>
      <xdr:col>14</xdr:col>
      <xdr:colOff>15240</xdr:colOff>
      <xdr:row>192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191</xdr:row>
      <xdr:rowOff>0</xdr:rowOff>
    </xdr:from>
    <xdr:to>
      <xdr:col>16</xdr:col>
      <xdr:colOff>15240</xdr:colOff>
      <xdr:row>192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191</xdr:row>
      <xdr:rowOff>0</xdr:rowOff>
    </xdr:from>
    <xdr:to>
      <xdr:col>18</xdr:col>
      <xdr:colOff>15240</xdr:colOff>
      <xdr:row>192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191</xdr:row>
      <xdr:rowOff>0</xdr:rowOff>
    </xdr:from>
    <xdr:to>
      <xdr:col>20</xdr:col>
      <xdr:colOff>15240</xdr:colOff>
      <xdr:row>192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191</xdr:row>
      <xdr:rowOff>0</xdr:rowOff>
    </xdr:from>
    <xdr:to>
      <xdr:col>22</xdr:col>
      <xdr:colOff>15240</xdr:colOff>
      <xdr:row>192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191</xdr:row>
      <xdr:rowOff>0</xdr:rowOff>
    </xdr:from>
    <xdr:to>
      <xdr:col>24</xdr:col>
      <xdr:colOff>15240</xdr:colOff>
      <xdr:row>192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191</xdr:row>
      <xdr:rowOff>0</xdr:rowOff>
    </xdr:from>
    <xdr:to>
      <xdr:col>26</xdr:col>
      <xdr:colOff>15240</xdr:colOff>
      <xdr:row>192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198</xdr:row>
      <xdr:rowOff>0</xdr:rowOff>
    </xdr:from>
    <xdr:to>
      <xdr:col>2</xdr:col>
      <xdr:colOff>15240</xdr:colOff>
      <xdr:row>199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198</xdr:row>
      <xdr:rowOff>0</xdr:rowOff>
    </xdr:from>
    <xdr:to>
      <xdr:col>4</xdr:col>
      <xdr:colOff>15240</xdr:colOff>
      <xdr:row>199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198</xdr:row>
      <xdr:rowOff>0</xdr:rowOff>
    </xdr:from>
    <xdr:to>
      <xdr:col>6</xdr:col>
      <xdr:colOff>15240</xdr:colOff>
      <xdr:row>199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198</xdr:row>
      <xdr:rowOff>0</xdr:rowOff>
    </xdr:from>
    <xdr:to>
      <xdr:col>8</xdr:col>
      <xdr:colOff>15240</xdr:colOff>
      <xdr:row>199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198</xdr:row>
      <xdr:rowOff>0</xdr:rowOff>
    </xdr:from>
    <xdr:to>
      <xdr:col>10</xdr:col>
      <xdr:colOff>15240</xdr:colOff>
      <xdr:row>199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198</xdr:row>
      <xdr:rowOff>0</xdr:rowOff>
    </xdr:from>
    <xdr:to>
      <xdr:col>12</xdr:col>
      <xdr:colOff>15240</xdr:colOff>
      <xdr:row>199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198</xdr:row>
      <xdr:rowOff>0</xdr:rowOff>
    </xdr:from>
    <xdr:to>
      <xdr:col>14</xdr:col>
      <xdr:colOff>15240</xdr:colOff>
      <xdr:row>199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198</xdr:row>
      <xdr:rowOff>0</xdr:rowOff>
    </xdr:from>
    <xdr:to>
      <xdr:col>16</xdr:col>
      <xdr:colOff>15240</xdr:colOff>
      <xdr:row>199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198</xdr:row>
      <xdr:rowOff>0</xdr:rowOff>
    </xdr:from>
    <xdr:to>
      <xdr:col>18</xdr:col>
      <xdr:colOff>15240</xdr:colOff>
      <xdr:row>199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198</xdr:row>
      <xdr:rowOff>0</xdr:rowOff>
    </xdr:from>
    <xdr:to>
      <xdr:col>20</xdr:col>
      <xdr:colOff>15240</xdr:colOff>
      <xdr:row>199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198</xdr:row>
      <xdr:rowOff>0</xdr:rowOff>
    </xdr:from>
    <xdr:to>
      <xdr:col>24</xdr:col>
      <xdr:colOff>15240</xdr:colOff>
      <xdr:row>199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198</xdr:row>
      <xdr:rowOff>0</xdr:rowOff>
    </xdr:from>
    <xdr:to>
      <xdr:col>26</xdr:col>
      <xdr:colOff>15240</xdr:colOff>
      <xdr:row>199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205</xdr:row>
      <xdr:rowOff>0</xdr:rowOff>
    </xdr:from>
    <xdr:to>
      <xdr:col>2</xdr:col>
      <xdr:colOff>15240</xdr:colOff>
      <xdr:row>206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4</xdr:col>
      <xdr:colOff>15240</xdr:colOff>
      <xdr:row>206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205</xdr:row>
      <xdr:rowOff>0</xdr:rowOff>
    </xdr:from>
    <xdr:to>
      <xdr:col>6</xdr:col>
      <xdr:colOff>15240</xdr:colOff>
      <xdr:row>206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205</xdr:row>
      <xdr:rowOff>0</xdr:rowOff>
    </xdr:from>
    <xdr:to>
      <xdr:col>8</xdr:col>
      <xdr:colOff>15240</xdr:colOff>
      <xdr:row>206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205</xdr:row>
      <xdr:rowOff>0</xdr:rowOff>
    </xdr:from>
    <xdr:to>
      <xdr:col>10</xdr:col>
      <xdr:colOff>15240</xdr:colOff>
      <xdr:row>206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205</xdr:row>
      <xdr:rowOff>0</xdr:rowOff>
    </xdr:from>
    <xdr:to>
      <xdr:col>12</xdr:col>
      <xdr:colOff>15240</xdr:colOff>
      <xdr:row>206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205</xdr:row>
      <xdr:rowOff>0</xdr:rowOff>
    </xdr:from>
    <xdr:to>
      <xdr:col>14</xdr:col>
      <xdr:colOff>15240</xdr:colOff>
      <xdr:row>206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205</xdr:row>
      <xdr:rowOff>0</xdr:rowOff>
    </xdr:from>
    <xdr:to>
      <xdr:col>16</xdr:col>
      <xdr:colOff>15240</xdr:colOff>
      <xdr:row>206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205</xdr:row>
      <xdr:rowOff>0</xdr:rowOff>
    </xdr:from>
    <xdr:to>
      <xdr:col>18</xdr:col>
      <xdr:colOff>15240</xdr:colOff>
      <xdr:row>206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205</xdr:row>
      <xdr:rowOff>0</xdr:rowOff>
    </xdr:from>
    <xdr:to>
      <xdr:col>20</xdr:col>
      <xdr:colOff>15240</xdr:colOff>
      <xdr:row>206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205</xdr:row>
      <xdr:rowOff>0</xdr:rowOff>
    </xdr:from>
    <xdr:to>
      <xdr:col>22</xdr:col>
      <xdr:colOff>15240</xdr:colOff>
      <xdr:row>206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205</xdr:row>
      <xdr:rowOff>0</xdr:rowOff>
    </xdr:from>
    <xdr:to>
      <xdr:col>24</xdr:col>
      <xdr:colOff>15240</xdr:colOff>
      <xdr:row>206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205</xdr:row>
      <xdr:rowOff>0</xdr:rowOff>
    </xdr:from>
    <xdr:to>
      <xdr:col>26</xdr:col>
      <xdr:colOff>15240</xdr:colOff>
      <xdr:row>206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212</xdr:row>
      <xdr:rowOff>0</xdr:rowOff>
    </xdr:from>
    <xdr:to>
      <xdr:col>2</xdr:col>
      <xdr:colOff>15240</xdr:colOff>
      <xdr:row>213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212</xdr:row>
      <xdr:rowOff>19050</xdr:rowOff>
    </xdr:from>
    <xdr:to>
      <xdr:col>4</xdr:col>
      <xdr:colOff>15240</xdr:colOff>
      <xdr:row>213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212</xdr:row>
      <xdr:rowOff>0</xdr:rowOff>
    </xdr:from>
    <xdr:to>
      <xdr:col>6</xdr:col>
      <xdr:colOff>15240</xdr:colOff>
      <xdr:row>213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212</xdr:row>
      <xdr:rowOff>0</xdr:rowOff>
    </xdr:from>
    <xdr:to>
      <xdr:col>8</xdr:col>
      <xdr:colOff>15240</xdr:colOff>
      <xdr:row>213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212</xdr:row>
      <xdr:rowOff>0</xdr:rowOff>
    </xdr:from>
    <xdr:to>
      <xdr:col>10</xdr:col>
      <xdr:colOff>15240</xdr:colOff>
      <xdr:row>213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212</xdr:row>
      <xdr:rowOff>0</xdr:rowOff>
    </xdr:from>
    <xdr:to>
      <xdr:col>12</xdr:col>
      <xdr:colOff>15240</xdr:colOff>
      <xdr:row>213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212</xdr:row>
      <xdr:rowOff>0</xdr:rowOff>
    </xdr:from>
    <xdr:to>
      <xdr:col>14</xdr:col>
      <xdr:colOff>15240</xdr:colOff>
      <xdr:row>213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212</xdr:row>
      <xdr:rowOff>0</xdr:rowOff>
    </xdr:from>
    <xdr:to>
      <xdr:col>16</xdr:col>
      <xdr:colOff>15240</xdr:colOff>
      <xdr:row>213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212</xdr:row>
      <xdr:rowOff>0</xdr:rowOff>
    </xdr:from>
    <xdr:to>
      <xdr:col>18</xdr:col>
      <xdr:colOff>15240</xdr:colOff>
      <xdr:row>213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212</xdr:row>
      <xdr:rowOff>0</xdr:rowOff>
    </xdr:from>
    <xdr:to>
      <xdr:col>20</xdr:col>
      <xdr:colOff>15240</xdr:colOff>
      <xdr:row>213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212</xdr:row>
      <xdr:rowOff>0</xdr:rowOff>
    </xdr:from>
    <xdr:to>
      <xdr:col>22</xdr:col>
      <xdr:colOff>15240</xdr:colOff>
      <xdr:row>213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212</xdr:row>
      <xdr:rowOff>0</xdr:rowOff>
    </xdr:from>
    <xdr:to>
      <xdr:col>24</xdr:col>
      <xdr:colOff>15240</xdr:colOff>
      <xdr:row>213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24</xdr:row>
      <xdr:rowOff>15873</xdr:rowOff>
    </xdr:from>
    <xdr:to>
      <xdr:col>22</xdr:col>
      <xdr:colOff>301626</xdr:colOff>
      <xdr:row>25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317500</xdr:colOff>
      <xdr:row>26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206374</xdr:rowOff>
    </xdr:from>
    <xdr:to>
      <xdr:col>26</xdr:col>
      <xdr:colOff>333375</xdr:colOff>
      <xdr:row>25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174625</xdr:rowOff>
    </xdr:from>
    <xdr:to>
      <xdr:col>2</xdr:col>
      <xdr:colOff>261937</xdr:colOff>
      <xdr:row>34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261937</xdr:colOff>
      <xdr:row>34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261937</xdr:colOff>
      <xdr:row>34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261937</xdr:colOff>
      <xdr:row>34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261937</xdr:colOff>
      <xdr:row>34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261937</xdr:colOff>
      <xdr:row>34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261937</xdr:colOff>
      <xdr:row>34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261937</xdr:colOff>
      <xdr:row>34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261937</xdr:colOff>
      <xdr:row>34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261937</xdr:colOff>
      <xdr:row>48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261937</xdr:colOff>
      <xdr:row>48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261937</xdr:colOff>
      <xdr:row>55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47</xdr:row>
      <xdr:rowOff>0</xdr:rowOff>
    </xdr:from>
    <xdr:to>
      <xdr:col>26</xdr:col>
      <xdr:colOff>261937</xdr:colOff>
      <xdr:row>48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261937</xdr:colOff>
      <xdr:row>144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261937</xdr:colOff>
      <xdr:row>144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143</xdr:row>
      <xdr:rowOff>0</xdr:rowOff>
    </xdr:from>
    <xdr:to>
      <xdr:col>10</xdr:col>
      <xdr:colOff>261937</xdr:colOff>
      <xdr:row>144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143</xdr:row>
      <xdr:rowOff>0</xdr:rowOff>
    </xdr:from>
    <xdr:to>
      <xdr:col>12</xdr:col>
      <xdr:colOff>261937</xdr:colOff>
      <xdr:row>144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261937</xdr:colOff>
      <xdr:row>144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261937</xdr:colOff>
      <xdr:row>48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143</xdr:row>
      <xdr:rowOff>0</xdr:rowOff>
    </xdr:from>
    <xdr:to>
      <xdr:col>18</xdr:col>
      <xdr:colOff>261937</xdr:colOff>
      <xdr:row>144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47</xdr:row>
      <xdr:rowOff>0</xdr:rowOff>
    </xdr:from>
    <xdr:to>
      <xdr:col>8</xdr:col>
      <xdr:colOff>261937</xdr:colOff>
      <xdr:row>48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261937</xdr:colOff>
      <xdr:row>144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143</xdr:row>
      <xdr:rowOff>0</xdr:rowOff>
    </xdr:from>
    <xdr:to>
      <xdr:col>22</xdr:col>
      <xdr:colOff>261937</xdr:colOff>
      <xdr:row>144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143</xdr:row>
      <xdr:rowOff>0</xdr:rowOff>
    </xdr:from>
    <xdr:to>
      <xdr:col>20</xdr:col>
      <xdr:colOff>261937</xdr:colOff>
      <xdr:row>144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261937</xdr:colOff>
      <xdr:row>150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135</xdr:row>
      <xdr:rowOff>0</xdr:rowOff>
    </xdr:from>
    <xdr:to>
      <xdr:col>24</xdr:col>
      <xdr:colOff>261937</xdr:colOff>
      <xdr:row>136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135</xdr:row>
      <xdr:rowOff>0</xdr:rowOff>
    </xdr:from>
    <xdr:to>
      <xdr:col>22</xdr:col>
      <xdr:colOff>261937</xdr:colOff>
      <xdr:row>136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261937</xdr:colOff>
      <xdr:row>97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261937</xdr:colOff>
      <xdr:row>97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96</xdr:row>
      <xdr:rowOff>0</xdr:rowOff>
    </xdr:from>
    <xdr:to>
      <xdr:col>16</xdr:col>
      <xdr:colOff>261937</xdr:colOff>
      <xdr:row>97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47</xdr:row>
      <xdr:rowOff>0</xdr:rowOff>
    </xdr:from>
    <xdr:to>
      <xdr:col>6</xdr:col>
      <xdr:colOff>261937</xdr:colOff>
      <xdr:row>48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119</xdr:row>
      <xdr:rowOff>0</xdr:rowOff>
    </xdr:from>
    <xdr:to>
      <xdr:col>24</xdr:col>
      <xdr:colOff>261937</xdr:colOff>
      <xdr:row>120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261937</xdr:colOff>
      <xdr:row>120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</xdr:row>
      <xdr:rowOff>0</xdr:rowOff>
    </xdr:from>
    <xdr:to>
      <xdr:col>2</xdr:col>
      <xdr:colOff>15240</xdr:colOff>
      <xdr:row>79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4</xdr:col>
      <xdr:colOff>15240</xdr:colOff>
      <xdr:row>79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78</xdr:row>
      <xdr:rowOff>0</xdr:rowOff>
    </xdr:from>
    <xdr:to>
      <xdr:col>6</xdr:col>
      <xdr:colOff>15240</xdr:colOff>
      <xdr:row>79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78</xdr:row>
      <xdr:rowOff>0</xdr:rowOff>
    </xdr:from>
    <xdr:to>
      <xdr:col>8</xdr:col>
      <xdr:colOff>15240</xdr:colOff>
      <xdr:row>79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10</xdr:col>
      <xdr:colOff>15240</xdr:colOff>
      <xdr:row>79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12</xdr:col>
      <xdr:colOff>15240</xdr:colOff>
      <xdr:row>79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78</xdr:row>
      <xdr:rowOff>0</xdr:rowOff>
    </xdr:from>
    <xdr:to>
      <xdr:col>14</xdr:col>
      <xdr:colOff>15240</xdr:colOff>
      <xdr:row>79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78</xdr:row>
      <xdr:rowOff>0</xdr:rowOff>
    </xdr:from>
    <xdr:to>
      <xdr:col>16</xdr:col>
      <xdr:colOff>15240</xdr:colOff>
      <xdr:row>79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78</xdr:row>
      <xdr:rowOff>0</xdr:rowOff>
    </xdr:from>
    <xdr:to>
      <xdr:col>18</xdr:col>
      <xdr:colOff>15240</xdr:colOff>
      <xdr:row>79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78</xdr:row>
      <xdr:rowOff>0</xdr:rowOff>
    </xdr:from>
    <xdr:to>
      <xdr:col>20</xdr:col>
      <xdr:colOff>15240</xdr:colOff>
      <xdr:row>79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78</xdr:row>
      <xdr:rowOff>0</xdr:rowOff>
    </xdr:from>
    <xdr:to>
      <xdr:col>22</xdr:col>
      <xdr:colOff>15240</xdr:colOff>
      <xdr:row>79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78</xdr:row>
      <xdr:rowOff>0</xdr:rowOff>
    </xdr:from>
    <xdr:to>
      <xdr:col>24</xdr:col>
      <xdr:colOff>15240</xdr:colOff>
      <xdr:row>79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78</xdr:row>
      <xdr:rowOff>0</xdr:rowOff>
    </xdr:from>
    <xdr:to>
      <xdr:col>26</xdr:col>
      <xdr:colOff>15240</xdr:colOff>
      <xdr:row>79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2</xdr:col>
      <xdr:colOff>15240</xdr:colOff>
      <xdr:row>72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71</xdr:row>
      <xdr:rowOff>0</xdr:rowOff>
    </xdr:from>
    <xdr:to>
      <xdr:col>4</xdr:col>
      <xdr:colOff>15240</xdr:colOff>
      <xdr:row>72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6</xdr:col>
      <xdr:colOff>15240</xdr:colOff>
      <xdr:row>72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71</xdr:row>
      <xdr:rowOff>0</xdr:rowOff>
    </xdr:from>
    <xdr:to>
      <xdr:col>8</xdr:col>
      <xdr:colOff>15240</xdr:colOff>
      <xdr:row>72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71</xdr:row>
      <xdr:rowOff>0</xdr:rowOff>
    </xdr:from>
    <xdr:to>
      <xdr:col>10</xdr:col>
      <xdr:colOff>15240</xdr:colOff>
      <xdr:row>72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12</xdr:col>
      <xdr:colOff>15240</xdr:colOff>
      <xdr:row>72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71</xdr:row>
      <xdr:rowOff>0</xdr:rowOff>
    </xdr:from>
    <xdr:to>
      <xdr:col>14</xdr:col>
      <xdr:colOff>15240</xdr:colOff>
      <xdr:row>72</xdr:row>
      <xdr:rowOff>175260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5192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71</xdr:row>
      <xdr:rowOff>0</xdr:rowOff>
    </xdr:from>
    <xdr:to>
      <xdr:col>16</xdr:col>
      <xdr:colOff>15240</xdr:colOff>
      <xdr:row>72</xdr:row>
      <xdr:rowOff>175260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5192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71</xdr:row>
      <xdr:rowOff>0</xdr:rowOff>
    </xdr:from>
    <xdr:to>
      <xdr:col>18</xdr:col>
      <xdr:colOff>15240</xdr:colOff>
      <xdr:row>72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71</xdr:row>
      <xdr:rowOff>0</xdr:rowOff>
    </xdr:from>
    <xdr:to>
      <xdr:col>20</xdr:col>
      <xdr:colOff>15240</xdr:colOff>
      <xdr:row>72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71</xdr:row>
      <xdr:rowOff>0</xdr:rowOff>
    </xdr:from>
    <xdr:to>
      <xdr:col>22</xdr:col>
      <xdr:colOff>15240</xdr:colOff>
      <xdr:row>72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71</xdr:row>
      <xdr:rowOff>0</xdr:rowOff>
    </xdr:from>
    <xdr:to>
      <xdr:col>24</xdr:col>
      <xdr:colOff>34290</xdr:colOff>
      <xdr:row>72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71</xdr:row>
      <xdr:rowOff>0</xdr:rowOff>
    </xdr:from>
    <xdr:to>
      <xdr:col>26</xdr:col>
      <xdr:colOff>15240</xdr:colOff>
      <xdr:row>72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8</xdr:col>
      <xdr:colOff>15240</xdr:colOff>
      <xdr:row>65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64</xdr:row>
      <xdr:rowOff>0</xdr:rowOff>
    </xdr:from>
    <xdr:to>
      <xdr:col>10</xdr:col>
      <xdr:colOff>15240</xdr:colOff>
      <xdr:row>65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12</xdr:col>
      <xdr:colOff>15240</xdr:colOff>
      <xdr:row>65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64</xdr:row>
      <xdr:rowOff>0</xdr:rowOff>
    </xdr:from>
    <xdr:to>
      <xdr:col>14</xdr:col>
      <xdr:colOff>15240</xdr:colOff>
      <xdr:row>65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15240</xdr:colOff>
      <xdr:row>65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18</xdr:col>
      <xdr:colOff>15240</xdr:colOff>
      <xdr:row>65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64</xdr:row>
      <xdr:rowOff>0</xdr:rowOff>
    </xdr:from>
    <xdr:to>
      <xdr:col>20</xdr:col>
      <xdr:colOff>15240</xdr:colOff>
      <xdr:row>65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15240</xdr:colOff>
      <xdr:row>65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15240</xdr:colOff>
      <xdr:row>65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64</xdr:row>
      <xdr:rowOff>0</xdr:rowOff>
    </xdr:from>
    <xdr:to>
      <xdr:col>26</xdr:col>
      <xdr:colOff>15240</xdr:colOff>
      <xdr:row>65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57</xdr:row>
      <xdr:rowOff>0</xdr:rowOff>
    </xdr:from>
    <xdr:to>
      <xdr:col>6</xdr:col>
      <xdr:colOff>15240</xdr:colOff>
      <xdr:row>58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57</xdr:row>
      <xdr:rowOff>0</xdr:rowOff>
    </xdr:from>
    <xdr:to>
      <xdr:col>8</xdr:col>
      <xdr:colOff>15240</xdr:colOff>
      <xdr:row>58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57</xdr:row>
      <xdr:rowOff>0</xdr:rowOff>
    </xdr:from>
    <xdr:to>
      <xdr:col>10</xdr:col>
      <xdr:colOff>15240</xdr:colOff>
      <xdr:row>58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12</xdr:col>
      <xdr:colOff>15240</xdr:colOff>
      <xdr:row>58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57</xdr:row>
      <xdr:rowOff>0</xdr:rowOff>
    </xdr:from>
    <xdr:to>
      <xdr:col>14</xdr:col>
      <xdr:colOff>15240</xdr:colOff>
      <xdr:row>58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57</xdr:row>
      <xdr:rowOff>0</xdr:rowOff>
    </xdr:from>
    <xdr:to>
      <xdr:col>16</xdr:col>
      <xdr:colOff>15240</xdr:colOff>
      <xdr:row>58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57</xdr:row>
      <xdr:rowOff>0</xdr:rowOff>
    </xdr:from>
    <xdr:to>
      <xdr:col>18</xdr:col>
      <xdr:colOff>15240</xdr:colOff>
      <xdr:row>58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57</xdr:row>
      <xdr:rowOff>0</xdr:rowOff>
    </xdr:from>
    <xdr:to>
      <xdr:col>20</xdr:col>
      <xdr:colOff>15240</xdr:colOff>
      <xdr:row>58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57</xdr:row>
      <xdr:rowOff>0</xdr:rowOff>
    </xdr:from>
    <xdr:to>
      <xdr:col>22</xdr:col>
      <xdr:colOff>15240</xdr:colOff>
      <xdr:row>58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57</xdr:row>
      <xdr:rowOff>0</xdr:rowOff>
    </xdr:from>
    <xdr:to>
      <xdr:col>24</xdr:col>
      <xdr:colOff>15240</xdr:colOff>
      <xdr:row>58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57</xdr:row>
      <xdr:rowOff>0</xdr:rowOff>
    </xdr:from>
    <xdr:to>
      <xdr:col>26</xdr:col>
      <xdr:colOff>15240</xdr:colOff>
      <xdr:row>58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85</xdr:row>
      <xdr:rowOff>0</xdr:rowOff>
    </xdr:from>
    <xdr:to>
      <xdr:col>2</xdr:col>
      <xdr:colOff>15240</xdr:colOff>
      <xdr:row>86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85</xdr:row>
      <xdr:rowOff>0</xdr:rowOff>
    </xdr:from>
    <xdr:to>
      <xdr:col>8</xdr:col>
      <xdr:colOff>15240</xdr:colOff>
      <xdr:row>86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78</xdr:row>
      <xdr:rowOff>179719</xdr:rowOff>
    </xdr:from>
    <xdr:to>
      <xdr:col>14</xdr:col>
      <xdr:colOff>206315</xdr:colOff>
      <xdr:row>83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36</xdr:row>
      <xdr:rowOff>125800</xdr:rowOff>
    </xdr:from>
    <xdr:to>
      <xdr:col>10</xdr:col>
      <xdr:colOff>152400</xdr:colOff>
      <xdr:row>40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99</xdr:row>
      <xdr:rowOff>161745</xdr:rowOff>
    </xdr:from>
    <xdr:to>
      <xdr:col>20</xdr:col>
      <xdr:colOff>152401</xdr:colOff>
      <xdr:row>104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100</xdr:row>
      <xdr:rowOff>0</xdr:rowOff>
    </xdr:from>
    <xdr:to>
      <xdr:col>4</xdr:col>
      <xdr:colOff>98485</xdr:colOff>
      <xdr:row>104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131</xdr:row>
      <xdr:rowOff>125804</xdr:rowOff>
    </xdr:from>
    <xdr:to>
      <xdr:col>2</xdr:col>
      <xdr:colOff>116457</xdr:colOff>
      <xdr:row>135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161</xdr:row>
      <xdr:rowOff>125804</xdr:rowOff>
    </xdr:from>
    <xdr:to>
      <xdr:col>14</xdr:col>
      <xdr:colOff>98485</xdr:colOff>
      <xdr:row>165</xdr:row>
      <xdr:rowOff>186316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01312" y="3370149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161</xdr:row>
      <xdr:rowOff>53912</xdr:rowOff>
    </xdr:from>
    <xdr:to>
      <xdr:col>4</xdr:col>
      <xdr:colOff>195942</xdr:colOff>
      <xdr:row>166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160568" y="43132889"/>
          <a:ext cx="195942" cy="1395809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175</xdr:row>
      <xdr:rowOff>35940</xdr:rowOff>
    </xdr:from>
    <xdr:to>
      <xdr:col>22</xdr:col>
      <xdr:colOff>195942</xdr:colOff>
      <xdr:row>180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348864" y="47033156"/>
          <a:ext cx="195942" cy="1395809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175</xdr:row>
      <xdr:rowOff>89856</xdr:rowOff>
    </xdr:from>
    <xdr:to>
      <xdr:col>10</xdr:col>
      <xdr:colOff>188345</xdr:colOff>
      <xdr:row>179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198</xdr:row>
      <xdr:rowOff>107829</xdr:rowOff>
    </xdr:from>
    <xdr:to>
      <xdr:col>2</xdr:col>
      <xdr:colOff>98485</xdr:colOff>
      <xdr:row>202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198</xdr:row>
      <xdr:rowOff>89857</xdr:rowOff>
    </xdr:from>
    <xdr:to>
      <xdr:col>8</xdr:col>
      <xdr:colOff>80513</xdr:colOff>
      <xdr:row>202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212</xdr:row>
      <xdr:rowOff>114299</xdr:rowOff>
    </xdr:from>
    <xdr:to>
      <xdr:col>8</xdr:col>
      <xdr:colOff>98485</xdr:colOff>
      <xdr:row>216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29</xdr:row>
      <xdr:rowOff>98301</xdr:rowOff>
    </xdr:from>
    <xdr:to>
      <xdr:col>26</xdr:col>
      <xdr:colOff>961126</xdr:colOff>
      <xdr:row>33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172</xdr:row>
      <xdr:rowOff>0</xdr:rowOff>
    </xdr:from>
    <xdr:to>
      <xdr:col>16</xdr:col>
      <xdr:colOff>261937</xdr:colOff>
      <xdr:row>173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143</xdr:row>
      <xdr:rowOff>0</xdr:rowOff>
    </xdr:from>
    <xdr:to>
      <xdr:col>24</xdr:col>
      <xdr:colOff>261937</xdr:colOff>
      <xdr:row>144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261937</xdr:colOff>
      <xdr:row>173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179</xdr:row>
      <xdr:rowOff>0</xdr:rowOff>
    </xdr:from>
    <xdr:to>
      <xdr:col>2</xdr:col>
      <xdr:colOff>261937</xdr:colOff>
      <xdr:row>180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179</xdr:row>
      <xdr:rowOff>0</xdr:rowOff>
    </xdr:from>
    <xdr:to>
      <xdr:col>4</xdr:col>
      <xdr:colOff>261937</xdr:colOff>
      <xdr:row>180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261937</xdr:colOff>
      <xdr:row>76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261937</xdr:colOff>
      <xdr:row>173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172</xdr:row>
      <xdr:rowOff>0</xdr:rowOff>
    </xdr:from>
    <xdr:to>
      <xdr:col>20</xdr:col>
      <xdr:colOff>261937</xdr:colOff>
      <xdr:row>173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261937</xdr:colOff>
      <xdr:row>76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261937</xdr:colOff>
      <xdr:row>173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261937</xdr:colOff>
      <xdr:row>76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158</xdr:row>
      <xdr:rowOff>0</xdr:rowOff>
    </xdr:from>
    <xdr:to>
      <xdr:col>22</xdr:col>
      <xdr:colOff>261937</xdr:colOff>
      <xdr:row>159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158</xdr:row>
      <xdr:rowOff>0</xdr:rowOff>
    </xdr:from>
    <xdr:to>
      <xdr:col>24</xdr:col>
      <xdr:colOff>261937</xdr:colOff>
      <xdr:row>159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261937</xdr:colOff>
      <xdr:row>173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172</xdr:row>
      <xdr:rowOff>0</xdr:rowOff>
    </xdr:from>
    <xdr:to>
      <xdr:col>2</xdr:col>
      <xdr:colOff>261937</xdr:colOff>
      <xdr:row>173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261937</xdr:colOff>
      <xdr:row>76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261937</xdr:colOff>
      <xdr:row>196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119</xdr:row>
      <xdr:rowOff>0</xdr:rowOff>
    </xdr:from>
    <xdr:to>
      <xdr:col>22</xdr:col>
      <xdr:colOff>261937</xdr:colOff>
      <xdr:row>120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119</xdr:row>
      <xdr:rowOff>0</xdr:rowOff>
    </xdr:from>
    <xdr:to>
      <xdr:col>18</xdr:col>
      <xdr:colOff>261937</xdr:colOff>
      <xdr:row>120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119</xdr:row>
      <xdr:rowOff>0</xdr:rowOff>
    </xdr:from>
    <xdr:to>
      <xdr:col>26</xdr:col>
      <xdr:colOff>279909</xdr:colOff>
      <xdr:row>120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261937</xdr:colOff>
      <xdr:row>76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119</xdr:row>
      <xdr:rowOff>0</xdr:rowOff>
    </xdr:from>
    <xdr:to>
      <xdr:col>20</xdr:col>
      <xdr:colOff>261937</xdr:colOff>
      <xdr:row>120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119</xdr:row>
      <xdr:rowOff>0</xdr:rowOff>
    </xdr:from>
    <xdr:to>
      <xdr:col>16</xdr:col>
      <xdr:colOff>261937</xdr:colOff>
      <xdr:row>120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172</xdr:row>
      <xdr:rowOff>0</xdr:rowOff>
    </xdr:from>
    <xdr:to>
      <xdr:col>4</xdr:col>
      <xdr:colOff>261937</xdr:colOff>
      <xdr:row>173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172</xdr:row>
      <xdr:rowOff>0</xdr:rowOff>
    </xdr:from>
    <xdr:to>
      <xdr:col>18</xdr:col>
      <xdr:colOff>261937</xdr:colOff>
      <xdr:row>173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127</xdr:row>
      <xdr:rowOff>0</xdr:rowOff>
    </xdr:from>
    <xdr:to>
      <xdr:col>12</xdr:col>
      <xdr:colOff>261937</xdr:colOff>
      <xdr:row>128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261937</xdr:colOff>
      <xdr:row>180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261937</xdr:colOff>
      <xdr:row>76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261937</xdr:colOff>
      <xdr:row>128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261937</xdr:colOff>
      <xdr:row>76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261937</xdr:colOff>
      <xdr:row>128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261937</xdr:colOff>
      <xdr:row>128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172</xdr:row>
      <xdr:rowOff>0</xdr:rowOff>
    </xdr:from>
    <xdr:to>
      <xdr:col>22</xdr:col>
      <xdr:colOff>261937</xdr:colOff>
      <xdr:row>173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261937</xdr:colOff>
      <xdr:row>189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187</xdr:row>
      <xdr:rowOff>0</xdr:rowOff>
    </xdr:from>
    <xdr:to>
      <xdr:col>16</xdr:col>
      <xdr:colOff>261937</xdr:colOff>
      <xdr:row>189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187</xdr:row>
      <xdr:rowOff>0</xdr:rowOff>
    </xdr:from>
    <xdr:to>
      <xdr:col>18</xdr:col>
      <xdr:colOff>261937</xdr:colOff>
      <xdr:row>189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75</xdr:row>
      <xdr:rowOff>0</xdr:rowOff>
    </xdr:from>
    <xdr:to>
      <xdr:col>26</xdr:col>
      <xdr:colOff>261937</xdr:colOff>
      <xdr:row>76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261937</xdr:colOff>
      <xdr:row>128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261937</xdr:colOff>
      <xdr:row>83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172</xdr:row>
      <xdr:rowOff>0</xdr:rowOff>
    </xdr:from>
    <xdr:to>
      <xdr:col>26</xdr:col>
      <xdr:colOff>261937</xdr:colOff>
      <xdr:row>173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165</xdr:row>
      <xdr:rowOff>0</xdr:rowOff>
    </xdr:from>
    <xdr:to>
      <xdr:col>26</xdr:col>
      <xdr:colOff>261937</xdr:colOff>
      <xdr:row>166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209</xdr:row>
      <xdr:rowOff>0</xdr:rowOff>
    </xdr:from>
    <xdr:to>
      <xdr:col>18</xdr:col>
      <xdr:colOff>261937</xdr:colOff>
      <xdr:row>210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261937</xdr:colOff>
      <xdr:row>76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165</xdr:row>
      <xdr:rowOff>0</xdr:rowOff>
    </xdr:from>
    <xdr:to>
      <xdr:col>24</xdr:col>
      <xdr:colOff>261937</xdr:colOff>
      <xdr:row>166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261937</xdr:colOff>
      <xdr:row>83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165</xdr:row>
      <xdr:rowOff>0</xdr:rowOff>
    </xdr:from>
    <xdr:to>
      <xdr:col>22</xdr:col>
      <xdr:colOff>261937</xdr:colOff>
      <xdr:row>166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261937</xdr:colOff>
      <xdr:row>83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209</xdr:row>
      <xdr:rowOff>0</xdr:rowOff>
    </xdr:from>
    <xdr:to>
      <xdr:col>16</xdr:col>
      <xdr:colOff>261937</xdr:colOff>
      <xdr:row>210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216</xdr:row>
      <xdr:rowOff>0</xdr:rowOff>
    </xdr:from>
    <xdr:to>
      <xdr:col>4</xdr:col>
      <xdr:colOff>261937</xdr:colOff>
      <xdr:row>217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261937</xdr:colOff>
      <xdr:row>83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143</xdr:row>
      <xdr:rowOff>0</xdr:rowOff>
    </xdr:from>
    <xdr:to>
      <xdr:col>26</xdr:col>
      <xdr:colOff>261937</xdr:colOff>
      <xdr:row>144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261937</xdr:colOff>
      <xdr:row>151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150</xdr:row>
      <xdr:rowOff>0</xdr:rowOff>
    </xdr:from>
    <xdr:to>
      <xdr:col>4</xdr:col>
      <xdr:colOff>261937</xdr:colOff>
      <xdr:row>151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261937</xdr:colOff>
      <xdr:row>151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261937</xdr:colOff>
      <xdr:row>196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187</xdr:row>
      <xdr:rowOff>0</xdr:rowOff>
    </xdr:from>
    <xdr:to>
      <xdr:col>20</xdr:col>
      <xdr:colOff>261937</xdr:colOff>
      <xdr:row>189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195</xdr:row>
      <xdr:rowOff>0</xdr:rowOff>
    </xdr:from>
    <xdr:to>
      <xdr:col>22</xdr:col>
      <xdr:colOff>261937</xdr:colOff>
      <xdr:row>196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195</xdr:row>
      <xdr:rowOff>0</xdr:rowOff>
    </xdr:from>
    <xdr:to>
      <xdr:col>24</xdr:col>
      <xdr:colOff>261937</xdr:colOff>
      <xdr:row>196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261937</xdr:colOff>
      <xdr:row>76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261937</xdr:colOff>
      <xdr:row>97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165</xdr:row>
      <xdr:rowOff>0</xdr:rowOff>
    </xdr:from>
    <xdr:to>
      <xdr:col>12</xdr:col>
      <xdr:colOff>261937</xdr:colOff>
      <xdr:row>166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261937</xdr:colOff>
      <xdr:row>180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179</xdr:row>
      <xdr:rowOff>0</xdr:rowOff>
    </xdr:from>
    <xdr:to>
      <xdr:col>16</xdr:col>
      <xdr:colOff>261937</xdr:colOff>
      <xdr:row>180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179</xdr:row>
      <xdr:rowOff>0</xdr:rowOff>
    </xdr:from>
    <xdr:to>
      <xdr:col>18</xdr:col>
      <xdr:colOff>261937</xdr:colOff>
      <xdr:row>180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178</xdr:row>
      <xdr:rowOff>179717</xdr:rowOff>
    </xdr:from>
    <xdr:to>
      <xdr:col>10</xdr:col>
      <xdr:colOff>261938</xdr:colOff>
      <xdr:row>179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179</xdr:row>
      <xdr:rowOff>0</xdr:rowOff>
    </xdr:from>
    <xdr:to>
      <xdr:col>12</xdr:col>
      <xdr:colOff>261937</xdr:colOff>
      <xdr:row>180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261937</xdr:colOff>
      <xdr:row>97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35944</xdr:colOff>
      <xdr:row>99</xdr:row>
      <xdr:rowOff>0</xdr:rowOff>
    </xdr:from>
    <xdr:ext cx="266700" cy="873125"/>
    <xdr:pic>
      <xdr:nvPicPr>
        <xdr:cNvPr id="506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43394" y="2079307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35944</xdr:colOff>
      <xdr:row>183</xdr:row>
      <xdr:rowOff>53916</xdr:rowOff>
    </xdr:from>
    <xdr:ext cx="266700" cy="873125"/>
    <xdr:pic>
      <xdr:nvPicPr>
        <xdr:cNvPr id="5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8694" y="3764909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395639</xdr:colOff>
      <xdr:row>8</xdr:row>
      <xdr:rowOff>143773</xdr:rowOff>
    </xdr:from>
    <xdr:ext cx="428184" cy="1401793"/>
    <xdr:pic>
      <xdr:nvPicPr>
        <xdr:cNvPr id="5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7714" y="2191648"/>
          <a:ext cx="428184" cy="140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26</xdr:col>
      <xdr:colOff>71888</xdr:colOff>
      <xdr:row>77</xdr:row>
      <xdr:rowOff>17972</xdr:rowOff>
    </xdr:from>
    <xdr:to>
      <xdr:col>26</xdr:col>
      <xdr:colOff>267830</xdr:colOff>
      <xdr:row>83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248195" y="20128711"/>
          <a:ext cx="195942" cy="1608608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119</xdr:row>
      <xdr:rowOff>0</xdr:rowOff>
    </xdr:from>
    <xdr:to>
      <xdr:col>10</xdr:col>
      <xdr:colOff>261937</xdr:colOff>
      <xdr:row>120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119</xdr:row>
      <xdr:rowOff>0</xdr:rowOff>
    </xdr:from>
    <xdr:to>
      <xdr:col>12</xdr:col>
      <xdr:colOff>261937</xdr:colOff>
      <xdr:row>120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261937</xdr:colOff>
      <xdr:row>97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187</xdr:row>
      <xdr:rowOff>0</xdr:rowOff>
    </xdr:from>
    <xdr:to>
      <xdr:col>26</xdr:col>
      <xdr:colOff>293687</xdr:colOff>
      <xdr:row>189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261937</xdr:colOff>
      <xdr:row>197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261937</xdr:colOff>
      <xdr:row>197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158</xdr:row>
      <xdr:rowOff>0</xdr:rowOff>
    </xdr:from>
    <xdr:to>
      <xdr:col>16</xdr:col>
      <xdr:colOff>261937</xdr:colOff>
      <xdr:row>159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158</xdr:row>
      <xdr:rowOff>0</xdr:rowOff>
    </xdr:from>
    <xdr:to>
      <xdr:col>20</xdr:col>
      <xdr:colOff>261937</xdr:colOff>
      <xdr:row>159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261937</xdr:colOff>
      <xdr:row>97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261937</xdr:colOff>
      <xdr:row>104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127</xdr:row>
      <xdr:rowOff>0</xdr:rowOff>
    </xdr:from>
    <xdr:to>
      <xdr:col>18</xdr:col>
      <xdr:colOff>261937</xdr:colOff>
      <xdr:row>128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202</xdr:row>
      <xdr:rowOff>0</xdr:rowOff>
    </xdr:from>
    <xdr:to>
      <xdr:col>10</xdr:col>
      <xdr:colOff>261937</xdr:colOff>
      <xdr:row>203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202</xdr:row>
      <xdr:rowOff>0</xdr:rowOff>
    </xdr:from>
    <xdr:to>
      <xdr:col>12</xdr:col>
      <xdr:colOff>261937</xdr:colOff>
      <xdr:row>203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202</xdr:row>
      <xdr:rowOff>0</xdr:rowOff>
    </xdr:from>
    <xdr:to>
      <xdr:col>18</xdr:col>
      <xdr:colOff>261937</xdr:colOff>
      <xdr:row>203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202</xdr:row>
      <xdr:rowOff>0</xdr:rowOff>
    </xdr:from>
    <xdr:to>
      <xdr:col>20</xdr:col>
      <xdr:colOff>261937</xdr:colOff>
      <xdr:row>203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202</xdr:row>
      <xdr:rowOff>0</xdr:rowOff>
    </xdr:from>
    <xdr:to>
      <xdr:col>22</xdr:col>
      <xdr:colOff>261937</xdr:colOff>
      <xdr:row>203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187</xdr:row>
      <xdr:rowOff>0</xdr:rowOff>
    </xdr:from>
    <xdr:to>
      <xdr:col>22</xdr:col>
      <xdr:colOff>261937</xdr:colOff>
      <xdr:row>188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261937</xdr:colOff>
      <xdr:row>188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195</xdr:row>
      <xdr:rowOff>0</xdr:rowOff>
    </xdr:from>
    <xdr:to>
      <xdr:col>20</xdr:col>
      <xdr:colOff>261937</xdr:colOff>
      <xdr:row>196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158</xdr:row>
      <xdr:rowOff>0</xdr:rowOff>
    </xdr:from>
    <xdr:to>
      <xdr:col>18</xdr:col>
      <xdr:colOff>261937</xdr:colOff>
      <xdr:row>159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261937</xdr:colOff>
      <xdr:row>217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261937</xdr:colOff>
      <xdr:row>166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165</xdr:row>
      <xdr:rowOff>0</xdr:rowOff>
    </xdr:from>
    <xdr:to>
      <xdr:col>16</xdr:col>
      <xdr:colOff>261937</xdr:colOff>
      <xdr:row>166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261937</xdr:colOff>
      <xdr:row>196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261937</xdr:colOff>
      <xdr:row>120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172</xdr:row>
      <xdr:rowOff>0</xdr:rowOff>
    </xdr:from>
    <xdr:to>
      <xdr:col>10</xdr:col>
      <xdr:colOff>261937</xdr:colOff>
      <xdr:row>173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96</xdr:row>
      <xdr:rowOff>0</xdr:rowOff>
    </xdr:from>
    <xdr:to>
      <xdr:col>20</xdr:col>
      <xdr:colOff>261937</xdr:colOff>
      <xdr:row>97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202</xdr:row>
      <xdr:rowOff>38100</xdr:rowOff>
    </xdr:from>
    <xdr:to>
      <xdr:col>2</xdr:col>
      <xdr:colOff>261937</xdr:colOff>
      <xdr:row>203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202</xdr:row>
      <xdr:rowOff>0</xdr:rowOff>
    </xdr:from>
    <xdr:to>
      <xdr:col>24</xdr:col>
      <xdr:colOff>261937</xdr:colOff>
      <xdr:row>203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209</xdr:row>
      <xdr:rowOff>0</xdr:rowOff>
    </xdr:from>
    <xdr:to>
      <xdr:col>22</xdr:col>
      <xdr:colOff>261937</xdr:colOff>
      <xdr:row>210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209</xdr:row>
      <xdr:rowOff>0</xdr:rowOff>
    </xdr:from>
    <xdr:to>
      <xdr:col>24</xdr:col>
      <xdr:colOff>261937</xdr:colOff>
      <xdr:row>210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127</xdr:row>
      <xdr:rowOff>0</xdr:rowOff>
    </xdr:from>
    <xdr:to>
      <xdr:col>24</xdr:col>
      <xdr:colOff>261937</xdr:colOff>
      <xdr:row>128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103</xdr:row>
      <xdr:rowOff>0</xdr:rowOff>
    </xdr:from>
    <xdr:to>
      <xdr:col>10</xdr:col>
      <xdr:colOff>261937</xdr:colOff>
      <xdr:row>104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202</xdr:row>
      <xdr:rowOff>0</xdr:rowOff>
    </xdr:from>
    <xdr:to>
      <xdr:col>4</xdr:col>
      <xdr:colOff>261937</xdr:colOff>
      <xdr:row>203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202</xdr:row>
      <xdr:rowOff>0</xdr:rowOff>
    </xdr:from>
    <xdr:to>
      <xdr:col>6</xdr:col>
      <xdr:colOff>261937</xdr:colOff>
      <xdr:row>203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195</xdr:row>
      <xdr:rowOff>0</xdr:rowOff>
    </xdr:from>
    <xdr:to>
      <xdr:col>26</xdr:col>
      <xdr:colOff>261937</xdr:colOff>
      <xdr:row>196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139</xdr:row>
      <xdr:rowOff>64944</xdr:rowOff>
    </xdr:from>
    <xdr:to>
      <xdr:col>7</xdr:col>
      <xdr:colOff>432955</xdr:colOff>
      <xdr:row>140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139</xdr:row>
      <xdr:rowOff>43296</xdr:rowOff>
    </xdr:from>
    <xdr:to>
      <xdr:col>9</xdr:col>
      <xdr:colOff>368011</xdr:colOff>
      <xdr:row>139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139</xdr:row>
      <xdr:rowOff>64944</xdr:rowOff>
    </xdr:from>
    <xdr:to>
      <xdr:col>11</xdr:col>
      <xdr:colOff>411307</xdr:colOff>
      <xdr:row>140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139</xdr:row>
      <xdr:rowOff>21648</xdr:rowOff>
    </xdr:from>
    <xdr:to>
      <xdr:col>13</xdr:col>
      <xdr:colOff>519546</xdr:colOff>
      <xdr:row>140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139</xdr:row>
      <xdr:rowOff>0</xdr:rowOff>
    </xdr:from>
    <xdr:to>
      <xdr:col>15</xdr:col>
      <xdr:colOff>497899</xdr:colOff>
      <xdr:row>140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606136</xdr:colOff>
      <xdr:row>139</xdr:row>
      <xdr:rowOff>0</xdr:rowOff>
    </xdr:from>
    <xdr:to>
      <xdr:col>17</xdr:col>
      <xdr:colOff>476250</xdr:colOff>
      <xdr:row>140</xdr:row>
      <xdr:rowOff>21647</xdr:rowOff>
    </xdr:to>
    <xdr:sp macro="" textlink="">
      <xdr:nvSpPr>
        <xdr:cNvPr id="55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41136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779319</xdr:colOff>
      <xdr:row>139</xdr:row>
      <xdr:rowOff>0</xdr:rowOff>
    </xdr:from>
    <xdr:to>
      <xdr:col>19</xdr:col>
      <xdr:colOff>259775</xdr:colOff>
      <xdr:row>140</xdr:row>
      <xdr:rowOff>21647</xdr:rowOff>
    </xdr:to>
    <xdr:sp macro="" textlink="">
      <xdr:nvSpPr>
        <xdr:cNvPr id="559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5976024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562843</xdr:colOff>
      <xdr:row>139</xdr:row>
      <xdr:rowOff>0</xdr:rowOff>
    </xdr:from>
    <xdr:to>
      <xdr:col>21</xdr:col>
      <xdr:colOff>454602</xdr:colOff>
      <xdr:row>140</xdr:row>
      <xdr:rowOff>21647</xdr:rowOff>
    </xdr:to>
    <xdr:sp macro="" textlink="">
      <xdr:nvSpPr>
        <xdr:cNvPr id="56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010911" y="36952670"/>
          <a:ext cx="1883350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649433</xdr:colOff>
      <xdr:row>139</xdr:row>
      <xdr:rowOff>0</xdr:rowOff>
    </xdr:from>
    <xdr:to>
      <xdr:col>23</xdr:col>
      <xdr:colOff>779319</xdr:colOff>
      <xdr:row>140</xdr:row>
      <xdr:rowOff>21647</xdr:rowOff>
    </xdr:to>
    <xdr:sp macro="" textlink="">
      <xdr:nvSpPr>
        <xdr:cNvPr id="56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0089092" y="36952670"/>
          <a:ext cx="2013238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757672</xdr:colOff>
      <xdr:row>139</xdr:row>
      <xdr:rowOff>21648</xdr:rowOff>
    </xdr:from>
    <xdr:to>
      <xdr:col>25</xdr:col>
      <xdr:colOff>519546</xdr:colOff>
      <xdr:row>140</xdr:row>
      <xdr:rowOff>21647</xdr:rowOff>
    </xdr:to>
    <xdr:sp macro="" textlink="">
      <xdr:nvSpPr>
        <xdr:cNvPr id="56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2080683" y="36974318"/>
          <a:ext cx="2511136" cy="2597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195</xdr:row>
      <xdr:rowOff>0</xdr:rowOff>
    </xdr:from>
    <xdr:to>
      <xdr:col>17</xdr:col>
      <xdr:colOff>261937</xdr:colOff>
      <xdr:row>196</xdr:row>
      <xdr:rowOff>2526</xdr:rowOff>
    </xdr:to>
    <xdr:cxnSp macro="">
      <xdr:nvCxnSpPr>
        <xdr:cNvPr id="56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4222557" y="51738068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158</xdr:row>
      <xdr:rowOff>0</xdr:rowOff>
    </xdr:from>
    <xdr:to>
      <xdr:col>4</xdr:col>
      <xdr:colOff>261937</xdr:colOff>
      <xdr:row>159</xdr:row>
      <xdr:rowOff>2525</xdr:rowOff>
    </xdr:to>
    <xdr:cxnSp macro="">
      <xdr:nvCxnSpPr>
        <xdr:cNvPr id="56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3160568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261937</xdr:colOff>
      <xdr:row>159</xdr:row>
      <xdr:rowOff>2525</xdr:rowOff>
    </xdr:to>
    <xdr:cxnSp macro="">
      <xdr:nvCxnSpPr>
        <xdr:cNvPr id="56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5217102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158</xdr:row>
      <xdr:rowOff>0</xdr:rowOff>
    </xdr:from>
    <xdr:to>
      <xdr:col>10</xdr:col>
      <xdr:colOff>261937</xdr:colOff>
      <xdr:row>159</xdr:row>
      <xdr:rowOff>2525</xdr:rowOff>
    </xdr:to>
    <xdr:cxnSp macro="">
      <xdr:nvCxnSpPr>
        <xdr:cNvPr id="566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8788977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158</xdr:row>
      <xdr:rowOff>0</xdr:rowOff>
    </xdr:from>
    <xdr:to>
      <xdr:col>12</xdr:col>
      <xdr:colOff>261937</xdr:colOff>
      <xdr:row>159</xdr:row>
      <xdr:rowOff>2525</xdr:rowOff>
    </xdr:to>
    <xdr:cxnSp macro="">
      <xdr:nvCxnSpPr>
        <xdr:cNvPr id="567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058573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111</xdr:row>
      <xdr:rowOff>0</xdr:rowOff>
    </xdr:from>
    <xdr:to>
      <xdr:col>18</xdr:col>
      <xdr:colOff>261937</xdr:colOff>
      <xdr:row>112</xdr:row>
      <xdr:rowOff>2524</xdr:rowOff>
    </xdr:to>
    <xdr:cxnSp macro="">
      <xdr:nvCxnSpPr>
        <xdr:cNvPr id="568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473920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111</xdr:row>
      <xdr:rowOff>0</xdr:rowOff>
    </xdr:from>
    <xdr:to>
      <xdr:col>20</xdr:col>
      <xdr:colOff>261937</xdr:colOff>
      <xdr:row>112</xdr:row>
      <xdr:rowOff>2524</xdr:rowOff>
    </xdr:to>
    <xdr:cxnSp macro="">
      <xdr:nvCxnSpPr>
        <xdr:cNvPr id="569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8335625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/>
      <sheetData sheetId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/>
      <sheetData sheetId="4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>
        <row r="17">
          <cell r="B17" t="str">
            <v>DA-3</v>
          </cell>
        </row>
      </sheetData>
      <sheetData sheetId="14"/>
      <sheetData sheetId="15"/>
      <sheetData sheetId="16"/>
      <sheetData sheetId="17"/>
      <sheetData sheetId="18">
        <row r="1">
          <cell r="A1" t="str">
            <v>FDNEREERTINSSTR</v>
          </cell>
        </row>
      </sheetData>
      <sheetData sheetId="19">
        <row r="5">
          <cell r="F5" t="str">
            <v>FDN</v>
          </cell>
        </row>
      </sheetData>
      <sheetData sheetId="20">
        <row r="17">
          <cell r="B17" t="str">
            <v>DA-3</v>
          </cell>
        </row>
      </sheetData>
      <sheetData sheetId="21"/>
      <sheetData sheetId="22"/>
      <sheetData sheetId="23"/>
      <sheetData sheetId="24"/>
      <sheetData sheetId="25">
        <row r="1">
          <cell r="A1" t="str">
            <v>FDNEREERTINSSTR</v>
          </cell>
        </row>
      </sheetData>
      <sheetData sheetId="26">
        <row r="5">
          <cell r="F5" t="str">
            <v>FDN</v>
          </cell>
        </row>
      </sheetData>
      <sheetData sheetId="27">
        <row r="17">
          <cell r="B17" t="str">
            <v>DA-3</v>
          </cell>
        </row>
      </sheetData>
      <sheetData sheetId="28"/>
      <sheetData sheetId="29"/>
      <sheetData sheetId="30"/>
      <sheetData sheetId="31"/>
      <sheetData sheetId="32">
        <row r="1">
          <cell r="A1" t="str">
            <v>FDNEREERTINSSTR</v>
          </cell>
        </row>
      </sheetData>
      <sheetData sheetId="33">
        <row r="5">
          <cell r="F5" t="str">
            <v>FDN</v>
          </cell>
        </row>
      </sheetData>
      <sheetData sheetId="34">
        <row r="17">
          <cell r="B17" t="str">
            <v>DA-3</v>
          </cell>
        </row>
      </sheetData>
      <sheetData sheetId="35"/>
      <sheetData sheetId="36"/>
      <sheetData sheetId="37"/>
      <sheetData sheetId="38"/>
      <sheetData sheetId="39">
        <row r="1">
          <cell r="A1" t="str">
            <v>FDNEREERTINSSTR</v>
          </cell>
        </row>
      </sheetData>
      <sheetData sheetId="40">
        <row r="5">
          <cell r="F5" t="str">
            <v>FDN</v>
          </cell>
        </row>
      </sheetData>
      <sheetData sheetId="41">
        <row r="17">
          <cell r="B17" t="str">
            <v>DA-3</v>
          </cell>
        </row>
      </sheetData>
      <sheetData sheetId="42"/>
      <sheetData sheetId="43">
        <row r="1">
          <cell r="A1" t="str">
            <v>FDNEREERTINSSTR</v>
          </cell>
        </row>
      </sheetData>
      <sheetData sheetId="44">
        <row r="5">
          <cell r="F5" t="str">
            <v>FDN</v>
          </cell>
        </row>
      </sheetData>
      <sheetData sheetId="45"/>
      <sheetData sheetId="46"/>
      <sheetData sheetId="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/>
      <sheetData sheetId="49"/>
      <sheetData sheetId="50" refreshError="1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1">
          <cell r="D11"/>
        </row>
        <row r="12">
          <cell r="D12" t="str">
            <v>2TDC+0</v>
          </cell>
        </row>
        <row r="13">
          <cell r="D13"/>
        </row>
        <row r="14">
          <cell r="D14" t="str">
            <v>2TDC+0</v>
          </cell>
        </row>
        <row r="15">
          <cell r="D15"/>
        </row>
        <row r="16">
          <cell r="D16" t="str">
            <v>2TDC+0</v>
          </cell>
        </row>
        <row r="17">
          <cell r="D17"/>
        </row>
        <row r="18">
          <cell r="D18" t="str">
            <v>2TDC+0</v>
          </cell>
        </row>
        <row r="19">
          <cell r="D19"/>
        </row>
        <row r="20">
          <cell r="D20" t="str">
            <v>2TDC+0</v>
          </cell>
        </row>
        <row r="21">
          <cell r="D21"/>
        </row>
        <row r="22">
          <cell r="D22" t="str">
            <v>2TDA+3</v>
          </cell>
        </row>
        <row r="23">
          <cell r="D23"/>
        </row>
        <row r="24">
          <cell r="D24" t="str">
            <v>2TDD+0</v>
          </cell>
        </row>
        <row r="25">
          <cell r="D25"/>
        </row>
        <row r="26">
          <cell r="D26" t="str">
            <v>2TDA+0</v>
          </cell>
        </row>
        <row r="27">
          <cell r="D27"/>
        </row>
        <row r="28">
          <cell r="D28" t="str">
            <v>2TDC+0</v>
          </cell>
        </row>
        <row r="29">
          <cell r="D29"/>
        </row>
        <row r="30">
          <cell r="D30" t="str">
            <v>2TDA+3</v>
          </cell>
        </row>
        <row r="31">
          <cell r="D31"/>
        </row>
        <row r="32">
          <cell r="D32" t="str">
            <v>2TDA+6</v>
          </cell>
        </row>
        <row r="33">
          <cell r="D33"/>
        </row>
        <row r="34">
          <cell r="D34" t="str">
            <v>2TDC+6</v>
          </cell>
        </row>
        <row r="35">
          <cell r="D35"/>
        </row>
        <row r="36">
          <cell r="D36" t="str">
            <v>2TDD+0</v>
          </cell>
        </row>
        <row r="37">
          <cell r="D37"/>
        </row>
        <row r="38">
          <cell r="D38" t="str">
            <v>2TDA+3</v>
          </cell>
        </row>
        <row r="39">
          <cell r="D39"/>
        </row>
        <row r="40">
          <cell r="D40" t="str">
            <v>2TDA+3</v>
          </cell>
        </row>
        <row r="41">
          <cell r="D41"/>
        </row>
        <row r="42">
          <cell r="D42" t="str">
            <v>2TDC+0</v>
          </cell>
        </row>
        <row r="43">
          <cell r="D43"/>
        </row>
        <row r="44">
          <cell r="D44" t="str">
            <v>2TDA+3</v>
          </cell>
        </row>
        <row r="45">
          <cell r="D45"/>
        </row>
        <row r="46">
          <cell r="D46" t="str">
            <v>2TDA+3</v>
          </cell>
        </row>
        <row r="47">
          <cell r="D47"/>
        </row>
        <row r="48">
          <cell r="D48" t="str">
            <v>2TDA+0</v>
          </cell>
        </row>
        <row r="49">
          <cell r="D49"/>
        </row>
        <row r="50">
          <cell r="D50" t="str">
            <v>2TDA+0</v>
          </cell>
        </row>
        <row r="51">
          <cell r="D51"/>
        </row>
        <row r="52">
          <cell r="D52" t="str">
            <v>2TDD+0</v>
          </cell>
        </row>
        <row r="53">
          <cell r="D53"/>
        </row>
        <row r="54">
          <cell r="D54" t="str">
            <v>2TDA+6</v>
          </cell>
        </row>
        <row r="55">
          <cell r="D55"/>
        </row>
        <row r="56">
          <cell r="D56" t="str">
            <v>2TDD+18</v>
          </cell>
        </row>
        <row r="57">
          <cell r="D57"/>
        </row>
        <row r="58">
          <cell r="D58" t="str">
            <v>2TDD+25</v>
          </cell>
        </row>
        <row r="59">
          <cell r="D59"/>
        </row>
        <row r="60">
          <cell r="D60" t="str">
            <v>2TDD+9</v>
          </cell>
        </row>
        <row r="61">
          <cell r="D61"/>
        </row>
        <row r="62">
          <cell r="D62" t="str">
            <v>2TDD+3</v>
          </cell>
        </row>
        <row r="63">
          <cell r="D63"/>
        </row>
        <row r="64">
          <cell r="D64" t="str">
            <v>2TDD+0</v>
          </cell>
        </row>
        <row r="65">
          <cell r="D65"/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topLeftCell="A5" zoomScale="93" zoomScaleNormal="100" workbookViewId="0">
      <selection activeCell="O22" sqref="O22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.5703125" customWidth="1"/>
    <col min="10" max="10" width="7.42578125" bestFit="1" customWidth="1"/>
    <col min="11" max="11" width="10.5703125" bestFit="1" customWidth="1"/>
    <col min="12" max="12" width="7.42578125" customWidth="1"/>
    <col min="13" max="13" width="12.7109375" customWidth="1"/>
  </cols>
  <sheetData>
    <row r="1" spans="1:13" ht="15" customHeight="1" thickBot="1">
      <c r="A1" s="1305" t="s">
        <v>1598</v>
      </c>
      <c r="B1" s="1306"/>
      <c r="C1" s="1306"/>
      <c r="D1" s="1306"/>
      <c r="E1" s="1306"/>
      <c r="F1" s="1306"/>
      <c r="G1" s="1306"/>
      <c r="H1" s="1306"/>
      <c r="I1" s="1306"/>
      <c r="J1" s="1306"/>
      <c r="K1" s="1306"/>
      <c r="L1" s="1306"/>
      <c r="M1" s="1307"/>
    </row>
    <row r="2" spans="1:13">
      <c r="A2" s="627"/>
      <c r="B2" s="663"/>
      <c r="C2" s="4"/>
      <c r="D2" s="4"/>
      <c r="E2" s="4"/>
      <c r="F2" s="4"/>
      <c r="G2" s="4"/>
      <c r="H2" s="4"/>
      <c r="I2" s="4"/>
      <c r="J2" s="4"/>
      <c r="K2" s="4"/>
      <c r="L2" s="1325" t="str">
        <f>'Summary-'!M3:M3</f>
        <v>Date-09/07/2026</v>
      </c>
      <c r="M2" s="1326"/>
    </row>
    <row r="3" spans="1:13" s="628" customFormat="1" ht="12.75">
      <c r="A3" s="641"/>
      <c r="B3" s="665" t="s">
        <v>15</v>
      </c>
      <c r="C3" s="661">
        <v>45287</v>
      </c>
      <c r="D3" s="642" t="s">
        <v>20</v>
      </c>
      <c r="E3" s="642" t="s">
        <v>1599</v>
      </c>
      <c r="F3" s="643"/>
      <c r="G3" s="643"/>
      <c r="H3" s="643"/>
      <c r="I3" s="643"/>
      <c r="J3" s="643"/>
      <c r="K3" s="643"/>
      <c r="L3" s="647"/>
      <c r="M3" s="648"/>
    </row>
    <row r="4" spans="1:13" s="628" customFormat="1" ht="12.75">
      <c r="A4" s="641"/>
      <c r="B4" s="665" t="s">
        <v>16</v>
      </c>
      <c r="C4" s="661">
        <v>45831</v>
      </c>
      <c r="D4" s="647" t="s">
        <v>17</v>
      </c>
      <c r="E4" s="1312" t="s">
        <v>21</v>
      </c>
      <c r="F4" s="1312"/>
      <c r="G4" s="1312"/>
      <c r="H4" s="1312"/>
      <c r="I4" s="1312"/>
      <c r="J4" s="1312"/>
      <c r="K4" s="1312"/>
      <c r="L4" s="1312"/>
      <c r="M4" s="1313"/>
    </row>
    <row r="5" spans="1:13" s="628" customFormat="1" ht="12.75">
      <c r="A5" s="641"/>
      <c r="B5" s="665" t="s">
        <v>1033</v>
      </c>
      <c r="C5" s="662">
        <v>46081</v>
      </c>
      <c r="D5" s="647" t="s">
        <v>22</v>
      </c>
      <c r="E5" s="1153" t="s">
        <v>23</v>
      </c>
      <c r="F5" s="650" t="s">
        <v>19</v>
      </c>
      <c r="G5" s="651"/>
      <c r="H5" s="651"/>
      <c r="I5" s="651"/>
      <c r="J5" s="651"/>
      <c r="K5" s="651"/>
      <c r="L5" s="651"/>
      <c r="M5" s="644"/>
    </row>
    <row r="6" spans="1:13" s="628" customFormat="1" ht="13.5" thickBot="1">
      <c r="A6" s="645"/>
      <c r="B6" s="664"/>
      <c r="C6" s="652"/>
      <c r="D6" s="652" t="s">
        <v>1601</v>
      </c>
      <c r="E6" s="1161" t="s">
        <v>24</v>
      </c>
      <c r="F6" s="677">
        <v>45287</v>
      </c>
      <c r="G6" s="654"/>
      <c r="H6" s="654"/>
      <c r="I6" s="654"/>
      <c r="J6" s="654"/>
      <c r="K6" s="654"/>
      <c r="L6" s="655"/>
      <c r="M6" s="656"/>
    </row>
    <row r="7" spans="1:13" s="716" customFormat="1" ht="19.5" thickBot="1">
      <c r="A7" s="1314" t="s">
        <v>1600</v>
      </c>
      <c r="B7" s="1315"/>
      <c r="C7" s="1315"/>
      <c r="D7" s="1315"/>
      <c r="E7" s="1315"/>
      <c r="F7" s="1315"/>
      <c r="G7" s="1315"/>
      <c r="H7" s="1315"/>
      <c r="I7" s="1315"/>
      <c r="J7" s="1315"/>
      <c r="K7" s="1315"/>
      <c r="L7" s="1315"/>
      <c r="M7" s="1316"/>
    </row>
    <row r="8" spans="1:13" ht="60" customHeight="1">
      <c r="A8" s="1317" t="s">
        <v>27</v>
      </c>
      <c r="B8" s="1319" t="s">
        <v>0</v>
      </c>
      <c r="C8" s="1321" t="s">
        <v>1029</v>
      </c>
      <c r="D8" s="1322"/>
      <c r="E8" s="1323" t="s">
        <v>2182</v>
      </c>
      <c r="F8" s="1308" t="s">
        <v>2183</v>
      </c>
      <c r="G8" s="1308" t="s">
        <v>2184</v>
      </c>
      <c r="H8" s="1308" t="s">
        <v>2185</v>
      </c>
      <c r="I8" s="1308" t="s">
        <v>1030</v>
      </c>
      <c r="J8" s="1308" t="s">
        <v>978</v>
      </c>
      <c r="K8" s="1308" t="s">
        <v>981</v>
      </c>
      <c r="L8" s="1308" t="s">
        <v>1031</v>
      </c>
      <c r="M8" s="1310" t="s">
        <v>1032</v>
      </c>
    </row>
    <row r="9" spans="1:13" ht="15.75" thickBot="1">
      <c r="A9" s="1318"/>
      <c r="B9" s="1320"/>
      <c r="C9" s="1154" t="s">
        <v>26</v>
      </c>
      <c r="D9" s="1154" t="s">
        <v>1</v>
      </c>
      <c r="E9" s="1324"/>
      <c r="F9" s="1309"/>
      <c r="G9" s="1309"/>
      <c r="H9" s="1309"/>
      <c r="I9" s="1309"/>
      <c r="J9" s="1309"/>
      <c r="K9" s="1309"/>
      <c r="L9" s="1309"/>
      <c r="M9" s="1311"/>
    </row>
    <row r="10" spans="1:13" s="628" customFormat="1" ht="19.5" customHeight="1">
      <c r="A10" s="928">
        <v>1</v>
      </c>
      <c r="B10" s="936" t="s">
        <v>3</v>
      </c>
      <c r="C10" s="929">
        <f>'Summary-'!C11+'Summary-'!C28+'Summary-'!C47</f>
        <v>165</v>
      </c>
      <c r="D10" s="930">
        <f>'Summary-'!D11+'Summary-'!D28+'Summary-'!D47</f>
        <v>150.833</v>
      </c>
      <c r="E10" s="931">
        <f>'Summary-'!E11+'Summary-'!E28+'Summary-'!E47</f>
        <v>150.833</v>
      </c>
      <c r="F10" s="930">
        <f>'Summary-'!F11+'Summary-'!F28+'Summary-'!F47</f>
        <v>150.833</v>
      </c>
      <c r="G10" s="932">
        <f>'Summary-'!G11+'Summary-'!G28+'Summary-'!G47</f>
        <v>0</v>
      </c>
      <c r="H10" s="932">
        <f>'Summary-'!H11+'Summary-'!H28+'Summary-'!H47</f>
        <v>0</v>
      </c>
      <c r="I10" s="933">
        <f>'Summary-'!I11+'Summary-'!I28+'Summary-'!I47</f>
        <v>150.833</v>
      </c>
      <c r="J10" s="934">
        <f>'Summary-'!J11+'Summary-'!J28+'Summary-'!J47</f>
        <v>0</v>
      </c>
      <c r="K10" s="933">
        <f t="shared" ref="K10:K23" si="0">D10-I10-J10</f>
        <v>0</v>
      </c>
      <c r="L10" s="934">
        <f>'Summary-'!L11+'Summary-'!L28+'Summary-'!L47</f>
        <v>0</v>
      </c>
      <c r="M10" s="935" t="s">
        <v>29</v>
      </c>
    </row>
    <row r="11" spans="1:13" s="628" customFormat="1" ht="15" customHeight="1">
      <c r="A11" s="629">
        <v>2</v>
      </c>
      <c r="B11" s="937" t="s">
        <v>4</v>
      </c>
      <c r="C11" s="638">
        <f>'Summary-'!C12+'Summary-'!C29+'Summary-'!C48</f>
        <v>165</v>
      </c>
      <c r="D11" s="698">
        <f>'Summary-'!D12+'Summary-'!D29+'Summary-'!D48</f>
        <v>150.833</v>
      </c>
      <c r="E11" s="630">
        <f>'Summary-'!E12+'Summary-'!E29+'Summary-'!E48</f>
        <v>149.14699999999999</v>
      </c>
      <c r="F11" s="698">
        <f>'Summary-'!F12+'Summary-'!F29+'Summary-'!F48</f>
        <v>150.833</v>
      </c>
      <c r="G11" s="630">
        <f>'Summary-'!G12+'Summary-'!G29+'Summary-'!G48</f>
        <v>1.6859999999999928</v>
      </c>
      <c r="H11" s="447">
        <f>'Summary-'!H12+'Summary-'!H29+'Summary-'!H48</f>
        <v>0</v>
      </c>
      <c r="I11" s="657">
        <f>'Summary-'!I12+'Summary-'!I29+'Summary-'!I48</f>
        <v>149.14699999999999</v>
      </c>
      <c r="J11" s="447">
        <f>'Summary-'!J12+'Summary-'!J29+'Summary-'!J48</f>
        <v>0</v>
      </c>
      <c r="K11" s="657">
        <f t="shared" si="0"/>
        <v>1.686000000000007</v>
      </c>
      <c r="L11" s="447">
        <f>'Summary-'!L12+'Summary-'!L29+'Summary-'!L48</f>
        <v>0</v>
      </c>
      <c r="M11" s="634"/>
    </row>
    <row r="12" spans="1:13" s="628" customFormat="1">
      <c r="A12" s="629">
        <v>3</v>
      </c>
      <c r="B12" s="938" t="s">
        <v>5</v>
      </c>
      <c r="C12" s="638">
        <f>'Summary-'!C13+'Summary-'!C30+'Summary-'!C49</f>
        <v>165</v>
      </c>
      <c r="D12" s="698">
        <f>'Summary-'!D13+'Summary-'!D30+'Summary-'!D49</f>
        <v>150.833</v>
      </c>
      <c r="E12" s="630">
        <f>'Summary-'!E13+'Summary-'!E30+'Summary-'!E49</f>
        <v>147.499</v>
      </c>
      <c r="F12" s="698">
        <f>'Summary-'!F13+'Summary-'!F30+'Summary-'!F49</f>
        <v>150.833</v>
      </c>
      <c r="G12" s="630">
        <f>'Summary-'!G13+'Summary-'!G30+'Summary-'!G49</f>
        <v>3.3339999999999961</v>
      </c>
      <c r="H12" s="447">
        <f>'Summary-'!H13+'Summary-'!H30+'Summary-'!H49</f>
        <v>0</v>
      </c>
      <c r="I12" s="657">
        <f>'Summary-'!I13+'Summary-'!I30+'Summary-'!I49</f>
        <v>147.499</v>
      </c>
      <c r="J12" s="447">
        <f>'Summary-'!J13+'Summary-'!J30+'Summary-'!J49</f>
        <v>0</v>
      </c>
      <c r="K12" s="657">
        <f t="shared" si="0"/>
        <v>3.3340000000000032</v>
      </c>
      <c r="L12" s="447">
        <f>'Summary-'!L13+'Summary-'!L30+'Summary-'!L49</f>
        <v>0</v>
      </c>
      <c r="M12" s="631"/>
    </row>
    <row r="13" spans="1:13" s="628" customFormat="1">
      <c r="A13" s="629">
        <v>4</v>
      </c>
      <c r="B13" s="938" t="s">
        <v>959</v>
      </c>
      <c r="C13" s="638">
        <f>'Summary-'!C14+'Summary-'!C31+'Summary-'!C50</f>
        <v>165</v>
      </c>
      <c r="D13" s="698">
        <f>'Summary-'!D14+'Summary-'!D31+'Summary-'!D50</f>
        <v>150.833</v>
      </c>
      <c r="E13" s="630">
        <f>'Summary-'!E14+'Summary-'!E31+'Summary-'!E50</f>
        <v>143.334</v>
      </c>
      <c r="F13" s="698">
        <f>'Summary-'!F14+'Summary-'!F31+'Summary-'!F50</f>
        <v>150.833</v>
      </c>
      <c r="G13" s="630">
        <f>'Summary-'!G14+'Summary-'!G31+'Summary-'!G50</f>
        <v>7.498999999999997</v>
      </c>
      <c r="H13" s="447">
        <f>'Summary-'!H14+'Summary-'!H31+'Summary-'!H50</f>
        <v>0</v>
      </c>
      <c r="I13" s="657">
        <f>'Summary-'!I14+'Summary-'!I31+'Summary-'!I50</f>
        <v>143.334</v>
      </c>
      <c r="J13" s="447">
        <f>'Summary-'!J14+'Summary-'!J31+'Summary-'!J50</f>
        <v>0</v>
      </c>
      <c r="K13" s="657">
        <f t="shared" si="0"/>
        <v>7.4989999999999952</v>
      </c>
      <c r="L13" s="447">
        <f>'Summary-'!L14+'Summary-'!L31+'Summary-'!L50</f>
        <v>0</v>
      </c>
      <c r="M13" s="632"/>
    </row>
    <row r="14" spans="1:13" s="628" customFormat="1">
      <c r="A14" s="629">
        <v>5</v>
      </c>
      <c r="B14" s="937" t="s">
        <v>6</v>
      </c>
      <c r="C14" s="638">
        <f>'Summary-'!C15+'Summary-'!C32+'Summary-'!C51</f>
        <v>165</v>
      </c>
      <c r="D14" s="698">
        <f>'Summary-'!D15+'Summary-'!D32+'Summary-'!D51</f>
        <v>150.833</v>
      </c>
      <c r="E14" s="630">
        <f>'Summary-'!E15+'Summary-'!E32+'Summary-'!E51</f>
        <v>137.191</v>
      </c>
      <c r="F14" s="698">
        <f>'Summary-'!F15+'Summary-'!F32+'Summary-'!F51</f>
        <v>150.833</v>
      </c>
      <c r="G14" s="630">
        <f>'Summary-'!G15+'Summary-'!G32+'Summary-'!G51</f>
        <v>13.641999999999996</v>
      </c>
      <c r="H14" s="447">
        <f>'Summary-'!H15+'Summary-'!H32+'Summary-'!H51</f>
        <v>0</v>
      </c>
      <c r="I14" s="657">
        <f>'Summary-'!I15+'Summary-'!I32+'Summary-'!I51</f>
        <v>137.191</v>
      </c>
      <c r="J14" s="447">
        <f>'Summary-'!J15+'Summary-'!J32+'Summary-'!J51</f>
        <v>0</v>
      </c>
      <c r="K14" s="657">
        <f t="shared" si="0"/>
        <v>13.641999999999996</v>
      </c>
      <c r="L14" s="447">
        <f>'Summary-'!L15+'Summary-'!L32+'Summary-'!L51</f>
        <v>0</v>
      </c>
      <c r="M14" s="634" t="s">
        <v>1602</v>
      </c>
    </row>
    <row r="15" spans="1:13" s="628" customFormat="1">
      <c r="A15" s="629">
        <v>6</v>
      </c>
      <c r="B15" s="938" t="s">
        <v>960</v>
      </c>
      <c r="C15" s="638">
        <f>'Summary-'!C16+'Summary-'!C33+'Summary-'!C52</f>
        <v>165</v>
      </c>
      <c r="D15" s="698">
        <f>'Summary-'!D16+'Summary-'!D33+'Summary-'!D52</f>
        <v>150.833</v>
      </c>
      <c r="E15" s="630">
        <f>'Summary-'!E16+'Summary-'!E33+'Summary-'!E52</f>
        <v>119.607</v>
      </c>
      <c r="F15" s="698">
        <f>'Summary-'!F16+'Summary-'!F33+'Summary-'!F52</f>
        <v>150.833</v>
      </c>
      <c r="G15" s="630">
        <f>'Summary-'!G16+'Summary-'!G33+'Summary-'!G52</f>
        <v>31.225999999999992</v>
      </c>
      <c r="H15" s="447">
        <f>'Summary-'!H16+'Summary-'!H33+'Summary-'!H52</f>
        <v>0</v>
      </c>
      <c r="I15" s="657">
        <f>'Summary-'!I16+'Summary-'!I33+'Summary-'!I52</f>
        <v>119.607</v>
      </c>
      <c r="J15" s="447">
        <f>'Summary-'!J16+'Summary-'!J33+'Summary-'!J52</f>
        <v>0</v>
      </c>
      <c r="K15" s="657">
        <f t="shared" si="0"/>
        <v>31.225999999999999</v>
      </c>
      <c r="L15" s="447">
        <f>'Summary-'!L16+'Summary-'!L33+'Summary-'!L52</f>
        <v>0</v>
      </c>
      <c r="M15" s="631"/>
    </row>
    <row r="16" spans="1:13" s="628" customFormat="1">
      <c r="A16" s="629">
        <v>7</v>
      </c>
      <c r="B16" s="937" t="s">
        <v>7</v>
      </c>
      <c r="C16" s="638">
        <f>'Summary-'!C17+'Summary-'!C34+'Summary-'!C53</f>
        <v>165</v>
      </c>
      <c r="D16" s="638">
        <f>'Summary-'!D17+'Summary-'!D34+'Summary-'!D53</f>
        <v>147</v>
      </c>
      <c r="E16" s="638">
        <f>'Summary-'!E17+'Summary-'!E34+'Summary-'!E53</f>
        <v>147</v>
      </c>
      <c r="F16" s="638">
        <f>'Summary-'!F17+'Summary-'!F34+'Summary-'!F53</f>
        <v>147</v>
      </c>
      <c r="G16" s="633">
        <f>'Summary-'!G17+'Summary-'!G34+'Summary-'!G53</f>
        <v>0</v>
      </c>
      <c r="H16" s="447">
        <f>'Summary-'!H17+'Summary-'!H34+'Summary-'!H53</f>
        <v>0</v>
      </c>
      <c r="I16" s="646">
        <f>'Summary-'!I17+'Summary-'!I34+'Summary-'!I53</f>
        <v>147</v>
      </c>
      <c r="J16" s="447">
        <f>'Summary-'!J17+'Summary-'!J34+'Summary-'!J53</f>
        <v>0</v>
      </c>
      <c r="K16" s="646">
        <f t="shared" si="0"/>
        <v>0</v>
      </c>
      <c r="L16" s="447">
        <f>'Summary-'!L17+'Summary-'!L34+'Summary-'!L53</f>
        <v>0</v>
      </c>
      <c r="M16" s="634" t="s">
        <v>29</v>
      </c>
    </row>
    <row r="17" spans="1:16" s="628" customFormat="1">
      <c r="A17" s="629">
        <v>8</v>
      </c>
      <c r="B17" s="937" t="s">
        <v>8</v>
      </c>
      <c r="C17" s="638">
        <f>'Summary-'!C18+'Summary-'!C35+'Summary-'!C54</f>
        <v>564</v>
      </c>
      <c r="D17" s="638">
        <f>'Summary-'!D18+'Summary-'!D35+'Summary-'!D54</f>
        <v>505</v>
      </c>
      <c r="E17" s="638">
        <f>'Summary-'!E18+'Summary-'!E35+'Summary-'!E54</f>
        <v>324</v>
      </c>
      <c r="F17" s="638">
        <f>'Summary-'!F18+'Summary-'!F35+'Summary-'!F54</f>
        <v>505</v>
      </c>
      <c r="G17" s="638">
        <f>'Summary-'!G18+'Summary-'!G35+'Summary-'!G54</f>
        <v>35</v>
      </c>
      <c r="H17" s="638">
        <f>'Summary-'!H18+'Summary-'!H35+'Summary-'!H54</f>
        <v>0</v>
      </c>
      <c r="I17" s="646">
        <f>'Summary-'!I18+'Summary-'!I35+'Summary-'!I54</f>
        <v>324</v>
      </c>
      <c r="J17" s="447">
        <f>'Summary-'!J18+'Summary-'!J35+'Summary-'!J54</f>
        <v>0</v>
      </c>
      <c r="K17" s="646">
        <f t="shared" si="0"/>
        <v>181</v>
      </c>
      <c r="L17" s="447">
        <f>'Summary-'!L18+'Summary-'!L35+'Summary-'!L54</f>
        <v>0</v>
      </c>
      <c r="M17" s="639"/>
    </row>
    <row r="18" spans="1:16" s="628" customFormat="1">
      <c r="A18" s="629">
        <v>9</v>
      </c>
      <c r="B18" s="937" t="s">
        <v>9</v>
      </c>
      <c r="C18" s="638">
        <f>'Summary-'!C19+'Summary-'!C36+'Summary-'!C55</f>
        <v>564</v>
      </c>
      <c r="D18" s="638">
        <f>'Summary-'!D19+'Summary-'!D36+'Summary-'!D55</f>
        <v>505</v>
      </c>
      <c r="E18" s="630">
        <f>'Summary-'!E19+'Summary-'!E36+'Summary-'!E55</f>
        <v>312</v>
      </c>
      <c r="F18" s="638">
        <f>'Summary-'!F19+'Summary-'!F36+'Summary-'!F55</f>
        <v>505</v>
      </c>
      <c r="G18" s="638">
        <f>'Summary-'!G19+'Summary-'!G36+'Summary-'!G55</f>
        <v>35</v>
      </c>
      <c r="H18" s="638">
        <f>'Summary-'!H19+'Summary-'!H36+'Summary-'!H55</f>
        <v>7</v>
      </c>
      <c r="I18" s="646">
        <f>'Summary-'!I19+'Summary-'!I36+'Summary-'!I55</f>
        <v>319</v>
      </c>
      <c r="J18" s="525">
        <f>'Summary-'!J19+'Summary-'!J36+'Summary-'!J55</f>
        <v>11</v>
      </c>
      <c r="K18" s="646">
        <f t="shared" si="0"/>
        <v>175</v>
      </c>
      <c r="L18" s="646">
        <f>'Summary-'!L19+'Summary-'!L36+'Summary-'!L55</f>
        <v>11</v>
      </c>
      <c r="M18" s="640"/>
    </row>
    <row r="19" spans="1:16" s="628" customFormat="1">
      <c r="A19" s="629">
        <v>10</v>
      </c>
      <c r="B19" s="937" t="s">
        <v>10</v>
      </c>
      <c r="C19" s="638">
        <f>'Summary-'!C20+'Summary-'!C37+'Summary-'!C56</f>
        <v>564</v>
      </c>
      <c r="D19" s="638">
        <f>'Summary-'!D20+'Summary-'!D37+'Summary-'!D56</f>
        <v>505</v>
      </c>
      <c r="E19" s="630">
        <f>'Summary-'!E20+'Summary-'!E37+'Summary-'!E56</f>
        <v>226</v>
      </c>
      <c r="F19" s="638">
        <f>'Summary-'!F20+'Summary-'!F37+'Summary-'!F56</f>
        <v>505</v>
      </c>
      <c r="G19" s="638">
        <f>'Summary-'!G20+'Summary-'!G37+'Summary-'!G56</f>
        <v>38</v>
      </c>
      <c r="H19" s="638">
        <f>'Summary-'!H20+'Summary-'!H37+'Summary-'!H56</f>
        <v>5</v>
      </c>
      <c r="I19" s="646">
        <f>'Summary-'!I20+'Summary-'!I37+'Summary-'!I56</f>
        <v>231</v>
      </c>
      <c r="J19" s="447">
        <f>'Summary-'!J20+'Summary-'!J37+'Summary-'!J56</f>
        <v>0</v>
      </c>
      <c r="K19" s="646">
        <f t="shared" si="0"/>
        <v>274</v>
      </c>
      <c r="L19" s="646"/>
      <c r="M19" s="639"/>
    </row>
    <row r="20" spans="1:16" s="628" customFormat="1">
      <c r="A20" s="629">
        <v>11</v>
      </c>
      <c r="B20" s="937" t="s">
        <v>11</v>
      </c>
      <c r="C20" s="638">
        <f>'Summary-'!C21+'Summary-'!C38+'Summary-'!C57</f>
        <v>564</v>
      </c>
      <c r="D20" s="638">
        <f>'Summary-'!D21+'Summary-'!D38+'Summary-'!D57</f>
        <v>505</v>
      </c>
      <c r="E20" s="630">
        <f>'Summary-'!E21+'Summary-'!E38+'Summary-'!E57</f>
        <v>138</v>
      </c>
      <c r="F20" s="638">
        <f>'Summary-'!F21+'Summary-'!F38+'Summary-'!F57</f>
        <v>505</v>
      </c>
      <c r="G20" s="638">
        <f>'Summary-'!G21+'Summary-'!G38+'Summary-'!G57</f>
        <v>45</v>
      </c>
      <c r="H20" s="638">
        <f>'Summary-'!H21+'Summary-'!H38+'Summary-'!H57</f>
        <v>8</v>
      </c>
      <c r="I20" s="646">
        <f>'Summary-'!I21+'Summary-'!I38+'Summary-'!I57</f>
        <v>146</v>
      </c>
      <c r="J20" s="525">
        <f>'Summary-'!J21+'Summary-'!J38+'Summary-'!J57</f>
        <v>6</v>
      </c>
      <c r="K20" s="646">
        <f t="shared" si="0"/>
        <v>353</v>
      </c>
      <c r="L20" s="646">
        <f>'Summary-'!L21+'Summary-'!L38+'Summary-'!L57</f>
        <v>6</v>
      </c>
      <c r="M20" s="639"/>
    </row>
    <row r="21" spans="1:16" s="628" customFormat="1">
      <c r="A21" s="629">
        <v>12</v>
      </c>
      <c r="B21" s="937" t="s">
        <v>12</v>
      </c>
      <c r="C21" s="638">
        <f>'Summary-'!C22+'Summary-'!C39+'Summary-'!C58</f>
        <v>564</v>
      </c>
      <c r="D21" s="638">
        <f>'Summary-'!D22+'Summary-'!D39+'Summary-'!D58</f>
        <v>505</v>
      </c>
      <c r="E21" s="630">
        <f>'Summary-'!E22+'Summary-'!E39+'Summary-'!E58</f>
        <v>21</v>
      </c>
      <c r="F21" s="638">
        <f>'Summary-'!F22+'Summary-'!F39+'Summary-'!F58</f>
        <v>505</v>
      </c>
      <c r="G21" s="638">
        <f>'Summary-'!G22+'Summary-'!G39+'Summary-'!G58</f>
        <v>45</v>
      </c>
      <c r="H21" s="638">
        <f>'Summary-'!H22+'Summary-'!H39+'Summary-'!H58</f>
        <v>0</v>
      </c>
      <c r="I21" s="646">
        <f>'Summary-'!I22+'Summary-'!I39+'Summary-'!I58</f>
        <v>21</v>
      </c>
      <c r="J21" s="447">
        <f>'Summary-'!J22+'Summary-'!J39+'Summary-'!J58</f>
        <v>0</v>
      </c>
      <c r="K21" s="646">
        <f t="shared" si="0"/>
        <v>484</v>
      </c>
      <c r="L21" s="646"/>
      <c r="M21" s="639"/>
    </row>
    <row r="22" spans="1:16" s="628" customFormat="1">
      <c r="A22" s="629">
        <v>13</v>
      </c>
      <c r="B22" s="937" t="s">
        <v>13</v>
      </c>
      <c r="C22" s="638">
        <f>'Summary-'!C23+'Summary-'!C40+'Summary-'!C59</f>
        <v>165</v>
      </c>
      <c r="D22" s="698">
        <f>'Summary-'!D23+'Summary-'!D40+'Summary-'!D59</f>
        <v>150.833</v>
      </c>
      <c r="E22" s="630">
        <f>'Summary-'!E23+'Summary-'!E40+'Summary-'!E59</f>
        <v>3.1989999999999998</v>
      </c>
      <c r="F22" s="698">
        <f>'Summary-'!F23+'Summary-'!F40+'Summary-'!F59</f>
        <v>150.833</v>
      </c>
      <c r="G22" s="638">
        <f>'Summary-'!G23+'Summary-'!G40+'Summary-'!G59</f>
        <v>6.1999999999999993</v>
      </c>
      <c r="H22" s="447">
        <f>'Summary-'!H23+'Summary-'!H40+'Summary-'!H59</f>
        <v>0</v>
      </c>
      <c r="I22" s="658">
        <f>'Summary-'!I23+'Summary-'!I40+'Summary-'!I59</f>
        <v>3.1989999999999998</v>
      </c>
      <c r="J22" s="447">
        <f>'Summary-'!J23+'Summary-'!J40+'Summary-'!J59</f>
        <v>0.748</v>
      </c>
      <c r="K22" s="658">
        <f t="shared" si="0"/>
        <v>146.886</v>
      </c>
      <c r="L22" s="646">
        <f>'Summary-'!L40+'Summary-'!L59</f>
        <v>2</v>
      </c>
      <c r="M22" s="639"/>
    </row>
    <row r="23" spans="1:16" s="628" customFormat="1" ht="15.75" thickBot="1">
      <c r="A23" s="635">
        <v>14</v>
      </c>
      <c r="B23" s="939" t="s">
        <v>1058</v>
      </c>
      <c r="C23" s="659">
        <f>'Summary-'!C24+'Summary-'!C41+'Summary-'!C60</f>
        <v>165</v>
      </c>
      <c r="D23" s="699">
        <f>'Summary-'!D24+'Summary-'!D41+'Summary-'!D60</f>
        <v>150.833</v>
      </c>
      <c r="E23" s="699">
        <f>'Summary-'!E24+'Summary-'!E41+'Summary-'!E60</f>
        <v>0</v>
      </c>
      <c r="F23" s="699">
        <f>'Summary-'!F24+'Summary-'!F41+'Summary-'!F60</f>
        <v>150.833</v>
      </c>
      <c r="G23" s="572">
        <f>'Summary-'!G24+'Summary-'!G41+'Summary-'!G60</f>
        <v>0</v>
      </c>
      <c r="H23" s="572">
        <f>'Summary-'!H24+'Summary-'!H41+'Summary-'!H60</f>
        <v>0</v>
      </c>
      <c r="I23" s="660">
        <f>'Summary-'!I24+'Summary-'!I41+'Summary-'!I60</f>
        <v>0</v>
      </c>
      <c r="J23" s="572">
        <f>'Summary-'!J24+'Summary-'!J41+'Summary-'!J60</f>
        <v>0</v>
      </c>
      <c r="K23" s="636">
        <f t="shared" si="0"/>
        <v>150.833</v>
      </c>
      <c r="L23" s="572">
        <f>'Summary-'!L24+'Summary-'!L41+'Summary-'!L60</f>
        <v>0</v>
      </c>
      <c r="M23" s="637"/>
    </row>
    <row r="24" spans="1:16">
      <c r="O24" s="628"/>
      <c r="P24" s="628"/>
    </row>
    <row r="25" spans="1:16">
      <c r="O25" s="628"/>
      <c r="P25" s="628"/>
    </row>
    <row r="26" spans="1:16">
      <c r="O26" s="628"/>
      <c r="P26" s="628"/>
    </row>
    <row r="27" spans="1:16">
      <c r="O27" s="628"/>
      <c r="P27" s="628"/>
    </row>
    <row r="28" spans="1:16">
      <c r="O28" s="628"/>
      <c r="P28" s="628"/>
    </row>
    <row r="29" spans="1:16">
      <c r="O29" s="628"/>
      <c r="P29" s="628"/>
    </row>
    <row r="30" spans="1:16">
      <c r="O30" s="628"/>
      <c r="P30" s="628"/>
    </row>
    <row r="31" spans="1:16">
      <c r="O31" s="628"/>
      <c r="P31" s="628"/>
    </row>
    <row r="32" spans="1:16">
      <c r="O32" s="628"/>
      <c r="P32" s="628"/>
    </row>
    <row r="33" spans="15:16">
      <c r="O33" s="628"/>
      <c r="P33" s="628"/>
    </row>
  </sheetData>
  <mergeCells count="16">
    <mergeCell ref="A1:M1"/>
    <mergeCell ref="K8:K9"/>
    <mergeCell ref="L8:L9"/>
    <mergeCell ref="M8:M9"/>
    <mergeCell ref="E4:M4"/>
    <mergeCell ref="A7:M7"/>
    <mergeCell ref="A8:A9"/>
    <mergeCell ref="B8:B9"/>
    <mergeCell ref="C8:D8"/>
    <mergeCell ref="E8:E9"/>
    <mergeCell ref="F8:F9"/>
    <mergeCell ref="G8:G9"/>
    <mergeCell ref="H8:H9"/>
    <mergeCell ref="L2:M2"/>
    <mergeCell ref="I8:I9"/>
    <mergeCell ref="J8:J9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60"/>
  <sheetViews>
    <sheetView topLeftCell="A47" zoomScale="70" zoomScaleNormal="70" workbookViewId="0">
      <selection activeCell="H55" sqref="H55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52.85546875" customWidth="1"/>
  </cols>
  <sheetData>
    <row r="1" spans="1:13" ht="19.5" thickBot="1">
      <c r="A1" s="626"/>
      <c r="B1" s="1296"/>
      <c r="C1" s="1305" t="s">
        <v>18</v>
      </c>
      <c r="D1" s="1306"/>
      <c r="E1" s="1306"/>
      <c r="F1" s="1306"/>
      <c r="G1" s="1306"/>
      <c r="H1" s="1306"/>
      <c r="I1" s="1306"/>
      <c r="J1" s="1306"/>
      <c r="K1" s="1306"/>
      <c r="L1" s="1306"/>
      <c r="M1" s="1307"/>
    </row>
    <row r="2" spans="1:13">
      <c r="A2" s="627"/>
      <c r="B2" s="3"/>
      <c r="C2" s="1297"/>
      <c r="D2" s="1298"/>
      <c r="E2" s="1298"/>
      <c r="F2" s="1298"/>
      <c r="G2" s="1298"/>
      <c r="H2" s="1298"/>
      <c r="I2" s="1298"/>
      <c r="J2" s="1298"/>
      <c r="K2" s="1298"/>
      <c r="L2" s="1298"/>
      <c r="M2" s="1299"/>
    </row>
    <row r="3" spans="1:13">
      <c r="A3" s="627"/>
      <c r="B3" s="663"/>
      <c r="C3" s="4"/>
      <c r="D3" s="4"/>
      <c r="E3" s="4"/>
      <c r="F3" s="4"/>
      <c r="G3" s="4"/>
      <c r="H3" s="4"/>
      <c r="I3" s="4"/>
      <c r="J3" s="4"/>
      <c r="K3" s="4"/>
      <c r="M3" s="700" t="s">
        <v>2214</v>
      </c>
    </row>
    <row r="4" spans="1:13" s="628" customFormat="1" ht="12.75">
      <c r="A4" s="641"/>
      <c r="B4" s="665" t="s">
        <v>15</v>
      </c>
      <c r="C4" s="661">
        <v>45287</v>
      </c>
      <c r="D4" s="642" t="s">
        <v>20</v>
      </c>
      <c r="E4" s="642" t="s">
        <v>1599</v>
      </c>
      <c r="F4" s="643"/>
      <c r="G4" s="643"/>
      <c r="H4" s="643"/>
      <c r="I4" s="643"/>
      <c r="J4" s="643"/>
      <c r="K4" s="643"/>
      <c r="L4" s="647"/>
      <c r="M4" s="648"/>
    </row>
    <row r="5" spans="1:13" s="628" customFormat="1" ht="12.75">
      <c r="A5" s="641"/>
      <c r="B5" s="665" t="s">
        <v>16</v>
      </c>
      <c r="C5" s="661">
        <v>45831</v>
      </c>
      <c r="D5" s="647" t="s">
        <v>17</v>
      </c>
      <c r="E5" s="1312" t="s">
        <v>21</v>
      </c>
      <c r="F5" s="1312"/>
      <c r="G5" s="1312"/>
      <c r="H5" s="1312"/>
      <c r="I5" s="1312"/>
      <c r="J5" s="1312"/>
      <c r="K5" s="1312"/>
      <c r="L5" s="1312"/>
      <c r="M5" s="1313"/>
    </row>
    <row r="6" spans="1:13" s="628" customFormat="1" ht="12.75">
      <c r="A6" s="641"/>
      <c r="B6" s="665" t="s">
        <v>1033</v>
      </c>
      <c r="C6" s="662">
        <v>46081</v>
      </c>
      <c r="D6" s="647" t="s">
        <v>22</v>
      </c>
      <c r="E6" s="649" t="s">
        <v>23</v>
      </c>
      <c r="F6" s="650" t="s">
        <v>19</v>
      </c>
      <c r="G6" s="651"/>
      <c r="H6" s="651"/>
      <c r="I6" s="651"/>
      <c r="J6" s="651"/>
      <c r="K6" s="651"/>
      <c r="L6" s="651"/>
      <c r="M6" s="644"/>
    </row>
    <row r="7" spans="1:13" s="628" customFormat="1" ht="13.5" thickBot="1">
      <c r="A7" s="645"/>
      <c r="B7" s="664"/>
      <c r="C7" s="652"/>
      <c r="D7" s="652" t="s">
        <v>1601</v>
      </c>
      <c r="E7" s="653" t="s">
        <v>24</v>
      </c>
      <c r="F7" s="677">
        <v>45287</v>
      </c>
      <c r="G7" s="654"/>
      <c r="H7" s="654"/>
      <c r="I7" s="654"/>
      <c r="J7" s="654"/>
      <c r="K7" s="654"/>
      <c r="L7" s="655"/>
      <c r="M7" s="656"/>
    </row>
    <row r="8" spans="1:13" ht="21.75" thickBot="1">
      <c r="A8" s="1336" t="s">
        <v>1208</v>
      </c>
      <c r="B8" s="1337"/>
      <c r="C8" s="1337"/>
      <c r="D8" s="1337"/>
      <c r="E8" s="1337"/>
      <c r="F8" s="1337"/>
      <c r="G8" s="1337"/>
      <c r="H8" s="1337"/>
      <c r="I8" s="1337"/>
      <c r="J8" s="1337"/>
      <c r="K8" s="1337"/>
      <c r="L8" s="1337"/>
      <c r="M8" s="1338"/>
    </row>
    <row r="9" spans="1:13" ht="60" customHeight="1">
      <c r="A9" s="1317" t="s">
        <v>27</v>
      </c>
      <c r="B9" s="1319" t="s">
        <v>0</v>
      </c>
      <c r="C9" s="1321" t="s">
        <v>1029</v>
      </c>
      <c r="D9" s="1322"/>
      <c r="E9" s="1323" t="s">
        <v>2182</v>
      </c>
      <c r="F9" s="1308" t="s">
        <v>2183</v>
      </c>
      <c r="G9" s="1308" t="s">
        <v>2184</v>
      </c>
      <c r="H9" s="1308" t="s">
        <v>2185</v>
      </c>
      <c r="I9" s="1308" t="s">
        <v>1030</v>
      </c>
      <c r="J9" s="1308" t="s">
        <v>978</v>
      </c>
      <c r="K9" s="1308" t="s">
        <v>981</v>
      </c>
      <c r="L9" s="1308" t="s">
        <v>1031</v>
      </c>
      <c r="M9" s="1310" t="s">
        <v>1032</v>
      </c>
    </row>
    <row r="10" spans="1:13" ht="15.75" thickBot="1">
      <c r="A10" s="1318"/>
      <c r="B10" s="1320"/>
      <c r="C10" s="1154" t="s">
        <v>26</v>
      </c>
      <c r="D10" s="1154" t="s">
        <v>1</v>
      </c>
      <c r="E10" s="1324"/>
      <c r="F10" s="1309"/>
      <c r="G10" s="1309"/>
      <c r="H10" s="1309"/>
      <c r="I10" s="1309"/>
      <c r="J10" s="1309"/>
      <c r="K10" s="1309"/>
      <c r="L10" s="1309"/>
      <c r="M10" s="1311"/>
    </row>
    <row r="11" spans="1:13" ht="26.25" customHeight="1">
      <c r="A11" s="1259">
        <v>1</v>
      </c>
      <c r="B11" s="1260" t="s">
        <v>3</v>
      </c>
      <c r="C11" s="548">
        <v>25</v>
      </c>
      <c r="D11" s="1291">
        <v>6.6</v>
      </c>
      <c r="E11" s="1291">
        <v>6.6</v>
      </c>
      <c r="F11" s="1291">
        <v>6.6</v>
      </c>
      <c r="G11" s="1264">
        <v>0</v>
      </c>
      <c r="H11" s="1264">
        <v>0</v>
      </c>
      <c r="I11" s="1263">
        <f>E11+H11</f>
        <v>6.6</v>
      </c>
      <c r="J11" s="1264">
        <v>0</v>
      </c>
      <c r="K11" s="1265">
        <f t="shared" ref="K11:K24" si="0">D11-I11-J11</f>
        <v>0</v>
      </c>
      <c r="L11" s="1291"/>
      <c r="M11" s="1292"/>
    </row>
    <row r="12" spans="1:13" ht="26.25" customHeight="1">
      <c r="A12" s="1268">
        <v>2</v>
      </c>
      <c r="B12" s="28" t="s">
        <v>4</v>
      </c>
      <c r="C12" s="29">
        <v>25</v>
      </c>
      <c r="D12" s="30">
        <v>6.6</v>
      </c>
      <c r="E12" s="9">
        <v>6.6</v>
      </c>
      <c r="F12" s="30">
        <v>6.6</v>
      </c>
      <c r="G12" s="447">
        <v>0</v>
      </c>
      <c r="H12" s="447">
        <v>0</v>
      </c>
      <c r="I12" s="9">
        <f t="shared" ref="I12:I24" si="1">E12+H12</f>
        <v>6.6</v>
      </c>
      <c r="J12" s="447">
        <v>0</v>
      </c>
      <c r="K12" s="448">
        <f t="shared" si="0"/>
        <v>0</v>
      </c>
      <c r="L12" s="30"/>
      <c r="M12" s="1293"/>
    </row>
    <row r="13" spans="1:13" ht="26.25" customHeight="1">
      <c r="A13" s="1268">
        <v>3</v>
      </c>
      <c r="B13" s="6" t="s">
        <v>5</v>
      </c>
      <c r="C13" s="29">
        <v>25</v>
      </c>
      <c r="D13" s="30">
        <v>6.6</v>
      </c>
      <c r="E13" s="9">
        <v>6.6</v>
      </c>
      <c r="F13" s="30">
        <v>6.6</v>
      </c>
      <c r="G13" s="10"/>
      <c r="H13" s="10"/>
      <c r="I13" s="9">
        <f t="shared" si="1"/>
        <v>6.6</v>
      </c>
      <c r="J13" s="447">
        <v>0</v>
      </c>
      <c r="K13" s="448">
        <f t="shared" si="0"/>
        <v>0</v>
      </c>
      <c r="L13" s="30"/>
      <c r="M13" s="1293" t="s">
        <v>1834</v>
      </c>
    </row>
    <row r="14" spans="1:13" ht="26.25" customHeight="1">
      <c r="A14" s="1268">
        <v>4</v>
      </c>
      <c r="B14" s="6" t="s">
        <v>959</v>
      </c>
      <c r="C14" s="29">
        <v>25</v>
      </c>
      <c r="D14" s="30">
        <v>6.6</v>
      </c>
      <c r="E14" s="9">
        <v>6.27</v>
      </c>
      <c r="F14" s="30">
        <v>6.6</v>
      </c>
      <c r="G14" s="10">
        <v>0.33</v>
      </c>
      <c r="H14" s="447">
        <v>0</v>
      </c>
      <c r="I14" s="9">
        <f>E14+H14</f>
        <v>6.27</v>
      </c>
      <c r="J14" s="447">
        <v>0</v>
      </c>
      <c r="K14" s="448">
        <f t="shared" si="0"/>
        <v>0.33000000000000007</v>
      </c>
      <c r="L14" s="30"/>
      <c r="M14" s="1294"/>
    </row>
    <row r="15" spans="1:13" ht="26.25" customHeight="1">
      <c r="A15" s="1268">
        <v>5</v>
      </c>
      <c r="B15" s="28" t="s">
        <v>6</v>
      </c>
      <c r="C15" s="29">
        <v>25</v>
      </c>
      <c r="D15" s="30">
        <v>6.6</v>
      </c>
      <c r="E15" s="9">
        <v>6.6</v>
      </c>
      <c r="F15" s="30">
        <v>6.6</v>
      </c>
      <c r="G15" s="10"/>
      <c r="H15" s="447">
        <v>0</v>
      </c>
      <c r="I15" s="9">
        <f t="shared" si="1"/>
        <v>6.6</v>
      </c>
      <c r="J15" s="447">
        <v>0</v>
      </c>
      <c r="K15" s="448">
        <f t="shared" si="0"/>
        <v>0</v>
      </c>
      <c r="L15" s="30"/>
      <c r="M15" s="1293"/>
    </row>
    <row r="16" spans="1:13" ht="26.25" customHeight="1">
      <c r="A16" s="1268">
        <v>6</v>
      </c>
      <c r="B16" s="6" t="s">
        <v>960</v>
      </c>
      <c r="C16" s="29">
        <v>25</v>
      </c>
      <c r="D16" s="30">
        <v>6.6</v>
      </c>
      <c r="E16" s="9">
        <v>5.5389999999999997</v>
      </c>
      <c r="F16" s="30">
        <v>6.6</v>
      </c>
      <c r="G16" s="10">
        <v>1.0609999999999999</v>
      </c>
      <c r="H16" s="447">
        <v>0</v>
      </c>
      <c r="I16" s="9">
        <f t="shared" si="1"/>
        <v>5.5389999999999997</v>
      </c>
      <c r="J16" s="447">
        <v>0</v>
      </c>
      <c r="K16" s="448">
        <f t="shared" si="0"/>
        <v>1.0609999999999999</v>
      </c>
      <c r="L16" s="30"/>
      <c r="M16" s="1293"/>
    </row>
    <row r="17" spans="1:13" ht="26.25" customHeight="1">
      <c r="A17" s="1268">
        <v>7</v>
      </c>
      <c r="B17" s="28" t="s">
        <v>7</v>
      </c>
      <c r="C17" s="551">
        <v>25</v>
      </c>
      <c r="D17" s="551">
        <v>7</v>
      </c>
      <c r="E17" s="9">
        <v>7</v>
      </c>
      <c r="F17" s="551">
        <v>7</v>
      </c>
      <c r="G17" s="10">
        <v>0</v>
      </c>
      <c r="H17" s="552">
        <v>0</v>
      </c>
      <c r="I17" s="9">
        <f t="shared" si="1"/>
        <v>7</v>
      </c>
      <c r="J17" s="552">
        <v>0</v>
      </c>
      <c r="K17" s="449">
        <f t="shared" si="0"/>
        <v>0</v>
      </c>
      <c r="L17" s="30"/>
      <c r="M17" s="1271" t="s">
        <v>29</v>
      </c>
    </row>
    <row r="18" spans="1:13" ht="26.25" customHeight="1">
      <c r="A18" s="1268">
        <v>8</v>
      </c>
      <c r="B18" s="28" t="s">
        <v>8</v>
      </c>
      <c r="C18" s="29">
        <v>82</v>
      </c>
      <c r="D18" s="29">
        <v>28</v>
      </c>
      <c r="E18" s="9">
        <v>25</v>
      </c>
      <c r="F18" s="29">
        <v>28</v>
      </c>
      <c r="G18" s="10">
        <v>3</v>
      </c>
      <c r="H18" s="552">
        <v>0</v>
      </c>
      <c r="I18" s="9">
        <f t="shared" si="1"/>
        <v>25</v>
      </c>
      <c r="J18" s="552">
        <v>0</v>
      </c>
      <c r="K18" s="449">
        <f t="shared" si="0"/>
        <v>3</v>
      </c>
      <c r="L18" s="30"/>
      <c r="M18" s="84"/>
    </row>
    <row r="19" spans="1:13" s="567" customFormat="1" ht="26.25" customHeight="1">
      <c r="A19" s="1268">
        <v>9</v>
      </c>
      <c r="B19" s="28" t="s">
        <v>9</v>
      </c>
      <c r="C19" s="69">
        <v>82</v>
      </c>
      <c r="D19" s="69">
        <v>28</v>
      </c>
      <c r="E19" s="9">
        <v>25</v>
      </c>
      <c r="F19" s="69">
        <v>28</v>
      </c>
      <c r="G19" s="10">
        <v>3</v>
      </c>
      <c r="H19" s="552">
        <v>0</v>
      </c>
      <c r="I19" s="9">
        <f t="shared" si="1"/>
        <v>25</v>
      </c>
      <c r="J19" s="563">
        <v>1</v>
      </c>
      <c r="K19" s="449">
        <f t="shared" si="0"/>
        <v>2</v>
      </c>
      <c r="L19" s="1123">
        <v>1</v>
      </c>
      <c r="M19" s="1273"/>
    </row>
    <row r="20" spans="1:13" ht="26.25" customHeight="1">
      <c r="A20" s="1268">
        <v>10</v>
      </c>
      <c r="B20" s="28" t="s">
        <v>10</v>
      </c>
      <c r="C20" s="29">
        <v>82</v>
      </c>
      <c r="D20" s="29">
        <v>28</v>
      </c>
      <c r="E20" s="9">
        <v>22</v>
      </c>
      <c r="F20" s="29">
        <v>28</v>
      </c>
      <c r="G20" s="10">
        <v>6</v>
      </c>
      <c r="H20" s="552">
        <v>0</v>
      </c>
      <c r="I20" s="9">
        <f t="shared" si="1"/>
        <v>22</v>
      </c>
      <c r="J20" s="552"/>
      <c r="K20" s="449">
        <f t="shared" si="0"/>
        <v>6</v>
      </c>
      <c r="L20" s="31"/>
      <c r="M20" s="84"/>
    </row>
    <row r="21" spans="1:13" s="716" customFormat="1" ht="26.25" customHeight="1">
      <c r="A21" s="1268">
        <v>11</v>
      </c>
      <c r="B21" s="28" t="s">
        <v>11</v>
      </c>
      <c r="C21" s="69">
        <v>82</v>
      </c>
      <c r="D21" s="69">
        <v>28</v>
      </c>
      <c r="E21" s="9">
        <v>12</v>
      </c>
      <c r="F21" s="69">
        <v>28</v>
      </c>
      <c r="G21" s="10">
        <v>10</v>
      </c>
      <c r="H21" s="552">
        <v>1</v>
      </c>
      <c r="I21" s="9">
        <f t="shared" si="1"/>
        <v>13</v>
      </c>
      <c r="J21" s="552">
        <v>1</v>
      </c>
      <c r="K21" s="449">
        <f t="shared" si="0"/>
        <v>14</v>
      </c>
      <c r="L21" s="1123">
        <v>1</v>
      </c>
      <c r="M21" s="1269"/>
    </row>
    <row r="22" spans="1:13" ht="26.25" customHeight="1">
      <c r="A22" s="1268">
        <v>12</v>
      </c>
      <c r="B22" s="28" t="s">
        <v>12</v>
      </c>
      <c r="C22" s="29">
        <v>82</v>
      </c>
      <c r="D22" s="29">
        <v>28</v>
      </c>
      <c r="E22" s="9">
        <v>0</v>
      </c>
      <c r="F22" s="29">
        <v>28</v>
      </c>
      <c r="G22" s="10">
        <v>10</v>
      </c>
      <c r="H22" s="552">
        <v>0</v>
      </c>
      <c r="I22" s="9">
        <f t="shared" si="1"/>
        <v>0</v>
      </c>
      <c r="J22" s="447">
        <v>0</v>
      </c>
      <c r="K22" s="449">
        <f t="shared" si="0"/>
        <v>28</v>
      </c>
      <c r="L22" s="31"/>
      <c r="M22" s="84"/>
    </row>
    <row r="23" spans="1:13" ht="26.25" customHeight="1">
      <c r="A23" s="1268">
        <v>13</v>
      </c>
      <c r="B23" s="28" t="s">
        <v>13</v>
      </c>
      <c r="C23" s="29">
        <v>25</v>
      </c>
      <c r="D23" s="30">
        <v>6.6</v>
      </c>
      <c r="E23" s="9">
        <v>0</v>
      </c>
      <c r="F23" s="30">
        <v>6.6</v>
      </c>
      <c r="G23" s="10">
        <v>1.4</v>
      </c>
      <c r="H23" s="447">
        <v>0</v>
      </c>
      <c r="I23" s="9">
        <f t="shared" si="1"/>
        <v>0</v>
      </c>
      <c r="J23" s="447">
        <v>0</v>
      </c>
      <c r="K23" s="448">
        <f t="shared" si="0"/>
        <v>6.6</v>
      </c>
      <c r="L23" s="30"/>
      <c r="M23" s="84" t="s">
        <v>2188</v>
      </c>
    </row>
    <row r="24" spans="1:13" ht="26.25" customHeight="1" thickBot="1">
      <c r="A24" s="1276">
        <v>14</v>
      </c>
      <c r="B24" s="1277" t="s">
        <v>1058</v>
      </c>
      <c r="C24" s="549">
        <v>25</v>
      </c>
      <c r="D24" s="1295">
        <v>6.6</v>
      </c>
      <c r="E24" s="1280">
        <v>0</v>
      </c>
      <c r="F24" s="1295">
        <v>6.6</v>
      </c>
      <c r="G24" s="1282">
        <v>0</v>
      </c>
      <c r="H24" s="572">
        <v>0</v>
      </c>
      <c r="I24" s="1280">
        <f t="shared" si="1"/>
        <v>0</v>
      </c>
      <c r="J24" s="572">
        <v>0</v>
      </c>
      <c r="K24" s="1281">
        <f t="shared" si="0"/>
        <v>6.6</v>
      </c>
      <c r="L24" s="1282"/>
      <c r="M24" s="1283"/>
    </row>
    <row r="25" spans="1:13" ht="21" customHeight="1" thickBot="1">
      <c r="A25" s="1339" t="s">
        <v>1209</v>
      </c>
      <c r="B25" s="1340"/>
      <c r="C25" s="1340"/>
      <c r="D25" s="1340"/>
      <c r="E25" s="1340"/>
      <c r="F25" s="1340"/>
      <c r="G25" s="1340"/>
      <c r="H25" s="1340"/>
      <c r="I25" s="1340"/>
      <c r="J25" s="1340"/>
      <c r="K25" s="1340"/>
      <c r="L25" s="1340"/>
      <c r="M25" s="1341"/>
    </row>
    <row r="26" spans="1:13" ht="15" customHeight="1">
      <c r="A26" s="1317" t="s">
        <v>27</v>
      </c>
      <c r="B26" s="1319" t="s">
        <v>0</v>
      </c>
      <c r="C26" s="1321" t="s">
        <v>1029</v>
      </c>
      <c r="D26" s="1322"/>
      <c r="E26" s="1323" t="s">
        <v>2182</v>
      </c>
      <c r="F26" s="1308" t="s">
        <v>2183</v>
      </c>
      <c r="G26" s="1308" t="s">
        <v>2184</v>
      </c>
      <c r="H26" s="1308" t="s">
        <v>2185</v>
      </c>
      <c r="I26" s="1308" t="s">
        <v>1030</v>
      </c>
      <c r="J26" s="1308" t="s">
        <v>978</v>
      </c>
      <c r="K26" s="1308" t="s">
        <v>981</v>
      </c>
      <c r="L26" s="1308" t="s">
        <v>1031</v>
      </c>
      <c r="M26" s="1310" t="s">
        <v>1032</v>
      </c>
    </row>
    <row r="27" spans="1:13" ht="57.75" customHeight="1" thickBot="1">
      <c r="A27" s="1318"/>
      <c r="B27" s="1320"/>
      <c r="C27" s="1154" t="s">
        <v>26</v>
      </c>
      <c r="D27" s="1154" t="s">
        <v>1</v>
      </c>
      <c r="E27" s="1324"/>
      <c r="F27" s="1309"/>
      <c r="G27" s="1309"/>
      <c r="H27" s="1309"/>
      <c r="I27" s="1309"/>
      <c r="J27" s="1309"/>
      <c r="K27" s="1309"/>
      <c r="L27" s="1309"/>
      <c r="M27" s="1311"/>
    </row>
    <row r="28" spans="1:13" ht="33.75" customHeight="1">
      <c r="A28" s="1259">
        <v>1</v>
      </c>
      <c r="B28" s="1260" t="s">
        <v>3</v>
      </c>
      <c r="C28" s="1284">
        <v>40</v>
      </c>
      <c r="D28" s="1263">
        <f>21.266+20.007</f>
        <v>41.272999999999996</v>
      </c>
      <c r="E28" s="1263">
        <v>41.272999999999996</v>
      </c>
      <c r="F28" s="1263">
        <v>41.272999999999996</v>
      </c>
      <c r="G28" s="1264">
        <v>0</v>
      </c>
      <c r="H28" s="1264">
        <v>0</v>
      </c>
      <c r="I28" s="1263">
        <f t="shared" ref="I28:I41" si="2">E28+H28</f>
        <v>41.272999999999996</v>
      </c>
      <c r="J28" s="1264">
        <v>0</v>
      </c>
      <c r="K28" s="1265">
        <f t="shared" ref="K28:K41" si="3">D28-I28-J28</f>
        <v>0</v>
      </c>
      <c r="L28" s="1264">
        <v>0</v>
      </c>
      <c r="M28" s="1285"/>
    </row>
    <row r="29" spans="1:13" ht="33.75" customHeight="1">
      <c r="A29" s="1268">
        <v>2</v>
      </c>
      <c r="B29" s="28" t="s">
        <v>4</v>
      </c>
      <c r="C29" s="11">
        <v>40</v>
      </c>
      <c r="D29" s="9">
        <v>41.273000000000003</v>
      </c>
      <c r="E29" s="9">
        <v>41.273000000000003</v>
      </c>
      <c r="F29" s="9">
        <v>41.273000000000003</v>
      </c>
      <c r="G29" s="447">
        <v>0</v>
      </c>
      <c r="H29" s="447">
        <v>0</v>
      </c>
      <c r="I29" s="9">
        <f t="shared" si="2"/>
        <v>41.273000000000003</v>
      </c>
      <c r="J29" s="447">
        <v>0</v>
      </c>
      <c r="K29" s="448">
        <f t="shared" si="3"/>
        <v>0</v>
      </c>
      <c r="L29" s="447">
        <v>0</v>
      </c>
      <c r="M29" s="1269"/>
    </row>
    <row r="30" spans="1:13" ht="33.75" customHeight="1">
      <c r="A30" s="1268">
        <v>3</v>
      </c>
      <c r="B30" s="6" t="s">
        <v>5</v>
      </c>
      <c r="C30" s="11">
        <v>40</v>
      </c>
      <c r="D30" s="9">
        <v>41.273000000000003</v>
      </c>
      <c r="E30" s="9">
        <v>39.625</v>
      </c>
      <c r="F30" s="9">
        <v>41.273000000000003</v>
      </c>
      <c r="G30" s="447">
        <f>D30-E30</f>
        <v>1.6480000000000032</v>
      </c>
      <c r="H30" s="447">
        <v>0</v>
      </c>
      <c r="I30" s="9">
        <f t="shared" si="2"/>
        <v>39.625</v>
      </c>
      <c r="J30" s="447">
        <v>0</v>
      </c>
      <c r="K30" s="448">
        <f t="shared" si="3"/>
        <v>1.6480000000000032</v>
      </c>
      <c r="L30" s="447">
        <v>0</v>
      </c>
      <c r="M30" s="1269" t="s">
        <v>1884</v>
      </c>
    </row>
    <row r="31" spans="1:13" ht="33.75" customHeight="1">
      <c r="A31" s="1268">
        <v>4</v>
      </c>
      <c r="B31" s="6" t="s">
        <v>959</v>
      </c>
      <c r="C31" s="11">
        <v>40</v>
      </c>
      <c r="D31" s="9">
        <v>41.273000000000003</v>
      </c>
      <c r="E31" s="9">
        <v>38.158999999999999</v>
      </c>
      <c r="F31" s="9">
        <v>41.273000000000003</v>
      </c>
      <c r="G31" s="447">
        <f>F31-E31</f>
        <v>3.1140000000000043</v>
      </c>
      <c r="H31" s="447">
        <v>0</v>
      </c>
      <c r="I31" s="9">
        <f t="shared" si="2"/>
        <v>38.158999999999999</v>
      </c>
      <c r="J31" s="447">
        <v>0</v>
      </c>
      <c r="K31" s="448">
        <f t="shared" si="3"/>
        <v>3.1140000000000043</v>
      </c>
      <c r="L31" s="447">
        <v>0</v>
      </c>
      <c r="M31" s="1270" t="s">
        <v>2186</v>
      </c>
    </row>
    <row r="32" spans="1:13" ht="33.75" customHeight="1">
      <c r="A32" s="1268">
        <v>5</v>
      </c>
      <c r="B32" s="28" t="s">
        <v>6</v>
      </c>
      <c r="C32" s="11">
        <v>40</v>
      </c>
      <c r="D32" s="9">
        <v>41.273000000000003</v>
      </c>
      <c r="E32" s="9">
        <v>31.686</v>
      </c>
      <c r="F32" s="9">
        <v>41.273000000000003</v>
      </c>
      <c r="G32" s="447">
        <f>F32-E32</f>
        <v>9.5870000000000033</v>
      </c>
      <c r="H32" s="447">
        <v>0</v>
      </c>
      <c r="I32" s="9">
        <f t="shared" si="2"/>
        <v>31.686</v>
      </c>
      <c r="J32" s="447">
        <v>0</v>
      </c>
      <c r="K32" s="448">
        <f t="shared" si="3"/>
        <v>9.5870000000000033</v>
      </c>
      <c r="L32" s="447">
        <v>0</v>
      </c>
      <c r="M32" s="1269"/>
    </row>
    <row r="33" spans="1:13" ht="33.75" customHeight="1">
      <c r="A33" s="1268">
        <v>6</v>
      </c>
      <c r="B33" s="6" t="s">
        <v>960</v>
      </c>
      <c r="C33" s="11">
        <v>40</v>
      </c>
      <c r="D33" s="9">
        <v>41.273000000000003</v>
      </c>
      <c r="E33" s="9">
        <v>31.686</v>
      </c>
      <c r="F33" s="9">
        <v>41.273000000000003</v>
      </c>
      <c r="G33" s="447">
        <f>F33-E33</f>
        <v>9.5870000000000033</v>
      </c>
      <c r="H33" s="447">
        <v>0</v>
      </c>
      <c r="I33" s="9">
        <f t="shared" si="2"/>
        <v>31.686</v>
      </c>
      <c r="J33" s="447">
        <v>0</v>
      </c>
      <c r="K33" s="448">
        <f t="shared" si="3"/>
        <v>9.5870000000000033</v>
      </c>
      <c r="L33" s="447">
        <v>0</v>
      </c>
      <c r="M33" s="1269"/>
    </row>
    <row r="34" spans="1:13" ht="33.75" customHeight="1">
      <c r="A34" s="1268">
        <v>7</v>
      </c>
      <c r="B34" s="28" t="s">
        <v>7</v>
      </c>
      <c r="C34" s="11">
        <v>40</v>
      </c>
      <c r="D34" s="11">
        <v>40</v>
      </c>
      <c r="E34" s="11">
        <v>40</v>
      </c>
      <c r="F34" s="11">
        <v>40</v>
      </c>
      <c r="G34" s="447">
        <v>0</v>
      </c>
      <c r="H34" s="447">
        <v>0</v>
      </c>
      <c r="I34" s="9">
        <f t="shared" si="2"/>
        <v>40</v>
      </c>
      <c r="J34" s="552">
        <v>0</v>
      </c>
      <c r="K34" s="449">
        <f t="shared" si="3"/>
        <v>0</v>
      </c>
      <c r="L34" s="447">
        <v>0</v>
      </c>
      <c r="M34" s="1269" t="s">
        <v>29</v>
      </c>
    </row>
    <row r="35" spans="1:13" ht="33.75" customHeight="1">
      <c r="A35" s="1268">
        <v>8</v>
      </c>
      <c r="B35" s="28" t="s">
        <v>8</v>
      </c>
      <c r="C35" s="11">
        <v>122</v>
      </c>
      <c r="D35" s="11">
        <v>129</v>
      </c>
      <c r="E35" s="11">
        <v>96</v>
      </c>
      <c r="F35" s="11">
        <v>129</v>
      </c>
      <c r="G35" s="11">
        <v>12</v>
      </c>
      <c r="H35" s="447">
        <v>0</v>
      </c>
      <c r="I35" s="9">
        <f t="shared" si="2"/>
        <v>96</v>
      </c>
      <c r="J35" s="11"/>
      <c r="K35" s="449">
        <f t="shared" si="3"/>
        <v>33</v>
      </c>
      <c r="L35" s="11">
        <v>0</v>
      </c>
      <c r="M35" s="1286"/>
    </row>
    <row r="36" spans="1:13" ht="33.75" customHeight="1">
      <c r="A36" s="1268">
        <v>9</v>
      </c>
      <c r="B36" s="28" t="s">
        <v>9</v>
      </c>
      <c r="C36" s="11">
        <v>122</v>
      </c>
      <c r="D36" s="11">
        <v>129</v>
      </c>
      <c r="E36" s="11">
        <v>91</v>
      </c>
      <c r="F36" s="11">
        <v>129</v>
      </c>
      <c r="G36" s="11">
        <v>12</v>
      </c>
      <c r="H36" s="447">
        <v>1</v>
      </c>
      <c r="I36" s="9">
        <f t="shared" si="2"/>
        <v>92</v>
      </c>
      <c r="J36" s="11">
        <v>3</v>
      </c>
      <c r="K36" s="449">
        <f t="shared" si="3"/>
        <v>34</v>
      </c>
      <c r="L36" s="11">
        <v>3</v>
      </c>
      <c r="M36" s="1274"/>
    </row>
    <row r="37" spans="1:13" ht="33.75" customHeight="1">
      <c r="A37" s="1268">
        <v>10</v>
      </c>
      <c r="B37" s="28" t="s">
        <v>10</v>
      </c>
      <c r="C37" s="11">
        <v>122</v>
      </c>
      <c r="D37" s="11">
        <v>129</v>
      </c>
      <c r="E37" s="11">
        <v>65</v>
      </c>
      <c r="F37" s="11">
        <v>129</v>
      </c>
      <c r="G37" s="11">
        <v>12</v>
      </c>
      <c r="H37" s="447">
        <v>0</v>
      </c>
      <c r="I37" s="9">
        <f t="shared" si="2"/>
        <v>65</v>
      </c>
      <c r="J37" s="552">
        <v>0</v>
      </c>
      <c r="K37" s="449">
        <f t="shared" si="3"/>
        <v>64</v>
      </c>
      <c r="L37" s="447">
        <v>0</v>
      </c>
      <c r="M37" s="1286"/>
    </row>
    <row r="38" spans="1:13" ht="33.75" customHeight="1">
      <c r="A38" s="1268">
        <v>11</v>
      </c>
      <c r="B38" s="28" t="s">
        <v>11</v>
      </c>
      <c r="C38" s="11">
        <v>122</v>
      </c>
      <c r="D38" s="11">
        <v>129</v>
      </c>
      <c r="E38" s="11">
        <v>46</v>
      </c>
      <c r="F38" s="11">
        <v>129</v>
      </c>
      <c r="G38" s="447">
        <v>10</v>
      </c>
      <c r="H38" s="447">
        <v>3</v>
      </c>
      <c r="I38" s="9">
        <f t="shared" si="2"/>
        <v>49</v>
      </c>
      <c r="J38" s="447">
        <v>3</v>
      </c>
      <c r="K38" s="449">
        <f t="shared" si="3"/>
        <v>77</v>
      </c>
      <c r="L38" s="447">
        <v>3</v>
      </c>
      <c r="M38" s="1269"/>
    </row>
    <row r="39" spans="1:13" ht="33.75" customHeight="1">
      <c r="A39" s="1268">
        <v>12</v>
      </c>
      <c r="B39" s="28" t="s">
        <v>12</v>
      </c>
      <c r="C39" s="11">
        <v>122</v>
      </c>
      <c r="D39" s="11">
        <f>+D35</f>
        <v>129</v>
      </c>
      <c r="E39" s="11">
        <v>10</v>
      </c>
      <c r="F39" s="11">
        <f>+F35</f>
        <v>129</v>
      </c>
      <c r="G39" s="447">
        <v>10</v>
      </c>
      <c r="H39" s="447">
        <v>0</v>
      </c>
      <c r="I39" s="9">
        <v>10</v>
      </c>
      <c r="J39" s="447">
        <v>0</v>
      </c>
      <c r="K39" s="449">
        <f t="shared" si="3"/>
        <v>119</v>
      </c>
      <c r="L39" s="447"/>
      <c r="M39" s="1287"/>
    </row>
    <row r="40" spans="1:13" ht="33.75" customHeight="1">
      <c r="A40" s="1268">
        <v>13</v>
      </c>
      <c r="B40" s="28" t="s">
        <v>13</v>
      </c>
      <c r="C40" s="11">
        <v>40</v>
      </c>
      <c r="D40" s="812">
        <v>41.273000000000003</v>
      </c>
      <c r="E40" s="11">
        <v>0</v>
      </c>
      <c r="F40" s="812">
        <v>41.273000000000003</v>
      </c>
      <c r="G40" s="447">
        <v>2.8</v>
      </c>
      <c r="H40" s="447">
        <v>0</v>
      </c>
      <c r="I40" s="9">
        <f t="shared" si="2"/>
        <v>0</v>
      </c>
      <c r="J40" s="447">
        <v>0.39900000000000002</v>
      </c>
      <c r="K40" s="448">
        <f t="shared" si="3"/>
        <v>40.874000000000002</v>
      </c>
      <c r="L40" s="447">
        <v>1</v>
      </c>
      <c r="M40" s="1287"/>
    </row>
    <row r="41" spans="1:13" ht="33.75" customHeight="1" thickBot="1">
      <c r="A41" s="1276">
        <v>14</v>
      </c>
      <c r="B41" s="1277" t="s">
        <v>1058</v>
      </c>
      <c r="C41" s="1288">
        <v>40</v>
      </c>
      <c r="D41" s="1289">
        <v>41.273000000000003</v>
      </c>
      <c r="E41" s="1288">
        <v>0</v>
      </c>
      <c r="F41" s="1289">
        <v>41.273000000000003</v>
      </c>
      <c r="G41" s="572">
        <v>0</v>
      </c>
      <c r="H41" s="572">
        <v>0</v>
      </c>
      <c r="I41" s="1280">
        <f t="shared" si="2"/>
        <v>0</v>
      </c>
      <c r="J41" s="572">
        <v>0</v>
      </c>
      <c r="K41" s="1281">
        <f t="shared" si="3"/>
        <v>41.273000000000003</v>
      </c>
      <c r="L41" s="572">
        <v>0</v>
      </c>
      <c r="M41" s="1290"/>
    </row>
    <row r="42" spans="1:13" ht="15.75" thickBot="1">
      <c r="A42" s="1327"/>
      <c r="B42" s="1328"/>
      <c r="C42" s="1328"/>
      <c r="D42" s="1328"/>
      <c r="E42" s="1328"/>
      <c r="F42" s="1328"/>
      <c r="G42" s="1328"/>
      <c r="H42" s="1328"/>
      <c r="I42" s="1328"/>
      <c r="J42" s="1328"/>
      <c r="K42" s="1328"/>
      <c r="L42" s="1328"/>
      <c r="M42" s="1329"/>
    </row>
    <row r="43" spans="1:13">
      <c r="A43" s="1330" t="s">
        <v>28</v>
      </c>
      <c r="B43" s="1331"/>
      <c r="C43" s="1331"/>
      <c r="D43" s="1331"/>
      <c r="E43" s="1331"/>
      <c r="F43" s="1331"/>
      <c r="G43" s="1331"/>
      <c r="H43" s="1331"/>
      <c r="I43" s="1331"/>
      <c r="J43" s="1331"/>
      <c r="K43" s="1331"/>
      <c r="L43" s="1331"/>
      <c r="M43" s="1332"/>
    </row>
    <row r="44" spans="1:13" ht="15.75" thickBot="1">
      <c r="A44" s="1333"/>
      <c r="B44" s="1334"/>
      <c r="C44" s="1334"/>
      <c r="D44" s="1334"/>
      <c r="E44" s="1334"/>
      <c r="F44" s="1334"/>
      <c r="G44" s="1334"/>
      <c r="H44" s="1334"/>
      <c r="I44" s="1334"/>
      <c r="J44" s="1334"/>
      <c r="K44" s="1334"/>
      <c r="L44" s="1334"/>
      <c r="M44" s="1335"/>
    </row>
    <row r="45" spans="1:13" ht="15" customHeight="1">
      <c r="A45" s="1317" t="s">
        <v>27</v>
      </c>
      <c r="B45" s="1319" t="s">
        <v>0</v>
      </c>
      <c r="C45" s="1321" t="s">
        <v>1029</v>
      </c>
      <c r="D45" s="1322"/>
      <c r="E45" s="1323" t="s">
        <v>2182</v>
      </c>
      <c r="F45" s="1308" t="s">
        <v>2183</v>
      </c>
      <c r="G45" s="1308" t="s">
        <v>2184</v>
      </c>
      <c r="H45" s="1308" t="s">
        <v>2185</v>
      </c>
      <c r="I45" s="1308" t="s">
        <v>1030</v>
      </c>
      <c r="J45" s="1308" t="s">
        <v>978</v>
      </c>
      <c r="K45" s="1308" t="s">
        <v>981</v>
      </c>
      <c r="L45" s="1308" t="s">
        <v>1031</v>
      </c>
      <c r="M45" s="1310" t="s">
        <v>1032</v>
      </c>
    </row>
    <row r="46" spans="1:13" ht="60" customHeight="1" thickBot="1">
      <c r="A46" s="1318"/>
      <c r="B46" s="1320"/>
      <c r="C46" s="1154" t="s">
        <v>26</v>
      </c>
      <c r="D46" s="1154" t="s">
        <v>1</v>
      </c>
      <c r="E46" s="1324"/>
      <c r="F46" s="1309"/>
      <c r="G46" s="1309"/>
      <c r="H46" s="1309"/>
      <c r="I46" s="1309"/>
      <c r="J46" s="1309"/>
      <c r="K46" s="1309"/>
      <c r="L46" s="1309"/>
      <c r="M46" s="1311"/>
    </row>
    <row r="47" spans="1:13" ht="31.5" customHeight="1">
      <c r="A47" s="1259">
        <v>1</v>
      </c>
      <c r="B47" s="1260" t="s">
        <v>3</v>
      </c>
      <c r="C47" s="1261">
        <v>100</v>
      </c>
      <c r="D47" s="1262">
        <v>102.96</v>
      </c>
      <c r="E47" s="1263">
        <v>102.96</v>
      </c>
      <c r="F47" s="1262">
        <v>102.96</v>
      </c>
      <c r="G47" s="1264">
        <v>0</v>
      </c>
      <c r="H47" s="1264">
        <v>0</v>
      </c>
      <c r="I47" s="1263">
        <f t="shared" ref="I47:I60" si="4">E47+H47</f>
        <v>102.96</v>
      </c>
      <c r="J47" s="1264">
        <v>0</v>
      </c>
      <c r="K47" s="1265">
        <f t="shared" ref="K47:K60" si="5">D47-I47-J47</f>
        <v>0</v>
      </c>
      <c r="L47" s="1266"/>
      <c r="M47" s="1267" t="s">
        <v>29</v>
      </c>
    </row>
    <row r="48" spans="1:13" ht="31.5" customHeight="1">
      <c r="A48" s="1268">
        <v>2</v>
      </c>
      <c r="B48" s="28" t="s">
        <v>4</v>
      </c>
      <c r="C48" s="7">
        <v>100</v>
      </c>
      <c r="D48" s="8">
        <f t="shared" ref="D48:F50" si="6">D47</f>
        <v>102.96</v>
      </c>
      <c r="E48" s="9">
        <v>101.274</v>
      </c>
      <c r="F48" s="8">
        <f t="shared" si="6"/>
        <v>102.96</v>
      </c>
      <c r="G48" s="9">
        <f t="shared" ref="G48:G53" si="7">D48-E48</f>
        <v>1.6859999999999928</v>
      </c>
      <c r="H48" s="447">
        <v>0</v>
      </c>
      <c r="I48" s="9">
        <f t="shared" si="4"/>
        <v>101.274</v>
      </c>
      <c r="J48" s="447">
        <v>0</v>
      </c>
      <c r="K48" s="448">
        <f t="shared" si="5"/>
        <v>1.6859999999999928</v>
      </c>
      <c r="L48" s="10"/>
      <c r="M48" s="1269"/>
    </row>
    <row r="49" spans="1:15" ht="31.5" customHeight="1">
      <c r="A49" s="1268">
        <v>3</v>
      </c>
      <c r="B49" s="6" t="s">
        <v>5</v>
      </c>
      <c r="C49" s="7">
        <v>100</v>
      </c>
      <c r="D49" s="8">
        <f t="shared" si="6"/>
        <v>102.96</v>
      </c>
      <c r="E49" s="9">
        <v>101.274</v>
      </c>
      <c r="F49" s="8">
        <f t="shared" si="6"/>
        <v>102.96</v>
      </c>
      <c r="G49" s="9">
        <f t="shared" si="7"/>
        <v>1.6859999999999928</v>
      </c>
      <c r="H49" s="447">
        <v>0</v>
      </c>
      <c r="I49" s="9">
        <f t="shared" si="4"/>
        <v>101.274</v>
      </c>
      <c r="J49" s="447">
        <v>0</v>
      </c>
      <c r="K49" s="448">
        <f t="shared" si="5"/>
        <v>1.6859999999999928</v>
      </c>
      <c r="L49" s="10"/>
      <c r="M49" s="1269" t="s">
        <v>1884</v>
      </c>
    </row>
    <row r="50" spans="1:15" ht="31.5" customHeight="1">
      <c r="A50" s="1268">
        <v>4</v>
      </c>
      <c r="B50" s="6" t="s">
        <v>959</v>
      </c>
      <c r="C50" s="7">
        <v>100</v>
      </c>
      <c r="D50" s="8">
        <f t="shared" si="6"/>
        <v>102.96</v>
      </c>
      <c r="E50" s="9">
        <v>98.905000000000001</v>
      </c>
      <c r="F50" s="8">
        <f t="shared" si="6"/>
        <v>102.96</v>
      </c>
      <c r="G50" s="9">
        <f>F50-E50</f>
        <v>4.0549999999999926</v>
      </c>
      <c r="H50" s="447">
        <v>0</v>
      </c>
      <c r="I50" s="9">
        <f t="shared" si="4"/>
        <v>98.905000000000001</v>
      </c>
      <c r="J50" s="447">
        <v>0</v>
      </c>
      <c r="K50" s="448">
        <f t="shared" si="5"/>
        <v>4.0549999999999926</v>
      </c>
      <c r="L50" s="10"/>
      <c r="M50" s="1270" t="s">
        <v>2187</v>
      </c>
    </row>
    <row r="51" spans="1:15" ht="31.5" customHeight="1">
      <c r="A51" s="1268">
        <v>5</v>
      </c>
      <c r="B51" s="28" t="s">
        <v>6</v>
      </c>
      <c r="C51" s="7">
        <v>100</v>
      </c>
      <c r="D51" s="8">
        <f t="shared" ref="D51:F52" si="8">D47</f>
        <v>102.96</v>
      </c>
      <c r="E51" s="9">
        <v>98.905000000000001</v>
      </c>
      <c r="F51" s="8">
        <f t="shared" si="8"/>
        <v>102.96</v>
      </c>
      <c r="G51" s="9">
        <f>F51-E51</f>
        <v>4.0549999999999926</v>
      </c>
      <c r="H51" s="447">
        <v>0</v>
      </c>
      <c r="I51" s="9">
        <f t="shared" si="4"/>
        <v>98.905000000000001</v>
      </c>
      <c r="J51" s="447">
        <v>0</v>
      </c>
      <c r="K51" s="448">
        <f t="shared" si="5"/>
        <v>4.0549999999999926</v>
      </c>
      <c r="L51" s="10"/>
      <c r="M51" s="1271"/>
    </row>
    <row r="52" spans="1:15" ht="31.5" customHeight="1">
      <c r="A52" s="1268">
        <v>6</v>
      </c>
      <c r="B52" s="6" t="s">
        <v>960</v>
      </c>
      <c r="C52" s="7">
        <v>100</v>
      </c>
      <c r="D52" s="8">
        <f t="shared" si="8"/>
        <v>102.96</v>
      </c>
      <c r="E52" s="9">
        <v>82.382000000000005</v>
      </c>
      <c r="F52" s="8">
        <f t="shared" si="8"/>
        <v>102.96</v>
      </c>
      <c r="G52" s="9">
        <f>D52-E52</f>
        <v>20.577999999999989</v>
      </c>
      <c r="H52" s="447">
        <v>0</v>
      </c>
      <c r="I52" s="9">
        <f t="shared" si="4"/>
        <v>82.382000000000005</v>
      </c>
      <c r="J52" s="447">
        <v>0</v>
      </c>
      <c r="K52" s="448">
        <f t="shared" si="5"/>
        <v>20.577999999999989</v>
      </c>
      <c r="L52" s="10"/>
      <c r="M52" s="1271"/>
      <c r="O52" s="2038"/>
    </row>
    <row r="53" spans="1:15" ht="31.5" customHeight="1">
      <c r="A53" s="1268">
        <v>7</v>
      </c>
      <c r="B53" s="28" t="s">
        <v>7</v>
      </c>
      <c r="C53" s="7">
        <v>100</v>
      </c>
      <c r="D53" s="7">
        <v>100</v>
      </c>
      <c r="E53" s="11">
        <v>100</v>
      </c>
      <c r="F53" s="7">
        <v>100</v>
      </c>
      <c r="G53" s="11">
        <f t="shared" si="7"/>
        <v>0</v>
      </c>
      <c r="H53" s="447">
        <v>0</v>
      </c>
      <c r="I53" s="9">
        <f t="shared" si="4"/>
        <v>100</v>
      </c>
      <c r="J53" s="552">
        <v>0</v>
      </c>
      <c r="K53" s="449">
        <f t="shared" si="5"/>
        <v>0</v>
      </c>
      <c r="L53" s="7"/>
      <c r="M53" s="1271"/>
    </row>
    <row r="54" spans="1:15" ht="31.5" customHeight="1">
      <c r="A54" s="1268">
        <v>8</v>
      </c>
      <c r="B54" s="28" t="s">
        <v>8</v>
      </c>
      <c r="C54" s="7">
        <v>360</v>
      </c>
      <c r="D54" s="7">
        <v>348</v>
      </c>
      <c r="E54" s="11">
        <v>203</v>
      </c>
      <c r="F54" s="7">
        <v>348</v>
      </c>
      <c r="G54" s="11">
        <v>20</v>
      </c>
      <c r="H54" s="447">
        <v>0</v>
      </c>
      <c r="I54" s="9">
        <f t="shared" si="4"/>
        <v>203</v>
      </c>
      <c r="J54" s="563">
        <v>0</v>
      </c>
      <c r="K54" s="449">
        <f t="shared" si="5"/>
        <v>145</v>
      </c>
      <c r="L54" s="7"/>
      <c r="M54" s="1272" t="s">
        <v>14</v>
      </c>
    </row>
    <row r="55" spans="1:15" ht="31.5" customHeight="1">
      <c r="A55" s="1268">
        <v>9</v>
      </c>
      <c r="B55" s="28" t="s">
        <v>9</v>
      </c>
      <c r="C55" s="7">
        <v>360</v>
      </c>
      <c r="D55" s="7">
        <v>348</v>
      </c>
      <c r="E55" s="11">
        <v>196</v>
      </c>
      <c r="F55" s="7">
        <v>348</v>
      </c>
      <c r="G55" s="11">
        <v>20</v>
      </c>
      <c r="H55" s="447">
        <v>6</v>
      </c>
      <c r="I55" s="9">
        <f t="shared" si="4"/>
        <v>202</v>
      </c>
      <c r="J55" s="563">
        <v>7</v>
      </c>
      <c r="K55" s="449">
        <f t="shared" si="5"/>
        <v>139</v>
      </c>
      <c r="L55" s="7">
        <v>7</v>
      </c>
      <c r="M55" s="1273"/>
    </row>
    <row r="56" spans="1:15" ht="31.5" customHeight="1">
      <c r="A56" s="1268">
        <v>10</v>
      </c>
      <c r="B56" s="28" t="s">
        <v>10</v>
      </c>
      <c r="C56" s="7">
        <v>360</v>
      </c>
      <c r="D56" s="7">
        <v>348</v>
      </c>
      <c r="E56" s="11">
        <v>139</v>
      </c>
      <c r="F56" s="7">
        <v>348</v>
      </c>
      <c r="G56" s="11">
        <v>20</v>
      </c>
      <c r="H56" s="447">
        <v>5</v>
      </c>
      <c r="I56" s="9">
        <f t="shared" si="4"/>
        <v>144</v>
      </c>
      <c r="J56" s="552">
        <v>0</v>
      </c>
      <c r="K56" s="449">
        <f t="shared" si="5"/>
        <v>204</v>
      </c>
      <c r="L56" s="7"/>
      <c r="M56" s="1274"/>
    </row>
    <row r="57" spans="1:15" ht="31.5" customHeight="1">
      <c r="A57" s="1268">
        <v>11</v>
      </c>
      <c r="B57" s="28" t="s">
        <v>11</v>
      </c>
      <c r="C57" s="7">
        <v>360</v>
      </c>
      <c r="D57" s="7">
        <v>348</v>
      </c>
      <c r="E57" s="11">
        <v>80</v>
      </c>
      <c r="F57" s="7">
        <v>348</v>
      </c>
      <c r="G57" s="447">
        <v>25</v>
      </c>
      <c r="H57" s="447">
        <v>4</v>
      </c>
      <c r="I57" s="9">
        <f t="shared" si="4"/>
        <v>84</v>
      </c>
      <c r="J57" s="447">
        <v>2</v>
      </c>
      <c r="K57" s="449">
        <f t="shared" si="5"/>
        <v>262</v>
      </c>
      <c r="L57" s="7">
        <v>2</v>
      </c>
      <c r="M57" s="1269"/>
    </row>
    <row r="58" spans="1:15" ht="31.5" customHeight="1">
      <c r="A58" s="1268">
        <v>12</v>
      </c>
      <c r="B58" s="28" t="s">
        <v>12</v>
      </c>
      <c r="C58" s="7">
        <v>360</v>
      </c>
      <c r="D58" s="7">
        <f>+D54</f>
        <v>348</v>
      </c>
      <c r="E58" s="11">
        <v>11</v>
      </c>
      <c r="F58" s="7">
        <f>+F54</f>
        <v>348</v>
      </c>
      <c r="G58" s="447">
        <v>25</v>
      </c>
      <c r="H58" s="447">
        <v>0</v>
      </c>
      <c r="I58" s="9">
        <f t="shared" si="4"/>
        <v>11</v>
      </c>
      <c r="J58" s="447">
        <v>0</v>
      </c>
      <c r="K58" s="449">
        <f t="shared" si="5"/>
        <v>337</v>
      </c>
      <c r="L58" s="7"/>
      <c r="M58" s="1275"/>
    </row>
    <row r="59" spans="1:15" ht="31.5" customHeight="1">
      <c r="A59" s="1268">
        <v>13</v>
      </c>
      <c r="B59" s="28" t="s">
        <v>13</v>
      </c>
      <c r="C59" s="12">
        <v>100</v>
      </c>
      <c r="D59" s="8">
        <v>102.96</v>
      </c>
      <c r="E59" s="9">
        <v>3.1989999999999998</v>
      </c>
      <c r="F59" s="8">
        <v>102.96</v>
      </c>
      <c r="G59" s="447">
        <v>2</v>
      </c>
      <c r="H59" s="447">
        <v>0</v>
      </c>
      <c r="I59" s="9">
        <f t="shared" si="4"/>
        <v>3.1989999999999998</v>
      </c>
      <c r="J59" s="447">
        <v>0.34899999999999998</v>
      </c>
      <c r="K59" s="448">
        <f t="shared" si="5"/>
        <v>99.411999999999992</v>
      </c>
      <c r="L59" s="10">
        <v>1</v>
      </c>
      <c r="M59" s="1275"/>
    </row>
    <row r="60" spans="1:15" ht="31.5" customHeight="1" thickBot="1">
      <c r="A60" s="1276">
        <v>14</v>
      </c>
      <c r="B60" s="1277" t="s">
        <v>1058</v>
      </c>
      <c r="C60" s="1278">
        <v>100</v>
      </c>
      <c r="D60" s="1279">
        <v>102.96</v>
      </c>
      <c r="E60" s="1280">
        <v>0</v>
      </c>
      <c r="F60" s="1279">
        <v>102.96</v>
      </c>
      <c r="G60" s="572">
        <v>0</v>
      </c>
      <c r="H60" s="572">
        <v>0</v>
      </c>
      <c r="I60" s="1280">
        <f t="shared" si="4"/>
        <v>0</v>
      </c>
      <c r="J60" s="572">
        <v>0</v>
      </c>
      <c r="K60" s="1281">
        <f t="shared" si="5"/>
        <v>102.96</v>
      </c>
      <c r="L60" s="1282"/>
      <c r="M60" s="1283"/>
    </row>
  </sheetData>
  <autoFilter ref="A9:M41">
    <filterColumn colId="2" showButton="0"/>
  </autoFilter>
  <mergeCells count="42"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  <mergeCell ref="J26:J27"/>
    <mergeCell ref="A9:A10"/>
    <mergeCell ref="B9:B10"/>
    <mergeCell ref="C9:D9"/>
    <mergeCell ref="E9:E10"/>
    <mergeCell ref="F9:F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C1:M1"/>
    <mergeCell ref="L9:L10"/>
    <mergeCell ref="M9:M10"/>
    <mergeCell ref="G9:G10"/>
    <mergeCell ref="H9:H10"/>
    <mergeCell ref="I9:I10"/>
    <mergeCell ref="K9:K10"/>
    <mergeCell ref="J9:J1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0" fitToHeight="2" orientation="portrait" verticalDpi="300" r:id="rId1"/>
  <rowBreaks count="2" manualBreakCount="2">
    <brk id="24" max="16383" man="1"/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343" t="s">
        <v>866</v>
      </c>
      <c r="B1" s="1343"/>
      <c r="C1" s="1343"/>
      <c r="D1" s="1343"/>
      <c r="E1" s="1343"/>
      <c r="F1" s="1343"/>
      <c r="G1" s="1343"/>
    </row>
    <row r="2" spans="1:7">
      <c r="A2" s="1343" t="s">
        <v>867</v>
      </c>
      <c r="B2" s="1343" t="s">
        <v>868</v>
      </c>
      <c r="C2" s="1343" t="s">
        <v>0</v>
      </c>
      <c r="D2" s="1343"/>
      <c r="E2" s="781" t="s">
        <v>869</v>
      </c>
      <c r="F2" s="781" t="s">
        <v>870</v>
      </c>
      <c r="G2" s="1343" t="s">
        <v>871</v>
      </c>
    </row>
    <row r="3" spans="1:7">
      <c r="A3" s="1343"/>
      <c r="B3" s="1343"/>
      <c r="C3" s="1343"/>
      <c r="D3" s="1343"/>
      <c r="E3" s="781" t="s">
        <v>872</v>
      </c>
      <c r="F3" s="781" t="s">
        <v>873</v>
      </c>
      <c r="G3" s="1343"/>
    </row>
    <row r="4" spans="1:7">
      <c r="A4" s="1342">
        <v>1</v>
      </c>
      <c r="B4" s="1342" t="s">
        <v>874</v>
      </c>
      <c r="C4" s="748" t="s">
        <v>875</v>
      </c>
      <c r="D4" s="748" t="s">
        <v>876</v>
      </c>
      <c r="E4" s="748">
        <v>40</v>
      </c>
      <c r="F4" s="748">
        <v>122</v>
      </c>
      <c r="G4" s="748"/>
    </row>
    <row r="5" spans="1:7">
      <c r="A5" s="1342"/>
      <c r="B5" s="1342"/>
      <c r="C5" s="1342" t="s">
        <v>877</v>
      </c>
      <c r="D5" s="748" t="s">
        <v>878</v>
      </c>
      <c r="E5" s="748">
        <v>41.27</v>
      </c>
      <c r="F5" s="748">
        <v>128</v>
      </c>
      <c r="G5" s="748"/>
    </row>
    <row r="6" spans="1:7">
      <c r="A6" s="1342"/>
      <c r="B6" s="1342"/>
      <c r="C6" s="1342"/>
      <c r="D6" s="748" t="s">
        <v>879</v>
      </c>
      <c r="E6" s="748">
        <v>41.27</v>
      </c>
      <c r="F6" s="748">
        <v>128</v>
      </c>
      <c r="G6" s="748"/>
    </row>
    <row r="7" spans="1:7" ht="26.25">
      <c r="A7" s="1342"/>
      <c r="B7" s="1342"/>
      <c r="C7" s="1342" t="s">
        <v>880</v>
      </c>
      <c r="D7" s="748" t="s">
        <v>29</v>
      </c>
      <c r="E7" s="749">
        <v>36.884</v>
      </c>
      <c r="F7" s="748">
        <v>122</v>
      </c>
      <c r="G7" s="752" t="s">
        <v>1840</v>
      </c>
    </row>
    <row r="8" spans="1:7">
      <c r="A8" s="1342"/>
      <c r="B8" s="1342"/>
      <c r="C8" s="1342"/>
      <c r="D8" s="748" t="s">
        <v>878</v>
      </c>
      <c r="E8" s="749">
        <v>36.884</v>
      </c>
      <c r="F8" s="748">
        <v>112</v>
      </c>
      <c r="G8" s="750"/>
    </row>
    <row r="9" spans="1:7">
      <c r="A9" s="1342"/>
      <c r="B9" s="1342"/>
      <c r="C9" s="1342"/>
      <c r="D9" s="748" t="s">
        <v>879</v>
      </c>
      <c r="E9" s="749">
        <v>36.884</v>
      </c>
      <c r="F9" s="748">
        <v>112</v>
      </c>
      <c r="G9" s="748"/>
    </row>
    <row r="10" spans="1:7" ht="16.5" customHeight="1">
      <c r="A10" s="1342"/>
      <c r="B10" s="1342"/>
      <c r="C10" s="1342" t="s">
        <v>882</v>
      </c>
      <c r="D10" s="748" t="s">
        <v>29</v>
      </c>
      <c r="E10" s="748">
        <v>32.045999999999999</v>
      </c>
      <c r="F10" s="748">
        <v>52</v>
      </c>
      <c r="G10" s="748" t="s">
        <v>1841</v>
      </c>
    </row>
    <row r="11" spans="1:7">
      <c r="A11" s="1342"/>
      <c r="B11" s="1342"/>
      <c r="C11" s="1342"/>
      <c r="D11" s="748" t="s">
        <v>878</v>
      </c>
      <c r="E11" s="748">
        <v>14.5</v>
      </c>
      <c r="F11" s="748">
        <v>0</v>
      </c>
      <c r="G11" s="750"/>
    </row>
    <row r="12" spans="1:7">
      <c r="A12" s="1342"/>
      <c r="B12" s="1342"/>
      <c r="C12" s="1342"/>
      <c r="D12" s="748" t="s">
        <v>879</v>
      </c>
      <c r="E12" s="748">
        <v>14.5</v>
      </c>
      <c r="F12" s="748">
        <v>0</v>
      </c>
      <c r="G12" s="748"/>
    </row>
    <row r="13" spans="1:7">
      <c r="A13" s="1344"/>
      <c r="B13" s="1345"/>
      <c r="C13" s="1345"/>
      <c r="D13" s="1345"/>
      <c r="E13" s="1345"/>
      <c r="F13" s="1345"/>
      <c r="G13" s="1346"/>
    </row>
    <row r="14" spans="1:7">
      <c r="A14" s="1342">
        <v>2</v>
      </c>
      <c r="B14" s="1342" t="s">
        <v>884</v>
      </c>
      <c r="C14" s="748" t="s">
        <v>875</v>
      </c>
      <c r="D14" s="748" t="s">
        <v>876</v>
      </c>
      <c r="E14" s="748">
        <v>100</v>
      </c>
      <c r="F14" s="748">
        <v>360</v>
      </c>
      <c r="G14" s="748"/>
    </row>
    <row r="15" spans="1:7">
      <c r="A15" s="1342"/>
      <c r="B15" s="1342"/>
      <c r="C15" s="1342" t="s">
        <v>877</v>
      </c>
      <c r="D15" s="748" t="s">
        <v>878</v>
      </c>
      <c r="E15" s="748">
        <v>102.96</v>
      </c>
      <c r="F15" s="748">
        <v>348</v>
      </c>
      <c r="G15" s="748"/>
    </row>
    <row r="16" spans="1:7">
      <c r="A16" s="1342"/>
      <c r="B16" s="1342"/>
      <c r="C16" s="1342"/>
      <c r="D16" s="748" t="s">
        <v>879</v>
      </c>
      <c r="E16" s="748">
        <v>102.96</v>
      </c>
      <c r="F16" s="748">
        <v>348</v>
      </c>
      <c r="G16" s="748"/>
    </row>
    <row r="17" spans="1:7" ht="15" customHeight="1">
      <c r="A17" s="1342"/>
      <c r="B17" s="1342"/>
      <c r="C17" s="1342" t="s">
        <v>880</v>
      </c>
      <c r="D17" s="748" t="s">
        <v>29</v>
      </c>
      <c r="E17" s="748">
        <v>101.44</v>
      </c>
      <c r="F17" s="748">
        <v>340</v>
      </c>
      <c r="G17" s="748"/>
    </row>
    <row r="18" spans="1:7" ht="25.5">
      <c r="A18" s="1342"/>
      <c r="B18" s="1342"/>
      <c r="C18" s="1342"/>
      <c r="D18" s="748" t="s">
        <v>878</v>
      </c>
      <c r="E18" s="748">
        <v>99.072999999999993</v>
      </c>
      <c r="F18" s="748">
        <v>312</v>
      </c>
      <c r="G18" s="750" t="s">
        <v>1655</v>
      </c>
    </row>
    <row r="19" spans="1:7">
      <c r="A19" s="1342"/>
      <c r="B19" s="1342"/>
      <c r="C19" s="1342"/>
      <c r="D19" s="748" t="s">
        <v>879</v>
      </c>
      <c r="E19" s="748">
        <v>99.072999999999993</v>
      </c>
      <c r="F19" s="748">
        <v>312</v>
      </c>
      <c r="G19" s="748"/>
    </row>
    <row r="20" spans="1:7">
      <c r="A20" s="1342"/>
      <c r="B20" s="1342"/>
      <c r="C20" s="1342" t="s">
        <v>882</v>
      </c>
      <c r="D20" s="748" t="s">
        <v>29</v>
      </c>
      <c r="E20" s="748">
        <v>82.376999999999995</v>
      </c>
      <c r="F20" s="748">
        <v>276</v>
      </c>
      <c r="G20" s="748"/>
    </row>
    <row r="21" spans="1:7">
      <c r="A21" s="1342"/>
      <c r="B21" s="1342"/>
      <c r="C21" s="1342"/>
      <c r="D21" s="748" t="s">
        <v>878</v>
      </c>
      <c r="E21" s="748">
        <v>82.376999999999995</v>
      </c>
      <c r="F21" s="748">
        <v>276</v>
      </c>
      <c r="G21" s="748"/>
    </row>
    <row r="22" spans="1:7">
      <c r="A22" s="1342"/>
      <c r="B22" s="1342"/>
      <c r="C22" s="1342"/>
      <c r="D22" s="748" t="s">
        <v>879</v>
      </c>
      <c r="E22" s="748">
        <v>82.376999999999995</v>
      </c>
      <c r="F22" s="748">
        <v>276</v>
      </c>
      <c r="G22" s="748"/>
    </row>
    <row r="23" spans="1:7">
      <c r="A23" s="1344"/>
      <c r="B23" s="1345"/>
      <c r="C23" s="1345"/>
      <c r="D23" s="1345"/>
      <c r="E23" s="1345"/>
      <c r="F23" s="1345"/>
      <c r="G23" s="1346"/>
    </row>
    <row r="24" spans="1:7">
      <c r="A24" s="1342">
        <v>3</v>
      </c>
      <c r="B24" s="1342" t="s">
        <v>887</v>
      </c>
      <c r="C24" s="748" t="s">
        <v>875</v>
      </c>
      <c r="D24" s="748" t="s">
        <v>876</v>
      </c>
      <c r="E24" s="748">
        <v>25</v>
      </c>
      <c r="F24" s="748">
        <v>82</v>
      </c>
      <c r="G24" s="748"/>
    </row>
    <row r="25" spans="1:7">
      <c r="A25" s="1342"/>
      <c r="B25" s="1342"/>
      <c r="C25" s="1342" t="s">
        <v>877</v>
      </c>
      <c r="D25" s="748" t="s">
        <v>878</v>
      </c>
      <c r="E25" s="748">
        <v>6.6</v>
      </c>
      <c r="F25" s="748">
        <v>28</v>
      </c>
      <c r="G25" s="748"/>
    </row>
    <row r="26" spans="1:7">
      <c r="A26" s="1342"/>
      <c r="B26" s="1342"/>
      <c r="C26" s="1342"/>
      <c r="D26" s="748" t="s">
        <v>879</v>
      </c>
      <c r="E26" s="748">
        <v>6.6</v>
      </c>
      <c r="F26" s="748">
        <v>28</v>
      </c>
      <c r="G26" s="750"/>
    </row>
    <row r="27" spans="1:7" ht="15" customHeight="1">
      <c r="A27" s="1342"/>
      <c r="B27" s="1342"/>
      <c r="C27" s="1342" t="s">
        <v>880</v>
      </c>
      <c r="D27" s="748" t="s">
        <v>29</v>
      </c>
      <c r="E27" s="748">
        <v>6.6</v>
      </c>
      <c r="F27" s="748">
        <v>28</v>
      </c>
      <c r="G27" s="748"/>
    </row>
    <row r="28" spans="1:7">
      <c r="A28" s="1342"/>
      <c r="B28" s="1342"/>
      <c r="C28" s="1342"/>
      <c r="D28" s="748" t="s">
        <v>878</v>
      </c>
      <c r="E28" s="748">
        <v>6.4749999999999996</v>
      </c>
      <c r="F28" s="748">
        <v>25</v>
      </c>
      <c r="G28" s="1342" t="s">
        <v>1842</v>
      </c>
    </row>
    <row r="29" spans="1:7">
      <c r="A29" s="1342"/>
      <c r="B29" s="1342"/>
      <c r="C29" s="1342"/>
      <c r="D29" s="748" t="s">
        <v>879</v>
      </c>
      <c r="E29" s="748">
        <v>6.4749999999999996</v>
      </c>
      <c r="F29" s="748">
        <v>25</v>
      </c>
      <c r="G29" s="1342"/>
    </row>
    <row r="30" spans="1:7" ht="15.75" customHeight="1">
      <c r="A30" s="1342"/>
      <c r="B30" s="1342"/>
      <c r="C30" s="1342" t="s">
        <v>882</v>
      </c>
      <c r="D30" s="748" t="s">
        <v>29</v>
      </c>
      <c r="E30" s="748">
        <v>5.5</v>
      </c>
      <c r="F30" s="748">
        <v>22</v>
      </c>
      <c r="G30" s="751"/>
    </row>
    <row r="31" spans="1:7">
      <c r="A31" s="1342"/>
      <c r="B31" s="1342"/>
      <c r="C31" s="1342"/>
      <c r="D31" s="748" t="s">
        <v>878</v>
      </c>
      <c r="E31" s="748">
        <v>5.5</v>
      </c>
      <c r="F31" s="748">
        <v>22</v>
      </c>
      <c r="G31" s="748"/>
    </row>
    <row r="32" spans="1:7">
      <c r="A32" s="1342"/>
      <c r="B32" s="1342"/>
      <c r="C32" s="1342"/>
      <c r="D32" s="748" t="s">
        <v>879</v>
      </c>
      <c r="E32" s="748">
        <v>5.5</v>
      </c>
      <c r="F32" s="748">
        <v>22</v>
      </c>
      <c r="G32" s="748"/>
    </row>
  </sheetData>
  <mergeCells count="23">
    <mergeCell ref="A24:A32"/>
    <mergeCell ref="B24:B32"/>
    <mergeCell ref="C25:C26"/>
    <mergeCell ref="C27:C29"/>
    <mergeCell ref="G28:G29"/>
    <mergeCell ref="C30:C32"/>
    <mergeCell ref="C20:C22"/>
    <mergeCell ref="A23:G23"/>
    <mergeCell ref="C10:C12"/>
    <mergeCell ref="A13:G13"/>
    <mergeCell ref="A14:A22"/>
    <mergeCell ref="B14:B22"/>
    <mergeCell ref="C15:C16"/>
    <mergeCell ref="C17:C19"/>
    <mergeCell ref="C7:C9"/>
    <mergeCell ref="A1:G1"/>
    <mergeCell ref="A2:A3"/>
    <mergeCell ref="B2:B3"/>
    <mergeCell ref="C2:D3"/>
    <mergeCell ref="G2:G3"/>
    <mergeCell ref="A4:A12"/>
    <mergeCell ref="B4:B12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352" t="s">
        <v>1851</v>
      </c>
      <c r="B1" s="1353"/>
      <c r="C1" s="1353"/>
      <c r="D1" s="1353"/>
      <c r="E1" s="1353"/>
      <c r="F1" s="1353"/>
      <c r="G1" s="1353"/>
      <c r="H1" s="1353"/>
      <c r="I1" s="1353"/>
      <c r="J1" s="1354"/>
    </row>
    <row r="2" spans="1:10" s="753" customFormat="1" ht="27.75" customHeight="1">
      <c r="A2" s="1347" t="s">
        <v>1441</v>
      </c>
      <c r="B2" s="1349" t="s">
        <v>873</v>
      </c>
      <c r="C2" s="1349" t="s">
        <v>1847</v>
      </c>
      <c r="D2" s="1349" t="s">
        <v>1848</v>
      </c>
      <c r="E2" s="1349" t="s">
        <v>1849</v>
      </c>
      <c r="F2" s="1349" t="s">
        <v>1850</v>
      </c>
      <c r="G2" s="1349" t="s">
        <v>978</v>
      </c>
      <c r="H2" s="1349" t="s">
        <v>1754</v>
      </c>
      <c r="I2" s="1349" t="s">
        <v>981</v>
      </c>
      <c r="J2" s="1355" t="s">
        <v>2</v>
      </c>
    </row>
    <row r="3" spans="1:10" s="753" customFormat="1" ht="21.75" thickBot="1">
      <c r="A3" s="1358"/>
      <c r="B3" s="1351"/>
      <c r="C3" s="1351"/>
      <c r="D3" s="1351"/>
      <c r="E3" s="1351"/>
      <c r="F3" s="1351"/>
      <c r="G3" s="1351"/>
      <c r="H3" s="1351"/>
      <c r="I3" s="1351"/>
      <c r="J3" s="1357"/>
    </row>
    <row r="4" spans="1:10" s="753" customFormat="1" ht="21">
      <c r="A4" s="759" t="s">
        <v>1843</v>
      </c>
      <c r="B4" s="760">
        <v>128</v>
      </c>
      <c r="C4" s="760">
        <v>25</v>
      </c>
      <c r="D4" s="760">
        <v>28</v>
      </c>
      <c r="E4" s="760">
        <v>25</v>
      </c>
      <c r="F4" s="767">
        <f>D4-C4</f>
        <v>3</v>
      </c>
      <c r="G4" s="760">
        <v>5</v>
      </c>
      <c r="H4" s="768">
        <v>5</v>
      </c>
      <c r="I4" s="779">
        <f>B4-D4-G4</f>
        <v>95</v>
      </c>
      <c r="J4" s="771"/>
    </row>
    <row r="5" spans="1:10" s="753" customFormat="1" ht="21">
      <c r="A5" s="762" t="s">
        <v>1844</v>
      </c>
      <c r="B5" s="754">
        <v>348</v>
      </c>
      <c r="C5" s="754">
        <v>42</v>
      </c>
      <c r="D5" s="754">
        <v>50</v>
      </c>
      <c r="E5" s="754">
        <v>45</v>
      </c>
      <c r="F5" s="758">
        <f>D5-C5</f>
        <v>8</v>
      </c>
      <c r="G5" s="754">
        <v>5</v>
      </c>
      <c r="H5" s="769">
        <v>5</v>
      </c>
      <c r="I5" s="775">
        <f t="shared" ref="I5:I6" si="0">B5-D5-G5</f>
        <v>293</v>
      </c>
      <c r="J5" s="772"/>
    </row>
    <row r="6" spans="1:10" s="753" customFormat="1" ht="21.75" thickBot="1">
      <c r="A6" s="764" t="s">
        <v>1845</v>
      </c>
      <c r="B6" s="765">
        <v>28</v>
      </c>
      <c r="C6" s="765">
        <v>12</v>
      </c>
      <c r="D6" s="765">
        <v>12</v>
      </c>
      <c r="E6" s="765">
        <v>5</v>
      </c>
      <c r="F6" s="765">
        <f>D6-C6</f>
        <v>0</v>
      </c>
      <c r="G6" s="765">
        <v>0</v>
      </c>
      <c r="H6" s="770">
        <v>0</v>
      </c>
      <c r="I6" s="780">
        <f t="shared" si="0"/>
        <v>16</v>
      </c>
      <c r="J6" s="773"/>
    </row>
    <row r="7" spans="1:10" s="753" customFormat="1" ht="21.75" thickBot="1">
      <c r="A7" s="776" t="s">
        <v>1846</v>
      </c>
      <c r="B7" s="777">
        <f>SUM(B4:B6)</f>
        <v>504</v>
      </c>
      <c r="C7" s="777">
        <f t="shared" ref="C7:H7" si="1">SUM(C4:C6)</f>
        <v>79</v>
      </c>
      <c r="D7" s="777">
        <f t="shared" si="1"/>
        <v>90</v>
      </c>
      <c r="E7" s="777">
        <f t="shared" si="1"/>
        <v>75</v>
      </c>
      <c r="F7" s="777">
        <f t="shared" si="1"/>
        <v>11</v>
      </c>
      <c r="G7" s="777">
        <f t="shared" si="1"/>
        <v>10</v>
      </c>
      <c r="H7" s="777">
        <f t="shared" si="1"/>
        <v>10</v>
      </c>
      <c r="I7" s="774">
        <f>SUM(I4:I6)</f>
        <v>404</v>
      </c>
      <c r="J7" s="778"/>
    </row>
    <row r="8" spans="1:10" ht="15.75" thickBot="1"/>
    <row r="9" spans="1:10" s="753" customFormat="1" ht="21" customHeight="1">
      <c r="A9" s="1347" t="s">
        <v>1442</v>
      </c>
      <c r="B9" s="1349" t="s">
        <v>873</v>
      </c>
      <c r="C9" s="1349" t="s">
        <v>1847</v>
      </c>
      <c r="D9" s="1349" t="s">
        <v>1848</v>
      </c>
      <c r="E9" s="1349" t="s">
        <v>1849</v>
      </c>
      <c r="F9" s="1349" t="s">
        <v>1850</v>
      </c>
      <c r="G9" s="1349" t="s">
        <v>978</v>
      </c>
      <c r="H9" s="1349" t="s">
        <v>1754</v>
      </c>
      <c r="I9" s="1349" t="s">
        <v>981</v>
      </c>
      <c r="J9" s="1355" t="s">
        <v>2</v>
      </c>
    </row>
    <row r="10" spans="1:10" s="753" customFormat="1" ht="21.75" thickBot="1">
      <c r="A10" s="1348"/>
      <c r="B10" s="1350"/>
      <c r="C10" s="1350"/>
      <c r="D10" s="1350"/>
      <c r="E10" s="1350"/>
      <c r="F10" s="1350"/>
      <c r="G10" s="1350"/>
      <c r="H10" s="1350"/>
      <c r="I10" s="1350"/>
      <c r="J10" s="1356"/>
    </row>
    <row r="11" spans="1:10" s="753" customFormat="1" ht="21">
      <c r="A11" s="759" t="s">
        <v>1843</v>
      </c>
      <c r="B11" s="760">
        <v>128</v>
      </c>
      <c r="C11" s="760">
        <v>0</v>
      </c>
      <c r="D11" s="760">
        <v>0</v>
      </c>
      <c r="E11" s="760">
        <v>10</v>
      </c>
      <c r="F11" s="760">
        <v>0</v>
      </c>
      <c r="G11" s="760">
        <v>1</v>
      </c>
      <c r="H11" s="760">
        <v>1</v>
      </c>
      <c r="I11" s="779">
        <f>B11-D11-G11</f>
        <v>127</v>
      </c>
      <c r="J11" s="761"/>
    </row>
    <row r="12" spans="1:10" s="753" customFormat="1" ht="21">
      <c r="A12" s="762" t="s">
        <v>1844</v>
      </c>
      <c r="B12" s="754">
        <v>348</v>
      </c>
      <c r="C12" s="754">
        <v>0</v>
      </c>
      <c r="D12" s="754">
        <v>0</v>
      </c>
      <c r="E12" s="754">
        <v>4</v>
      </c>
      <c r="F12" s="754">
        <v>0</v>
      </c>
      <c r="G12" s="754">
        <v>0</v>
      </c>
      <c r="H12" s="754">
        <v>0</v>
      </c>
      <c r="I12" s="775">
        <f t="shared" ref="I12:I13" si="2">B12-D12-G12</f>
        <v>348</v>
      </c>
      <c r="J12" s="763"/>
    </row>
    <row r="13" spans="1:10" s="753" customFormat="1" ht="21.75" thickBot="1">
      <c r="A13" s="764" t="s">
        <v>1845</v>
      </c>
      <c r="B13" s="765">
        <v>28</v>
      </c>
      <c r="C13" s="765">
        <v>1</v>
      </c>
      <c r="D13" s="765">
        <v>2</v>
      </c>
      <c r="E13" s="765">
        <v>6</v>
      </c>
      <c r="F13" s="765">
        <v>1</v>
      </c>
      <c r="G13" s="765">
        <v>1</v>
      </c>
      <c r="H13" s="765">
        <v>1</v>
      </c>
      <c r="I13" s="780">
        <f t="shared" si="2"/>
        <v>25</v>
      </c>
      <c r="J13" s="766"/>
    </row>
    <row r="14" spans="1:10" s="753" customFormat="1" ht="21.75" thickBot="1">
      <c r="A14" s="755" t="s">
        <v>1846</v>
      </c>
      <c r="B14" s="756">
        <f>SUM(B11:B13)</f>
        <v>504</v>
      </c>
      <c r="C14" s="756">
        <f t="shared" ref="C14" si="3">SUM(C11:C13)</f>
        <v>1</v>
      </c>
      <c r="D14" s="756">
        <f t="shared" ref="D14" si="4">SUM(D11:D13)</f>
        <v>2</v>
      </c>
      <c r="E14" s="756">
        <f t="shared" ref="E14" si="5">SUM(E11:E13)</f>
        <v>20</v>
      </c>
      <c r="F14" s="756">
        <f t="shared" ref="F14" si="6">SUM(F11:F13)</f>
        <v>1</v>
      </c>
      <c r="G14" s="756">
        <f t="shared" ref="G14" si="7">SUM(G11:G13)</f>
        <v>2</v>
      </c>
      <c r="H14" s="756">
        <f t="shared" ref="H14" si="8">SUM(H11:H13)</f>
        <v>2</v>
      </c>
      <c r="I14" s="774">
        <f>SUM(I11:I13)</f>
        <v>500</v>
      </c>
      <c r="J14" s="757"/>
    </row>
  </sheetData>
  <mergeCells count="21"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  <mergeCell ref="A9:A10"/>
    <mergeCell ref="B9:B10"/>
    <mergeCell ref="B2:B3"/>
    <mergeCell ref="C2:C3"/>
    <mergeCell ref="C9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K14" sqref="K14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74" t="s">
        <v>1051</v>
      </c>
      <c r="B1" s="1375"/>
      <c r="C1" s="1376"/>
      <c r="D1" s="1376"/>
      <c r="E1" s="1376"/>
      <c r="F1" s="1377"/>
    </row>
    <row r="2" spans="1:6" ht="16.5" thickBot="1">
      <c r="A2" s="1378" t="s">
        <v>1034</v>
      </c>
      <c r="B2" s="1379"/>
      <c r="C2" s="1379"/>
      <c r="D2" s="1379"/>
      <c r="E2" s="1379"/>
      <c r="F2" s="697" t="str">
        <f>'Summary-'!M3</f>
        <v>Date-09/07/2026</v>
      </c>
    </row>
    <row r="3" spans="1:6" ht="15.75">
      <c r="A3" s="513" t="s">
        <v>1035</v>
      </c>
      <c r="B3" s="514" t="s">
        <v>1052</v>
      </c>
      <c r="C3" s="514"/>
      <c r="D3" s="514"/>
      <c r="E3" s="514"/>
      <c r="F3" s="515"/>
    </row>
    <row r="4" spans="1:6" ht="16.5" thickBot="1">
      <c r="A4" s="516" t="s">
        <v>1036</v>
      </c>
      <c r="B4" s="517" t="s">
        <v>1053</v>
      </c>
      <c r="C4" s="517"/>
      <c r="D4" s="517"/>
      <c r="E4" s="517"/>
      <c r="F4" s="518"/>
    </row>
    <row r="5" spans="1:6" ht="15.75" thickBot="1">
      <c r="A5" s="1368" t="s">
        <v>1037</v>
      </c>
      <c r="B5" s="1369"/>
      <c r="C5" s="1369"/>
      <c r="D5" s="1369"/>
      <c r="E5" s="1369"/>
      <c r="F5" s="1370"/>
    </row>
    <row r="6" spans="1:6" ht="30.75" thickBot="1">
      <c r="A6" s="461" t="s">
        <v>1054</v>
      </c>
      <c r="B6" s="462" t="s">
        <v>1038</v>
      </c>
      <c r="C6" s="462" t="s">
        <v>1039</v>
      </c>
      <c r="D6" s="462" t="s">
        <v>1040</v>
      </c>
      <c r="E6" s="462" t="s">
        <v>1041</v>
      </c>
      <c r="F6" s="463" t="s">
        <v>1042</v>
      </c>
    </row>
    <row r="7" spans="1:6">
      <c r="A7" s="459" t="s">
        <v>1055</v>
      </c>
      <c r="B7" s="460">
        <f>'Summary-'!D28</f>
        <v>41.272999999999996</v>
      </c>
      <c r="C7" s="460">
        <f>'Summary-'!E28</f>
        <v>41.272999999999996</v>
      </c>
      <c r="D7" s="460">
        <f>'Summary-'!H28</f>
        <v>0</v>
      </c>
      <c r="E7" s="460">
        <f>C7+D7</f>
        <v>41.272999999999996</v>
      </c>
      <c r="F7" s="467">
        <f>B7-E7</f>
        <v>0</v>
      </c>
    </row>
    <row r="8" spans="1:6">
      <c r="A8" s="450" t="s">
        <v>1056</v>
      </c>
      <c r="B8" s="464">
        <f>'Summary-'!D47</f>
        <v>102.96</v>
      </c>
      <c r="C8" s="455">
        <f>'Summary-'!E47</f>
        <v>102.96</v>
      </c>
      <c r="D8" s="455">
        <f>'Summary-'!H47</f>
        <v>0</v>
      </c>
      <c r="E8" s="451">
        <f>C8+D8</f>
        <v>102.96</v>
      </c>
      <c r="F8" s="466">
        <f t="shared" ref="F8:F9" si="0">B8-E8</f>
        <v>0</v>
      </c>
    </row>
    <row r="9" spans="1:6" ht="15.75" thickBot="1">
      <c r="A9" s="453" t="s">
        <v>1057</v>
      </c>
      <c r="B9" s="477">
        <f>'Summary-'!D11</f>
        <v>6.6</v>
      </c>
      <c r="C9" s="457">
        <f>'Summary-'!E11</f>
        <v>6.6</v>
      </c>
      <c r="D9" s="457">
        <f>'Summary-'!H11</f>
        <v>0</v>
      </c>
      <c r="E9" s="457">
        <f>C9+D9</f>
        <v>6.6</v>
      </c>
      <c r="F9" s="478">
        <f t="shared" si="0"/>
        <v>0</v>
      </c>
    </row>
    <row r="10" spans="1:6" ht="15.75" thickBot="1">
      <c r="A10" s="479" t="s">
        <v>1059</v>
      </c>
      <c r="B10" s="481">
        <f>SUM(B7:B9)</f>
        <v>150.833</v>
      </c>
      <c r="C10" s="481">
        <f>SUM(C7:C9)</f>
        <v>150.833</v>
      </c>
      <c r="D10" s="481">
        <f>SUM(D7:D9)</f>
        <v>0</v>
      </c>
      <c r="E10" s="481">
        <f>SUM(E7:E9)</f>
        <v>150.833</v>
      </c>
      <c r="F10" s="480">
        <f>SUM(F7:F9)</f>
        <v>0</v>
      </c>
    </row>
    <row r="11" spans="1:6" ht="15.75" thickBot="1">
      <c r="A11" s="1368" t="s">
        <v>1164</v>
      </c>
      <c r="B11" s="1369"/>
      <c r="C11" s="1369"/>
      <c r="D11" s="1369"/>
      <c r="E11" s="1369"/>
      <c r="F11" s="1370"/>
    </row>
    <row r="12" spans="1:6" ht="30.75" thickBot="1">
      <c r="A12" s="461" t="s">
        <v>1054</v>
      </c>
      <c r="B12" s="462" t="s">
        <v>1038</v>
      </c>
      <c r="C12" s="462" t="s">
        <v>1039</v>
      </c>
      <c r="D12" s="462" t="s">
        <v>1040</v>
      </c>
      <c r="E12" s="462" t="s">
        <v>1041</v>
      </c>
      <c r="F12" s="463" t="s">
        <v>1042</v>
      </c>
    </row>
    <row r="13" spans="1:6">
      <c r="A13" s="459" t="s">
        <v>1055</v>
      </c>
      <c r="B13" s="564">
        <f>'Summary-'!D34</f>
        <v>40</v>
      </c>
      <c r="C13" s="564">
        <f>'Summary-'!I34</f>
        <v>40</v>
      </c>
      <c r="D13" s="564">
        <f>'Summary-'!H34</f>
        <v>0</v>
      </c>
      <c r="E13" s="460">
        <f>C13+D13</f>
        <v>40</v>
      </c>
      <c r="F13" s="467">
        <f>B13-E13</f>
        <v>0</v>
      </c>
    </row>
    <row r="14" spans="1:6">
      <c r="A14" s="450" t="s">
        <v>1056</v>
      </c>
      <c r="B14" s="470">
        <f>'Summary-'!D53</f>
        <v>100</v>
      </c>
      <c r="C14" s="469">
        <f>'Summary-'!D53</f>
        <v>100</v>
      </c>
      <c r="D14" s="469">
        <f>'Summary-'!H53</f>
        <v>0</v>
      </c>
      <c r="E14" s="470">
        <f>C14+D14</f>
        <v>100</v>
      </c>
      <c r="F14" s="466">
        <f t="shared" ref="F14:F15" si="1">B14-E14</f>
        <v>0</v>
      </c>
    </row>
    <row r="15" spans="1:6" ht="15.75" thickBot="1">
      <c r="A15" s="453" t="s">
        <v>1057</v>
      </c>
      <c r="B15" s="565">
        <f>'Summary-'!D17</f>
        <v>7</v>
      </c>
      <c r="C15" s="457">
        <f>'Summary-'!E17</f>
        <v>7</v>
      </c>
      <c r="D15" s="565">
        <f>'Summary-'!H17</f>
        <v>0</v>
      </c>
      <c r="E15" s="457">
        <f>C15+D15</f>
        <v>7</v>
      </c>
      <c r="F15" s="478">
        <f t="shared" si="1"/>
        <v>0</v>
      </c>
    </row>
    <row r="16" spans="1:6" ht="15.75" thickBot="1">
      <c r="A16" s="479" t="s">
        <v>1059</v>
      </c>
      <c r="B16" s="482">
        <f>SUM(B13:B15)</f>
        <v>147</v>
      </c>
      <c r="C16" s="482">
        <f>SUM(C13:C15)</f>
        <v>147</v>
      </c>
      <c r="D16" s="482">
        <f>SUM(D13:D15)</f>
        <v>0</v>
      </c>
      <c r="E16" s="482">
        <f>SUM(E13:E15)</f>
        <v>147</v>
      </c>
      <c r="F16" s="482">
        <f>SUM(F13:F15)</f>
        <v>0</v>
      </c>
    </row>
    <row r="17" spans="1:6" ht="15.75" thickBot="1">
      <c r="A17" s="1371" t="s">
        <v>1043</v>
      </c>
      <c r="B17" s="1372"/>
      <c r="C17" s="1372"/>
      <c r="D17" s="1372"/>
      <c r="E17" s="1372"/>
      <c r="F17" s="1373"/>
    </row>
    <row r="18" spans="1:6" ht="30.75" thickBot="1">
      <c r="A18" s="461" t="s">
        <v>1054</v>
      </c>
      <c r="B18" s="462" t="s">
        <v>1038</v>
      </c>
      <c r="C18" s="462" t="s">
        <v>1039</v>
      </c>
      <c r="D18" s="462" t="s">
        <v>1040</v>
      </c>
      <c r="E18" s="462" t="s">
        <v>1041</v>
      </c>
      <c r="F18" s="463" t="s">
        <v>1042</v>
      </c>
    </row>
    <row r="19" spans="1:6">
      <c r="A19" s="454" t="s">
        <v>1055</v>
      </c>
      <c r="B19" s="455">
        <f>'Summary-'!D31</f>
        <v>41.273000000000003</v>
      </c>
      <c r="C19" s="460">
        <f>'Summary-'!E31</f>
        <v>38.158999999999999</v>
      </c>
      <c r="D19" s="460">
        <f>'Summary-'!H31</f>
        <v>0</v>
      </c>
      <c r="E19" s="569">
        <f>C19+D19</f>
        <v>38.158999999999999</v>
      </c>
      <c r="F19" s="467">
        <f>B19-E19</f>
        <v>3.1140000000000043</v>
      </c>
    </row>
    <row r="20" spans="1:6">
      <c r="A20" s="450" t="s">
        <v>1056</v>
      </c>
      <c r="B20" s="464">
        <f>'Summary-'!D50</f>
        <v>102.96</v>
      </c>
      <c r="C20" s="455">
        <f>'Summary-'!E50</f>
        <v>98.905000000000001</v>
      </c>
      <c r="D20" s="455">
        <f>'Summary-'!H50</f>
        <v>0</v>
      </c>
      <c r="E20" s="569">
        <f>C20+D20</f>
        <v>98.905000000000001</v>
      </c>
      <c r="F20" s="466">
        <f t="shared" ref="F20:F21" si="2">B20-E20</f>
        <v>4.0549999999999926</v>
      </c>
    </row>
    <row r="21" spans="1:6" ht="15.75" thickBot="1">
      <c r="A21" s="456" t="s">
        <v>1057</v>
      </c>
      <c r="B21" s="465">
        <f>'Summary-'!D14</f>
        <v>6.6</v>
      </c>
      <c r="C21" s="678">
        <f>'Summary-'!E14</f>
        <v>6.27</v>
      </c>
      <c r="D21" s="458">
        <f>'Summary-'!H14</f>
        <v>0</v>
      </c>
      <c r="E21" s="455">
        <f>C21+D21</f>
        <v>6.27</v>
      </c>
      <c r="F21" s="468">
        <f t="shared" si="2"/>
        <v>0.33000000000000007</v>
      </c>
    </row>
    <row r="22" spans="1:6" ht="15.75" thickBot="1">
      <c r="A22" s="479" t="s">
        <v>1059</v>
      </c>
      <c r="B22" s="481">
        <f>SUM(B19:B21)</f>
        <v>150.833</v>
      </c>
      <c r="C22" s="481">
        <f>SUM(C19:C21)</f>
        <v>143.334</v>
      </c>
      <c r="D22" s="481">
        <f>SUM(D19:D21)</f>
        <v>0</v>
      </c>
      <c r="E22" s="481">
        <f>SUM(E19:E21)</f>
        <v>143.334</v>
      </c>
      <c r="F22" s="480">
        <f>SUM(F19:F21)</f>
        <v>7.498999999999997</v>
      </c>
    </row>
    <row r="23" spans="1:6" ht="15.75" thickBot="1">
      <c r="A23" s="1363" t="s">
        <v>1044</v>
      </c>
      <c r="B23" s="1364"/>
      <c r="C23" s="1364"/>
      <c r="D23" s="1364"/>
      <c r="E23" s="1364"/>
      <c r="F23" s="1365"/>
    </row>
    <row r="24" spans="1:6" ht="30.75" thickBot="1">
      <c r="A24" s="461" t="s">
        <v>1054</v>
      </c>
      <c r="B24" s="462" t="s">
        <v>1038</v>
      </c>
      <c r="C24" s="462" t="s">
        <v>1039</v>
      </c>
      <c r="D24" s="462" t="s">
        <v>1040</v>
      </c>
      <c r="E24" s="462" t="s">
        <v>1041</v>
      </c>
      <c r="F24" s="463" t="s">
        <v>1042</v>
      </c>
    </row>
    <row r="25" spans="1:6" ht="15.75" thickBot="1">
      <c r="A25" s="454" t="s">
        <v>1055</v>
      </c>
      <c r="B25" s="455">
        <f>'Summary-'!D33</f>
        <v>41.273000000000003</v>
      </c>
      <c r="C25" s="472">
        <f>'Summary-'!E33</f>
        <v>31.686</v>
      </c>
      <c r="D25" s="701">
        <f>'Summary-'!H33</f>
        <v>0</v>
      </c>
      <c r="E25" s="472">
        <f>C25+D25</f>
        <v>31.686</v>
      </c>
      <c r="F25" s="473">
        <f>B25-E25</f>
        <v>9.5870000000000033</v>
      </c>
    </row>
    <row r="26" spans="1:6">
      <c r="A26" s="450" t="s">
        <v>1056</v>
      </c>
      <c r="B26" s="464">
        <f>'Summary-'!D52</f>
        <v>102.96</v>
      </c>
      <c r="C26" s="455">
        <f>'Summary-'!E52</f>
        <v>82.382000000000005</v>
      </c>
      <c r="D26" s="569">
        <f>'Summary-'!H52</f>
        <v>0</v>
      </c>
      <c r="E26" s="472">
        <f>C26+D26</f>
        <v>82.382000000000005</v>
      </c>
      <c r="F26" s="474">
        <f t="shared" ref="F26:F27" si="3">B26-E26</f>
        <v>20.577999999999989</v>
      </c>
    </row>
    <row r="27" spans="1:6" ht="15.75" thickBot="1">
      <c r="A27" s="456" t="s">
        <v>1057</v>
      </c>
      <c r="B27" s="465">
        <f>'Summary-'!D16</f>
        <v>6.6</v>
      </c>
      <c r="C27" s="458">
        <f>'Summary-'!E16</f>
        <v>5.5389999999999997</v>
      </c>
      <c r="D27" s="458">
        <f>'Summary-'!H16</f>
        <v>0</v>
      </c>
      <c r="E27" s="475">
        <f>C27+D27</f>
        <v>5.5389999999999997</v>
      </c>
      <c r="F27" s="476">
        <f t="shared" si="3"/>
        <v>1.0609999999999999</v>
      </c>
    </row>
    <row r="28" spans="1:6" ht="15.75" thickBot="1">
      <c r="A28" s="479" t="s">
        <v>1059</v>
      </c>
      <c r="B28" s="481">
        <f>SUM(B25:B27)</f>
        <v>150.833</v>
      </c>
      <c r="C28" s="481">
        <f>SUM(C25:C27)</f>
        <v>119.60700000000001</v>
      </c>
      <c r="D28" s="481">
        <f>SUM(D25:D27)</f>
        <v>0</v>
      </c>
      <c r="E28" s="481">
        <f>SUM(E25:E27)</f>
        <v>119.60700000000001</v>
      </c>
      <c r="F28" s="480">
        <f>SUM(F25:F27)</f>
        <v>31.225999999999992</v>
      </c>
    </row>
    <row r="29" spans="1:6" ht="15.75" thickBot="1">
      <c r="A29" s="1366" t="s">
        <v>1045</v>
      </c>
      <c r="B29" s="1367"/>
      <c r="C29" s="1367"/>
      <c r="D29" s="1364"/>
      <c r="E29" s="1364"/>
      <c r="F29" s="1365"/>
    </row>
    <row r="30" spans="1:6" ht="30.75" thickBot="1">
      <c r="A30" s="461" t="s">
        <v>1054</v>
      </c>
      <c r="B30" s="462" t="s">
        <v>1038</v>
      </c>
      <c r="C30" s="462" t="s">
        <v>1039</v>
      </c>
      <c r="D30" s="462" t="s">
        <v>1040</v>
      </c>
      <c r="E30" s="462" t="s">
        <v>1041</v>
      </c>
      <c r="F30" s="463" t="s">
        <v>1042</v>
      </c>
    </row>
    <row r="31" spans="1:6">
      <c r="A31" s="454" t="s">
        <v>1055</v>
      </c>
      <c r="B31" s="469">
        <f>'Summary-'!D36</f>
        <v>129</v>
      </c>
      <c r="C31" s="469">
        <f>'Summary-'!E36</f>
        <v>91</v>
      </c>
      <c r="D31" s="701">
        <f>'Summary-'!H36</f>
        <v>1</v>
      </c>
      <c r="E31" s="702">
        <f t="shared" ref="E31:E33" si="4">C31+D31</f>
        <v>92</v>
      </c>
      <c r="F31" s="467">
        <f>B31-E31</f>
        <v>37</v>
      </c>
    </row>
    <row r="32" spans="1:6">
      <c r="A32" s="450" t="s">
        <v>1056</v>
      </c>
      <c r="B32" s="470">
        <f>'Summary-'!D55</f>
        <v>348</v>
      </c>
      <c r="C32" s="470">
        <f>'Summary-'!E55</f>
        <v>196</v>
      </c>
      <c r="D32" s="569">
        <f>'Summary-'!H55</f>
        <v>6</v>
      </c>
      <c r="E32" s="702">
        <f t="shared" si="4"/>
        <v>202</v>
      </c>
      <c r="F32" s="466">
        <f t="shared" ref="F32:F33" si="5">B32-E32</f>
        <v>146</v>
      </c>
    </row>
    <row r="33" spans="1:6" ht="15.75" thickBot="1">
      <c r="A33" s="456" t="s">
        <v>1057</v>
      </c>
      <c r="B33" s="458">
        <f>'Summary-'!D19</f>
        <v>28</v>
      </c>
      <c r="C33" s="550">
        <f>'Summary-'!E19</f>
        <v>25</v>
      </c>
      <c r="D33" s="458">
        <f>'Summary-'!H19</f>
        <v>0</v>
      </c>
      <c r="E33" s="469">
        <f t="shared" si="4"/>
        <v>25</v>
      </c>
      <c r="F33" s="468">
        <f t="shared" si="5"/>
        <v>3</v>
      </c>
    </row>
    <row r="34" spans="1:6" ht="15.75" thickBot="1">
      <c r="A34" s="479" t="s">
        <v>1059</v>
      </c>
      <c r="B34" s="482">
        <f>SUM(B31:B33)</f>
        <v>505</v>
      </c>
      <c r="C34" s="482">
        <f>SUM(C31:C33)</f>
        <v>312</v>
      </c>
      <c r="D34" s="482">
        <f>SUM(D31:D33)</f>
        <v>7</v>
      </c>
      <c r="E34" s="482">
        <f>SUM(E31:E33)</f>
        <v>319</v>
      </c>
      <c r="F34" s="483">
        <f>SUM(F31:F33)</f>
        <v>186</v>
      </c>
    </row>
    <row r="35" spans="1:6" ht="15.75" thickBot="1">
      <c r="A35" s="1359" t="s">
        <v>1046</v>
      </c>
      <c r="B35" s="1360"/>
      <c r="C35" s="1361"/>
      <c r="D35" s="1361"/>
      <c r="E35" s="1361"/>
      <c r="F35" s="1362"/>
    </row>
    <row r="36" spans="1:6" ht="30.75" thickBot="1">
      <c r="A36" s="461" t="s">
        <v>1054</v>
      </c>
      <c r="B36" s="462" t="s">
        <v>1038</v>
      </c>
      <c r="C36" s="462" t="s">
        <v>1039</v>
      </c>
      <c r="D36" s="462" t="s">
        <v>1040</v>
      </c>
      <c r="E36" s="462" t="s">
        <v>1041</v>
      </c>
      <c r="F36" s="463" t="s">
        <v>1042</v>
      </c>
    </row>
    <row r="37" spans="1:6" ht="15.75" thickBot="1">
      <c r="A37" s="454" t="s">
        <v>1055</v>
      </c>
      <c r="B37" s="469">
        <f>'Summary-'!D37</f>
        <v>129</v>
      </c>
      <c r="C37" s="469">
        <f>'Summary-'!E37</f>
        <v>65</v>
      </c>
      <c r="D37" s="469">
        <f>'Summary-'!H37</f>
        <v>0</v>
      </c>
      <c r="E37" s="460">
        <f>C37+D37</f>
        <v>65</v>
      </c>
      <c r="F37" s="467">
        <f>B37-E37</f>
        <v>64</v>
      </c>
    </row>
    <row r="38" spans="1:6" ht="15.75" thickBot="1">
      <c r="A38" s="450" t="s">
        <v>1056</v>
      </c>
      <c r="B38" s="470">
        <f>'Summary-'!D56</f>
        <v>348</v>
      </c>
      <c r="C38" s="470">
        <f>'Summary-'!E56</f>
        <v>139</v>
      </c>
      <c r="D38" s="469">
        <f>'Summary-'!H56</f>
        <v>5</v>
      </c>
      <c r="E38" s="460">
        <f t="shared" ref="E38:E39" si="6">C38+D38</f>
        <v>144</v>
      </c>
      <c r="F38" s="466">
        <f t="shared" ref="F38:F39" si="7">B38-E38</f>
        <v>204</v>
      </c>
    </row>
    <row r="39" spans="1:6" ht="15.75" thickBot="1">
      <c r="A39" s="456" t="s">
        <v>1057</v>
      </c>
      <c r="B39" s="458">
        <f>'Summary-'!D20</f>
        <v>28</v>
      </c>
      <c r="C39" s="550">
        <f>'Summary-'!E20</f>
        <v>22</v>
      </c>
      <c r="D39" s="469">
        <f>'Summary-'!H20</f>
        <v>0</v>
      </c>
      <c r="E39" s="460">
        <f t="shared" si="6"/>
        <v>22</v>
      </c>
      <c r="F39" s="468">
        <f t="shared" si="7"/>
        <v>6</v>
      </c>
    </row>
    <row r="40" spans="1:6" ht="15.75" thickBot="1">
      <c r="A40" s="479" t="s">
        <v>1059</v>
      </c>
      <c r="B40" s="482">
        <f>SUM(B37:B39)</f>
        <v>505</v>
      </c>
      <c r="C40" s="482">
        <f>SUM(C37:C39)</f>
        <v>226</v>
      </c>
      <c r="D40" s="482">
        <f>SUM(D37:D39)</f>
        <v>5</v>
      </c>
      <c r="E40" s="482">
        <f>SUM(E37:E39)</f>
        <v>231</v>
      </c>
      <c r="F40" s="483">
        <f>SUM(F37:F39)</f>
        <v>274</v>
      </c>
    </row>
    <row r="41" spans="1:6" ht="15.75" thickBot="1">
      <c r="A41" s="1363" t="s">
        <v>1047</v>
      </c>
      <c r="B41" s="1364"/>
      <c r="C41" s="1364"/>
      <c r="D41" s="1364"/>
      <c r="E41" s="1364"/>
      <c r="F41" s="1365"/>
    </row>
    <row r="42" spans="1:6" ht="30.75" thickBot="1">
      <c r="A42" s="461" t="s">
        <v>1054</v>
      </c>
      <c r="B42" s="462" t="s">
        <v>1038</v>
      </c>
      <c r="C42" s="462" t="s">
        <v>1039</v>
      </c>
      <c r="D42" s="462" t="s">
        <v>1040</v>
      </c>
      <c r="E42" s="462" t="s">
        <v>1041</v>
      </c>
      <c r="F42" s="463" t="s">
        <v>1042</v>
      </c>
    </row>
    <row r="43" spans="1:6">
      <c r="A43" s="454" t="s">
        <v>1055</v>
      </c>
      <c r="B43" s="469">
        <f>'Summary-'!D38</f>
        <v>129</v>
      </c>
      <c r="C43" s="469">
        <f>'Summary-'!E38</f>
        <v>46</v>
      </c>
      <c r="D43" s="469">
        <f>'Summary-'!H38</f>
        <v>3</v>
      </c>
      <c r="E43" s="460">
        <f>C43+D43</f>
        <v>49</v>
      </c>
      <c r="F43" s="467">
        <f>B43-E43</f>
        <v>80</v>
      </c>
    </row>
    <row r="44" spans="1:6">
      <c r="A44" s="450" t="s">
        <v>1056</v>
      </c>
      <c r="B44" s="470">
        <f>'Summary-'!D57</f>
        <v>348</v>
      </c>
      <c r="C44" s="470">
        <f>'Summary-'!E57</f>
        <v>80</v>
      </c>
      <c r="D44" s="470">
        <f>'Summary-'!H57</f>
        <v>4</v>
      </c>
      <c r="E44" s="451">
        <f>C44+D44</f>
        <v>84</v>
      </c>
      <c r="F44" s="466">
        <f t="shared" ref="F44:F45" si="8">B44-E44</f>
        <v>264</v>
      </c>
    </row>
    <row r="45" spans="1:6" ht="15.75" thickBot="1">
      <c r="A45" s="456" t="s">
        <v>1057</v>
      </c>
      <c r="B45" s="458">
        <f>'Summary-'!D21</f>
        <v>28</v>
      </c>
      <c r="C45" s="458">
        <f>'Summary-'!E21</f>
        <v>12</v>
      </c>
      <c r="D45" s="458">
        <f>'Summary-'!H21</f>
        <v>1</v>
      </c>
      <c r="E45" s="458">
        <f>C45+D45</f>
        <v>13</v>
      </c>
      <c r="F45" s="468">
        <f t="shared" si="8"/>
        <v>15</v>
      </c>
    </row>
    <row r="46" spans="1:6" ht="15.75" thickBot="1">
      <c r="A46" s="479" t="s">
        <v>1059</v>
      </c>
      <c r="B46" s="482">
        <f>SUM(B43:B45)</f>
        <v>505</v>
      </c>
      <c r="C46" s="482">
        <f>SUM(C43:C45)</f>
        <v>138</v>
      </c>
      <c r="D46" s="482">
        <f>SUM(D43:D45)</f>
        <v>8</v>
      </c>
      <c r="E46" s="482">
        <f>SUM(E43:E45)</f>
        <v>146</v>
      </c>
      <c r="F46" s="483">
        <f>SUM(F43:F45)</f>
        <v>359</v>
      </c>
    </row>
    <row r="47" spans="1:6" ht="15.75" thickBot="1">
      <c r="A47" s="1363" t="s">
        <v>1048</v>
      </c>
      <c r="B47" s="1364"/>
      <c r="C47" s="1364"/>
      <c r="D47" s="1364"/>
      <c r="E47" s="1364"/>
      <c r="F47" s="1365"/>
    </row>
    <row r="48" spans="1:6" ht="30.75" thickBot="1">
      <c r="A48" s="461" t="s">
        <v>1054</v>
      </c>
      <c r="B48" s="462" t="s">
        <v>1038</v>
      </c>
      <c r="C48" s="462" t="s">
        <v>1039</v>
      </c>
      <c r="D48" s="462" t="s">
        <v>1040</v>
      </c>
      <c r="E48" s="462" t="s">
        <v>1041</v>
      </c>
      <c r="F48" s="463" t="s">
        <v>1042</v>
      </c>
    </row>
    <row r="49" spans="1:6">
      <c r="A49" s="454" t="s">
        <v>1055</v>
      </c>
      <c r="B49" s="471">
        <f>'Summary-'!D40</f>
        <v>41.273000000000003</v>
      </c>
      <c r="C49" s="471">
        <f>'Summary-'!E40</f>
        <v>0</v>
      </c>
      <c r="D49" s="471">
        <f>'Summary-'!H40</f>
        <v>0</v>
      </c>
      <c r="E49" s="460">
        <f>C49+D49</f>
        <v>0</v>
      </c>
      <c r="F49" s="467">
        <f>B49-E49</f>
        <v>41.273000000000003</v>
      </c>
    </row>
    <row r="50" spans="1:6">
      <c r="A50" s="450" t="s">
        <v>1056</v>
      </c>
      <c r="B50" s="464">
        <f>'Summary-'!D59</f>
        <v>102.96</v>
      </c>
      <c r="C50" s="464">
        <f>'Summary-'!E59</f>
        <v>3.1989999999999998</v>
      </c>
      <c r="D50" s="464">
        <f>'Summary-'!H59</f>
        <v>0</v>
      </c>
      <c r="E50" s="451">
        <f>C50+D50</f>
        <v>3.1989999999999998</v>
      </c>
      <c r="F50" s="466">
        <f t="shared" ref="F50:F51" si="9">B50-E50</f>
        <v>99.760999999999996</v>
      </c>
    </row>
    <row r="51" spans="1:6" ht="15.75" thickBot="1">
      <c r="A51" s="456" t="s">
        <v>1057</v>
      </c>
      <c r="B51" s="465">
        <f>'Summary-'!D23</f>
        <v>6.6</v>
      </c>
      <c r="C51" s="465">
        <f>'Summary-'!E23</f>
        <v>0</v>
      </c>
      <c r="D51" s="465">
        <f>'Summary-'!H23</f>
        <v>0</v>
      </c>
      <c r="E51" s="458">
        <f>C51+D51</f>
        <v>0</v>
      </c>
      <c r="F51" s="468">
        <f t="shared" si="9"/>
        <v>6.6</v>
      </c>
    </row>
    <row r="52" spans="1:6" ht="15.75" thickBot="1">
      <c r="A52" s="479" t="s">
        <v>1059</v>
      </c>
      <c r="B52" s="481">
        <f>SUM(B49:B51)</f>
        <v>150.833</v>
      </c>
      <c r="C52" s="481">
        <f>SUM(C49:C51)</f>
        <v>3.1989999999999998</v>
      </c>
      <c r="D52" s="481">
        <f>SUM(D49:D51)</f>
        <v>0</v>
      </c>
      <c r="E52" s="481">
        <f>SUM(E49:E51)</f>
        <v>3.1989999999999998</v>
      </c>
      <c r="F52" s="480">
        <f>SUM(F49:F51)</f>
        <v>147.63399999999999</v>
      </c>
    </row>
    <row r="53" spans="1:6" ht="15.75" thickBot="1">
      <c r="A53" s="1363" t="s">
        <v>1049</v>
      </c>
      <c r="B53" s="1364"/>
      <c r="C53" s="1364"/>
      <c r="D53" s="1364"/>
      <c r="E53" s="1364"/>
      <c r="F53" s="1365"/>
    </row>
    <row r="54" spans="1:6" ht="30.75" thickBot="1">
      <c r="A54" s="461" t="s">
        <v>1054</v>
      </c>
      <c r="B54" s="462" t="s">
        <v>1038</v>
      </c>
      <c r="C54" s="462" t="s">
        <v>1039</v>
      </c>
      <c r="D54" s="462" t="s">
        <v>1040</v>
      </c>
      <c r="E54" s="462" t="s">
        <v>1041</v>
      </c>
      <c r="F54" s="463" t="s">
        <v>1042</v>
      </c>
    </row>
    <row r="55" spans="1:6">
      <c r="A55" s="454" t="s">
        <v>1055</v>
      </c>
      <c r="B55" s="471">
        <f>'Summary-'!D41</f>
        <v>41.273000000000003</v>
      </c>
      <c r="C55" s="471">
        <f>'Summary-'!E41</f>
        <v>0</v>
      </c>
      <c r="D55" s="471">
        <f>'Summary-'!H41</f>
        <v>0</v>
      </c>
      <c r="E55" s="472">
        <f>C55+D55</f>
        <v>0</v>
      </c>
      <c r="F55" s="473">
        <f>B55-E55</f>
        <v>41.273000000000003</v>
      </c>
    </row>
    <row r="56" spans="1:6">
      <c r="A56" s="450" t="s">
        <v>1056</v>
      </c>
      <c r="B56" s="464">
        <f>'Summary-'!D60</f>
        <v>102.96</v>
      </c>
      <c r="C56" s="464">
        <f>'Summary-'!E60</f>
        <v>0</v>
      </c>
      <c r="D56" s="464">
        <f>'Summary-'!H60</f>
        <v>0</v>
      </c>
      <c r="E56" s="452">
        <f>C56+D56</f>
        <v>0</v>
      </c>
      <c r="F56" s="474">
        <f t="shared" ref="F56:F57" si="10">B56-E56</f>
        <v>102.96</v>
      </c>
    </row>
    <row r="57" spans="1:6" ht="15.75" thickBot="1">
      <c r="A57" s="456" t="s">
        <v>1057</v>
      </c>
      <c r="B57" s="465">
        <f>'Summary-'!D24</f>
        <v>6.6</v>
      </c>
      <c r="C57" s="465">
        <f>'Summary-'!E24</f>
        <v>0</v>
      </c>
      <c r="D57" s="465">
        <f>'Summary-'!H24</f>
        <v>0</v>
      </c>
      <c r="E57" s="475">
        <f>C57+D57</f>
        <v>0</v>
      </c>
      <c r="F57" s="476">
        <f t="shared" si="10"/>
        <v>6.6</v>
      </c>
    </row>
    <row r="58" spans="1:6" ht="15.75" thickBot="1">
      <c r="A58" s="479" t="s">
        <v>1059</v>
      </c>
      <c r="B58" s="481">
        <f>SUM(B55:B57)</f>
        <v>150.833</v>
      </c>
      <c r="C58" s="481">
        <f>SUM(C55:C57)</f>
        <v>0</v>
      </c>
      <c r="D58" s="481">
        <f>SUM(D55:D57)</f>
        <v>0</v>
      </c>
      <c r="E58" s="481">
        <f>SUM(E55:E57)</f>
        <v>0</v>
      </c>
      <c r="F58" s="480">
        <f>SUM(F55:F57)</f>
        <v>150.833</v>
      </c>
    </row>
    <row r="59" spans="1:6" ht="15.75" thickBot="1">
      <c r="A59" s="1359" t="s">
        <v>1050</v>
      </c>
      <c r="B59" s="1360"/>
      <c r="C59" s="1361"/>
      <c r="D59" s="1361"/>
      <c r="E59" s="1361"/>
      <c r="F59" s="1362"/>
    </row>
    <row r="60" spans="1:6">
      <c r="A60" s="454" t="s">
        <v>1055</v>
      </c>
      <c r="B60" s="469">
        <f>'Summary-'!D39</f>
        <v>129</v>
      </c>
      <c r="C60" s="469">
        <f>'Summary-'!E39</f>
        <v>10</v>
      </c>
      <c r="D60" s="469">
        <f>'Summary-'!H39</f>
        <v>0</v>
      </c>
      <c r="E60" s="460">
        <f>C60+D60</f>
        <v>10</v>
      </c>
      <c r="F60" s="467">
        <f>B60-E60</f>
        <v>119</v>
      </c>
    </row>
    <row r="61" spans="1:6">
      <c r="A61" s="450" t="s">
        <v>1056</v>
      </c>
      <c r="B61" s="470">
        <f>'Summary-'!D58</f>
        <v>348</v>
      </c>
      <c r="C61" s="470">
        <f>'Summary-'!E58</f>
        <v>11</v>
      </c>
      <c r="D61" s="470">
        <f>'Summary-'!H58</f>
        <v>0</v>
      </c>
      <c r="E61" s="451">
        <f>C61+D61</f>
        <v>11</v>
      </c>
      <c r="F61" s="466">
        <f t="shared" ref="F61:F62" si="11">B61-E61</f>
        <v>337</v>
      </c>
    </row>
    <row r="62" spans="1:6" ht="15.75" thickBot="1">
      <c r="A62" s="456" t="s">
        <v>1057</v>
      </c>
      <c r="B62" s="458">
        <f>'Summary-'!D22</f>
        <v>28</v>
      </c>
      <c r="C62" s="458">
        <f>'Summary-'!E22</f>
        <v>0</v>
      </c>
      <c r="D62" s="458">
        <f>'Summary-'!H22</f>
        <v>0</v>
      </c>
      <c r="E62" s="458">
        <f>C62+D62</f>
        <v>0</v>
      </c>
      <c r="F62" s="468">
        <f t="shared" si="11"/>
        <v>28</v>
      </c>
    </row>
    <row r="63" spans="1:6" ht="15.75" thickBot="1">
      <c r="A63" s="479" t="s">
        <v>1059</v>
      </c>
      <c r="B63" s="482">
        <f>SUM(B60:B62)</f>
        <v>505</v>
      </c>
      <c r="C63" s="482">
        <f>SUM(C60:C62)</f>
        <v>21</v>
      </c>
      <c r="D63" s="482">
        <f>SUM(D60:D62)</f>
        <v>0</v>
      </c>
      <c r="E63" s="482">
        <f>SUM(E60:E62)</f>
        <v>21</v>
      </c>
      <c r="F63" s="483">
        <f>SUM(F60:F62)</f>
        <v>484</v>
      </c>
    </row>
  </sheetData>
  <mergeCells count="12">
    <mergeCell ref="A23:F23"/>
    <mergeCell ref="A29:F29"/>
    <mergeCell ref="A5:F5"/>
    <mergeCell ref="A17:F17"/>
    <mergeCell ref="A1:F1"/>
    <mergeCell ref="A2:E2"/>
    <mergeCell ref="A11:F11"/>
    <mergeCell ref="A59:F59"/>
    <mergeCell ref="A47:F47"/>
    <mergeCell ref="A53:F53"/>
    <mergeCell ref="A35:F35"/>
    <mergeCell ref="A41:F4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  <pageSetUpPr fitToPage="1"/>
  </sheetPr>
  <dimension ref="A1:K81"/>
  <sheetViews>
    <sheetView view="pageBreakPreview" zoomScaleNormal="100" zoomScaleSheetLayoutView="100" zoomScalePageLayoutView="40" workbookViewId="0">
      <selection activeCell="I47" sqref="I47:J47"/>
    </sheetView>
  </sheetViews>
  <sheetFormatPr defaultColWidth="9.140625" defaultRowHeight="18.75"/>
  <cols>
    <col min="1" max="1" width="23.140625" style="488" bestFit="1" customWidth="1"/>
    <col min="2" max="2" width="11.7109375" style="488" bestFit="1" customWidth="1"/>
    <col min="3" max="3" width="18.7109375" style="509" bestFit="1" customWidth="1"/>
    <col min="4" max="4" width="13.42578125" style="504" bestFit="1" customWidth="1"/>
    <col min="5" max="5" width="13.140625" style="509" bestFit="1" customWidth="1"/>
    <col min="6" max="6" width="14.7109375" style="488" bestFit="1" customWidth="1"/>
    <col min="7" max="7" width="12" style="488" bestFit="1" customWidth="1"/>
    <col min="8" max="8" width="12.140625" style="488" bestFit="1" customWidth="1"/>
    <col min="9" max="9" width="10.28515625" style="488" bestFit="1" customWidth="1"/>
    <col min="10" max="10" width="41.42578125" style="488" bestFit="1" customWidth="1"/>
    <col min="11" max="11" width="8" style="488" bestFit="1" customWidth="1"/>
    <col min="12" max="12" width="15.7109375" style="488" bestFit="1" customWidth="1"/>
    <col min="13" max="16384" width="9.140625" style="488"/>
  </cols>
  <sheetData>
    <row r="1" spans="1:11">
      <c r="A1" s="1385" t="str">
        <f>'DPR Sheet '!A1:F1</f>
        <v>KEC INTERNATIONAL LIMITED</v>
      </c>
      <c r="B1" s="1386"/>
      <c r="C1" s="1387"/>
      <c r="D1" s="1387"/>
      <c r="E1" s="1387"/>
      <c r="F1" s="1387"/>
      <c r="G1" s="1387"/>
      <c r="H1" s="1387"/>
      <c r="I1" s="1388"/>
      <c r="J1" s="1389"/>
    </row>
    <row r="2" spans="1:11">
      <c r="A2" s="1401" t="str">
        <f>'DPR Sheet '!A2:E2</f>
        <v xml:space="preserve">DAILY PROGRESS REPORT : STATUS AS ON </v>
      </c>
      <c r="B2" s="1402"/>
      <c r="C2" s="1402"/>
      <c r="D2" s="1402"/>
      <c r="E2" s="1402"/>
      <c r="F2" s="1402"/>
      <c r="G2" s="1402"/>
      <c r="H2" s="1402"/>
      <c r="I2" s="1403"/>
      <c r="J2" s="679" t="str">
        <f>'Summary-'!M3</f>
        <v>Date-09/07/2026</v>
      </c>
    </row>
    <row r="3" spans="1:11">
      <c r="A3" s="1390" t="s">
        <v>1035</v>
      </c>
      <c r="B3" s="1391"/>
      <c r="C3" s="1391"/>
      <c r="D3" s="510" t="str">
        <f>'DPR Sheet '!B3</f>
        <v>TB-412 T/L</v>
      </c>
      <c r="E3" s="511"/>
      <c r="F3" s="511"/>
      <c r="G3" s="511"/>
      <c r="H3" s="511"/>
      <c r="I3" s="511"/>
      <c r="J3" s="512"/>
    </row>
    <row r="4" spans="1:11">
      <c r="A4" s="1390" t="s">
        <v>1060</v>
      </c>
      <c r="B4" s="1391"/>
      <c r="C4" s="1392"/>
      <c r="D4" s="1393" t="str">
        <f>'DPR Sheet '!B4</f>
        <v>NOA Supply/Service-18,19, Dated 27.12.2023</v>
      </c>
      <c r="E4" s="1394"/>
      <c r="F4" s="1394"/>
      <c r="G4" s="1394"/>
      <c r="H4" s="1394"/>
      <c r="I4" s="1394"/>
      <c r="J4" s="1395"/>
    </row>
    <row r="5" spans="1:11" s="489" customFormat="1">
      <c r="A5" s="1396" t="s">
        <v>1061</v>
      </c>
      <c r="B5" s="1397"/>
      <c r="C5" s="1398"/>
      <c r="D5" s="1398"/>
      <c r="E5" s="1398"/>
      <c r="F5" s="1398"/>
      <c r="G5" s="1398"/>
      <c r="H5" s="1398"/>
      <c r="I5" s="1399"/>
      <c r="J5" s="1400"/>
    </row>
    <row r="6" spans="1:11" s="494" customFormat="1" ht="15.75">
      <c r="A6" s="490" t="s">
        <v>1054</v>
      </c>
      <c r="B6" s="519" t="s">
        <v>1062</v>
      </c>
      <c r="C6" s="491" t="s">
        <v>1063</v>
      </c>
      <c r="D6" s="492" t="s">
        <v>965</v>
      </c>
      <c r="E6" s="491" t="s">
        <v>1064</v>
      </c>
      <c r="F6" s="491" t="s">
        <v>1065</v>
      </c>
      <c r="G6" s="491" t="s">
        <v>1066</v>
      </c>
      <c r="H6" s="491" t="s">
        <v>1067</v>
      </c>
      <c r="I6" s="782" t="s">
        <v>1853</v>
      </c>
      <c r="J6" s="493" t="s">
        <v>122</v>
      </c>
    </row>
    <row r="7" spans="1:11" s="489" customFormat="1">
      <c r="A7" s="519" t="s">
        <v>1886</v>
      </c>
      <c r="B7" s="836">
        <v>1</v>
      </c>
      <c r="C7" s="836" t="s">
        <v>1885</v>
      </c>
      <c r="D7" s="927" t="s">
        <v>181</v>
      </c>
      <c r="E7" s="961" t="s">
        <v>2204</v>
      </c>
      <c r="F7" s="960" t="s">
        <v>42</v>
      </c>
      <c r="G7" s="1158">
        <v>46204</v>
      </c>
      <c r="H7" s="859">
        <v>46212</v>
      </c>
      <c r="I7" s="836"/>
      <c r="J7" s="500" t="s">
        <v>29</v>
      </c>
      <c r="K7" s="501"/>
    </row>
    <row r="8" spans="1:11" s="489" customFormat="1">
      <c r="A8" s="519" t="s">
        <v>2019</v>
      </c>
      <c r="B8" s="836">
        <v>2</v>
      </c>
      <c r="C8" s="836" t="s">
        <v>30</v>
      </c>
      <c r="D8" s="927" t="s">
        <v>457</v>
      </c>
      <c r="E8" s="1252" t="s">
        <v>50</v>
      </c>
      <c r="F8" s="1175" t="s">
        <v>42</v>
      </c>
      <c r="G8" s="1253">
        <v>46205</v>
      </c>
      <c r="H8" s="859"/>
      <c r="I8" s="836"/>
      <c r="J8" s="500" t="s">
        <v>2200</v>
      </c>
      <c r="K8" s="501"/>
    </row>
    <row r="9" spans="1:11" s="489" customFormat="1">
      <c r="A9" s="519" t="s">
        <v>1886</v>
      </c>
      <c r="B9" s="836">
        <v>3</v>
      </c>
      <c r="C9" s="836" t="s">
        <v>30</v>
      </c>
      <c r="D9" s="926" t="s">
        <v>77</v>
      </c>
      <c r="E9" s="983" t="s">
        <v>50</v>
      </c>
      <c r="F9" s="836" t="s">
        <v>42</v>
      </c>
      <c r="G9" s="1253">
        <v>46205</v>
      </c>
      <c r="H9" s="859"/>
      <c r="I9" s="836"/>
      <c r="J9" s="500" t="s">
        <v>2198</v>
      </c>
      <c r="K9" s="501"/>
    </row>
    <row r="10" spans="1:11" s="489" customFormat="1">
      <c r="A10" s="519" t="s">
        <v>1886</v>
      </c>
      <c r="B10" s="836">
        <v>4</v>
      </c>
      <c r="C10" s="920" t="s">
        <v>1885</v>
      </c>
      <c r="D10" s="69" t="s">
        <v>64</v>
      </c>
      <c r="E10" s="69" t="s">
        <v>1424</v>
      </c>
      <c r="F10" s="984" t="s">
        <v>42</v>
      </c>
      <c r="G10" s="859">
        <v>46213</v>
      </c>
      <c r="H10" s="859"/>
      <c r="I10" s="836"/>
      <c r="J10" s="500" t="s">
        <v>2200</v>
      </c>
      <c r="K10" s="501"/>
    </row>
    <row r="11" spans="1:11" s="489" customFormat="1">
      <c r="A11" s="519"/>
      <c r="B11" s="836"/>
      <c r="C11" s="836"/>
      <c r="D11" s="926"/>
      <c r="E11" s="1127"/>
      <c r="F11" s="1130"/>
      <c r="G11" s="859"/>
      <c r="H11" s="859"/>
      <c r="I11" s="836"/>
      <c r="J11" s="500"/>
      <c r="K11" s="501"/>
    </row>
    <row r="12" spans="1:11" s="489" customFormat="1">
      <c r="A12" s="519"/>
      <c r="B12" s="836"/>
      <c r="C12" s="836"/>
      <c r="D12" s="69"/>
      <c r="E12" s="69"/>
      <c r="F12" s="921"/>
      <c r="G12" s="859"/>
      <c r="H12" s="1122"/>
      <c r="I12" s="919"/>
      <c r="J12" s="500"/>
      <c r="K12" s="501"/>
    </row>
    <row r="13" spans="1:11" s="489" customFormat="1">
      <c r="A13" s="492" t="s">
        <v>1071</v>
      </c>
      <c r="B13" s="520">
        <v>1</v>
      </c>
      <c r="C13" s="836" t="s">
        <v>30</v>
      </c>
      <c r="D13" s="796" t="s">
        <v>67</v>
      </c>
      <c r="E13" s="1252" t="s">
        <v>2206</v>
      </c>
      <c r="F13" s="836" t="s">
        <v>42</v>
      </c>
      <c r="G13" s="1117">
        <v>46208</v>
      </c>
      <c r="H13" s="1117"/>
      <c r="I13" s="919"/>
      <c r="J13" s="500" t="s">
        <v>2199</v>
      </c>
      <c r="K13" s="501"/>
    </row>
    <row r="14" spans="1:11" s="489" customFormat="1">
      <c r="A14" s="519"/>
      <c r="B14" s="520">
        <v>2</v>
      </c>
      <c r="C14" s="836"/>
      <c r="D14" s="796"/>
      <c r="E14" s="69"/>
      <c r="F14" s="1099"/>
      <c r="G14" s="1117"/>
      <c r="H14" s="1117"/>
      <c r="I14" s="919"/>
      <c r="J14" s="500"/>
      <c r="K14" s="501"/>
    </row>
    <row r="15" spans="1:11" s="489" customFormat="1">
      <c r="A15" s="519"/>
      <c r="B15" s="520"/>
      <c r="C15" s="836"/>
      <c r="D15" s="1147"/>
      <c r="E15" s="69"/>
      <c r="F15" s="1099"/>
      <c r="G15" s="859"/>
      <c r="H15" s="859"/>
      <c r="I15" s="919"/>
      <c r="J15" s="500"/>
      <c r="K15" s="501"/>
    </row>
    <row r="16" spans="1:11" s="489" customFormat="1" ht="21" customHeight="1">
      <c r="A16" s="495"/>
      <c r="B16" s="520"/>
      <c r="C16" s="318"/>
      <c r="D16" s="318"/>
      <c r="E16" s="69"/>
      <c r="F16" s="829"/>
      <c r="G16" s="498"/>
      <c r="H16" s="498"/>
      <c r="I16" s="668"/>
      <c r="J16" s="500"/>
      <c r="K16" s="501"/>
    </row>
    <row r="17" spans="1:11" s="489" customFormat="1" ht="21" customHeight="1">
      <c r="A17" s="492" t="s">
        <v>1072</v>
      </c>
      <c r="B17" s="830">
        <v>1</v>
      </c>
      <c r="C17" s="503" t="s">
        <v>1924</v>
      </c>
      <c r="D17" s="965" t="s">
        <v>1390</v>
      </c>
      <c r="E17" s="970" t="s">
        <v>50</v>
      </c>
      <c r="F17" s="970" t="s">
        <v>42</v>
      </c>
      <c r="G17" s="1253">
        <v>46204</v>
      </c>
      <c r="H17" s="1253">
        <f>G17+2</f>
        <v>46206</v>
      </c>
      <c r="I17" s="919"/>
      <c r="J17" s="500" t="s">
        <v>1007</v>
      </c>
      <c r="K17" s="501"/>
    </row>
    <row r="18" spans="1:11" s="489" customFormat="1" ht="21" customHeight="1">
      <c r="A18" s="830"/>
      <c r="B18" s="830">
        <f t="shared" ref="B18:B29" si="0">B17+1</f>
        <v>2</v>
      </c>
      <c r="C18" s="503" t="s">
        <v>1951</v>
      </c>
      <c r="D18" s="965" t="s">
        <v>1394</v>
      </c>
      <c r="E18" s="970" t="s">
        <v>1423</v>
      </c>
      <c r="F18" s="970" t="s">
        <v>42</v>
      </c>
      <c r="G18" s="1253">
        <v>46204</v>
      </c>
      <c r="H18" s="1253">
        <f>G18+3</f>
        <v>46207</v>
      </c>
      <c r="I18" s="919"/>
      <c r="J18" s="500" t="s">
        <v>1007</v>
      </c>
      <c r="K18" s="501"/>
    </row>
    <row r="19" spans="1:11" s="489" customFormat="1" ht="21" customHeight="1">
      <c r="A19" s="830"/>
      <c r="B19" s="830">
        <f t="shared" si="0"/>
        <v>3</v>
      </c>
      <c r="C19" s="503" t="s">
        <v>41</v>
      </c>
      <c r="D19" s="965" t="s">
        <v>1268</v>
      </c>
      <c r="E19" s="970" t="s">
        <v>2196</v>
      </c>
      <c r="F19" s="970" t="s">
        <v>42</v>
      </c>
      <c r="G19" s="1253">
        <v>46204</v>
      </c>
      <c r="H19" s="1253">
        <f>G19+3</f>
        <v>46207</v>
      </c>
      <c r="I19" s="919"/>
      <c r="J19" s="500" t="s">
        <v>1007</v>
      </c>
      <c r="K19" s="501"/>
    </row>
    <row r="20" spans="1:11" s="489" customFormat="1" ht="21" customHeight="1">
      <c r="A20" s="830"/>
      <c r="B20" s="830">
        <f t="shared" si="0"/>
        <v>4</v>
      </c>
      <c r="C20" s="503" t="s">
        <v>1941</v>
      </c>
      <c r="D20" s="965" t="s">
        <v>1309</v>
      </c>
      <c r="E20" s="970" t="s">
        <v>32</v>
      </c>
      <c r="F20" s="970" t="s">
        <v>61</v>
      </c>
      <c r="G20" s="985">
        <v>46206</v>
      </c>
      <c r="H20" s="1304">
        <f>G20+3</f>
        <v>46209</v>
      </c>
      <c r="I20" s="919"/>
      <c r="J20" s="500" t="s">
        <v>1007</v>
      </c>
      <c r="K20" s="501"/>
    </row>
    <row r="21" spans="1:11" s="489" customFormat="1" ht="21" customHeight="1">
      <c r="A21" s="830"/>
      <c r="B21" s="830">
        <f t="shared" si="0"/>
        <v>5</v>
      </c>
      <c r="C21" s="503" t="s">
        <v>1854</v>
      </c>
      <c r="D21" s="965" t="s">
        <v>1404</v>
      </c>
      <c r="E21" s="970" t="s">
        <v>48</v>
      </c>
      <c r="F21" s="970" t="s">
        <v>61</v>
      </c>
      <c r="G21" s="985">
        <v>46207</v>
      </c>
      <c r="H21" s="1304">
        <f>G21+2</f>
        <v>46209</v>
      </c>
      <c r="I21" s="919"/>
      <c r="J21" s="500" t="s">
        <v>1007</v>
      </c>
      <c r="K21" s="501"/>
    </row>
    <row r="22" spans="1:11" s="489" customFormat="1" ht="21" customHeight="1">
      <c r="A22" s="830"/>
      <c r="B22" s="830">
        <f t="shared" si="0"/>
        <v>6</v>
      </c>
      <c r="C22" s="503" t="s">
        <v>41</v>
      </c>
      <c r="D22" s="965" t="s">
        <v>1265</v>
      </c>
      <c r="E22" s="970" t="s">
        <v>53</v>
      </c>
      <c r="F22" s="970" t="s">
        <v>61</v>
      </c>
      <c r="G22" s="985">
        <f>H17</f>
        <v>46206</v>
      </c>
      <c r="H22" s="1304">
        <f>G22+5</f>
        <v>46211</v>
      </c>
      <c r="I22" s="919"/>
      <c r="J22" s="500" t="s">
        <v>1007</v>
      </c>
      <c r="K22" s="501"/>
    </row>
    <row r="23" spans="1:11" s="489" customFormat="1" ht="21" customHeight="1">
      <c r="A23" s="830"/>
      <c r="B23" s="830">
        <f t="shared" si="0"/>
        <v>7</v>
      </c>
      <c r="C23" s="503" t="s">
        <v>1954</v>
      </c>
      <c r="D23" s="965" t="s">
        <v>1243</v>
      </c>
      <c r="E23" s="970" t="s">
        <v>1928</v>
      </c>
      <c r="F23" s="970" t="s">
        <v>61</v>
      </c>
      <c r="G23" s="985">
        <v>46206</v>
      </c>
      <c r="H23" s="1253"/>
      <c r="I23" s="919">
        <v>8</v>
      </c>
      <c r="J23" s="500" t="s">
        <v>2197</v>
      </c>
      <c r="K23" s="501"/>
    </row>
    <row r="24" spans="1:11" s="489" customFormat="1" ht="21" customHeight="1">
      <c r="A24" s="830"/>
      <c r="B24" s="830">
        <f t="shared" si="0"/>
        <v>8</v>
      </c>
      <c r="C24" s="503" t="s">
        <v>2136</v>
      </c>
      <c r="D24" s="965" t="s">
        <v>1266</v>
      </c>
      <c r="E24" s="970" t="s">
        <v>34</v>
      </c>
      <c r="F24" s="970" t="s">
        <v>61</v>
      </c>
      <c r="G24" s="985">
        <v>46206</v>
      </c>
      <c r="H24" s="1253"/>
      <c r="I24" s="919">
        <v>8</v>
      </c>
      <c r="J24" s="500" t="s">
        <v>2210</v>
      </c>
      <c r="K24" s="501"/>
    </row>
    <row r="25" spans="1:11" s="489" customFormat="1" ht="21" customHeight="1">
      <c r="A25" s="830"/>
      <c r="B25" s="830">
        <f t="shared" si="0"/>
        <v>9</v>
      </c>
      <c r="C25" s="503" t="s">
        <v>1941</v>
      </c>
      <c r="D25" s="965" t="s">
        <v>1311</v>
      </c>
      <c r="E25" s="970" t="s">
        <v>32</v>
      </c>
      <c r="F25" s="970" t="s">
        <v>42</v>
      </c>
      <c r="G25" s="985">
        <v>46206</v>
      </c>
      <c r="H25" s="1253"/>
      <c r="I25" s="919">
        <v>8</v>
      </c>
      <c r="J25" s="500" t="s">
        <v>2210</v>
      </c>
      <c r="K25" s="501"/>
    </row>
    <row r="26" spans="1:11" s="489" customFormat="1" ht="21" customHeight="1">
      <c r="A26" s="830"/>
      <c r="B26" s="830">
        <f t="shared" si="0"/>
        <v>10</v>
      </c>
      <c r="C26" s="503" t="s">
        <v>1924</v>
      </c>
      <c r="D26" s="965" t="s">
        <v>1391</v>
      </c>
      <c r="E26" s="970" t="s">
        <v>1427</v>
      </c>
      <c r="F26" s="970" t="s">
        <v>61</v>
      </c>
      <c r="G26" s="985">
        <f>H19</f>
        <v>46207</v>
      </c>
      <c r="H26" s="1253"/>
      <c r="I26" s="919">
        <v>10</v>
      </c>
      <c r="J26" s="500" t="s">
        <v>2207</v>
      </c>
      <c r="K26" s="501"/>
    </row>
    <row r="27" spans="1:11" s="489" customFormat="1" ht="21" customHeight="1">
      <c r="A27" s="830"/>
      <c r="B27" s="830">
        <f t="shared" si="0"/>
        <v>11</v>
      </c>
      <c r="C27" s="503" t="s">
        <v>1951</v>
      </c>
      <c r="D27" s="965" t="s">
        <v>1393</v>
      </c>
      <c r="E27" s="970" t="s">
        <v>43</v>
      </c>
      <c r="F27" s="970" t="s">
        <v>61</v>
      </c>
      <c r="G27" s="985">
        <v>46207</v>
      </c>
      <c r="H27" s="1253"/>
      <c r="I27" s="919">
        <v>7</v>
      </c>
      <c r="J27" s="500" t="s">
        <v>977</v>
      </c>
      <c r="K27" s="501"/>
    </row>
    <row r="28" spans="1:11" s="489" customFormat="1" ht="21" customHeight="1">
      <c r="A28" s="830"/>
      <c r="B28" s="830">
        <v>12</v>
      </c>
      <c r="C28" s="503" t="s">
        <v>41</v>
      </c>
      <c r="D28" s="965" t="s">
        <v>1269</v>
      </c>
      <c r="E28" s="970" t="s">
        <v>57</v>
      </c>
      <c r="F28" s="970" t="s">
        <v>61</v>
      </c>
      <c r="G28" s="985">
        <v>46212</v>
      </c>
      <c r="H28" s="1253"/>
      <c r="I28" s="919">
        <v>8</v>
      </c>
      <c r="J28" s="500" t="s">
        <v>2207</v>
      </c>
      <c r="K28" s="501"/>
    </row>
    <row r="29" spans="1:11" s="489" customFormat="1" ht="21" customHeight="1">
      <c r="A29" s="830"/>
      <c r="B29" s="830">
        <f t="shared" si="0"/>
        <v>13</v>
      </c>
      <c r="C29" s="503" t="s">
        <v>1854</v>
      </c>
      <c r="D29" s="965" t="s">
        <v>1421</v>
      </c>
      <c r="E29" s="970" t="s">
        <v>50</v>
      </c>
      <c r="F29" s="970" t="s">
        <v>42</v>
      </c>
      <c r="G29" s="985">
        <v>46212</v>
      </c>
      <c r="H29" s="498"/>
      <c r="I29" s="919">
        <v>8</v>
      </c>
      <c r="J29" s="500" t="s">
        <v>2197</v>
      </c>
      <c r="K29" s="501"/>
    </row>
    <row r="30" spans="1:11" s="489" customFormat="1" ht="21" customHeight="1">
      <c r="A30" s="492"/>
      <c r="B30" s="830">
        <v>14</v>
      </c>
      <c r="C30" s="503"/>
      <c r="D30" s="965"/>
      <c r="E30" s="970"/>
      <c r="F30" s="970"/>
      <c r="G30" s="985"/>
      <c r="H30" s="498"/>
      <c r="I30" s="919"/>
      <c r="J30" s="500"/>
      <c r="K30" s="501"/>
    </row>
    <row r="31" spans="1:11" s="489" customFormat="1" ht="21" customHeight="1">
      <c r="A31" s="830"/>
      <c r="B31" s="830"/>
      <c r="C31" s="503"/>
      <c r="D31" s="965"/>
      <c r="E31" s="2040"/>
      <c r="F31" s="2040"/>
      <c r="G31" s="859"/>
      <c r="H31" s="1128"/>
      <c r="I31" s="919"/>
      <c r="J31" s="1125"/>
      <c r="K31" s="501"/>
    </row>
    <row r="32" spans="1:11" s="838" customFormat="1">
      <c r="C32" s="839"/>
      <c r="D32" s="840"/>
      <c r="E32" s="839"/>
    </row>
    <row r="33" spans="1:11" s="489" customFormat="1" ht="12.75" customHeight="1">
      <c r="A33" s="495"/>
      <c r="B33" s="520"/>
      <c r="C33" s="69"/>
      <c r="D33" s="496"/>
      <c r="E33" s="69"/>
      <c r="F33" s="497"/>
      <c r="G33" s="502"/>
      <c r="H33" s="499"/>
      <c r="I33" s="783"/>
      <c r="J33" s="500"/>
      <c r="K33" s="501"/>
    </row>
    <row r="34" spans="1:11" s="504" customFormat="1" ht="12.75" customHeight="1">
      <c r="A34" s="1380" t="s">
        <v>1068</v>
      </c>
      <c r="B34" s="1381"/>
      <c r="C34" s="1381"/>
      <c r="D34" s="1381"/>
      <c r="E34" s="1381"/>
      <c r="F34" s="1381"/>
      <c r="G34" s="1381"/>
      <c r="H34" s="1381"/>
      <c r="I34" s="1381"/>
      <c r="J34" s="1382"/>
    </row>
    <row r="35" spans="1:11" s="507" customFormat="1" ht="12.75" customHeight="1">
      <c r="A35" s="490" t="s">
        <v>1054</v>
      </c>
      <c r="B35" s="519" t="s">
        <v>1062</v>
      </c>
      <c r="C35" s="695" t="s">
        <v>1069</v>
      </c>
      <c r="D35" s="695" t="s">
        <v>965</v>
      </c>
      <c r="E35" s="505" t="s">
        <v>1064</v>
      </c>
      <c r="F35" s="506" t="s">
        <v>1066</v>
      </c>
      <c r="G35" s="696" t="s">
        <v>1067</v>
      </c>
      <c r="H35" s="849" t="s">
        <v>1853</v>
      </c>
      <c r="I35" s="1383" t="s">
        <v>2</v>
      </c>
      <c r="J35" s="1384"/>
    </row>
    <row r="36" spans="1:11" s="504" customFormat="1" ht="18.75" customHeight="1">
      <c r="A36" s="521" t="s">
        <v>1072</v>
      </c>
      <c r="B36" s="1170">
        <v>1</v>
      </c>
      <c r="C36" s="497" t="s">
        <v>2192</v>
      </c>
      <c r="D36" s="1169" t="s">
        <v>1314</v>
      </c>
      <c r="E36" s="503" t="s">
        <v>57</v>
      </c>
      <c r="F36" s="1226">
        <v>46204</v>
      </c>
      <c r="G36" s="1226">
        <f>F36+2</f>
        <v>46206</v>
      </c>
      <c r="H36" s="784"/>
      <c r="I36" s="1406" t="s">
        <v>29</v>
      </c>
      <c r="J36" s="1407"/>
    </row>
    <row r="37" spans="1:11" s="504" customFormat="1" ht="18.75" customHeight="1">
      <c r="A37" s="521" t="s">
        <v>2019</v>
      </c>
      <c r="B37" s="1170">
        <f>B36+1</f>
        <v>2</v>
      </c>
      <c r="C37" s="497" t="s">
        <v>2157</v>
      </c>
      <c r="D37" s="1169" t="s">
        <v>384</v>
      </c>
      <c r="E37" s="503" t="s">
        <v>32</v>
      </c>
      <c r="F37" s="1226">
        <v>46204</v>
      </c>
      <c r="G37" s="1226">
        <f>F37+2</f>
        <v>46206</v>
      </c>
      <c r="H37" s="784"/>
      <c r="I37" s="1406" t="s">
        <v>29</v>
      </c>
      <c r="J37" s="1407"/>
    </row>
    <row r="38" spans="1:11" s="504" customFormat="1" ht="18.75" customHeight="1">
      <c r="A38" s="521" t="s">
        <v>1072</v>
      </c>
      <c r="B38" s="1170">
        <f t="shared" ref="B38:B49" si="1">B37+1</f>
        <v>3</v>
      </c>
      <c r="C38" s="497" t="s">
        <v>1892</v>
      </c>
      <c r="D38" s="1169" t="s">
        <v>1233</v>
      </c>
      <c r="E38" s="503" t="s">
        <v>32</v>
      </c>
      <c r="F38" s="1226">
        <v>46204</v>
      </c>
      <c r="G38" s="1226">
        <f>F38+2</f>
        <v>46206</v>
      </c>
      <c r="H38" s="784"/>
      <c r="I38" s="1406" t="s">
        <v>29</v>
      </c>
      <c r="J38" s="1407"/>
    </row>
    <row r="39" spans="1:11" s="504" customFormat="1" ht="18.75" customHeight="1">
      <c r="A39" s="521" t="s">
        <v>1072</v>
      </c>
      <c r="B39" s="1170">
        <f t="shared" si="1"/>
        <v>4</v>
      </c>
      <c r="C39" s="497" t="s">
        <v>1892</v>
      </c>
      <c r="D39" s="1169" t="s">
        <v>1234</v>
      </c>
      <c r="E39" s="503" t="s">
        <v>32</v>
      </c>
      <c r="F39" s="1226">
        <f>G38</f>
        <v>46206</v>
      </c>
      <c r="G39" s="1226">
        <f>F39+1</f>
        <v>46207</v>
      </c>
      <c r="H39" s="784"/>
      <c r="I39" s="1406" t="s">
        <v>29</v>
      </c>
      <c r="J39" s="1407"/>
    </row>
    <row r="40" spans="1:11" s="504" customFormat="1" ht="18.75" customHeight="1">
      <c r="A40" s="830" t="s">
        <v>1071</v>
      </c>
      <c r="B40" s="1170">
        <f t="shared" si="1"/>
        <v>5</v>
      </c>
      <c r="C40" s="497" t="s">
        <v>2154</v>
      </c>
      <c r="D40" s="1169" t="s">
        <v>602</v>
      </c>
      <c r="E40" s="503" t="s">
        <v>48</v>
      </c>
      <c r="F40" s="1226">
        <v>46204</v>
      </c>
      <c r="G40" s="1226">
        <f>F40+3</f>
        <v>46207</v>
      </c>
      <c r="H40" s="784"/>
      <c r="I40" s="1406" t="s">
        <v>29</v>
      </c>
      <c r="J40" s="1407"/>
    </row>
    <row r="41" spans="1:11" s="504" customFormat="1" ht="18.75" customHeight="1">
      <c r="A41" s="495" t="s">
        <v>1886</v>
      </c>
      <c r="B41" s="1170">
        <f t="shared" si="1"/>
        <v>6</v>
      </c>
      <c r="C41" s="497" t="s">
        <v>1836</v>
      </c>
      <c r="D41" s="1169" t="s">
        <v>704</v>
      </c>
      <c r="E41" s="503" t="s">
        <v>53</v>
      </c>
      <c r="F41" s="1226">
        <v>46204</v>
      </c>
      <c r="G41" s="1226">
        <f>F41+4</f>
        <v>46208</v>
      </c>
      <c r="H41" s="784"/>
      <c r="I41" s="1406" t="s">
        <v>29</v>
      </c>
      <c r="J41" s="1407"/>
    </row>
    <row r="42" spans="1:11" s="504" customFormat="1" ht="18.75" customHeight="1">
      <c r="A42" s="521" t="s">
        <v>1072</v>
      </c>
      <c r="B42" s="1170">
        <f t="shared" si="1"/>
        <v>7</v>
      </c>
      <c r="C42" s="497" t="s">
        <v>1892</v>
      </c>
      <c r="D42" s="1169" t="s">
        <v>1271</v>
      </c>
      <c r="E42" s="503" t="s">
        <v>32</v>
      </c>
      <c r="F42" s="1226">
        <v>46208</v>
      </c>
      <c r="G42" s="1226">
        <f>F42+3</f>
        <v>46211</v>
      </c>
      <c r="H42" s="784"/>
      <c r="I42" s="1406" t="s">
        <v>29</v>
      </c>
      <c r="J42" s="1407"/>
    </row>
    <row r="43" spans="1:11" s="504" customFormat="1" ht="18.75" customHeight="1">
      <c r="A43" s="521" t="s">
        <v>2019</v>
      </c>
      <c r="B43" s="1170">
        <f t="shared" si="1"/>
        <v>8</v>
      </c>
      <c r="C43" s="497" t="s">
        <v>2157</v>
      </c>
      <c r="D43" s="1169" t="s">
        <v>376</v>
      </c>
      <c r="E43" s="503" t="s">
        <v>32</v>
      </c>
      <c r="F43" s="1226">
        <v>46207</v>
      </c>
      <c r="G43" s="1226">
        <f>F43+5</f>
        <v>46212</v>
      </c>
      <c r="H43" s="784"/>
      <c r="I43" s="1406" t="s">
        <v>29</v>
      </c>
      <c r="J43" s="1407"/>
    </row>
    <row r="44" spans="1:11" s="504" customFormat="1" ht="18.75" customHeight="1">
      <c r="A44" s="830" t="s">
        <v>1071</v>
      </c>
      <c r="B44" s="1170">
        <f t="shared" si="1"/>
        <v>9</v>
      </c>
      <c r="C44" s="497" t="s">
        <v>2154</v>
      </c>
      <c r="D44" s="1169" t="s">
        <v>224</v>
      </c>
      <c r="E44" s="503" t="s">
        <v>53</v>
      </c>
      <c r="F44" s="1226">
        <v>46208</v>
      </c>
      <c r="G44" s="1226"/>
      <c r="H44" s="784">
        <v>16</v>
      </c>
      <c r="I44" s="1406" t="s">
        <v>2195</v>
      </c>
      <c r="J44" s="1407"/>
    </row>
    <row r="45" spans="1:11" s="504" customFormat="1" ht="18.75" customHeight="1">
      <c r="A45" s="521" t="s">
        <v>2019</v>
      </c>
      <c r="B45" s="1170">
        <f t="shared" si="1"/>
        <v>10</v>
      </c>
      <c r="C45" s="497" t="s">
        <v>1893</v>
      </c>
      <c r="D45" s="1169" t="s">
        <v>166</v>
      </c>
      <c r="E45" s="503" t="s">
        <v>48</v>
      </c>
      <c r="F45" s="1226">
        <v>46211</v>
      </c>
      <c r="G45" s="1226"/>
      <c r="H45" s="784">
        <v>25</v>
      </c>
      <c r="I45" s="1406" t="s">
        <v>2194</v>
      </c>
      <c r="J45" s="1407"/>
    </row>
    <row r="46" spans="1:11" s="504" customFormat="1" ht="18.75" customHeight="1">
      <c r="A46" s="521" t="s">
        <v>1072</v>
      </c>
      <c r="B46" s="1170">
        <f t="shared" si="1"/>
        <v>11</v>
      </c>
      <c r="C46" s="497" t="s">
        <v>2192</v>
      </c>
      <c r="D46" s="1169" t="s">
        <v>1316</v>
      </c>
      <c r="E46" s="503" t="s">
        <v>48</v>
      </c>
      <c r="F46" s="1226">
        <v>46208</v>
      </c>
      <c r="G46" s="1226"/>
      <c r="H46" s="784">
        <v>18</v>
      </c>
      <c r="I46" s="1406" t="s">
        <v>2194</v>
      </c>
      <c r="J46" s="1407"/>
    </row>
    <row r="47" spans="1:11" s="504" customFormat="1" ht="18.75" customHeight="1">
      <c r="A47" s="495" t="s">
        <v>1886</v>
      </c>
      <c r="B47" s="1170">
        <f t="shared" si="1"/>
        <v>12</v>
      </c>
      <c r="C47" s="497" t="s">
        <v>1836</v>
      </c>
      <c r="D47" s="1169" t="s">
        <v>51</v>
      </c>
      <c r="E47" s="503" t="s">
        <v>1181</v>
      </c>
      <c r="F47" s="1226">
        <v>46209</v>
      </c>
      <c r="G47" s="1226"/>
      <c r="H47" s="784">
        <v>25</v>
      </c>
      <c r="I47" s="1406" t="s">
        <v>2193</v>
      </c>
      <c r="J47" s="1407"/>
    </row>
    <row r="48" spans="1:11" s="504" customFormat="1" ht="18.75" customHeight="1">
      <c r="A48" s="521" t="s">
        <v>1072</v>
      </c>
      <c r="B48" s="1170">
        <f t="shared" si="1"/>
        <v>13</v>
      </c>
      <c r="C48" s="497" t="s">
        <v>1892</v>
      </c>
      <c r="D48" s="1169" t="s">
        <v>1272</v>
      </c>
      <c r="E48" s="503" t="s">
        <v>1181</v>
      </c>
      <c r="F48" s="2039">
        <v>46212</v>
      </c>
      <c r="G48" s="1226"/>
      <c r="H48" s="784">
        <v>16</v>
      </c>
      <c r="I48" s="1406" t="s">
        <v>2193</v>
      </c>
      <c r="J48" s="1407"/>
    </row>
    <row r="49" spans="1:10" s="504" customFormat="1" ht="18.75" customHeight="1">
      <c r="A49" s="495" t="s">
        <v>1886</v>
      </c>
      <c r="B49" s="1170">
        <f t="shared" si="1"/>
        <v>14</v>
      </c>
      <c r="C49" s="497" t="s">
        <v>2157</v>
      </c>
      <c r="D49" s="1169" t="s">
        <v>44</v>
      </c>
      <c r="E49" s="503" t="s">
        <v>1423</v>
      </c>
      <c r="F49" s="2039">
        <v>46212</v>
      </c>
      <c r="G49" s="1226"/>
      <c r="H49" s="784">
        <v>28</v>
      </c>
      <c r="I49" s="1406" t="s">
        <v>2194</v>
      </c>
      <c r="J49" s="1407"/>
    </row>
    <row r="50" spans="1:10" ht="18.75" customHeight="1">
      <c r="A50" s="490"/>
      <c r="B50" s="508"/>
      <c r="C50" s="714"/>
      <c r="D50" s="747"/>
      <c r="E50" s="69"/>
      <c r="F50" s="715"/>
      <c r="G50" s="715"/>
      <c r="H50" s="784"/>
      <c r="I50" s="1404"/>
      <c r="J50" s="1404"/>
    </row>
    <row r="51" spans="1:10">
      <c r="A51" s="1380" t="s">
        <v>1443</v>
      </c>
      <c r="B51" s="1381"/>
      <c r="C51" s="1381"/>
      <c r="D51" s="1381"/>
      <c r="E51" s="1381"/>
      <c r="F51" s="1381"/>
      <c r="G51" s="1381"/>
      <c r="H51" s="1381"/>
      <c r="I51" s="1381"/>
      <c r="J51" s="1382"/>
    </row>
    <row r="52" spans="1:10" ht="18.75" customHeight="1">
      <c r="A52" s="490" t="s">
        <v>1054</v>
      </c>
      <c r="B52" s="519" t="s">
        <v>1062</v>
      </c>
      <c r="C52" s="849" t="s">
        <v>1069</v>
      </c>
      <c r="D52" s="849" t="s">
        <v>2138</v>
      </c>
      <c r="E52" s="505" t="s">
        <v>2139</v>
      </c>
      <c r="F52" s="506" t="s">
        <v>2140</v>
      </c>
      <c r="G52" s="696" t="s">
        <v>1066</v>
      </c>
      <c r="H52" s="696" t="s">
        <v>1067</v>
      </c>
      <c r="I52" s="849" t="s">
        <v>1853</v>
      </c>
      <c r="J52" s="849" t="s">
        <v>2</v>
      </c>
    </row>
    <row r="53" spans="1:10" s="507" customFormat="1" ht="18.75" customHeight="1">
      <c r="A53" s="495" t="s">
        <v>1886</v>
      </c>
      <c r="B53" s="520">
        <v>1</v>
      </c>
      <c r="C53" s="714" t="s">
        <v>2191</v>
      </c>
      <c r="D53" s="1251" t="s">
        <v>1168</v>
      </c>
      <c r="E53" s="1300" t="s">
        <v>1206</v>
      </c>
      <c r="F53" s="1171">
        <v>0.39900000000000002</v>
      </c>
      <c r="G53" s="715">
        <v>46199</v>
      </c>
      <c r="H53" s="508"/>
      <c r="I53" s="1172">
        <v>17</v>
      </c>
      <c r="J53" s="1172" t="s">
        <v>2220</v>
      </c>
    </row>
    <row r="54" spans="1:10" ht="18.75" customHeight="1">
      <c r="A54" s="521" t="s">
        <v>1072</v>
      </c>
      <c r="B54" s="508">
        <v>2</v>
      </c>
      <c r="C54" s="714" t="s">
        <v>2191</v>
      </c>
      <c r="D54" s="747" t="s">
        <v>1279</v>
      </c>
      <c r="E54" s="69" t="s">
        <v>1281</v>
      </c>
      <c r="F54" s="1171">
        <v>0.67300000000000004</v>
      </c>
      <c r="G54" s="715">
        <v>46209</v>
      </c>
      <c r="H54" s="715"/>
      <c r="I54" s="1172"/>
      <c r="J54" s="1172" t="s">
        <v>2220</v>
      </c>
    </row>
    <row r="55" spans="1:10" ht="18.75" customHeight="1">
      <c r="A55" s="495" t="s">
        <v>1886</v>
      </c>
      <c r="B55" s="508">
        <v>3</v>
      </c>
      <c r="C55" s="714" t="s">
        <v>2191</v>
      </c>
      <c r="D55" s="747" t="s">
        <v>73</v>
      </c>
      <c r="E55" s="69" t="s">
        <v>1168</v>
      </c>
      <c r="F55" s="1171">
        <v>0.78100000000000003</v>
      </c>
      <c r="G55" s="715">
        <v>46209</v>
      </c>
      <c r="H55" s="715"/>
      <c r="I55" s="1172"/>
      <c r="J55" s="1172" t="s">
        <v>2220</v>
      </c>
    </row>
    <row r="56" spans="1:10" ht="18.75" customHeight="1">
      <c r="A56" s="490"/>
      <c r="B56" s="508"/>
      <c r="C56" s="714"/>
      <c r="D56" s="747"/>
      <c r="E56" s="69"/>
      <c r="F56" s="715"/>
      <c r="G56" s="715"/>
      <c r="H56" s="784"/>
      <c r="I56" s="1404"/>
      <c r="J56" s="1404"/>
    </row>
    <row r="57" spans="1:10" ht="18.75" customHeight="1">
      <c r="A57" s="490"/>
      <c r="B57" s="508"/>
      <c r="C57" s="714"/>
      <c r="D57" s="747"/>
      <c r="E57" s="69"/>
      <c r="F57" s="715"/>
      <c r="G57" s="715"/>
      <c r="H57" s="784"/>
      <c r="I57" s="1404"/>
      <c r="J57" s="1404"/>
    </row>
    <row r="58" spans="1:10" ht="18.75" customHeight="1">
      <c r="A58" s="490"/>
      <c r="B58" s="508"/>
      <c r="C58" s="714"/>
      <c r="D58" s="747"/>
      <c r="E58" s="69"/>
      <c r="F58" s="715"/>
      <c r="G58" s="715"/>
      <c r="H58" s="784"/>
      <c r="I58" s="1404"/>
      <c r="J58" s="1404"/>
    </row>
    <row r="59" spans="1:10" ht="18.75" customHeight="1">
      <c r="A59" s="490"/>
      <c r="B59" s="508"/>
      <c r="C59" s="714"/>
      <c r="D59" s="747"/>
      <c r="E59" s="69"/>
      <c r="F59" s="715"/>
      <c r="G59" s="715"/>
      <c r="H59" s="784"/>
      <c r="I59" s="1404"/>
      <c r="J59" s="1404"/>
    </row>
    <row r="60" spans="1:10" ht="18.75" customHeight="1">
      <c r="A60" s="490"/>
      <c r="B60" s="508"/>
      <c r="C60" s="714"/>
      <c r="D60" s="747"/>
      <c r="E60" s="69"/>
      <c r="F60" s="715"/>
      <c r="G60" s="715"/>
      <c r="H60" s="784"/>
      <c r="I60" s="1404"/>
      <c r="J60" s="1404"/>
    </row>
    <row r="61" spans="1:10" ht="18.75" customHeight="1">
      <c r="A61" s="490"/>
      <c r="B61" s="508"/>
      <c r="C61" s="714"/>
      <c r="D61" s="1127"/>
      <c r="E61" s="1127"/>
      <c r="F61" s="715"/>
      <c r="G61" s="715"/>
      <c r="H61" s="784"/>
      <c r="I61" s="1404"/>
      <c r="J61" s="1404"/>
    </row>
    <row r="62" spans="1:10" ht="18.75" customHeight="1">
      <c r="A62" s="490"/>
      <c r="B62" s="508"/>
      <c r="C62" s="714"/>
      <c r="D62" s="747"/>
      <c r="E62" s="69"/>
      <c r="F62" s="715"/>
      <c r="G62" s="715"/>
      <c r="H62" s="784"/>
      <c r="I62" s="1404"/>
      <c r="J62" s="1404"/>
    </row>
    <row r="63" spans="1:10" ht="18.75" customHeight="1">
      <c r="A63" s="490"/>
      <c r="B63" s="508"/>
      <c r="C63" s="714"/>
      <c r="D63" s="747"/>
      <c r="E63" s="69"/>
      <c r="F63" s="715"/>
      <c r="G63" s="715"/>
      <c r="H63" s="784"/>
      <c r="I63" s="1404"/>
      <c r="J63" s="1404"/>
    </row>
    <row r="64" spans="1:10" ht="18.75" customHeight="1">
      <c r="A64" s="490"/>
      <c r="B64" s="508"/>
      <c r="C64" s="714"/>
      <c r="D64" s="747"/>
      <c r="E64" s="69"/>
      <c r="F64" s="715"/>
      <c r="G64" s="715"/>
      <c r="H64" s="784"/>
      <c r="I64" s="1404"/>
      <c r="J64" s="1404"/>
    </row>
    <row r="65" spans="1:10" ht="18.75" customHeight="1">
      <c r="A65" s="490"/>
      <c r="B65" s="508"/>
      <c r="C65" s="714"/>
      <c r="D65" s="747"/>
      <c r="E65" s="69"/>
      <c r="F65" s="715"/>
      <c r="G65" s="715"/>
      <c r="H65" s="784"/>
      <c r="I65" s="1404"/>
      <c r="J65" s="1404"/>
    </row>
    <row r="66" spans="1:10" ht="18.75" customHeight="1">
      <c r="A66" s="490"/>
      <c r="B66" s="508"/>
      <c r="C66" s="714"/>
      <c r="D66" s="747"/>
      <c r="E66" s="69"/>
      <c r="F66" s="715"/>
      <c r="G66" s="715"/>
      <c r="H66" s="784"/>
      <c r="I66" s="1404"/>
      <c r="J66" s="1404"/>
    </row>
    <row r="67" spans="1:10">
      <c r="A67" s="490"/>
      <c r="B67" s="508"/>
      <c r="C67" s="714"/>
      <c r="D67" s="747"/>
      <c r="E67" s="69"/>
      <c r="F67" s="715"/>
      <c r="G67" s="715"/>
      <c r="H67" s="784"/>
      <c r="I67" s="1404"/>
      <c r="J67" s="1404"/>
    </row>
    <row r="68" spans="1:10" s="987" customFormat="1">
      <c r="A68" s="488"/>
      <c r="B68" s="1405"/>
      <c r="C68" s="1405"/>
      <c r="D68" s="1405"/>
      <c r="E68" s="1405"/>
      <c r="F68" s="1405"/>
      <c r="G68" s="1405"/>
      <c r="H68" s="1405"/>
      <c r="I68" s="1405"/>
      <c r="J68" s="1405"/>
    </row>
    <row r="69" spans="1:10" s="987" customFormat="1" ht="12.75">
      <c r="B69" s="1050"/>
      <c r="C69" s="988"/>
      <c r="D69" s="989"/>
      <c r="E69" s="988"/>
      <c r="F69" s="990"/>
      <c r="G69" s="1050"/>
      <c r="J69" s="990"/>
    </row>
    <row r="70" spans="1:10" s="987" customFormat="1" ht="12.75">
      <c r="C70" s="988"/>
      <c r="D70" s="989"/>
      <c r="E70" s="988"/>
      <c r="F70" s="990"/>
      <c r="J70" s="990"/>
    </row>
    <row r="71" spans="1:10" s="987" customFormat="1" ht="12.75">
      <c r="C71" s="988"/>
      <c r="D71" s="989"/>
      <c r="E71" s="988"/>
      <c r="F71" s="990"/>
    </row>
    <row r="72" spans="1:10" s="987" customFormat="1" ht="12.75">
      <c r="C72" s="988"/>
      <c r="D72" s="989"/>
      <c r="E72" s="988"/>
      <c r="F72" s="990"/>
    </row>
    <row r="73" spans="1:10" s="987" customFormat="1" ht="12.75">
      <c r="C73" s="988"/>
      <c r="D73" s="989"/>
      <c r="E73" s="988"/>
      <c r="F73" s="990"/>
    </row>
    <row r="74" spans="1:10" s="987" customFormat="1" ht="12.75">
      <c r="C74" s="988"/>
      <c r="D74" s="989"/>
      <c r="E74" s="988"/>
      <c r="F74" s="990"/>
    </row>
    <row r="75" spans="1:10" s="987" customFormat="1" ht="12.75">
      <c r="C75" s="988"/>
      <c r="D75" s="989"/>
      <c r="E75" s="988"/>
      <c r="F75" s="990"/>
    </row>
    <row r="76" spans="1:10" s="987" customFormat="1" ht="12.75">
      <c r="C76" s="988"/>
      <c r="D76" s="989"/>
      <c r="E76" s="988"/>
      <c r="F76" s="990"/>
    </row>
    <row r="77" spans="1:10" s="987" customFormat="1" ht="12.75">
      <c r="C77" s="988"/>
      <c r="D77" s="989"/>
      <c r="E77" s="988"/>
    </row>
    <row r="78" spans="1:10" s="987" customFormat="1" ht="12.75">
      <c r="C78" s="988"/>
      <c r="D78" s="989"/>
      <c r="E78" s="988"/>
    </row>
    <row r="79" spans="1:10" s="987" customFormat="1" ht="12.75">
      <c r="C79" s="988"/>
      <c r="D79" s="989"/>
      <c r="E79" s="988"/>
    </row>
    <row r="80" spans="1:10" s="987" customFormat="1" ht="12.75">
      <c r="C80" s="988"/>
      <c r="D80" s="989"/>
      <c r="E80" s="988"/>
    </row>
    <row r="81" spans="1:10">
      <c r="A81" s="987"/>
      <c r="B81" s="987"/>
      <c r="C81" s="988"/>
      <c r="D81" s="989"/>
      <c r="E81" s="988"/>
      <c r="F81" s="987"/>
      <c r="G81" s="987"/>
      <c r="H81" s="987"/>
      <c r="I81" s="987"/>
      <c r="J81" s="987"/>
    </row>
  </sheetData>
  <autoFilter ref="A35:K64">
    <filterColumn colId="8" showButton="0"/>
  </autoFilter>
  <mergeCells count="38">
    <mergeCell ref="I48:J48"/>
    <mergeCell ref="I49:J49"/>
    <mergeCell ref="I47:J47"/>
    <mergeCell ref="I40:J40"/>
    <mergeCell ref="I42:J42"/>
    <mergeCell ref="I46:J46"/>
    <mergeCell ref="I37:J37"/>
    <mergeCell ref="I38:J38"/>
    <mergeCell ref="I39:J39"/>
    <mergeCell ref="I36:J36"/>
    <mergeCell ref="I41:J41"/>
    <mergeCell ref="I43:J43"/>
    <mergeCell ref="I45:J45"/>
    <mergeCell ref="I44:J44"/>
    <mergeCell ref="A51:J51"/>
    <mergeCell ref="I50:J50"/>
    <mergeCell ref="B68:F68"/>
    <mergeCell ref="G68:J68"/>
    <mergeCell ref="I67:J67"/>
    <mergeCell ref="I62:J62"/>
    <mergeCell ref="I66:J66"/>
    <mergeCell ref="I65:J65"/>
    <mergeCell ref="I63:J63"/>
    <mergeCell ref="I64:J64"/>
    <mergeCell ref="I59:J59"/>
    <mergeCell ref="I61:J61"/>
    <mergeCell ref="I57:J57"/>
    <mergeCell ref="I60:J60"/>
    <mergeCell ref="I56:J56"/>
    <mergeCell ref="I58:J58"/>
    <mergeCell ref="A34:J34"/>
    <mergeCell ref="I35:J35"/>
    <mergeCell ref="A1:J1"/>
    <mergeCell ref="A3:C3"/>
    <mergeCell ref="A4:C4"/>
    <mergeCell ref="D4:J4"/>
    <mergeCell ref="A5:J5"/>
    <mergeCell ref="A2:I2"/>
  </mergeCells>
  <phoneticPr fontId="65" type="noConversion"/>
  <conditionalFormatting sqref="D16">
    <cfRule type="duplicateValues" dxfId="544" priority="85"/>
  </conditionalFormatting>
  <conditionalFormatting sqref="D29">
    <cfRule type="duplicateValues" dxfId="543" priority="6"/>
  </conditionalFormatting>
  <printOptions horizontalCentered="1"/>
  <pageMargins left="0.23622047244094491" right="0" top="0.15748031496062992" bottom="0" header="0" footer="0"/>
  <pageSetup paperSize="9" scale="58" orientation="portrait" r:id="rId1"/>
  <headerFooter alignWithMargins="0"/>
  <rowBreaks count="1" manualBreakCount="1">
    <brk id="31" max="9" man="1"/>
  </rowBreaks>
  <ignoredErrors>
    <ignoredError sqref="G4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32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408" t="s">
        <v>1061</v>
      </c>
      <c r="B1" s="1408"/>
      <c r="C1" s="1408"/>
      <c r="D1" s="1408"/>
      <c r="E1" s="1408"/>
      <c r="F1" s="1408"/>
      <c r="G1" s="1408"/>
      <c r="H1" s="1408"/>
    </row>
    <row r="2" spans="1:19" s="628" customFormat="1" ht="38.25">
      <c r="A2" s="805" t="s">
        <v>1054</v>
      </c>
      <c r="B2" s="805" t="s">
        <v>2010</v>
      </c>
      <c r="C2" s="805" t="s">
        <v>1189</v>
      </c>
      <c r="D2" s="805" t="s">
        <v>1187</v>
      </c>
      <c r="E2" s="805" t="s">
        <v>2011</v>
      </c>
      <c r="F2" s="805" t="s">
        <v>978</v>
      </c>
      <c r="G2" s="805" t="s">
        <v>2012</v>
      </c>
      <c r="H2" s="805" t="s">
        <v>2</v>
      </c>
    </row>
    <row r="3" spans="1:19" s="807" customFormat="1" ht="25.5">
      <c r="A3" s="803" t="s">
        <v>1055</v>
      </c>
      <c r="B3" s="803">
        <v>25</v>
      </c>
      <c r="C3" s="803">
        <v>5</v>
      </c>
      <c r="D3" s="808">
        <f>I85+I90+I95+I100+I105</f>
        <v>46</v>
      </c>
      <c r="E3" s="806">
        <v>11</v>
      </c>
      <c r="F3" s="806">
        <v>5</v>
      </c>
      <c r="G3" s="533">
        <f>B3-E3-F3</f>
        <v>9</v>
      </c>
      <c r="H3" s="666"/>
    </row>
    <row r="4" spans="1:19" s="807" customFormat="1" ht="25.5">
      <c r="A4" s="803" t="s">
        <v>1056</v>
      </c>
      <c r="B4" s="804">
        <v>65</v>
      </c>
      <c r="C4" s="803">
        <v>8</v>
      </c>
      <c r="D4" s="806">
        <f>I10+I16+I25+I40+I45+I50+I55+I60+I65</f>
        <v>68</v>
      </c>
      <c r="E4" s="806">
        <v>27</v>
      </c>
      <c r="F4" s="806">
        <v>8</v>
      </c>
      <c r="G4" s="533">
        <f t="shared" ref="G4:G5" si="0">B4-E4-F4</f>
        <v>30</v>
      </c>
      <c r="H4" s="533"/>
    </row>
    <row r="5" spans="1:19" s="807" customFormat="1" ht="25.5">
      <c r="A5" s="803" t="s">
        <v>1057</v>
      </c>
      <c r="B5" s="804">
        <v>10</v>
      </c>
      <c r="C5" s="803">
        <v>2</v>
      </c>
      <c r="D5" s="806">
        <f>I75+I80</f>
        <v>18</v>
      </c>
      <c r="E5" s="806">
        <v>4</v>
      </c>
      <c r="F5" s="806">
        <v>2</v>
      </c>
      <c r="G5" s="533">
        <f t="shared" si="0"/>
        <v>4</v>
      </c>
      <c r="H5" s="533"/>
    </row>
    <row r="6" spans="1:19" s="567" customFormat="1">
      <c r="A6" s="570" t="s">
        <v>1059</v>
      </c>
      <c r="B6" s="570">
        <f>SUM(B3:B5)</f>
        <v>100</v>
      </c>
      <c r="C6" s="570">
        <f>SUM(C3:C5)</f>
        <v>15</v>
      </c>
      <c r="D6" s="570">
        <f>SUM(D3:D5)</f>
        <v>132</v>
      </c>
      <c r="E6" s="570">
        <f t="shared" ref="E6:F6" si="1">SUM(E3:E5)</f>
        <v>42</v>
      </c>
      <c r="F6" s="570">
        <f t="shared" si="1"/>
        <v>15</v>
      </c>
      <c r="G6" s="570">
        <f>SUM(G3:G5)</f>
        <v>43</v>
      </c>
      <c r="H6" s="570"/>
    </row>
    <row r="7" spans="1:19" s="691" customFormat="1">
      <c r="A7" s="1041"/>
      <c r="B7" s="1041"/>
      <c r="C7" s="1041"/>
      <c r="D7" s="1041"/>
      <c r="E7" s="1041"/>
      <c r="F7" s="1041"/>
      <c r="G7" s="1041"/>
      <c r="H7" s="1041"/>
      <c r="I7" s="1041"/>
    </row>
    <row r="8" spans="1:19" s="567" customFormat="1" ht="15" customHeight="1">
      <c r="A8" s="1409" t="s">
        <v>1995</v>
      </c>
      <c r="B8" s="1410"/>
      <c r="C8" s="1410"/>
      <c r="D8" s="1410"/>
      <c r="E8" s="1410"/>
      <c r="F8" s="1410"/>
      <c r="G8" s="1410"/>
      <c r="H8" s="1410"/>
      <c r="I8" s="1410"/>
      <c r="J8" s="1410"/>
      <c r="K8" s="1410"/>
      <c r="L8" s="1410"/>
      <c r="M8" s="1410"/>
      <c r="N8" s="1410"/>
      <c r="O8" s="1410"/>
      <c r="P8" s="1410"/>
      <c r="Q8" s="1410"/>
      <c r="R8" s="1410"/>
      <c r="S8" s="1411"/>
    </row>
    <row r="9" spans="1:19" s="567" customFormat="1" ht="21">
      <c r="A9" s="991" t="s">
        <v>1955</v>
      </c>
      <c r="B9" s="992" t="s">
        <v>1956</v>
      </c>
      <c r="C9" s="991" t="s">
        <v>989</v>
      </c>
      <c r="D9" s="991" t="s">
        <v>1957</v>
      </c>
      <c r="E9" s="991" t="s">
        <v>1958</v>
      </c>
      <c r="F9" s="991" t="s">
        <v>1959</v>
      </c>
      <c r="G9" s="991" t="s">
        <v>1960</v>
      </c>
      <c r="H9" s="992" t="s">
        <v>1069</v>
      </c>
      <c r="I9" s="992" t="s">
        <v>1996</v>
      </c>
      <c r="J9" s="991" t="s">
        <v>1961</v>
      </c>
      <c r="K9" s="991" t="s">
        <v>1962</v>
      </c>
      <c r="L9" s="991" t="s">
        <v>1963</v>
      </c>
      <c r="M9" s="991" t="s">
        <v>1964</v>
      </c>
      <c r="N9" s="991" t="s">
        <v>1965</v>
      </c>
      <c r="O9" s="991" t="s">
        <v>1966</v>
      </c>
      <c r="P9" s="991" t="s">
        <v>1967</v>
      </c>
      <c r="Q9" s="991" t="s">
        <v>1968</v>
      </c>
      <c r="R9" s="991" t="s">
        <v>1969</v>
      </c>
      <c r="S9" s="992" t="s">
        <v>2</v>
      </c>
    </row>
    <row r="10" spans="1:19" s="567" customFormat="1">
      <c r="A10" s="551">
        <v>1</v>
      </c>
      <c r="B10" s="974" t="s">
        <v>1275</v>
      </c>
      <c r="C10" s="974" t="s">
        <v>32</v>
      </c>
      <c r="D10" s="974">
        <v>1</v>
      </c>
      <c r="E10" s="551" t="s">
        <v>61</v>
      </c>
      <c r="F10" s="993">
        <v>46143</v>
      </c>
      <c r="G10" s="993">
        <f>F10+4</f>
        <v>46147</v>
      </c>
      <c r="H10" s="994" t="s">
        <v>1926</v>
      </c>
      <c r="I10" s="1412">
        <v>8</v>
      </c>
      <c r="J10" s="1042">
        <v>140.36000000000001</v>
      </c>
      <c r="K10" s="957">
        <v>1.96</v>
      </c>
      <c r="L10" s="957">
        <v>14.51</v>
      </c>
      <c r="M10" s="862">
        <v>0.94499999999999995</v>
      </c>
      <c r="N10" s="865">
        <v>204</v>
      </c>
      <c r="O10" s="865">
        <v>8390</v>
      </c>
      <c r="P10" s="865">
        <v>9675</v>
      </c>
      <c r="Q10" s="865">
        <v>78403</v>
      </c>
      <c r="R10" s="995">
        <f>(J10*N10+K10*O10+L10*P10+M10*Q10)</f>
        <v>259552.92499999999</v>
      </c>
      <c r="S10" s="551" t="s">
        <v>29</v>
      </c>
    </row>
    <row r="11" spans="1:19" s="567" customFormat="1">
      <c r="A11" s="551">
        <v>2</v>
      </c>
      <c r="B11" s="974" t="s">
        <v>1273</v>
      </c>
      <c r="C11" s="974" t="s">
        <v>34</v>
      </c>
      <c r="D11" s="974">
        <v>1</v>
      </c>
      <c r="E11" s="957" t="s">
        <v>42</v>
      </c>
      <c r="F11" s="993">
        <f>G10</f>
        <v>46147</v>
      </c>
      <c r="G11" s="993">
        <f>F11+5</f>
        <v>46152</v>
      </c>
      <c r="H11" s="994" t="s">
        <v>1926</v>
      </c>
      <c r="I11" s="1412"/>
      <c r="J11" s="1042">
        <v>84.27</v>
      </c>
      <c r="K11" s="957">
        <v>1.1000000000000001</v>
      </c>
      <c r="L11" s="957">
        <v>11.09</v>
      </c>
      <c r="M11" s="862">
        <v>0.751</v>
      </c>
      <c r="N11" s="865">
        <v>204</v>
      </c>
      <c r="O11" s="865">
        <v>8390</v>
      </c>
      <c r="P11" s="865">
        <v>9675</v>
      </c>
      <c r="Q11" s="865">
        <v>78403</v>
      </c>
      <c r="R11" s="995">
        <f>(J11*N11+K11*O11+L11*P11+M11*Q11)</f>
        <v>192596.48299999998</v>
      </c>
      <c r="S11" s="551" t="s">
        <v>978</v>
      </c>
    </row>
    <row r="12" spans="1:19" s="567" customFormat="1">
      <c r="A12" s="551">
        <v>3</v>
      </c>
      <c r="B12" s="974" t="s">
        <v>1274</v>
      </c>
      <c r="C12" s="974" t="s">
        <v>32</v>
      </c>
      <c r="D12" s="974">
        <v>1</v>
      </c>
      <c r="E12" s="551" t="s">
        <v>61</v>
      </c>
      <c r="F12" s="993">
        <f t="shared" ref="F12:F15" si="2">G11</f>
        <v>46152</v>
      </c>
      <c r="G12" s="993">
        <f t="shared" ref="G12:G14" si="3">F12+5</f>
        <v>46157</v>
      </c>
      <c r="H12" s="994" t="s">
        <v>1926</v>
      </c>
      <c r="I12" s="1412"/>
      <c r="J12" s="1042">
        <v>140.36000000000001</v>
      </c>
      <c r="K12" s="957">
        <v>1.96</v>
      </c>
      <c r="L12" s="957">
        <v>14.51</v>
      </c>
      <c r="M12" s="862">
        <v>0.94499999999999995</v>
      </c>
      <c r="N12" s="865">
        <v>204</v>
      </c>
      <c r="O12" s="865">
        <v>8390</v>
      </c>
      <c r="P12" s="865">
        <v>9675</v>
      </c>
      <c r="Q12" s="865">
        <v>78403</v>
      </c>
      <c r="R12" s="995">
        <f>(J12*N12+K12*O12+L12*P12+M12*Q12)</f>
        <v>259552.92499999999</v>
      </c>
      <c r="S12" s="551"/>
    </row>
    <row r="13" spans="1:19" s="567" customFormat="1">
      <c r="A13" s="551">
        <v>4</v>
      </c>
      <c r="B13" s="974" t="s">
        <v>1272</v>
      </c>
      <c r="C13" s="974" t="s">
        <v>1181</v>
      </c>
      <c r="D13" s="974">
        <v>1</v>
      </c>
      <c r="E13" s="551" t="s">
        <v>61</v>
      </c>
      <c r="F13" s="993">
        <f t="shared" si="2"/>
        <v>46157</v>
      </c>
      <c r="G13" s="993">
        <f t="shared" si="3"/>
        <v>46162</v>
      </c>
      <c r="H13" s="994" t="s">
        <v>1926</v>
      </c>
      <c r="I13" s="1412"/>
      <c r="J13" s="1042">
        <v>329.49</v>
      </c>
      <c r="K13" s="957">
        <v>4.88</v>
      </c>
      <c r="L13" s="957">
        <v>32.619999999999997</v>
      </c>
      <c r="M13" s="863">
        <v>2.6070000000000002</v>
      </c>
      <c r="N13" s="865">
        <v>204</v>
      </c>
      <c r="O13" s="865">
        <v>8390</v>
      </c>
      <c r="P13" s="865">
        <v>9675</v>
      </c>
      <c r="Q13" s="865">
        <v>78403</v>
      </c>
      <c r="R13" s="995">
        <f t="shared" ref="R13:R42" si="4">(J13*N13+K13*O13+L13*P13+M13*Q13)</f>
        <v>628154.28100000008</v>
      </c>
      <c r="S13" s="551"/>
    </row>
    <row r="14" spans="1:19" s="567" customFormat="1">
      <c r="A14" s="551">
        <v>5</v>
      </c>
      <c r="B14" s="974" t="s">
        <v>1271</v>
      </c>
      <c r="C14" s="974" t="s">
        <v>57</v>
      </c>
      <c r="D14" s="974"/>
      <c r="E14" s="551" t="s">
        <v>42</v>
      </c>
      <c r="F14" s="993">
        <f t="shared" si="2"/>
        <v>46162</v>
      </c>
      <c r="G14" s="993">
        <f t="shared" si="3"/>
        <v>46167</v>
      </c>
      <c r="H14" s="994" t="s">
        <v>1926</v>
      </c>
      <c r="I14" s="1412"/>
      <c r="J14" s="1042">
        <v>166.06</v>
      </c>
      <c r="K14" s="957">
        <v>2.34</v>
      </c>
      <c r="L14" s="957">
        <v>16.38</v>
      </c>
      <c r="M14" s="863">
        <v>0.95099999999999996</v>
      </c>
      <c r="N14" s="865">
        <v>204</v>
      </c>
      <c r="O14" s="865">
        <v>8390</v>
      </c>
      <c r="P14" s="865">
        <v>9675</v>
      </c>
      <c r="Q14" s="865">
        <v>78403</v>
      </c>
      <c r="R14" s="995">
        <f t="shared" si="4"/>
        <v>286546.59299999999</v>
      </c>
      <c r="S14" s="551"/>
    </row>
    <row r="15" spans="1:19" s="567" customFormat="1">
      <c r="A15" s="551">
        <v>6</v>
      </c>
      <c r="B15" s="974" t="s">
        <v>1270</v>
      </c>
      <c r="C15" s="974" t="s">
        <v>1423</v>
      </c>
      <c r="D15" s="974"/>
      <c r="E15" s="551" t="s">
        <v>42</v>
      </c>
      <c r="F15" s="993">
        <f t="shared" si="2"/>
        <v>46167</v>
      </c>
      <c r="G15" s="993">
        <f>F15+6</f>
        <v>46173</v>
      </c>
      <c r="H15" s="994" t="s">
        <v>1926</v>
      </c>
      <c r="I15" s="1412"/>
      <c r="J15" s="1042">
        <v>270.75</v>
      </c>
      <c r="K15" s="957">
        <v>3.96</v>
      </c>
      <c r="L15" s="957">
        <v>25.67</v>
      </c>
      <c r="M15" s="863">
        <v>1.84</v>
      </c>
      <c r="N15" s="865">
        <v>204</v>
      </c>
      <c r="O15" s="865">
        <v>8390</v>
      </c>
      <c r="P15" s="865">
        <v>9675</v>
      </c>
      <c r="Q15" s="865">
        <v>78403</v>
      </c>
      <c r="R15" s="995">
        <f t="shared" si="4"/>
        <v>481076.17000000004</v>
      </c>
      <c r="S15" s="551"/>
    </row>
    <row r="16" spans="1:19" s="567" customFormat="1">
      <c r="A16" s="551">
        <v>7</v>
      </c>
      <c r="B16" s="974" t="s">
        <v>1236</v>
      </c>
      <c r="C16" s="974" t="s">
        <v>34</v>
      </c>
      <c r="D16" s="974"/>
      <c r="E16" s="551" t="s">
        <v>61</v>
      </c>
      <c r="F16" s="993">
        <v>46143</v>
      </c>
      <c r="G16" s="993">
        <f t="shared" ref="G16:G22" si="5">F16+3</f>
        <v>46146</v>
      </c>
      <c r="H16" s="994" t="s">
        <v>1954</v>
      </c>
      <c r="I16" s="1412">
        <v>8</v>
      </c>
      <c r="J16" s="1042">
        <v>108</v>
      </c>
      <c r="K16" s="957">
        <v>1.46</v>
      </c>
      <c r="L16" s="957">
        <v>10.98</v>
      </c>
      <c r="M16" s="863">
        <v>0.60599999999999998</v>
      </c>
      <c r="N16" s="865">
        <v>204</v>
      </c>
      <c r="O16" s="865">
        <v>8390</v>
      </c>
      <c r="P16" s="865">
        <v>9675</v>
      </c>
      <c r="Q16" s="865">
        <v>78403</v>
      </c>
      <c r="R16" s="995">
        <f>(J16*N16+K16*O16+L16*P16+M16*Q16)</f>
        <v>188025.11799999999</v>
      </c>
      <c r="S16" s="551" t="s">
        <v>29</v>
      </c>
    </row>
    <row r="17" spans="1:19" s="567" customFormat="1">
      <c r="A17" s="551">
        <v>8</v>
      </c>
      <c r="B17" s="974" t="s">
        <v>1237</v>
      </c>
      <c r="C17" s="974" t="s">
        <v>34</v>
      </c>
      <c r="D17" s="974"/>
      <c r="E17" s="551" t="s">
        <v>61</v>
      </c>
      <c r="F17" s="993">
        <f>G16</f>
        <v>46146</v>
      </c>
      <c r="G17" s="993">
        <f t="shared" si="5"/>
        <v>46149</v>
      </c>
      <c r="H17" s="994" t="s">
        <v>1954</v>
      </c>
      <c r="I17" s="1412"/>
      <c r="J17" s="1042">
        <v>133.87</v>
      </c>
      <c r="K17" s="957">
        <v>1.85</v>
      </c>
      <c r="L17" s="957">
        <v>11.71</v>
      </c>
      <c r="M17" s="863">
        <v>0.69699999999999995</v>
      </c>
      <c r="N17" s="865">
        <v>204</v>
      </c>
      <c r="O17" s="865">
        <v>8390</v>
      </c>
      <c r="P17" s="865">
        <v>9675</v>
      </c>
      <c r="Q17" s="865">
        <v>78403</v>
      </c>
      <c r="R17" s="995">
        <f t="shared" si="4"/>
        <v>210772.12100000001</v>
      </c>
      <c r="S17" s="551" t="s">
        <v>29</v>
      </c>
    </row>
    <row r="18" spans="1:19" s="567" customFormat="1">
      <c r="A18" s="551">
        <v>9</v>
      </c>
      <c r="B18" s="974" t="s">
        <v>1233</v>
      </c>
      <c r="C18" s="974" t="s">
        <v>32</v>
      </c>
      <c r="D18" s="974"/>
      <c r="E18" s="551" t="s">
        <v>61</v>
      </c>
      <c r="F18" s="993">
        <f t="shared" ref="F18:F23" si="6">G17</f>
        <v>46149</v>
      </c>
      <c r="G18" s="993">
        <f t="shared" si="5"/>
        <v>46152</v>
      </c>
      <c r="H18" s="994" t="s">
        <v>1954</v>
      </c>
      <c r="I18" s="1412"/>
      <c r="J18" s="1042">
        <v>133.87</v>
      </c>
      <c r="K18" s="957">
        <v>1.85</v>
      </c>
      <c r="L18" s="957">
        <v>11.71</v>
      </c>
      <c r="M18" s="863">
        <v>0.69699999999999995</v>
      </c>
      <c r="N18" s="865">
        <v>204</v>
      </c>
      <c r="O18" s="865">
        <v>8390</v>
      </c>
      <c r="P18" s="865">
        <v>9675</v>
      </c>
      <c r="Q18" s="865">
        <v>78403</v>
      </c>
      <c r="R18" s="995">
        <f>(J18*N18+K18*O18+L18*P18+M18*Q18)</f>
        <v>210772.12100000001</v>
      </c>
      <c r="S18" s="551"/>
    </row>
    <row r="19" spans="1:19" s="567" customFormat="1">
      <c r="A19" s="551">
        <v>10</v>
      </c>
      <c r="B19" s="974" t="s">
        <v>1232</v>
      </c>
      <c r="C19" s="974" t="s">
        <v>1181</v>
      </c>
      <c r="D19" s="974"/>
      <c r="E19" s="551" t="s">
        <v>61</v>
      </c>
      <c r="F19" s="993">
        <f t="shared" si="6"/>
        <v>46152</v>
      </c>
      <c r="G19" s="993">
        <f t="shared" si="5"/>
        <v>46155</v>
      </c>
      <c r="H19" s="994" t="s">
        <v>1954</v>
      </c>
      <c r="I19" s="1412"/>
      <c r="J19" s="1042">
        <v>329.49</v>
      </c>
      <c r="K19" s="957">
        <v>4.88</v>
      </c>
      <c r="L19" s="957">
        <v>31.12</v>
      </c>
      <c r="M19" s="863">
        <v>2.3119999999999998</v>
      </c>
      <c r="N19" s="865">
        <v>204</v>
      </c>
      <c r="O19" s="865">
        <v>8390</v>
      </c>
      <c r="P19" s="865">
        <v>9675</v>
      </c>
      <c r="Q19" s="865">
        <v>78403</v>
      </c>
      <c r="R19" s="995">
        <f t="shared" si="4"/>
        <v>590512.89599999995</v>
      </c>
      <c r="S19" s="551"/>
    </row>
    <row r="20" spans="1:19" s="567" customFormat="1">
      <c r="A20" s="551">
        <v>11</v>
      </c>
      <c r="B20" s="974" t="s">
        <v>1710</v>
      </c>
      <c r="C20" s="974" t="s">
        <v>1175</v>
      </c>
      <c r="D20" s="974"/>
      <c r="E20" s="551" t="s">
        <v>61</v>
      </c>
      <c r="F20" s="993">
        <f t="shared" si="6"/>
        <v>46155</v>
      </c>
      <c r="G20" s="993">
        <f t="shared" si="5"/>
        <v>46158</v>
      </c>
      <c r="H20" s="994" t="s">
        <v>1954</v>
      </c>
      <c r="I20" s="1412"/>
      <c r="J20" s="1042">
        <v>161.63</v>
      </c>
      <c r="K20" s="957">
        <v>2.27</v>
      </c>
      <c r="L20" s="957">
        <v>15.51</v>
      </c>
      <c r="M20" s="863">
        <v>0.84799999999999998</v>
      </c>
      <c r="N20" s="865">
        <v>204</v>
      </c>
      <c r="O20" s="865">
        <v>8390</v>
      </c>
      <c r="P20" s="865">
        <v>9675</v>
      </c>
      <c r="Q20" s="865">
        <v>78403</v>
      </c>
      <c r="R20" s="995">
        <f t="shared" si="4"/>
        <v>268562.81400000001</v>
      </c>
      <c r="S20" s="551"/>
    </row>
    <row r="21" spans="1:19" s="567" customFormat="1">
      <c r="A21" s="551">
        <v>12</v>
      </c>
      <c r="B21" s="974" t="s">
        <v>1711</v>
      </c>
      <c r="C21" s="974" t="s">
        <v>48</v>
      </c>
      <c r="D21" s="974"/>
      <c r="E21" s="551" t="s">
        <v>61</v>
      </c>
      <c r="F21" s="993">
        <f t="shared" si="6"/>
        <v>46158</v>
      </c>
      <c r="G21" s="993">
        <f t="shared" si="5"/>
        <v>46161</v>
      </c>
      <c r="H21" s="994" t="s">
        <v>1954</v>
      </c>
      <c r="I21" s="1412"/>
      <c r="J21" s="1042">
        <v>133.87</v>
      </c>
      <c r="K21" s="957">
        <v>1.85</v>
      </c>
      <c r="L21" s="957">
        <v>11.71</v>
      </c>
      <c r="M21" s="863">
        <v>0.69699999999999995</v>
      </c>
      <c r="N21" s="865">
        <v>204</v>
      </c>
      <c r="O21" s="865">
        <v>8390</v>
      </c>
      <c r="P21" s="865">
        <v>9675</v>
      </c>
      <c r="Q21" s="865">
        <v>78403</v>
      </c>
      <c r="R21" s="995">
        <f t="shared" si="4"/>
        <v>210772.12100000001</v>
      </c>
      <c r="S21" s="551"/>
    </row>
    <row r="22" spans="1:19" s="567" customFormat="1">
      <c r="A22" s="551">
        <v>13</v>
      </c>
      <c r="B22" s="974" t="s">
        <v>1681</v>
      </c>
      <c r="C22" s="974" t="s">
        <v>39</v>
      </c>
      <c r="D22" s="974">
        <v>1</v>
      </c>
      <c r="E22" s="551" t="s">
        <v>61</v>
      </c>
      <c r="F22" s="993">
        <f t="shared" si="6"/>
        <v>46161</v>
      </c>
      <c r="G22" s="993">
        <f t="shared" si="5"/>
        <v>46164</v>
      </c>
      <c r="H22" s="994" t="s">
        <v>1954</v>
      </c>
      <c r="I22" s="1412"/>
      <c r="J22" s="1042">
        <v>161.63</v>
      </c>
      <c r="K22" s="957">
        <v>2.27</v>
      </c>
      <c r="L22" s="862">
        <v>18.32</v>
      </c>
      <c r="M22" s="862">
        <v>1.099</v>
      </c>
      <c r="N22" s="865">
        <v>204</v>
      </c>
      <c r="O22" s="865">
        <v>8390</v>
      </c>
      <c r="P22" s="865">
        <v>9675</v>
      </c>
      <c r="Q22" s="865">
        <v>78403</v>
      </c>
      <c r="R22" s="995">
        <f t="shared" si="4"/>
        <v>315428.717</v>
      </c>
      <c r="S22" s="551"/>
    </row>
    <row r="23" spans="1:19" s="567" customFormat="1">
      <c r="A23" s="551">
        <v>14</v>
      </c>
      <c r="B23" s="974" t="s">
        <v>1680</v>
      </c>
      <c r="C23" s="974" t="s">
        <v>45</v>
      </c>
      <c r="D23" s="974">
        <v>1</v>
      </c>
      <c r="E23" s="551" t="s">
        <v>61</v>
      </c>
      <c r="F23" s="993">
        <f t="shared" si="6"/>
        <v>46164</v>
      </c>
      <c r="G23" s="993">
        <v>46167</v>
      </c>
      <c r="H23" s="994" t="s">
        <v>1954</v>
      </c>
      <c r="I23" s="1412"/>
      <c r="J23" s="1042">
        <v>329.49</v>
      </c>
      <c r="K23" s="957">
        <v>4.88</v>
      </c>
      <c r="L23" s="957">
        <v>32.619999999999997</v>
      </c>
      <c r="M23" s="863">
        <v>2.6070000000000002</v>
      </c>
      <c r="N23" s="865">
        <v>204</v>
      </c>
      <c r="O23" s="865">
        <v>8390</v>
      </c>
      <c r="P23" s="865">
        <v>9675</v>
      </c>
      <c r="Q23" s="865">
        <v>78403</v>
      </c>
      <c r="R23" s="995">
        <f t="shared" si="4"/>
        <v>628154.28100000008</v>
      </c>
      <c r="S23" s="551"/>
    </row>
    <row r="24" spans="1:19" s="567" customFormat="1">
      <c r="A24" s="551">
        <v>15</v>
      </c>
      <c r="B24" s="974" t="s">
        <v>1679</v>
      </c>
      <c r="C24" s="974" t="s">
        <v>1181</v>
      </c>
      <c r="D24" s="974">
        <v>1</v>
      </c>
      <c r="E24" s="551" t="s">
        <v>61</v>
      </c>
      <c r="F24" s="993">
        <v>46167</v>
      </c>
      <c r="G24" s="993">
        <v>46173</v>
      </c>
      <c r="H24" s="994" t="s">
        <v>1954</v>
      </c>
      <c r="I24" s="1412"/>
      <c r="J24" s="1042">
        <v>329.49</v>
      </c>
      <c r="K24" s="957">
        <v>4.88</v>
      </c>
      <c r="L24" s="957">
        <v>32.619999999999997</v>
      </c>
      <c r="M24" s="863">
        <v>2.6070000000000002</v>
      </c>
      <c r="N24" s="865">
        <v>204</v>
      </c>
      <c r="O24" s="865">
        <v>8390</v>
      </c>
      <c r="P24" s="865">
        <v>9675</v>
      </c>
      <c r="Q24" s="865">
        <v>78403</v>
      </c>
      <c r="R24" s="995">
        <f t="shared" si="4"/>
        <v>628154.28100000008</v>
      </c>
      <c r="S24" s="551"/>
    </row>
    <row r="25" spans="1:19" s="567" customFormat="1">
      <c r="A25" s="551">
        <v>16</v>
      </c>
      <c r="B25" s="974" t="s">
        <v>1330</v>
      </c>
      <c r="C25" s="996" t="s">
        <v>1426</v>
      </c>
      <c r="D25" s="974">
        <v>1</v>
      </c>
      <c r="E25" s="551" t="s">
        <v>61</v>
      </c>
      <c r="F25" s="993">
        <v>46143</v>
      </c>
      <c r="G25" s="993">
        <f>F25+2</f>
        <v>46145</v>
      </c>
      <c r="H25" s="994" t="s">
        <v>1924</v>
      </c>
      <c r="I25" s="1412">
        <v>12</v>
      </c>
      <c r="J25" s="1042">
        <v>344.76</v>
      </c>
      <c r="K25" s="957">
        <v>5.12</v>
      </c>
      <c r="L25" s="957">
        <v>34.770000000000003</v>
      </c>
      <c r="M25" s="863">
        <v>2.726</v>
      </c>
      <c r="N25" s="865">
        <v>204</v>
      </c>
      <c r="O25" s="865">
        <v>8390</v>
      </c>
      <c r="P25" s="865">
        <v>9675</v>
      </c>
      <c r="Q25" s="865">
        <v>78403</v>
      </c>
      <c r="R25" s="995">
        <f t="shared" si="4"/>
        <v>663414.16800000006</v>
      </c>
      <c r="S25" s="551" t="s">
        <v>29</v>
      </c>
    </row>
    <row r="26" spans="1:19" s="567" customFormat="1">
      <c r="A26" s="551">
        <v>17</v>
      </c>
      <c r="B26" s="974" t="s">
        <v>1331</v>
      </c>
      <c r="C26" s="996" t="s">
        <v>1426</v>
      </c>
      <c r="D26" s="974">
        <v>1</v>
      </c>
      <c r="E26" s="551" t="s">
        <v>61</v>
      </c>
      <c r="F26" s="993">
        <f>G25</f>
        <v>46145</v>
      </c>
      <c r="G26" s="993">
        <f>F26+2</f>
        <v>46147</v>
      </c>
      <c r="H26" s="994" t="s">
        <v>1924</v>
      </c>
      <c r="I26" s="1412"/>
      <c r="J26" s="1042">
        <v>344.76</v>
      </c>
      <c r="K26" s="957">
        <v>5.12</v>
      </c>
      <c r="L26" s="957">
        <v>34.770000000000003</v>
      </c>
      <c r="M26" s="863">
        <v>2.726</v>
      </c>
      <c r="N26" s="865">
        <v>204</v>
      </c>
      <c r="O26" s="865">
        <v>8390</v>
      </c>
      <c r="P26" s="865">
        <v>9675</v>
      </c>
      <c r="Q26" s="865">
        <v>78403</v>
      </c>
      <c r="R26" s="995">
        <f t="shared" si="4"/>
        <v>663414.16800000006</v>
      </c>
      <c r="S26" s="551" t="s">
        <v>29</v>
      </c>
    </row>
    <row r="27" spans="1:19" s="567" customFormat="1">
      <c r="A27" s="551">
        <v>18</v>
      </c>
      <c r="B27" s="974" t="s">
        <v>1394</v>
      </c>
      <c r="C27" s="996" t="s">
        <v>1423</v>
      </c>
      <c r="D27" s="974"/>
      <c r="E27" s="551" t="s">
        <v>61</v>
      </c>
      <c r="F27" s="993">
        <f t="shared" ref="F27:F34" si="7">G26</f>
        <v>46147</v>
      </c>
      <c r="G27" s="993">
        <f>F27+2</f>
        <v>46149</v>
      </c>
      <c r="H27" s="994" t="s">
        <v>1924</v>
      </c>
      <c r="I27" s="1412"/>
      <c r="J27" s="1042">
        <v>329.49</v>
      </c>
      <c r="K27" s="957">
        <v>4.88</v>
      </c>
      <c r="L27" s="957">
        <v>31.12</v>
      </c>
      <c r="M27" s="863">
        <v>2.3119999999999998</v>
      </c>
      <c r="N27" s="865">
        <v>204</v>
      </c>
      <c r="O27" s="865">
        <v>8390</v>
      </c>
      <c r="P27" s="865">
        <v>9675</v>
      </c>
      <c r="Q27" s="865">
        <v>78403</v>
      </c>
      <c r="R27" s="995">
        <f t="shared" si="4"/>
        <v>590512.89599999995</v>
      </c>
      <c r="S27" s="551" t="s">
        <v>978</v>
      </c>
    </row>
    <row r="28" spans="1:19" s="567" customFormat="1">
      <c r="A28" s="551">
        <v>19</v>
      </c>
      <c r="B28" s="974" t="s">
        <v>1395</v>
      </c>
      <c r="C28" s="996" t="s">
        <v>1181</v>
      </c>
      <c r="D28" s="974"/>
      <c r="E28" s="551" t="s">
        <v>61</v>
      </c>
      <c r="F28" s="993">
        <f t="shared" si="7"/>
        <v>46149</v>
      </c>
      <c r="G28" s="993">
        <f>F28+2</f>
        <v>46151</v>
      </c>
      <c r="H28" s="994" t="s">
        <v>1924</v>
      </c>
      <c r="I28" s="1412"/>
      <c r="J28" s="1042">
        <v>329.49</v>
      </c>
      <c r="K28" s="957">
        <v>4.88</v>
      </c>
      <c r="L28" s="957">
        <v>31.12</v>
      </c>
      <c r="M28" s="863">
        <v>2.3119999999999998</v>
      </c>
      <c r="N28" s="865">
        <v>204</v>
      </c>
      <c r="O28" s="865">
        <v>8390</v>
      </c>
      <c r="P28" s="865">
        <v>9675</v>
      </c>
      <c r="Q28" s="865">
        <v>78403</v>
      </c>
      <c r="R28" s="995">
        <f t="shared" si="4"/>
        <v>590512.89599999995</v>
      </c>
      <c r="S28" s="551"/>
    </row>
    <row r="29" spans="1:19" s="567" customFormat="1">
      <c r="A29" s="551">
        <v>20</v>
      </c>
      <c r="B29" s="974" t="s">
        <v>1396</v>
      </c>
      <c r="C29" s="996" t="s">
        <v>34</v>
      </c>
      <c r="D29" s="974"/>
      <c r="E29" s="551" t="s">
        <v>61</v>
      </c>
      <c r="F29" s="993">
        <f t="shared" si="7"/>
        <v>46151</v>
      </c>
      <c r="G29" s="993">
        <f>F29+2</f>
        <v>46153</v>
      </c>
      <c r="H29" s="994" t="s">
        <v>1924</v>
      </c>
      <c r="I29" s="1412"/>
      <c r="J29" s="1042">
        <v>108</v>
      </c>
      <c r="K29" s="957">
        <v>1.46</v>
      </c>
      <c r="L29" s="957">
        <v>10.98</v>
      </c>
      <c r="M29" s="863">
        <v>0.60599999999999998</v>
      </c>
      <c r="N29" s="865">
        <v>204</v>
      </c>
      <c r="O29" s="865">
        <v>8390</v>
      </c>
      <c r="P29" s="865">
        <v>9675</v>
      </c>
      <c r="Q29" s="865">
        <v>78403</v>
      </c>
      <c r="R29" s="995">
        <f t="shared" si="4"/>
        <v>188025.11799999999</v>
      </c>
      <c r="S29" s="551"/>
    </row>
    <row r="30" spans="1:19" s="567" customFormat="1">
      <c r="A30" s="551">
        <v>21</v>
      </c>
      <c r="B30" s="974" t="s">
        <v>1397</v>
      </c>
      <c r="C30" s="996" t="s">
        <v>32</v>
      </c>
      <c r="D30" s="974"/>
      <c r="E30" s="551" t="s">
        <v>42</v>
      </c>
      <c r="F30" s="993">
        <f t="shared" si="7"/>
        <v>46153</v>
      </c>
      <c r="G30" s="993">
        <f t="shared" ref="G30:G39" si="8">F30+2</f>
        <v>46155</v>
      </c>
      <c r="H30" s="994" t="s">
        <v>1924</v>
      </c>
      <c r="I30" s="1412"/>
      <c r="J30" s="1043">
        <v>108</v>
      </c>
      <c r="K30" s="863">
        <v>1.46</v>
      </c>
      <c r="L30" s="863">
        <v>9.7100000000000009</v>
      </c>
      <c r="M30" s="863">
        <v>0.61299999999999999</v>
      </c>
      <c r="N30" s="865">
        <v>204</v>
      </c>
      <c r="O30" s="865">
        <v>8390</v>
      </c>
      <c r="P30" s="865">
        <v>9675</v>
      </c>
      <c r="Q30" s="865">
        <v>78403</v>
      </c>
      <c r="R30" s="995">
        <f t="shared" si="4"/>
        <v>176286.68900000001</v>
      </c>
      <c r="S30" s="551"/>
    </row>
    <row r="31" spans="1:19" s="567" customFormat="1">
      <c r="A31" s="551">
        <v>22</v>
      </c>
      <c r="B31" s="974" t="s">
        <v>1398</v>
      </c>
      <c r="C31" s="996" t="s">
        <v>57</v>
      </c>
      <c r="D31" s="974"/>
      <c r="E31" s="551" t="s">
        <v>61</v>
      </c>
      <c r="F31" s="993">
        <f t="shared" si="7"/>
        <v>46155</v>
      </c>
      <c r="G31" s="993">
        <f t="shared" si="8"/>
        <v>46157</v>
      </c>
      <c r="H31" s="994" t="s">
        <v>1924</v>
      </c>
      <c r="I31" s="1412"/>
      <c r="J31" s="1042">
        <v>206.67</v>
      </c>
      <c r="K31" s="957">
        <v>2.96</v>
      </c>
      <c r="L31" s="957">
        <v>20.239999999999998</v>
      </c>
      <c r="M31" s="863">
        <v>1.129</v>
      </c>
      <c r="N31" s="865">
        <v>204</v>
      </c>
      <c r="O31" s="865">
        <v>8390</v>
      </c>
      <c r="P31" s="865">
        <v>9675</v>
      </c>
      <c r="Q31" s="865">
        <v>78403</v>
      </c>
      <c r="R31" s="995">
        <f t="shared" si="4"/>
        <v>351334.06699999992</v>
      </c>
      <c r="S31" s="551"/>
    </row>
    <row r="32" spans="1:19" s="567" customFormat="1">
      <c r="A32" s="551">
        <v>23</v>
      </c>
      <c r="B32" s="974" t="s">
        <v>1399</v>
      </c>
      <c r="C32" s="996" t="s">
        <v>1425</v>
      </c>
      <c r="D32" s="974"/>
      <c r="E32" s="551" t="s">
        <v>42</v>
      </c>
      <c r="F32" s="993">
        <f t="shared" si="7"/>
        <v>46157</v>
      </c>
      <c r="G32" s="993">
        <f t="shared" si="8"/>
        <v>46159</v>
      </c>
      <c r="H32" s="994" t="s">
        <v>1924</v>
      </c>
      <c r="I32" s="1412"/>
      <c r="J32" s="1042">
        <v>166.06</v>
      </c>
      <c r="K32" s="957">
        <v>2.34</v>
      </c>
      <c r="L32" s="957">
        <v>16.38</v>
      </c>
      <c r="M32" s="863">
        <v>0.95099999999999996</v>
      </c>
      <c r="N32" s="865">
        <v>204</v>
      </c>
      <c r="O32" s="865">
        <v>8390</v>
      </c>
      <c r="P32" s="865">
        <v>9675</v>
      </c>
      <c r="Q32" s="865">
        <v>78403</v>
      </c>
      <c r="R32" s="995">
        <f t="shared" si="4"/>
        <v>286546.59299999999</v>
      </c>
      <c r="S32" s="551"/>
    </row>
    <row r="33" spans="1:19" s="567" customFormat="1">
      <c r="A33" s="551">
        <v>24</v>
      </c>
      <c r="B33" s="974" t="s">
        <v>1400</v>
      </c>
      <c r="C33" s="996" t="s">
        <v>45</v>
      </c>
      <c r="D33" s="974"/>
      <c r="E33" s="551" t="s">
        <v>61</v>
      </c>
      <c r="F33" s="993">
        <f t="shared" si="7"/>
        <v>46159</v>
      </c>
      <c r="G33" s="993">
        <f t="shared" si="8"/>
        <v>46161</v>
      </c>
      <c r="H33" s="994" t="s">
        <v>1924</v>
      </c>
      <c r="I33" s="1412"/>
      <c r="J33" s="1042">
        <v>329.49</v>
      </c>
      <c r="K33" s="957">
        <v>4.88</v>
      </c>
      <c r="L33" s="957">
        <v>31.12</v>
      </c>
      <c r="M33" s="863">
        <v>2.3119999999999998</v>
      </c>
      <c r="N33" s="865">
        <v>204</v>
      </c>
      <c r="O33" s="865">
        <v>8390</v>
      </c>
      <c r="P33" s="865">
        <v>9675</v>
      </c>
      <c r="Q33" s="865">
        <v>78403</v>
      </c>
      <c r="R33" s="995">
        <f t="shared" si="4"/>
        <v>590512.89599999995</v>
      </c>
      <c r="S33" s="551"/>
    </row>
    <row r="34" spans="1:19" s="567" customFormat="1">
      <c r="A34" s="551">
        <v>25</v>
      </c>
      <c r="B34" s="975" t="s">
        <v>1401</v>
      </c>
      <c r="C34" s="996" t="s">
        <v>43</v>
      </c>
      <c r="D34" s="975"/>
      <c r="E34" s="997" t="s">
        <v>61</v>
      </c>
      <c r="F34" s="998">
        <f t="shared" si="7"/>
        <v>46161</v>
      </c>
      <c r="G34" s="993">
        <f t="shared" si="8"/>
        <v>46163</v>
      </c>
      <c r="H34" s="999" t="s">
        <v>1924</v>
      </c>
      <c r="I34" s="1412"/>
      <c r="J34" s="1044">
        <v>206.67</v>
      </c>
      <c r="K34" s="970">
        <v>2.96</v>
      </c>
      <c r="L34" s="970">
        <v>20.239999999999998</v>
      </c>
      <c r="M34" s="1000">
        <v>1.129</v>
      </c>
      <c r="N34" s="864">
        <v>204</v>
      </c>
      <c r="O34" s="864">
        <v>8390</v>
      </c>
      <c r="P34" s="864">
        <v>9675</v>
      </c>
      <c r="Q34" s="864">
        <v>78403</v>
      </c>
      <c r="R34" s="995">
        <f t="shared" si="4"/>
        <v>351334.06699999992</v>
      </c>
      <c r="S34" s="997"/>
    </row>
    <row r="35" spans="1:19" s="567" customFormat="1">
      <c r="A35" s="551">
        <v>26</v>
      </c>
      <c r="B35" s="974" t="s">
        <v>1402</v>
      </c>
      <c r="C35" s="996" t="s">
        <v>32</v>
      </c>
      <c r="D35" s="1001"/>
      <c r="E35" s="551" t="s">
        <v>42</v>
      </c>
      <c r="F35" s="998">
        <f>G34</f>
        <v>46163</v>
      </c>
      <c r="G35" s="993">
        <f t="shared" si="8"/>
        <v>46165</v>
      </c>
      <c r="H35" s="999" t="s">
        <v>1924</v>
      </c>
      <c r="I35" s="1412"/>
      <c r="J35" s="1043">
        <v>108</v>
      </c>
      <c r="K35" s="863">
        <v>1.46</v>
      </c>
      <c r="L35" s="863">
        <v>9.7100000000000009</v>
      </c>
      <c r="M35" s="863">
        <v>0.61299999999999999</v>
      </c>
      <c r="N35" s="865">
        <v>204</v>
      </c>
      <c r="O35" s="865">
        <v>8390</v>
      </c>
      <c r="P35" s="865">
        <v>9675</v>
      </c>
      <c r="Q35" s="865">
        <v>78403</v>
      </c>
      <c r="R35" s="995">
        <f t="shared" si="4"/>
        <v>176286.68900000001</v>
      </c>
      <c r="S35" s="1001"/>
    </row>
    <row r="36" spans="1:19" s="567" customFormat="1">
      <c r="A36" s="551">
        <v>27</v>
      </c>
      <c r="B36" s="974" t="s">
        <v>1403</v>
      </c>
      <c r="C36" s="996" t="s">
        <v>32</v>
      </c>
      <c r="D36" s="1001"/>
      <c r="E36" s="551" t="s">
        <v>42</v>
      </c>
      <c r="F36" s="998">
        <f>G35</f>
        <v>46165</v>
      </c>
      <c r="G36" s="993">
        <f t="shared" si="8"/>
        <v>46167</v>
      </c>
      <c r="H36" s="999" t="s">
        <v>1924</v>
      </c>
      <c r="I36" s="1412"/>
      <c r="J36" s="1043">
        <v>108</v>
      </c>
      <c r="K36" s="863">
        <v>1.46</v>
      </c>
      <c r="L36" s="863">
        <v>9.7100000000000009</v>
      </c>
      <c r="M36" s="863">
        <v>0.61299999999999999</v>
      </c>
      <c r="N36" s="865">
        <v>204</v>
      </c>
      <c r="O36" s="865">
        <v>8390</v>
      </c>
      <c r="P36" s="865">
        <v>9675</v>
      </c>
      <c r="Q36" s="865">
        <v>78403</v>
      </c>
      <c r="R36" s="995">
        <f t="shared" si="4"/>
        <v>176286.68900000001</v>
      </c>
      <c r="S36" s="1001"/>
    </row>
    <row r="37" spans="1:19" s="567" customFormat="1">
      <c r="A37" s="551">
        <v>28</v>
      </c>
      <c r="B37" s="974" t="s">
        <v>1404</v>
      </c>
      <c r="C37" s="996" t="s">
        <v>48</v>
      </c>
      <c r="D37" s="1001"/>
      <c r="E37" s="551" t="s">
        <v>42</v>
      </c>
      <c r="F37" s="998">
        <f>G36</f>
        <v>46167</v>
      </c>
      <c r="G37" s="993">
        <f t="shared" si="8"/>
        <v>46169</v>
      </c>
      <c r="H37" s="999" t="s">
        <v>1924</v>
      </c>
      <c r="I37" s="1412"/>
      <c r="J37" s="1043">
        <v>108</v>
      </c>
      <c r="K37" s="863">
        <v>1.46</v>
      </c>
      <c r="L37" s="863">
        <v>9.7100000000000009</v>
      </c>
      <c r="M37" s="863">
        <v>0.61299999999999999</v>
      </c>
      <c r="N37" s="865">
        <v>204</v>
      </c>
      <c r="O37" s="865">
        <v>8390</v>
      </c>
      <c r="P37" s="865">
        <v>9675</v>
      </c>
      <c r="Q37" s="865">
        <v>78403</v>
      </c>
      <c r="R37" s="995">
        <f t="shared" si="4"/>
        <v>176286.68900000001</v>
      </c>
      <c r="S37" s="1001"/>
    </row>
    <row r="38" spans="1:19" s="567" customFormat="1">
      <c r="A38" s="551">
        <v>29</v>
      </c>
      <c r="B38" s="974" t="s">
        <v>1405</v>
      </c>
      <c r="C38" s="996" t="s">
        <v>1181</v>
      </c>
      <c r="D38" s="1001"/>
      <c r="E38" s="997" t="s">
        <v>61</v>
      </c>
      <c r="F38" s="998">
        <f>G37</f>
        <v>46169</v>
      </c>
      <c r="G38" s="993">
        <f t="shared" si="8"/>
        <v>46171</v>
      </c>
      <c r="H38" s="999" t="s">
        <v>1924</v>
      </c>
      <c r="I38" s="1412"/>
      <c r="J38" s="1042">
        <v>329.49</v>
      </c>
      <c r="K38" s="957">
        <v>4.88</v>
      </c>
      <c r="L38" s="957">
        <v>31.12</v>
      </c>
      <c r="M38" s="863">
        <v>2.3119999999999998</v>
      </c>
      <c r="N38" s="865">
        <v>204</v>
      </c>
      <c r="O38" s="865">
        <v>8390</v>
      </c>
      <c r="P38" s="865">
        <v>9675</v>
      </c>
      <c r="Q38" s="865">
        <v>78403</v>
      </c>
      <c r="R38" s="995">
        <f t="shared" si="4"/>
        <v>590512.89599999995</v>
      </c>
      <c r="S38" s="1001"/>
    </row>
    <row r="39" spans="1:19" s="567" customFormat="1">
      <c r="A39" s="551">
        <v>30</v>
      </c>
      <c r="B39" s="974" t="s">
        <v>1406</v>
      </c>
      <c r="C39" s="996" t="s">
        <v>32</v>
      </c>
      <c r="D39" s="1001"/>
      <c r="E39" s="551" t="s">
        <v>42</v>
      </c>
      <c r="F39" s="993">
        <f>G38</f>
        <v>46171</v>
      </c>
      <c r="G39" s="993">
        <f t="shared" si="8"/>
        <v>46173</v>
      </c>
      <c r="H39" s="994" t="s">
        <v>1924</v>
      </c>
      <c r="I39" s="1412"/>
      <c r="J39" s="1043">
        <v>108</v>
      </c>
      <c r="K39" s="863">
        <v>1.46</v>
      </c>
      <c r="L39" s="863">
        <v>9.7100000000000009</v>
      </c>
      <c r="M39" s="863">
        <v>0.61299999999999999</v>
      </c>
      <c r="N39" s="865">
        <v>204</v>
      </c>
      <c r="O39" s="865">
        <v>8390</v>
      </c>
      <c r="P39" s="865">
        <v>9675</v>
      </c>
      <c r="Q39" s="865">
        <v>78403</v>
      </c>
      <c r="R39" s="995">
        <f t="shared" si="4"/>
        <v>176286.68900000001</v>
      </c>
      <c r="S39" s="1001"/>
    </row>
    <row r="40" spans="1:19" s="567" customFormat="1">
      <c r="A40" s="551">
        <v>31</v>
      </c>
      <c r="B40" s="976" t="s">
        <v>1377</v>
      </c>
      <c r="C40" s="976" t="s">
        <v>32</v>
      </c>
      <c r="D40" s="976"/>
      <c r="E40" s="1002" t="s">
        <v>42</v>
      </c>
      <c r="F40" s="1003">
        <v>46143</v>
      </c>
      <c r="G40" s="1003">
        <f>F40+7</f>
        <v>46150</v>
      </c>
      <c r="H40" s="1004" t="s">
        <v>1854</v>
      </c>
      <c r="I40" s="1418">
        <v>8</v>
      </c>
      <c r="J40" s="862">
        <v>108</v>
      </c>
      <c r="K40" s="862">
        <v>1.46</v>
      </c>
      <c r="L40" s="862">
        <v>9.7100000000000009</v>
      </c>
      <c r="M40" s="862">
        <v>0.61299999999999999</v>
      </c>
      <c r="N40" s="1005">
        <v>204</v>
      </c>
      <c r="O40" s="1005">
        <v>8390</v>
      </c>
      <c r="P40" s="1005">
        <v>9675</v>
      </c>
      <c r="Q40" s="1005">
        <v>78403</v>
      </c>
      <c r="R40" s="1006">
        <f t="shared" si="4"/>
        <v>176286.68900000001</v>
      </c>
      <c r="S40" s="1002" t="s">
        <v>29</v>
      </c>
    </row>
    <row r="41" spans="1:19" s="567" customFormat="1">
      <c r="A41" s="551">
        <v>32</v>
      </c>
      <c r="B41" s="974" t="s">
        <v>1373</v>
      </c>
      <c r="C41" s="974" t="s">
        <v>32</v>
      </c>
      <c r="D41" s="974"/>
      <c r="E41" s="551" t="s">
        <v>42</v>
      </c>
      <c r="F41" s="993">
        <f>G40</f>
        <v>46150</v>
      </c>
      <c r="G41" s="993">
        <f>F41+7</f>
        <v>46157</v>
      </c>
      <c r="H41" s="994" t="s">
        <v>1854</v>
      </c>
      <c r="I41" s="1419"/>
      <c r="J41" s="863">
        <v>108</v>
      </c>
      <c r="K41" s="863">
        <v>1.46</v>
      </c>
      <c r="L41" s="863">
        <v>9.7100000000000009</v>
      </c>
      <c r="M41" s="863">
        <v>0.61299999999999999</v>
      </c>
      <c r="N41" s="865">
        <v>204</v>
      </c>
      <c r="O41" s="865">
        <v>8390</v>
      </c>
      <c r="P41" s="865">
        <v>9675</v>
      </c>
      <c r="Q41" s="865">
        <v>78403</v>
      </c>
      <c r="R41" s="995">
        <f t="shared" si="4"/>
        <v>176286.68900000001</v>
      </c>
      <c r="S41" s="551"/>
    </row>
    <row r="42" spans="1:19" s="567" customFormat="1">
      <c r="A42" s="551">
        <v>33</v>
      </c>
      <c r="B42" s="974" t="s">
        <v>1374</v>
      </c>
      <c r="C42" s="974" t="s">
        <v>48</v>
      </c>
      <c r="D42" s="974"/>
      <c r="E42" s="551" t="s">
        <v>42</v>
      </c>
      <c r="F42" s="993">
        <f t="shared" ref="F42:F44" si="9">G41</f>
        <v>46157</v>
      </c>
      <c r="G42" s="993">
        <f>F42+7</f>
        <v>46164</v>
      </c>
      <c r="H42" s="994" t="s">
        <v>1854</v>
      </c>
      <c r="I42" s="1419"/>
      <c r="J42" s="863">
        <v>108</v>
      </c>
      <c r="K42" s="863">
        <v>1.46</v>
      </c>
      <c r="L42" s="863">
        <v>9.7100000000000009</v>
      </c>
      <c r="M42" s="863">
        <v>0.61299999999999999</v>
      </c>
      <c r="N42" s="865">
        <v>204</v>
      </c>
      <c r="O42" s="865">
        <v>8390</v>
      </c>
      <c r="P42" s="865">
        <v>9675</v>
      </c>
      <c r="Q42" s="865">
        <v>78403</v>
      </c>
      <c r="R42" s="995">
        <f t="shared" si="4"/>
        <v>176286.68900000001</v>
      </c>
      <c r="S42" s="551"/>
    </row>
    <row r="43" spans="1:19" s="567" customFormat="1">
      <c r="A43" s="551">
        <v>34</v>
      </c>
      <c r="B43" s="974" t="s">
        <v>1375</v>
      </c>
      <c r="C43" s="974" t="s">
        <v>48</v>
      </c>
      <c r="D43" s="974"/>
      <c r="E43" s="551" t="s">
        <v>42</v>
      </c>
      <c r="F43" s="993">
        <f t="shared" si="9"/>
        <v>46164</v>
      </c>
      <c r="G43" s="993">
        <f>F43+5</f>
        <v>46169</v>
      </c>
      <c r="H43" s="994" t="s">
        <v>1854</v>
      </c>
      <c r="I43" s="1419"/>
      <c r="J43" s="863">
        <v>108</v>
      </c>
      <c r="K43" s="863">
        <v>1.46</v>
      </c>
      <c r="L43" s="863">
        <v>9.7100000000000009</v>
      </c>
      <c r="M43" s="863">
        <v>0.61299999999999999</v>
      </c>
      <c r="N43" s="865">
        <v>204</v>
      </c>
      <c r="O43" s="865">
        <v>8390</v>
      </c>
      <c r="P43" s="865">
        <v>9675</v>
      </c>
      <c r="Q43" s="865">
        <v>78403</v>
      </c>
      <c r="R43" s="995">
        <f>(J44*N43+K44*O43+L44*P43+M44*Q43)</f>
        <v>210772.12100000001</v>
      </c>
      <c r="S43" s="551"/>
    </row>
    <row r="44" spans="1:19" s="567" customFormat="1">
      <c r="A44" s="551">
        <v>35</v>
      </c>
      <c r="B44" s="974" t="s">
        <v>1376</v>
      </c>
      <c r="C44" s="974" t="s">
        <v>49</v>
      </c>
      <c r="D44" s="974"/>
      <c r="E44" s="551" t="s">
        <v>61</v>
      </c>
      <c r="F44" s="993">
        <f t="shared" si="9"/>
        <v>46169</v>
      </c>
      <c r="G44" s="993">
        <f>F44+4</f>
        <v>46173</v>
      </c>
      <c r="H44" s="994" t="s">
        <v>1854</v>
      </c>
      <c r="I44" s="1420"/>
      <c r="J44" s="957">
        <v>133.87</v>
      </c>
      <c r="K44" s="957">
        <v>1.85</v>
      </c>
      <c r="L44" s="957">
        <v>11.71</v>
      </c>
      <c r="M44" s="863">
        <v>0.69699999999999995</v>
      </c>
      <c r="N44" s="865">
        <v>204</v>
      </c>
      <c r="O44" s="865">
        <v>8390</v>
      </c>
      <c r="P44" s="865">
        <v>9675</v>
      </c>
      <c r="Q44" s="865">
        <v>78403</v>
      </c>
      <c r="R44" s="995">
        <f>(J45*N44+K45*O44+L45*P44+M45*Q44)</f>
        <v>176286.68900000001</v>
      </c>
      <c r="S44" s="1002" t="s">
        <v>978</v>
      </c>
    </row>
    <row r="45" spans="1:19" s="567" customFormat="1">
      <c r="A45" s="551">
        <v>36</v>
      </c>
      <c r="B45" s="974" t="s">
        <v>1419</v>
      </c>
      <c r="C45" s="974" t="s">
        <v>32</v>
      </c>
      <c r="D45" s="974"/>
      <c r="E45" s="551" t="s">
        <v>42</v>
      </c>
      <c r="F45" s="993">
        <v>46143</v>
      </c>
      <c r="G45" s="993">
        <f>F45+7</f>
        <v>46150</v>
      </c>
      <c r="H45" s="994" t="s">
        <v>1891</v>
      </c>
      <c r="I45" s="1418">
        <v>8</v>
      </c>
      <c r="J45" s="863">
        <v>108</v>
      </c>
      <c r="K45" s="863">
        <v>1.46</v>
      </c>
      <c r="L45" s="863">
        <v>9.7100000000000009</v>
      </c>
      <c r="M45" s="863">
        <v>0.61299999999999999</v>
      </c>
      <c r="N45" s="865">
        <v>204</v>
      </c>
      <c r="O45" s="865">
        <v>8390</v>
      </c>
      <c r="P45" s="865">
        <v>9675</v>
      </c>
      <c r="Q45" s="865">
        <v>78403</v>
      </c>
      <c r="R45" s="995">
        <f>(J46*N45+K46*O45+L46*P45+M46*Q45)</f>
        <v>188025.11799999999</v>
      </c>
      <c r="S45" s="551" t="s">
        <v>29</v>
      </c>
    </row>
    <row r="46" spans="1:19" s="567" customFormat="1">
      <c r="A46" s="551">
        <v>37</v>
      </c>
      <c r="B46" s="974" t="s">
        <v>1420</v>
      </c>
      <c r="C46" s="974" t="s">
        <v>34</v>
      </c>
      <c r="D46" s="974"/>
      <c r="E46" s="551" t="s">
        <v>61</v>
      </c>
      <c r="F46" s="993">
        <f>G45</f>
        <v>46150</v>
      </c>
      <c r="G46" s="993">
        <f>F46+7</f>
        <v>46157</v>
      </c>
      <c r="H46" s="994" t="s">
        <v>1891</v>
      </c>
      <c r="I46" s="1419"/>
      <c r="J46" s="957">
        <v>108</v>
      </c>
      <c r="K46" s="957">
        <v>1.46</v>
      </c>
      <c r="L46" s="957">
        <v>10.98</v>
      </c>
      <c r="M46" s="863">
        <v>0.60599999999999998</v>
      </c>
      <c r="N46" s="865">
        <v>204</v>
      </c>
      <c r="O46" s="865">
        <v>8390</v>
      </c>
      <c r="P46" s="865">
        <v>9675</v>
      </c>
      <c r="Q46" s="865">
        <v>78403</v>
      </c>
      <c r="R46" s="995">
        <f>(J47*N46+K47*O46+L47*P46+M47*Q46)</f>
        <v>210772.12100000001</v>
      </c>
      <c r="S46" s="551" t="s">
        <v>978</v>
      </c>
    </row>
    <row r="47" spans="1:19" s="567" customFormat="1">
      <c r="A47" s="551">
        <v>38</v>
      </c>
      <c r="B47" s="974" t="s">
        <v>1411</v>
      </c>
      <c r="C47" s="974" t="s">
        <v>48</v>
      </c>
      <c r="D47" s="974"/>
      <c r="E47" s="551" t="s">
        <v>61</v>
      </c>
      <c r="F47" s="993">
        <f t="shared" ref="F47:F49" si="10">G46</f>
        <v>46157</v>
      </c>
      <c r="G47" s="993">
        <f>F47+7</f>
        <v>46164</v>
      </c>
      <c r="H47" s="994" t="s">
        <v>1891</v>
      </c>
      <c r="I47" s="1419"/>
      <c r="J47" s="957">
        <v>133.87</v>
      </c>
      <c r="K47" s="957">
        <v>1.85</v>
      </c>
      <c r="L47" s="957">
        <v>11.71</v>
      </c>
      <c r="M47" s="863">
        <v>0.69699999999999995</v>
      </c>
      <c r="N47" s="865">
        <v>204</v>
      </c>
      <c r="O47" s="865">
        <v>8390</v>
      </c>
      <c r="P47" s="865">
        <v>9675</v>
      </c>
      <c r="Q47" s="865">
        <v>78403</v>
      </c>
      <c r="R47" s="995">
        <f>(J48*N47+K48*O47+L48*P47+M48*Q47)</f>
        <v>286546.59299999999</v>
      </c>
      <c r="S47" s="551"/>
    </row>
    <row r="48" spans="1:19" s="567" customFormat="1">
      <c r="A48" s="551">
        <v>39</v>
      </c>
      <c r="B48" s="974" t="s">
        <v>1412</v>
      </c>
      <c r="C48" s="974" t="s">
        <v>43</v>
      </c>
      <c r="D48" s="974"/>
      <c r="E48" s="551" t="s">
        <v>42</v>
      </c>
      <c r="F48" s="993">
        <f t="shared" si="10"/>
        <v>46164</v>
      </c>
      <c r="G48" s="993">
        <f>F48+5</f>
        <v>46169</v>
      </c>
      <c r="H48" s="994" t="s">
        <v>1891</v>
      </c>
      <c r="I48" s="1419"/>
      <c r="J48" s="957">
        <v>166.06</v>
      </c>
      <c r="K48" s="957">
        <v>2.34</v>
      </c>
      <c r="L48" s="957">
        <v>16.38</v>
      </c>
      <c r="M48" s="863">
        <v>0.95099999999999996</v>
      </c>
      <c r="N48" s="865">
        <v>204</v>
      </c>
      <c r="O48" s="865">
        <v>8390</v>
      </c>
      <c r="P48" s="865">
        <v>9675</v>
      </c>
      <c r="Q48" s="865">
        <v>78403</v>
      </c>
      <c r="R48" s="995">
        <f>(J43*N48+K43*O48+L43*P48+M43*Q48)</f>
        <v>176286.68900000001</v>
      </c>
      <c r="S48" s="551"/>
    </row>
    <row r="49" spans="1:19" s="567" customFormat="1">
      <c r="A49" s="551">
        <v>40</v>
      </c>
      <c r="B49" s="974" t="s">
        <v>1413</v>
      </c>
      <c r="C49" s="974" t="s">
        <v>32</v>
      </c>
      <c r="D49" s="974"/>
      <c r="E49" s="551" t="s">
        <v>42</v>
      </c>
      <c r="F49" s="993">
        <f t="shared" si="10"/>
        <v>46169</v>
      </c>
      <c r="G49" s="993">
        <f>F49+4</f>
        <v>46173</v>
      </c>
      <c r="H49" s="994" t="s">
        <v>1891</v>
      </c>
      <c r="I49" s="1420"/>
      <c r="J49" s="863">
        <v>108</v>
      </c>
      <c r="K49" s="863">
        <v>1.46</v>
      </c>
      <c r="L49" s="863">
        <v>9.7100000000000009</v>
      </c>
      <c r="M49" s="863">
        <v>0.61299999999999999</v>
      </c>
      <c r="N49" s="865">
        <v>204</v>
      </c>
      <c r="O49" s="865">
        <v>8390</v>
      </c>
      <c r="P49" s="865">
        <v>9675</v>
      </c>
      <c r="Q49" s="865">
        <v>78403</v>
      </c>
      <c r="R49" s="995">
        <f t="shared" ref="R49:R59" si="11">(J49*N49+K49*O49+L49*P49+M49*Q49)</f>
        <v>176286.68900000001</v>
      </c>
      <c r="S49" s="551"/>
    </row>
    <row r="50" spans="1:19" s="567" customFormat="1">
      <c r="A50" s="551">
        <v>41</v>
      </c>
      <c r="B50" s="996" t="s">
        <v>1320</v>
      </c>
      <c r="C50" s="996" t="s">
        <v>34</v>
      </c>
      <c r="D50" s="974">
        <v>1</v>
      </c>
      <c r="E50" s="551" t="s">
        <v>42</v>
      </c>
      <c r="F50" s="993">
        <v>46143</v>
      </c>
      <c r="G50" s="993">
        <f>F50+7</f>
        <v>46150</v>
      </c>
      <c r="H50" s="994" t="s">
        <v>1941</v>
      </c>
      <c r="I50" s="1418">
        <v>8</v>
      </c>
      <c r="J50" s="957">
        <v>84.27</v>
      </c>
      <c r="K50" s="957">
        <v>1.1000000000000001</v>
      </c>
      <c r="L50" s="957">
        <v>11.09</v>
      </c>
      <c r="M50" s="862">
        <v>0.751</v>
      </c>
      <c r="N50" s="865">
        <v>204</v>
      </c>
      <c r="O50" s="865">
        <v>8390</v>
      </c>
      <c r="P50" s="865">
        <v>9675</v>
      </c>
      <c r="Q50" s="865">
        <v>78403</v>
      </c>
      <c r="R50" s="995">
        <f t="shared" si="11"/>
        <v>192596.48299999998</v>
      </c>
      <c r="S50" s="551" t="s">
        <v>978</v>
      </c>
    </row>
    <row r="51" spans="1:19" s="681" customFormat="1">
      <c r="A51" s="551">
        <v>42</v>
      </c>
      <c r="B51" s="996" t="s">
        <v>1319</v>
      </c>
      <c r="C51" s="996" t="s">
        <v>34</v>
      </c>
      <c r="D51" s="974">
        <v>1</v>
      </c>
      <c r="E51" s="551" t="s">
        <v>42</v>
      </c>
      <c r="F51" s="993">
        <f>G50</f>
        <v>46150</v>
      </c>
      <c r="G51" s="993">
        <f>F51+7</f>
        <v>46157</v>
      </c>
      <c r="H51" s="994" t="s">
        <v>1941</v>
      </c>
      <c r="I51" s="1419"/>
      <c r="J51" s="957">
        <v>84.27</v>
      </c>
      <c r="K51" s="957">
        <v>1.1000000000000001</v>
      </c>
      <c r="L51" s="957">
        <v>11.09</v>
      </c>
      <c r="M51" s="862">
        <v>0.751</v>
      </c>
      <c r="N51" s="865">
        <v>204</v>
      </c>
      <c r="O51" s="865">
        <v>8390</v>
      </c>
      <c r="P51" s="865">
        <v>9675</v>
      </c>
      <c r="Q51" s="865">
        <v>78403</v>
      </c>
      <c r="R51" s="995">
        <f t="shared" si="11"/>
        <v>192596.48299999998</v>
      </c>
      <c r="S51" s="551"/>
    </row>
    <row r="52" spans="1:19" s="867" customFormat="1">
      <c r="A52" s="551">
        <v>43</v>
      </c>
      <c r="B52" s="996" t="s">
        <v>1296</v>
      </c>
      <c r="C52" s="996" t="s">
        <v>32</v>
      </c>
      <c r="D52" s="974"/>
      <c r="E52" s="551" t="s">
        <v>61</v>
      </c>
      <c r="F52" s="993">
        <f t="shared" ref="F52:F54" si="12">G51</f>
        <v>46157</v>
      </c>
      <c r="G52" s="993">
        <f>F52+7</f>
        <v>46164</v>
      </c>
      <c r="H52" s="994" t="s">
        <v>1941</v>
      </c>
      <c r="I52" s="1419"/>
      <c r="J52" s="863">
        <v>133.87</v>
      </c>
      <c r="K52" s="863">
        <v>1.85</v>
      </c>
      <c r="L52" s="863">
        <v>11.77</v>
      </c>
      <c r="M52" s="863">
        <v>0.69699999999999995</v>
      </c>
      <c r="N52" s="865">
        <v>204</v>
      </c>
      <c r="O52" s="865">
        <v>8390</v>
      </c>
      <c r="P52" s="865">
        <v>9675</v>
      </c>
      <c r="Q52" s="865">
        <v>78403</v>
      </c>
      <c r="R52" s="995">
        <f t="shared" si="11"/>
        <v>211352.62099999998</v>
      </c>
      <c r="S52" s="551"/>
    </row>
    <row r="53" spans="1:19" s="681" customFormat="1">
      <c r="A53" s="551">
        <v>44</v>
      </c>
      <c r="B53" s="996" t="s">
        <v>1297</v>
      </c>
      <c r="C53" s="996" t="s">
        <v>34</v>
      </c>
      <c r="D53" s="974"/>
      <c r="E53" s="551" t="s">
        <v>61</v>
      </c>
      <c r="F53" s="993">
        <f t="shared" si="12"/>
        <v>46164</v>
      </c>
      <c r="G53" s="993">
        <f>F53+5</f>
        <v>46169</v>
      </c>
      <c r="H53" s="994" t="s">
        <v>1941</v>
      </c>
      <c r="I53" s="1419"/>
      <c r="J53" s="957">
        <v>108</v>
      </c>
      <c r="K53" s="957">
        <v>1.46</v>
      </c>
      <c r="L53" s="957">
        <v>10.98</v>
      </c>
      <c r="M53" s="863">
        <v>0.60599999999999998</v>
      </c>
      <c r="N53" s="865">
        <v>204</v>
      </c>
      <c r="O53" s="865">
        <v>8390</v>
      </c>
      <c r="P53" s="865">
        <v>9675</v>
      </c>
      <c r="Q53" s="865">
        <v>78403</v>
      </c>
      <c r="R53" s="995">
        <f t="shared" si="11"/>
        <v>188025.11799999999</v>
      </c>
      <c r="S53" s="551"/>
    </row>
    <row r="54" spans="1:19" s="681" customFormat="1">
      <c r="A54" s="551">
        <v>45</v>
      </c>
      <c r="B54" s="996" t="s">
        <v>1298</v>
      </c>
      <c r="C54" s="996" t="s">
        <v>34</v>
      </c>
      <c r="D54" s="974"/>
      <c r="E54" s="551" t="s">
        <v>61</v>
      </c>
      <c r="F54" s="993">
        <f t="shared" si="12"/>
        <v>46169</v>
      </c>
      <c r="G54" s="993">
        <f>F54+4</f>
        <v>46173</v>
      </c>
      <c r="H54" s="994" t="s">
        <v>1941</v>
      </c>
      <c r="I54" s="1419"/>
      <c r="J54" s="957">
        <v>108</v>
      </c>
      <c r="K54" s="957">
        <v>1.46</v>
      </c>
      <c r="L54" s="957">
        <v>10.98</v>
      </c>
      <c r="M54" s="863">
        <v>0.60599999999999998</v>
      </c>
      <c r="N54" s="865">
        <v>204</v>
      </c>
      <c r="O54" s="865">
        <v>8390</v>
      </c>
      <c r="P54" s="865">
        <v>9675</v>
      </c>
      <c r="Q54" s="865">
        <v>78403</v>
      </c>
      <c r="R54" s="995">
        <f t="shared" si="11"/>
        <v>188025.11799999999</v>
      </c>
      <c r="S54" s="551"/>
    </row>
    <row r="55" spans="1:19" s="681" customFormat="1">
      <c r="A55" s="551">
        <v>46</v>
      </c>
      <c r="B55" s="974" t="s">
        <v>1315</v>
      </c>
      <c r="C55" s="974" t="s">
        <v>32</v>
      </c>
      <c r="D55" s="974"/>
      <c r="E55" s="551" t="s">
        <v>61</v>
      </c>
      <c r="F55" s="993">
        <v>46143</v>
      </c>
      <c r="G55" s="993">
        <f>F55+7</f>
        <v>46150</v>
      </c>
      <c r="H55" s="994" t="s">
        <v>1951</v>
      </c>
      <c r="I55" s="1412">
        <v>8</v>
      </c>
      <c r="J55" s="1042">
        <v>108</v>
      </c>
      <c r="K55" s="957">
        <v>1.46</v>
      </c>
      <c r="L55" s="957">
        <v>10.98</v>
      </c>
      <c r="M55" s="863">
        <v>0.60599999999999998</v>
      </c>
      <c r="N55" s="865">
        <v>204</v>
      </c>
      <c r="O55" s="865">
        <v>8390</v>
      </c>
      <c r="P55" s="865">
        <v>9675</v>
      </c>
      <c r="Q55" s="865">
        <v>78403</v>
      </c>
      <c r="R55" s="995">
        <f t="shared" si="11"/>
        <v>188025.11799999999</v>
      </c>
      <c r="S55" s="551"/>
    </row>
    <row r="56" spans="1:19" s="681" customFormat="1">
      <c r="A56" s="551">
        <v>47</v>
      </c>
      <c r="B56" s="974" t="s">
        <v>1313</v>
      </c>
      <c r="C56" s="974" t="s">
        <v>32</v>
      </c>
      <c r="D56" s="974"/>
      <c r="E56" s="551" t="s">
        <v>42</v>
      </c>
      <c r="F56" s="993">
        <f>G55</f>
        <v>46150</v>
      </c>
      <c r="G56" s="993">
        <f>F56+7</f>
        <v>46157</v>
      </c>
      <c r="H56" s="994" t="s">
        <v>1951</v>
      </c>
      <c r="I56" s="1412"/>
      <c r="J56" s="1043">
        <v>108</v>
      </c>
      <c r="K56" s="863">
        <v>1.46</v>
      </c>
      <c r="L56" s="863">
        <v>9.7100000000000009</v>
      </c>
      <c r="M56" s="863">
        <v>0.61299999999999999</v>
      </c>
      <c r="N56" s="865">
        <v>204</v>
      </c>
      <c r="O56" s="865">
        <v>8390</v>
      </c>
      <c r="P56" s="865">
        <v>9675</v>
      </c>
      <c r="Q56" s="865">
        <v>78403</v>
      </c>
      <c r="R56" s="995">
        <f t="shared" si="11"/>
        <v>176286.68900000001</v>
      </c>
      <c r="S56" s="551"/>
    </row>
    <row r="57" spans="1:19" s="681" customFormat="1">
      <c r="A57" s="551">
        <v>48</v>
      </c>
      <c r="B57" s="974" t="s">
        <v>1312</v>
      </c>
      <c r="C57" s="974" t="s">
        <v>34</v>
      </c>
      <c r="D57" s="974"/>
      <c r="E57" s="551" t="s">
        <v>42</v>
      </c>
      <c r="F57" s="993">
        <f t="shared" ref="F57:F59" si="13">G56</f>
        <v>46157</v>
      </c>
      <c r="G57" s="993">
        <f>F57+7</f>
        <v>46164</v>
      </c>
      <c r="H57" s="994" t="s">
        <v>1951</v>
      </c>
      <c r="I57" s="1412"/>
      <c r="J57" s="1043">
        <v>108</v>
      </c>
      <c r="K57" s="863">
        <v>1.46</v>
      </c>
      <c r="L57" s="863">
        <v>9.7100000000000009</v>
      </c>
      <c r="M57" s="863">
        <v>0.61299999999999999</v>
      </c>
      <c r="N57" s="865">
        <v>204</v>
      </c>
      <c r="O57" s="865">
        <v>8390</v>
      </c>
      <c r="P57" s="865">
        <v>9675</v>
      </c>
      <c r="Q57" s="865">
        <v>78403</v>
      </c>
      <c r="R57" s="995">
        <f t="shared" si="11"/>
        <v>176286.68900000001</v>
      </c>
      <c r="S57" s="551"/>
    </row>
    <row r="58" spans="1:19" s="681" customFormat="1">
      <c r="A58" s="551">
        <v>49</v>
      </c>
      <c r="B58" s="974" t="s">
        <v>1316</v>
      </c>
      <c r="C58" s="974" t="s">
        <v>48</v>
      </c>
      <c r="D58" s="974"/>
      <c r="E58" s="551" t="s">
        <v>42</v>
      </c>
      <c r="F58" s="993">
        <f t="shared" si="13"/>
        <v>46164</v>
      </c>
      <c r="G58" s="993">
        <f>F58+5</f>
        <v>46169</v>
      </c>
      <c r="H58" s="994" t="s">
        <v>1951</v>
      </c>
      <c r="I58" s="1412"/>
      <c r="J58" s="1043">
        <v>108</v>
      </c>
      <c r="K58" s="863">
        <v>1.46</v>
      </c>
      <c r="L58" s="863">
        <v>9.7100000000000009</v>
      </c>
      <c r="M58" s="863">
        <v>0.61299999999999999</v>
      </c>
      <c r="N58" s="865">
        <v>204</v>
      </c>
      <c r="O58" s="865">
        <v>8390</v>
      </c>
      <c r="P58" s="865">
        <v>9675</v>
      </c>
      <c r="Q58" s="865">
        <v>78403</v>
      </c>
      <c r="R58" s="995">
        <f t="shared" si="11"/>
        <v>176286.68900000001</v>
      </c>
      <c r="S58" s="551"/>
    </row>
    <row r="59" spans="1:19" s="681" customFormat="1">
      <c r="A59" s="551">
        <v>50</v>
      </c>
      <c r="B59" s="974" t="s">
        <v>1317</v>
      </c>
      <c r="C59" s="974" t="s">
        <v>1423</v>
      </c>
      <c r="D59" s="974"/>
      <c r="E59" s="551" t="s">
        <v>42</v>
      </c>
      <c r="F59" s="993">
        <f t="shared" si="13"/>
        <v>46169</v>
      </c>
      <c r="G59" s="993">
        <f>F59+4</f>
        <v>46173</v>
      </c>
      <c r="H59" s="994" t="s">
        <v>1951</v>
      </c>
      <c r="I59" s="1412"/>
      <c r="J59" s="1046">
        <v>270.75</v>
      </c>
      <c r="K59" s="965">
        <v>3.96</v>
      </c>
      <c r="L59" s="965">
        <v>25.67</v>
      </c>
      <c r="M59" s="863">
        <v>1.84</v>
      </c>
      <c r="N59" s="865">
        <v>204</v>
      </c>
      <c r="O59" s="865">
        <v>8390</v>
      </c>
      <c r="P59" s="865">
        <v>9675</v>
      </c>
      <c r="Q59" s="865">
        <v>78403</v>
      </c>
      <c r="R59" s="1007">
        <f t="shared" si="11"/>
        <v>481076.17000000004</v>
      </c>
      <c r="S59" s="551"/>
    </row>
    <row r="60" spans="1:19" s="681" customFormat="1">
      <c r="A60" s="551">
        <v>51</v>
      </c>
      <c r="B60" s="996" t="s">
        <v>1203</v>
      </c>
      <c r="C60" s="996" t="s">
        <v>48</v>
      </c>
      <c r="D60" s="974">
        <v>1</v>
      </c>
      <c r="E60" s="551" t="s">
        <v>61</v>
      </c>
      <c r="F60" s="993">
        <v>46143</v>
      </c>
      <c r="G60" s="993">
        <f>F60+7</f>
        <v>46150</v>
      </c>
      <c r="H60" s="994" t="s">
        <v>1880</v>
      </c>
      <c r="I60" s="1419">
        <v>8</v>
      </c>
      <c r="J60" s="957">
        <v>140.36000000000001</v>
      </c>
      <c r="K60" s="957">
        <v>1.96</v>
      </c>
      <c r="L60" s="957">
        <v>14.51</v>
      </c>
      <c r="M60" s="862">
        <v>0.94499999999999995</v>
      </c>
      <c r="N60" s="865">
        <v>204</v>
      </c>
      <c r="O60" s="865">
        <v>8390</v>
      </c>
      <c r="P60" s="865">
        <v>9675</v>
      </c>
      <c r="Q60" s="865">
        <v>78403</v>
      </c>
      <c r="R60" s="995">
        <f>(J60*N60+K60*O60+L60*P60+M60*Q60)</f>
        <v>259552.92499999999</v>
      </c>
      <c r="S60" s="551" t="s">
        <v>978</v>
      </c>
    </row>
    <row r="61" spans="1:19" s="681" customFormat="1">
      <c r="A61" s="551">
        <v>52</v>
      </c>
      <c r="B61" s="996" t="s">
        <v>1308</v>
      </c>
      <c r="C61" s="996" t="s">
        <v>1181</v>
      </c>
      <c r="D61" s="974"/>
      <c r="E61" s="551" t="s">
        <v>42</v>
      </c>
      <c r="F61" s="993">
        <f>G60</f>
        <v>46150</v>
      </c>
      <c r="G61" s="993">
        <f>F61+7</f>
        <v>46157</v>
      </c>
      <c r="H61" s="994" t="s">
        <v>1880</v>
      </c>
      <c r="I61" s="1419"/>
      <c r="J61" s="957">
        <v>270.75</v>
      </c>
      <c r="K61" s="957">
        <v>3.96</v>
      </c>
      <c r="L61" s="957">
        <v>25.67</v>
      </c>
      <c r="M61" s="863">
        <v>1.84</v>
      </c>
      <c r="N61" s="865">
        <v>204</v>
      </c>
      <c r="O61" s="865">
        <v>8390</v>
      </c>
      <c r="P61" s="865">
        <v>9675</v>
      </c>
      <c r="Q61" s="865">
        <v>78403</v>
      </c>
      <c r="R61" s="995">
        <f>(J61*N61+K61*O61+L61*P61+M61*Q61)</f>
        <v>481076.17000000004</v>
      </c>
      <c r="S61" s="551"/>
    </row>
    <row r="62" spans="1:19" s="681" customFormat="1">
      <c r="A62" s="551">
        <v>53</v>
      </c>
      <c r="B62" s="974" t="s">
        <v>1309</v>
      </c>
      <c r="C62" s="974" t="s">
        <v>32</v>
      </c>
      <c r="D62" s="974"/>
      <c r="E62" s="551" t="s">
        <v>42</v>
      </c>
      <c r="F62" s="993">
        <f t="shared" ref="F62:F64" si="14">G61</f>
        <v>46157</v>
      </c>
      <c r="G62" s="993">
        <f>F62+7</f>
        <v>46164</v>
      </c>
      <c r="H62" s="994" t="s">
        <v>1880</v>
      </c>
      <c r="I62" s="1419"/>
      <c r="J62" s="863">
        <v>108</v>
      </c>
      <c r="K62" s="863">
        <v>1.46</v>
      </c>
      <c r="L62" s="863">
        <v>9.7100000000000009</v>
      </c>
      <c r="M62" s="863">
        <v>0.61299999999999999</v>
      </c>
      <c r="N62" s="865">
        <v>204</v>
      </c>
      <c r="O62" s="865">
        <v>8390</v>
      </c>
      <c r="P62" s="865">
        <v>9675</v>
      </c>
      <c r="Q62" s="865">
        <v>78403</v>
      </c>
      <c r="R62" s="995">
        <f>(J62*N62+K62*O62+L62*P62+M62*Q62)</f>
        <v>176286.68900000001</v>
      </c>
      <c r="S62" s="551"/>
    </row>
    <row r="63" spans="1:19" s="681" customFormat="1">
      <c r="A63" s="551">
        <v>54</v>
      </c>
      <c r="B63" s="974" t="s">
        <v>1310</v>
      </c>
      <c r="C63" s="974" t="s">
        <v>48</v>
      </c>
      <c r="D63" s="974"/>
      <c r="E63" s="551" t="s">
        <v>61</v>
      </c>
      <c r="F63" s="993">
        <f t="shared" si="14"/>
        <v>46164</v>
      </c>
      <c r="G63" s="993">
        <f>F63+5</f>
        <v>46169</v>
      </c>
      <c r="H63" s="994" t="s">
        <v>1880</v>
      </c>
      <c r="I63" s="1419"/>
      <c r="J63" s="957">
        <v>133.87</v>
      </c>
      <c r="K63" s="957">
        <v>1.85</v>
      </c>
      <c r="L63" s="957">
        <v>11.71</v>
      </c>
      <c r="M63" s="863">
        <v>0.69699999999999995</v>
      </c>
      <c r="N63" s="865">
        <v>204</v>
      </c>
      <c r="O63" s="865">
        <v>8390</v>
      </c>
      <c r="P63" s="865">
        <v>9675</v>
      </c>
      <c r="Q63" s="865">
        <v>78403</v>
      </c>
      <c r="R63" s="995">
        <f>(J63*N63+K63*O63+L63*P63+M63*Q63)</f>
        <v>210772.12100000001</v>
      </c>
      <c r="S63" s="551"/>
    </row>
    <row r="64" spans="1:19" s="681" customFormat="1">
      <c r="A64" s="551">
        <v>55</v>
      </c>
      <c r="B64" s="974" t="s">
        <v>1311</v>
      </c>
      <c r="C64" s="974" t="s">
        <v>32</v>
      </c>
      <c r="D64" s="974"/>
      <c r="E64" s="551" t="s">
        <v>61</v>
      </c>
      <c r="F64" s="993">
        <f t="shared" si="14"/>
        <v>46169</v>
      </c>
      <c r="G64" s="993">
        <f>F64+4</f>
        <v>46173</v>
      </c>
      <c r="H64" s="994" t="s">
        <v>1880</v>
      </c>
      <c r="I64" s="1420"/>
      <c r="J64" s="957">
        <v>133.87</v>
      </c>
      <c r="K64" s="957">
        <v>1.85</v>
      </c>
      <c r="L64" s="957">
        <v>11.71</v>
      </c>
      <c r="M64" s="863">
        <v>0.69699999999999995</v>
      </c>
      <c r="N64" s="865">
        <v>204</v>
      </c>
      <c r="O64" s="865">
        <v>8390</v>
      </c>
      <c r="P64" s="865">
        <v>9675</v>
      </c>
      <c r="Q64" s="865">
        <v>78403</v>
      </c>
      <c r="R64" s="995">
        <f>(J64*N64+K64*O64+L64*P64+M64*Q64)</f>
        <v>210772.12100000001</v>
      </c>
      <c r="S64" s="551"/>
    </row>
    <row r="65" spans="1:19" s="681" customFormat="1">
      <c r="A65" s="551">
        <v>56</v>
      </c>
      <c r="B65" s="974" t="s">
        <v>1704</v>
      </c>
      <c r="C65" s="974" t="s">
        <v>49</v>
      </c>
      <c r="D65" s="974"/>
      <c r="E65" s="551" t="s">
        <v>42</v>
      </c>
      <c r="F65" s="993">
        <v>46145</v>
      </c>
      <c r="G65" s="993">
        <f>F65+2</f>
        <v>46147</v>
      </c>
      <c r="H65" s="1421" t="s">
        <v>2013</v>
      </c>
      <c r="I65" s="1412"/>
      <c r="J65" s="1043">
        <v>108</v>
      </c>
      <c r="K65" s="863">
        <v>1.46</v>
      </c>
      <c r="L65" s="863">
        <v>9.7100000000000009</v>
      </c>
      <c r="M65" s="863">
        <v>0.61299999999999999</v>
      </c>
      <c r="N65" s="865">
        <v>204</v>
      </c>
      <c r="O65" s="865">
        <v>8390</v>
      </c>
      <c r="P65" s="865">
        <v>9675</v>
      </c>
      <c r="Q65" s="865">
        <v>78403</v>
      </c>
      <c r="R65" s="995">
        <f t="shared" ref="R65:R74" si="15">(J65*N65+K65*O65+L65*P65+M65*Q65)</f>
        <v>176286.68900000001</v>
      </c>
      <c r="S65" s="551"/>
    </row>
    <row r="66" spans="1:19" s="681" customFormat="1">
      <c r="A66" s="551">
        <v>57</v>
      </c>
      <c r="B66" s="974" t="s">
        <v>1705</v>
      </c>
      <c r="C66" s="974" t="s">
        <v>32</v>
      </c>
      <c r="D66" s="974"/>
      <c r="E66" s="551" t="s">
        <v>42</v>
      </c>
      <c r="F66" s="993">
        <f>G65</f>
        <v>46147</v>
      </c>
      <c r="G66" s="993">
        <f>F66+3</f>
        <v>46150</v>
      </c>
      <c r="H66" s="1422"/>
      <c r="I66" s="1412"/>
      <c r="J66" s="1043">
        <v>108</v>
      </c>
      <c r="K66" s="863">
        <v>1.46</v>
      </c>
      <c r="L66" s="863">
        <v>9.7100000000000009</v>
      </c>
      <c r="M66" s="863">
        <v>0.61299999999999999</v>
      </c>
      <c r="N66" s="865">
        <v>204</v>
      </c>
      <c r="O66" s="865">
        <v>8390</v>
      </c>
      <c r="P66" s="865">
        <v>9675</v>
      </c>
      <c r="Q66" s="865">
        <v>78403</v>
      </c>
      <c r="R66" s="995">
        <f t="shared" si="15"/>
        <v>176286.68900000001</v>
      </c>
      <c r="S66" s="551"/>
    </row>
    <row r="67" spans="1:19" s="681" customFormat="1">
      <c r="A67" s="551">
        <v>58</v>
      </c>
      <c r="B67" s="974" t="s">
        <v>1706</v>
      </c>
      <c r="C67" s="974" t="s">
        <v>32</v>
      </c>
      <c r="D67" s="974"/>
      <c r="E67" s="551" t="s">
        <v>42</v>
      </c>
      <c r="F67" s="993">
        <f t="shared" ref="F67:F74" si="16">G66</f>
        <v>46150</v>
      </c>
      <c r="G67" s="993">
        <f t="shared" ref="G67:G73" si="17">F67+3</f>
        <v>46153</v>
      </c>
      <c r="H67" s="1422"/>
      <c r="I67" s="1412"/>
      <c r="J67" s="1043">
        <v>108</v>
      </c>
      <c r="K67" s="863">
        <v>1.46</v>
      </c>
      <c r="L67" s="863">
        <v>9.7100000000000009</v>
      </c>
      <c r="M67" s="863">
        <v>0.61299999999999999</v>
      </c>
      <c r="N67" s="865">
        <v>204</v>
      </c>
      <c r="O67" s="865">
        <v>8390</v>
      </c>
      <c r="P67" s="865">
        <v>9675</v>
      </c>
      <c r="Q67" s="865">
        <v>78403</v>
      </c>
      <c r="R67" s="995">
        <f t="shared" si="15"/>
        <v>176286.68900000001</v>
      </c>
      <c r="S67" s="551"/>
    </row>
    <row r="68" spans="1:19" s="681" customFormat="1">
      <c r="A68" s="551">
        <v>59</v>
      </c>
      <c r="B68" s="974" t="s">
        <v>1707</v>
      </c>
      <c r="C68" s="974" t="s">
        <v>48</v>
      </c>
      <c r="D68" s="974"/>
      <c r="E68" s="551" t="s">
        <v>42</v>
      </c>
      <c r="F68" s="993">
        <f t="shared" si="16"/>
        <v>46153</v>
      </c>
      <c r="G68" s="993">
        <f t="shared" si="17"/>
        <v>46156</v>
      </c>
      <c r="H68" s="1422"/>
      <c r="I68" s="1412"/>
      <c r="J68" s="1043">
        <v>108</v>
      </c>
      <c r="K68" s="863">
        <v>1.46</v>
      </c>
      <c r="L68" s="863">
        <v>9.7100000000000009</v>
      </c>
      <c r="M68" s="863">
        <v>0.61299999999999999</v>
      </c>
      <c r="N68" s="865">
        <v>204</v>
      </c>
      <c r="O68" s="865">
        <v>8390</v>
      </c>
      <c r="P68" s="865">
        <v>9675</v>
      </c>
      <c r="Q68" s="865">
        <v>78403</v>
      </c>
      <c r="R68" s="995">
        <f t="shared" si="15"/>
        <v>176286.68900000001</v>
      </c>
      <c r="S68" s="551"/>
    </row>
    <row r="69" spans="1:19" s="681" customFormat="1">
      <c r="A69" s="551">
        <v>60</v>
      </c>
      <c r="B69" s="974" t="s">
        <v>1675</v>
      </c>
      <c r="C69" s="974" t="s">
        <v>48</v>
      </c>
      <c r="D69" s="974"/>
      <c r="E69" s="551" t="s">
        <v>42</v>
      </c>
      <c r="F69" s="993">
        <f t="shared" si="16"/>
        <v>46156</v>
      </c>
      <c r="G69" s="993">
        <f t="shared" si="17"/>
        <v>46159</v>
      </c>
      <c r="H69" s="1422"/>
      <c r="I69" s="1412"/>
      <c r="J69" s="1043">
        <v>108</v>
      </c>
      <c r="K69" s="863">
        <v>1.46</v>
      </c>
      <c r="L69" s="863">
        <v>9.7100000000000009</v>
      </c>
      <c r="M69" s="863">
        <v>0.61299999999999999</v>
      </c>
      <c r="N69" s="865">
        <v>204</v>
      </c>
      <c r="O69" s="865">
        <v>8390</v>
      </c>
      <c r="P69" s="865">
        <v>9675</v>
      </c>
      <c r="Q69" s="865">
        <v>78403</v>
      </c>
      <c r="R69" s="995">
        <f t="shared" si="15"/>
        <v>176286.68900000001</v>
      </c>
      <c r="S69" s="551"/>
    </row>
    <row r="70" spans="1:19" s="681" customFormat="1">
      <c r="A70" s="551">
        <v>61</v>
      </c>
      <c r="B70" s="974" t="s">
        <v>1674</v>
      </c>
      <c r="C70" s="974" t="s">
        <v>32</v>
      </c>
      <c r="D70" s="974"/>
      <c r="E70" s="551" t="s">
        <v>61</v>
      </c>
      <c r="F70" s="993">
        <f t="shared" si="16"/>
        <v>46159</v>
      </c>
      <c r="G70" s="993">
        <f t="shared" si="17"/>
        <v>46162</v>
      </c>
      <c r="H70" s="1422"/>
      <c r="I70" s="1412"/>
      <c r="J70" s="1042">
        <v>133.87</v>
      </c>
      <c r="K70" s="957">
        <v>1.85</v>
      </c>
      <c r="L70" s="957">
        <v>11.71</v>
      </c>
      <c r="M70" s="863">
        <v>0.69699999999999995</v>
      </c>
      <c r="N70" s="865">
        <v>204</v>
      </c>
      <c r="O70" s="865">
        <v>8390</v>
      </c>
      <c r="P70" s="865">
        <v>9675</v>
      </c>
      <c r="Q70" s="865">
        <v>78403</v>
      </c>
      <c r="R70" s="995">
        <f t="shared" si="15"/>
        <v>210772.12100000001</v>
      </c>
      <c r="S70" s="551"/>
    </row>
    <row r="71" spans="1:19" s="962" customFormat="1">
      <c r="A71" s="551">
        <v>62</v>
      </c>
      <c r="B71" s="974" t="s">
        <v>1662</v>
      </c>
      <c r="C71" s="974" t="s">
        <v>48</v>
      </c>
      <c r="D71" s="974"/>
      <c r="E71" s="551" t="s">
        <v>61</v>
      </c>
      <c r="F71" s="993">
        <f t="shared" si="16"/>
        <v>46162</v>
      </c>
      <c r="G71" s="993">
        <f t="shared" si="17"/>
        <v>46165</v>
      </c>
      <c r="H71" s="1422"/>
      <c r="I71" s="1412"/>
      <c r="J71" s="1042">
        <v>133.87</v>
      </c>
      <c r="K71" s="957">
        <v>1.85</v>
      </c>
      <c r="L71" s="957">
        <v>11.71</v>
      </c>
      <c r="M71" s="863">
        <v>0.69699999999999995</v>
      </c>
      <c r="N71" s="865">
        <v>204</v>
      </c>
      <c r="O71" s="865">
        <v>8390</v>
      </c>
      <c r="P71" s="865">
        <v>9675</v>
      </c>
      <c r="Q71" s="865">
        <v>78403</v>
      </c>
      <c r="R71" s="995">
        <f t="shared" si="15"/>
        <v>210772.12100000001</v>
      </c>
      <c r="S71" s="551"/>
    </row>
    <row r="72" spans="1:19" s="681" customFormat="1">
      <c r="A72" s="551">
        <v>63</v>
      </c>
      <c r="B72" s="974" t="s">
        <v>1663</v>
      </c>
      <c r="C72" s="974" t="s">
        <v>34</v>
      </c>
      <c r="D72" s="974"/>
      <c r="E72" s="551" t="s">
        <v>61</v>
      </c>
      <c r="F72" s="993">
        <f t="shared" si="16"/>
        <v>46165</v>
      </c>
      <c r="G72" s="993">
        <f t="shared" si="17"/>
        <v>46168</v>
      </c>
      <c r="H72" s="1422"/>
      <c r="I72" s="1412"/>
      <c r="J72" s="1042">
        <v>133.87</v>
      </c>
      <c r="K72" s="957">
        <v>1.85</v>
      </c>
      <c r="L72" s="957">
        <v>11.71</v>
      </c>
      <c r="M72" s="863">
        <v>0.69699999999999995</v>
      </c>
      <c r="N72" s="865">
        <v>204</v>
      </c>
      <c r="O72" s="865">
        <v>8390</v>
      </c>
      <c r="P72" s="865">
        <v>9675</v>
      </c>
      <c r="Q72" s="865">
        <v>78403</v>
      </c>
      <c r="R72" s="995">
        <f t="shared" si="15"/>
        <v>210772.12100000001</v>
      </c>
      <c r="S72" s="551"/>
    </row>
    <row r="73" spans="1:19" s="681" customFormat="1" ht="15" customHeight="1">
      <c r="A73" s="551">
        <v>64</v>
      </c>
      <c r="B73" s="974" t="s">
        <v>1664</v>
      </c>
      <c r="C73" s="974" t="s">
        <v>49</v>
      </c>
      <c r="D73" s="974"/>
      <c r="E73" s="551" t="s">
        <v>61</v>
      </c>
      <c r="F73" s="993">
        <f t="shared" si="16"/>
        <v>46168</v>
      </c>
      <c r="G73" s="993">
        <f t="shared" si="17"/>
        <v>46171</v>
      </c>
      <c r="H73" s="1422"/>
      <c r="I73" s="1412"/>
      <c r="J73" s="1042">
        <v>133.87</v>
      </c>
      <c r="K73" s="957">
        <v>1.85</v>
      </c>
      <c r="L73" s="957">
        <v>11.71</v>
      </c>
      <c r="M73" s="863">
        <v>0.69699999999999995</v>
      </c>
      <c r="N73" s="865">
        <v>204</v>
      </c>
      <c r="O73" s="865">
        <v>8390</v>
      </c>
      <c r="P73" s="865">
        <v>9675</v>
      </c>
      <c r="Q73" s="865">
        <v>78403</v>
      </c>
      <c r="R73" s="995">
        <f t="shared" si="15"/>
        <v>210772.12100000001</v>
      </c>
      <c r="S73" s="551"/>
    </row>
    <row r="74" spans="1:19" s="681" customFormat="1">
      <c r="A74" s="551">
        <v>65</v>
      </c>
      <c r="B74" s="974" t="s">
        <v>1665</v>
      </c>
      <c r="C74" s="974" t="s">
        <v>50</v>
      </c>
      <c r="D74" s="974"/>
      <c r="E74" s="551" t="s">
        <v>61</v>
      </c>
      <c r="F74" s="993">
        <f t="shared" si="16"/>
        <v>46171</v>
      </c>
      <c r="G74" s="993">
        <f>F74+2</f>
        <v>46173</v>
      </c>
      <c r="H74" s="1423"/>
      <c r="I74" s="1412"/>
      <c r="J74" s="1042">
        <v>133.87</v>
      </c>
      <c r="K74" s="957">
        <v>1.85</v>
      </c>
      <c r="L74" s="957">
        <v>11.71</v>
      </c>
      <c r="M74" s="863">
        <v>0.69699999999999995</v>
      </c>
      <c r="N74" s="865">
        <v>204</v>
      </c>
      <c r="O74" s="865">
        <v>8390</v>
      </c>
      <c r="P74" s="865">
        <v>9675</v>
      </c>
      <c r="Q74" s="865">
        <v>78403</v>
      </c>
      <c r="R74" s="995">
        <f t="shared" si="15"/>
        <v>210772.12100000001</v>
      </c>
      <c r="S74" s="551"/>
    </row>
    <row r="75" spans="1:19" s="681" customFormat="1">
      <c r="A75" s="551">
        <v>66</v>
      </c>
      <c r="B75" s="69" t="s">
        <v>152</v>
      </c>
      <c r="C75" s="69" t="s">
        <v>658</v>
      </c>
      <c r="D75" s="974"/>
      <c r="E75" s="956" t="s">
        <v>42</v>
      </c>
      <c r="F75" s="1016">
        <v>46141</v>
      </c>
      <c r="G75" s="1016">
        <f>F75+7</f>
        <v>46148</v>
      </c>
      <c r="H75" s="1017" t="s">
        <v>1945</v>
      </c>
      <c r="I75" s="1414">
        <v>10</v>
      </c>
      <c r="J75" s="1042">
        <v>374.98</v>
      </c>
      <c r="K75" s="957">
        <v>5.6</v>
      </c>
      <c r="L75" s="957">
        <v>41.61</v>
      </c>
      <c r="M75" s="831">
        <v>3.2010000000000001</v>
      </c>
      <c r="N75" s="831">
        <v>256</v>
      </c>
      <c r="O75" s="831">
        <v>10487</v>
      </c>
      <c r="P75" s="831">
        <v>12093</v>
      </c>
      <c r="Q75" s="831">
        <v>98000</v>
      </c>
      <c r="R75" s="1018">
        <f t="shared" ref="R75:R109" si="18">(J75*N75+K75*O75+L75*P75+M75*Q75)</f>
        <v>971609.81</v>
      </c>
      <c r="S75" s="713" t="s">
        <v>29</v>
      </c>
    </row>
    <row r="76" spans="1:19" s="681" customFormat="1">
      <c r="A76" s="551">
        <v>67</v>
      </c>
      <c r="B76" s="69" t="s">
        <v>67</v>
      </c>
      <c r="C76" s="69" t="s">
        <v>586</v>
      </c>
      <c r="D76" s="974"/>
      <c r="E76" s="956" t="s">
        <v>42</v>
      </c>
      <c r="F76" s="1016">
        <f>G75</f>
        <v>46148</v>
      </c>
      <c r="G76" s="1016">
        <f>F76+7</f>
        <v>46155</v>
      </c>
      <c r="H76" s="1017" t="s">
        <v>1945</v>
      </c>
      <c r="I76" s="1414"/>
      <c r="J76" s="1045">
        <v>238.7</v>
      </c>
      <c r="K76" s="831">
        <v>3.46</v>
      </c>
      <c r="L76" s="831">
        <v>23.6</v>
      </c>
      <c r="M76" s="831">
        <v>1.7410000000000001</v>
      </c>
      <c r="N76" s="831">
        <v>256</v>
      </c>
      <c r="O76" s="831">
        <v>10487</v>
      </c>
      <c r="P76" s="831">
        <v>12093</v>
      </c>
      <c r="Q76" s="831">
        <v>98000</v>
      </c>
      <c r="R76" s="1019">
        <f t="shared" si="18"/>
        <v>553405.02</v>
      </c>
      <c r="S76" s="713"/>
    </row>
    <row r="77" spans="1:19" s="681" customFormat="1">
      <c r="A77" s="551">
        <v>68</v>
      </c>
      <c r="B77" s="69" t="s">
        <v>55</v>
      </c>
      <c r="C77" s="69" t="s">
        <v>671</v>
      </c>
      <c r="D77" s="974"/>
      <c r="E77" s="956" t="s">
        <v>42</v>
      </c>
      <c r="F77" s="1016">
        <f>G76</f>
        <v>46155</v>
      </c>
      <c r="G77" s="1016">
        <f>F77+8</f>
        <v>46163</v>
      </c>
      <c r="H77" s="1017" t="s">
        <v>1945</v>
      </c>
      <c r="I77" s="1414"/>
      <c r="J77" s="1042">
        <v>374.98</v>
      </c>
      <c r="K77" s="957">
        <v>5.6</v>
      </c>
      <c r="L77" s="957">
        <v>41.61</v>
      </c>
      <c r="M77" s="831">
        <v>3.2010000000000001</v>
      </c>
      <c r="N77" s="831">
        <v>256</v>
      </c>
      <c r="O77" s="831">
        <v>10487</v>
      </c>
      <c r="P77" s="831">
        <v>12093</v>
      </c>
      <c r="Q77" s="831">
        <v>98000</v>
      </c>
      <c r="R77" s="1019">
        <f t="shared" si="18"/>
        <v>971609.81</v>
      </c>
      <c r="S77" s="713" t="s">
        <v>977</v>
      </c>
    </row>
    <row r="78" spans="1:19" s="681" customFormat="1">
      <c r="A78" s="551">
        <v>69</v>
      </c>
      <c r="B78" s="69" t="s">
        <v>59</v>
      </c>
      <c r="C78" s="69" t="s">
        <v>586</v>
      </c>
      <c r="D78" s="974"/>
      <c r="E78" s="1020" t="s">
        <v>42</v>
      </c>
      <c r="F78" s="1016">
        <f t="shared" ref="F78:F79" si="19">G77</f>
        <v>46163</v>
      </c>
      <c r="G78" s="1016">
        <f>F78+4</f>
        <v>46167</v>
      </c>
      <c r="H78" s="1017" t="s">
        <v>1945</v>
      </c>
      <c r="I78" s="1414"/>
      <c r="J78" s="1042">
        <v>374.98</v>
      </c>
      <c r="K78" s="957">
        <v>5.6</v>
      </c>
      <c r="L78" s="957">
        <v>41.61</v>
      </c>
      <c r="M78" s="831">
        <v>3.2010000000000001</v>
      </c>
      <c r="N78" s="831">
        <v>256</v>
      </c>
      <c r="O78" s="831">
        <v>10487</v>
      </c>
      <c r="P78" s="831">
        <v>12093</v>
      </c>
      <c r="Q78" s="831">
        <v>98000</v>
      </c>
      <c r="R78" s="1019">
        <f t="shared" si="18"/>
        <v>971609.81</v>
      </c>
      <c r="S78" s="713" t="s">
        <v>977</v>
      </c>
    </row>
    <row r="79" spans="1:19" s="681" customFormat="1">
      <c r="A79" s="551">
        <v>70</v>
      </c>
      <c r="B79" s="69" t="s">
        <v>58</v>
      </c>
      <c r="C79" s="69" t="s">
        <v>671</v>
      </c>
      <c r="D79" s="974"/>
      <c r="E79" s="1020" t="s">
        <v>42</v>
      </c>
      <c r="F79" s="1016">
        <f t="shared" si="19"/>
        <v>46167</v>
      </c>
      <c r="G79" s="1016">
        <f t="shared" ref="G79" si="20">F79+5</f>
        <v>46172</v>
      </c>
      <c r="H79" s="1017" t="s">
        <v>1945</v>
      </c>
      <c r="I79" s="1414"/>
      <c r="J79" s="1044">
        <v>374.98</v>
      </c>
      <c r="K79" s="970">
        <v>5.6</v>
      </c>
      <c r="L79" s="970">
        <v>41.61</v>
      </c>
      <c r="M79" s="831">
        <v>3.2010000000000001</v>
      </c>
      <c r="N79" s="831">
        <v>256</v>
      </c>
      <c r="O79" s="831">
        <v>10487</v>
      </c>
      <c r="P79" s="831">
        <v>12093</v>
      </c>
      <c r="Q79" s="831">
        <v>98000</v>
      </c>
      <c r="R79" s="1021">
        <f t="shared" si="18"/>
        <v>971609.81</v>
      </c>
      <c r="S79" s="713" t="s">
        <v>977</v>
      </c>
    </row>
    <row r="80" spans="1:19" s="681" customFormat="1">
      <c r="A80" s="551">
        <v>71</v>
      </c>
      <c r="B80" s="69" t="s">
        <v>181</v>
      </c>
      <c r="C80" s="69" t="s">
        <v>53</v>
      </c>
      <c r="D80" s="974"/>
      <c r="E80" s="1020" t="s">
        <v>42</v>
      </c>
      <c r="F80" s="1016">
        <v>46141</v>
      </c>
      <c r="G80" s="1016">
        <f>F80+7</f>
        <v>46148</v>
      </c>
      <c r="H80" s="1017" t="s">
        <v>1891</v>
      </c>
      <c r="I80" s="1414">
        <v>8</v>
      </c>
      <c r="J80" s="957">
        <v>374.98</v>
      </c>
      <c r="K80" s="957">
        <v>5.6</v>
      </c>
      <c r="L80" s="957">
        <v>41.61</v>
      </c>
      <c r="M80" s="831">
        <v>3.2010000000000001</v>
      </c>
      <c r="N80" s="831">
        <v>256</v>
      </c>
      <c r="O80" s="831">
        <v>10487</v>
      </c>
      <c r="P80" s="831">
        <v>12093</v>
      </c>
      <c r="Q80" s="831">
        <v>98000</v>
      </c>
      <c r="R80" s="1019">
        <f t="shared" si="18"/>
        <v>971609.81</v>
      </c>
      <c r="S80" s="713" t="s">
        <v>978</v>
      </c>
    </row>
    <row r="81" spans="1:19" s="681" customFormat="1">
      <c r="A81" s="551">
        <v>72</v>
      </c>
      <c r="B81" s="69" t="s">
        <v>250</v>
      </c>
      <c r="C81" s="69" t="s">
        <v>603</v>
      </c>
      <c r="D81" s="974"/>
      <c r="E81" s="1020" t="s">
        <v>42</v>
      </c>
      <c r="F81" s="1016">
        <f>G80</f>
        <v>46148</v>
      </c>
      <c r="G81" s="1016">
        <f>F81+7</f>
        <v>46155</v>
      </c>
      <c r="H81" s="1017" t="s">
        <v>1891</v>
      </c>
      <c r="I81" s="1414"/>
      <c r="J81" s="965">
        <v>116.81</v>
      </c>
      <c r="K81" s="965">
        <v>1.69</v>
      </c>
      <c r="L81" s="965">
        <v>11.78</v>
      </c>
      <c r="M81" s="831">
        <v>0.73299999999999998</v>
      </c>
      <c r="N81" s="831">
        <v>256</v>
      </c>
      <c r="O81" s="831">
        <v>10487</v>
      </c>
      <c r="P81" s="831">
        <v>12093</v>
      </c>
      <c r="Q81" s="831">
        <v>98000</v>
      </c>
      <c r="R81" s="1022">
        <f t="shared" si="18"/>
        <v>261915.93</v>
      </c>
      <c r="S81" s="713" t="s">
        <v>978</v>
      </c>
    </row>
    <row r="82" spans="1:19" s="681" customFormat="1">
      <c r="A82" s="551">
        <v>73</v>
      </c>
      <c r="B82" s="69" t="s">
        <v>68</v>
      </c>
      <c r="C82" s="69" t="s">
        <v>648</v>
      </c>
      <c r="D82" s="974"/>
      <c r="E82" s="1020" t="s">
        <v>61</v>
      </c>
      <c r="F82" s="1016">
        <f>G81</f>
        <v>46155</v>
      </c>
      <c r="G82" s="1016">
        <f>F82+8</f>
        <v>46163</v>
      </c>
      <c r="H82" s="1051" t="s">
        <v>1945</v>
      </c>
      <c r="I82" s="1414"/>
      <c r="J82" s="965">
        <v>462.8</v>
      </c>
      <c r="K82" s="965">
        <v>7</v>
      </c>
      <c r="L82" s="965">
        <v>52.1</v>
      </c>
      <c r="M82" s="831">
        <v>3.601</v>
      </c>
      <c r="N82" s="831">
        <v>256</v>
      </c>
      <c r="O82" s="831">
        <v>10487</v>
      </c>
      <c r="P82" s="831">
        <v>12093</v>
      </c>
      <c r="Q82" s="831">
        <v>98000</v>
      </c>
      <c r="R82" s="1023">
        <f t="shared" si="18"/>
        <v>1174829.1000000001</v>
      </c>
      <c r="S82" s="713"/>
    </row>
    <row r="83" spans="1:19" s="681" customFormat="1">
      <c r="A83" s="551">
        <v>74</v>
      </c>
      <c r="B83" s="69" t="s">
        <v>56</v>
      </c>
      <c r="C83" s="69" t="s">
        <v>653</v>
      </c>
      <c r="D83" s="974"/>
      <c r="E83" s="1020" t="s">
        <v>42</v>
      </c>
      <c r="F83" s="1016">
        <f t="shared" ref="F83:F84" si="21">G82</f>
        <v>46163</v>
      </c>
      <c r="G83" s="1016">
        <f>F83+4</f>
        <v>46167</v>
      </c>
      <c r="H83" s="1017" t="s">
        <v>1891</v>
      </c>
      <c r="I83" s="1414"/>
      <c r="J83" s="965">
        <v>385.5</v>
      </c>
      <c r="K83" s="965">
        <v>5.77</v>
      </c>
      <c r="L83" s="965">
        <v>43.5</v>
      </c>
      <c r="M83" s="831">
        <v>3.2010000000000001</v>
      </c>
      <c r="N83" s="831">
        <v>256</v>
      </c>
      <c r="O83" s="831">
        <v>10487</v>
      </c>
      <c r="P83" s="831">
        <v>12093</v>
      </c>
      <c r="Q83" s="831">
        <v>98000</v>
      </c>
      <c r="R83" s="1023">
        <f t="shared" si="18"/>
        <v>998941.49</v>
      </c>
      <c r="S83" s="713"/>
    </row>
    <row r="84" spans="1:19" s="681" customFormat="1">
      <c r="A84" s="551">
        <v>75</v>
      </c>
      <c r="B84" s="1024" t="s">
        <v>60</v>
      </c>
      <c r="C84" s="69" t="s">
        <v>1970</v>
      </c>
      <c r="D84" s="974"/>
      <c r="E84" s="1020" t="s">
        <v>61</v>
      </c>
      <c r="F84" s="1016">
        <f t="shared" si="21"/>
        <v>46167</v>
      </c>
      <c r="G84" s="1016">
        <f t="shared" ref="G84" si="22">F84+5</f>
        <v>46172</v>
      </c>
      <c r="H84" s="1017" t="s">
        <v>1891</v>
      </c>
      <c r="I84" s="1414"/>
      <c r="J84" s="965">
        <v>449.45</v>
      </c>
      <c r="K84" s="965">
        <v>6.77</v>
      </c>
      <c r="L84" s="965">
        <v>64.180000000000007</v>
      </c>
      <c r="M84" s="831">
        <v>4.4169999999999998</v>
      </c>
      <c r="N84" s="831">
        <v>256</v>
      </c>
      <c r="O84" s="831">
        <v>10487</v>
      </c>
      <c r="P84" s="831">
        <v>12093</v>
      </c>
      <c r="Q84" s="831">
        <v>98000</v>
      </c>
      <c r="R84" s="1023">
        <f t="shared" si="18"/>
        <v>1395050.9300000002</v>
      </c>
      <c r="S84" s="713"/>
    </row>
    <row r="85" spans="1:19" s="681" customFormat="1">
      <c r="A85" s="551">
        <v>76</v>
      </c>
      <c r="B85" s="951" t="s">
        <v>1971</v>
      </c>
      <c r="C85" s="951" t="s">
        <v>32</v>
      </c>
      <c r="D85" s="974"/>
      <c r="E85" s="951" t="s">
        <v>61</v>
      </c>
      <c r="F85" s="1025">
        <v>46141</v>
      </c>
      <c r="G85" s="1025">
        <f>F85+6</f>
        <v>46147</v>
      </c>
      <c r="H85" s="951" t="s">
        <v>1921</v>
      </c>
      <c r="I85" s="1414">
        <v>12</v>
      </c>
      <c r="J85" s="1026">
        <v>370</v>
      </c>
      <c r="K85" s="957">
        <v>5.51</v>
      </c>
      <c r="L85" s="957">
        <v>41.93</v>
      </c>
      <c r="M85" s="866">
        <v>2.7829999999999999</v>
      </c>
      <c r="N85" s="866">
        <v>256</v>
      </c>
      <c r="O85" s="866">
        <v>10487</v>
      </c>
      <c r="P85" s="866">
        <v>12093</v>
      </c>
      <c r="Q85" s="866">
        <v>98000</v>
      </c>
      <c r="R85" s="1022">
        <f t="shared" si="18"/>
        <v>932296.86</v>
      </c>
      <c r="S85" s="1022" t="s">
        <v>29</v>
      </c>
    </row>
    <row r="86" spans="1:19" s="681" customFormat="1">
      <c r="A86" s="551">
        <v>93</v>
      </c>
      <c r="B86" s="860" t="s">
        <v>1987</v>
      </c>
      <c r="C86" s="951" t="s">
        <v>48</v>
      </c>
      <c r="D86" s="982"/>
      <c r="E86" s="951" t="s">
        <v>42</v>
      </c>
      <c r="F86" s="1025">
        <f>G85</f>
        <v>46147</v>
      </c>
      <c r="G86" s="1025">
        <f>F86+8</f>
        <v>46155</v>
      </c>
      <c r="H86" s="951" t="s">
        <v>1922</v>
      </c>
      <c r="I86" s="1414"/>
      <c r="J86" s="853">
        <v>306</v>
      </c>
      <c r="K86" s="831">
        <v>4.51</v>
      </c>
      <c r="L86" s="831">
        <v>36.020000000000003</v>
      </c>
      <c r="M86" s="831">
        <v>2.419</v>
      </c>
      <c r="N86" s="831">
        <v>256</v>
      </c>
      <c r="O86" s="831">
        <v>10487</v>
      </c>
      <c r="P86" s="831">
        <v>12093</v>
      </c>
      <c r="Q86" s="831">
        <v>98000</v>
      </c>
      <c r="R86" s="1022">
        <f t="shared" ref="R86" si="23">(J86*N86+K86*O86+L86*P86+M86*Q86)</f>
        <v>798284.23</v>
      </c>
      <c r="S86" s="29"/>
    </row>
    <row r="87" spans="1:19" s="681" customFormat="1">
      <c r="A87" s="551">
        <v>78</v>
      </c>
      <c r="B87" s="860" t="s">
        <v>2041</v>
      </c>
      <c r="C87" s="951" t="s">
        <v>50</v>
      </c>
      <c r="D87" s="974"/>
      <c r="E87" s="951" t="s">
        <v>61</v>
      </c>
      <c r="F87" s="1025">
        <f>G86</f>
        <v>46155</v>
      </c>
      <c r="G87" s="1025">
        <f>F87+4</f>
        <v>46159</v>
      </c>
      <c r="H87" s="951" t="s">
        <v>1921</v>
      </c>
      <c r="I87" s="1414"/>
      <c r="J87" s="853">
        <v>306</v>
      </c>
      <c r="K87" s="831">
        <v>4.51</v>
      </c>
      <c r="L87" s="831">
        <v>36.020000000000003</v>
      </c>
      <c r="M87" s="831">
        <v>2.419</v>
      </c>
      <c r="N87" s="831">
        <v>256</v>
      </c>
      <c r="O87" s="831">
        <v>10487</v>
      </c>
      <c r="P87" s="831">
        <v>12093</v>
      </c>
      <c r="Q87" s="831">
        <v>98000</v>
      </c>
      <c r="R87" s="1022">
        <f t="shared" si="18"/>
        <v>798284.23</v>
      </c>
      <c r="S87" s="1022" t="s">
        <v>978</v>
      </c>
    </row>
    <row r="88" spans="1:19" s="681" customFormat="1">
      <c r="A88" s="551">
        <v>79</v>
      </c>
      <c r="B88" s="951" t="s">
        <v>1972</v>
      </c>
      <c r="C88" s="951" t="s">
        <v>1424</v>
      </c>
      <c r="D88" s="974"/>
      <c r="E88" s="951" t="s">
        <v>42</v>
      </c>
      <c r="F88" s="1025">
        <f>G87</f>
        <v>46159</v>
      </c>
      <c r="G88" s="1025">
        <f>F88+8</f>
        <v>46167</v>
      </c>
      <c r="H88" s="951" t="s">
        <v>1921</v>
      </c>
      <c r="I88" s="1414"/>
      <c r="J88" s="1027">
        <v>555</v>
      </c>
      <c r="K88" s="1027">
        <v>8.4499999999999993</v>
      </c>
      <c r="L88" s="1027">
        <v>70.78</v>
      </c>
      <c r="M88" s="831">
        <v>5.2329999999999997</v>
      </c>
      <c r="N88" s="831">
        <v>256</v>
      </c>
      <c r="O88" s="831">
        <v>10487</v>
      </c>
      <c r="P88" s="831">
        <v>12093</v>
      </c>
      <c r="Q88" s="831">
        <v>98000</v>
      </c>
      <c r="R88" s="1022">
        <f t="shared" si="18"/>
        <v>1599471.69</v>
      </c>
      <c r="S88" s="1022"/>
    </row>
    <row r="89" spans="1:19" s="681" customFormat="1">
      <c r="A89" s="551">
        <v>80</v>
      </c>
      <c r="B89" s="951" t="s">
        <v>1973</v>
      </c>
      <c r="C89" s="951" t="s">
        <v>48</v>
      </c>
      <c r="D89" s="974"/>
      <c r="E89" s="951" t="s">
        <v>61</v>
      </c>
      <c r="F89" s="1025">
        <f>G88</f>
        <v>46167</v>
      </c>
      <c r="G89" s="1025">
        <f>F89+5</f>
        <v>46172</v>
      </c>
      <c r="H89" s="951" t="s">
        <v>1921</v>
      </c>
      <c r="I89" s="1414"/>
      <c r="J89" s="1026">
        <v>370</v>
      </c>
      <c r="K89" s="957">
        <v>5.51</v>
      </c>
      <c r="L89" s="957">
        <v>41.93</v>
      </c>
      <c r="M89" s="866">
        <v>2.7829999999999999</v>
      </c>
      <c r="N89" s="831">
        <v>256</v>
      </c>
      <c r="O89" s="831">
        <v>10487</v>
      </c>
      <c r="P89" s="831">
        <v>12093</v>
      </c>
      <c r="Q89" s="831">
        <v>98000</v>
      </c>
      <c r="R89" s="1022">
        <f t="shared" si="18"/>
        <v>932296.86</v>
      </c>
      <c r="S89" s="1022"/>
    </row>
    <row r="90" spans="1:19" s="681" customFormat="1">
      <c r="A90" s="551">
        <v>81</v>
      </c>
      <c r="B90" s="951" t="s">
        <v>1974</v>
      </c>
      <c r="C90" s="951" t="s">
        <v>32</v>
      </c>
      <c r="D90" s="974"/>
      <c r="E90" s="951" t="s">
        <v>61</v>
      </c>
      <c r="F90" s="1025">
        <v>46143</v>
      </c>
      <c r="G90" s="1025">
        <f>F90+5</f>
        <v>46148</v>
      </c>
      <c r="H90" s="951" t="s">
        <v>1899</v>
      </c>
      <c r="I90" s="1414">
        <v>14</v>
      </c>
      <c r="J90" s="1026">
        <v>370</v>
      </c>
      <c r="K90" s="957">
        <v>5.51</v>
      </c>
      <c r="L90" s="957">
        <v>41.93</v>
      </c>
      <c r="M90" s="866">
        <v>2.7829999999999999</v>
      </c>
      <c r="N90" s="831">
        <v>256</v>
      </c>
      <c r="O90" s="831">
        <v>10487</v>
      </c>
      <c r="P90" s="831">
        <v>12093</v>
      </c>
      <c r="Q90" s="831">
        <v>98000</v>
      </c>
      <c r="R90" s="1022">
        <f t="shared" si="18"/>
        <v>932296.86</v>
      </c>
      <c r="S90" s="29" t="s">
        <v>29</v>
      </c>
    </row>
    <row r="91" spans="1:19" s="681" customFormat="1">
      <c r="A91" s="551">
        <v>82</v>
      </c>
      <c r="B91" s="860" t="s">
        <v>1975</v>
      </c>
      <c r="C91" s="951" t="s">
        <v>1175</v>
      </c>
      <c r="D91" s="974"/>
      <c r="E91" s="951" t="s">
        <v>42</v>
      </c>
      <c r="F91" s="1025">
        <f>G90</f>
        <v>46148</v>
      </c>
      <c r="G91" s="1025">
        <f>F91+6</f>
        <v>46154</v>
      </c>
      <c r="H91" s="951" t="s">
        <v>1899</v>
      </c>
      <c r="I91" s="1414"/>
      <c r="J91" s="1027">
        <v>555</v>
      </c>
      <c r="K91" s="1027">
        <v>8.4499999999999993</v>
      </c>
      <c r="L91" s="1027">
        <v>70.78</v>
      </c>
      <c r="M91" s="831">
        <v>5.2329999999999997</v>
      </c>
      <c r="N91" s="831">
        <v>256</v>
      </c>
      <c r="O91" s="831">
        <v>10487</v>
      </c>
      <c r="P91" s="831">
        <v>12093</v>
      </c>
      <c r="Q91" s="831">
        <v>98000</v>
      </c>
      <c r="R91" s="1022">
        <f t="shared" si="18"/>
        <v>1599471.69</v>
      </c>
      <c r="S91" s="29" t="s">
        <v>977</v>
      </c>
    </row>
    <row r="92" spans="1:19" s="681" customFormat="1">
      <c r="A92" s="551">
        <v>83</v>
      </c>
      <c r="B92" s="860" t="s">
        <v>1976</v>
      </c>
      <c r="C92" s="951" t="s">
        <v>1181</v>
      </c>
      <c r="D92" s="974"/>
      <c r="E92" s="951" t="s">
        <v>42</v>
      </c>
      <c r="F92" s="1025">
        <f>G91</f>
        <v>46154</v>
      </c>
      <c r="G92" s="1025">
        <f>F92+8</f>
        <v>46162</v>
      </c>
      <c r="H92" s="951" t="s">
        <v>1899</v>
      </c>
      <c r="I92" s="1414"/>
      <c r="J92" s="1028">
        <v>908.28</v>
      </c>
      <c r="K92" s="680">
        <v>14.11</v>
      </c>
      <c r="L92" s="680">
        <v>135.68</v>
      </c>
      <c r="M92" s="831">
        <v>12.17</v>
      </c>
      <c r="N92" s="831">
        <v>256</v>
      </c>
      <c r="O92" s="831">
        <v>10487</v>
      </c>
      <c r="P92" s="831">
        <v>12093</v>
      </c>
      <c r="Q92" s="831">
        <v>98000</v>
      </c>
      <c r="R92" s="1022">
        <f t="shared" si="18"/>
        <v>3213929.49</v>
      </c>
      <c r="S92" s="29" t="s">
        <v>977</v>
      </c>
    </row>
    <row r="93" spans="1:19" s="681" customFormat="1">
      <c r="A93" s="551">
        <v>84</v>
      </c>
      <c r="B93" s="951" t="s">
        <v>1977</v>
      </c>
      <c r="C93" s="951" t="s">
        <v>1424</v>
      </c>
      <c r="D93" s="974"/>
      <c r="E93" s="951" t="s">
        <v>42</v>
      </c>
      <c r="F93" s="1025">
        <f>G92</f>
        <v>46162</v>
      </c>
      <c r="G93" s="1025">
        <f>F93+6</f>
        <v>46168</v>
      </c>
      <c r="H93" s="951" t="s">
        <v>1899</v>
      </c>
      <c r="I93" s="1414"/>
      <c r="J93" s="1027">
        <v>555</v>
      </c>
      <c r="K93" s="1027">
        <v>8.4499999999999993</v>
      </c>
      <c r="L93" s="1027">
        <v>70.78</v>
      </c>
      <c r="M93" s="831">
        <v>5.2329999999999997</v>
      </c>
      <c r="N93" s="831">
        <v>256</v>
      </c>
      <c r="O93" s="831">
        <v>10487</v>
      </c>
      <c r="P93" s="831">
        <v>12093</v>
      </c>
      <c r="Q93" s="831">
        <v>98000</v>
      </c>
      <c r="R93" s="1022">
        <f t="shared" si="18"/>
        <v>1599471.69</v>
      </c>
      <c r="S93" s="29" t="s">
        <v>1978</v>
      </c>
    </row>
    <row r="94" spans="1:19" s="681" customFormat="1">
      <c r="A94" s="551">
        <v>85</v>
      </c>
      <c r="B94" s="951" t="s">
        <v>1979</v>
      </c>
      <c r="C94" s="951" t="s">
        <v>1181</v>
      </c>
      <c r="D94" s="974"/>
      <c r="E94" s="951" t="s">
        <v>42</v>
      </c>
      <c r="F94" s="1025">
        <f>G93</f>
        <v>46168</v>
      </c>
      <c r="G94" s="1025">
        <f>F94+5</f>
        <v>46173</v>
      </c>
      <c r="H94" s="951" t="s">
        <v>1899</v>
      </c>
      <c r="I94" s="1414"/>
      <c r="J94" s="1028">
        <v>908.28</v>
      </c>
      <c r="K94" s="680">
        <v>14.11</v>
      </c>
      <c r="L94" s="680">
        <v>135.68</v>
      </c>
      <c r="M94" s="831">
        <v>12.17</v>
      </c>
      <c r="N94" s="831">
        <v>256</v>
      </c>
      <c r="O94" s="831">
        <v>10487</v>
      </c>
      <c r="P94" s="831">
        <v>12093</v>
      </c>
      <c r="Q94" s="831">
        <v>98000</v>
      </c>
      <c r="R94" s="1022">
        <f t="shared" si="18"/>
        <v>3213929.49</v>
      </c>
      <c r="S94" s="29" t="s">
        <v>1978</v>
      </c>
    </row>
    <row r="95" spans="1:19" s="681" customFormat="1">
      <c r="A95" s="551">
        <v>86</v>
      </c>
      <c r="B95" s="951" t="s">
        <v>1980</v>
      </c>
      <c r="C95" s="951" t="s">
        <v>32</v>
      </c>
      <c r="D95" s="974"/>
      <c r="E95" s="951" t="s">
        <v>61</v>
      </c>
      <c r="F95" s="1025">
        <v>46143</v>
      </c>
      <c r="G95" s="1025">
        <f>F95+5</f>
        <v>46148</v>
      </c>
      <c r="H95" s="951" t="s">
        <v>1885</v>
      </c>
      <c r="I95" s="1414">
        <v>10</v>
      </c>
      <c r="J95" s="1026">
        <v>370</v>
      </c>
      <c r="K95" s="957">
        <v>5.51</v>
      </c>
      <c r="L95" s="957">
        <v>41.93</v>
      </c>
      <c r="M95" s="866">
        <v>2.7829999999999999</v>
      </c>
      <c r="N95" s="831">
        <v>256</v>
      </c>
      <c r="O95" s="831">
        <v>10487</v>
      </c>
      <c r="P95" s="831">
        <v>12093</v>
      </c>
      <c r="Q95" s="831">
        <v>98000</v>
      </c>
      <c r="R95" s="1022">
        <f t="shared" si="18"/>
        <v>932296.86</v>
      </c>
      <c r="S95" s="1022" t="s">
        <v>978</v>
      </c>
    </row>
    <row r="96" spans="1:19" s="681" customFormat="1">
      <c r="A96" s="551">
        <v>87</v>
      </c>
      <c r="B96" s="951" t="s">
        <v>1981</v>
      </c>
      <c r="C96" s="951" t="s">
        <v>1423</v>
      </c>
      <c r="D96" s="974"/>
      <c r="E96" s="951" t="s">
        <v>61</v>
      </c>
      <c r="F96" s="1025">
        <f>G95</f>
        <v>46148</v>
      </c>
      <c r="G96" s="1025">
        <f>F96+6</f>
        <v>46154</v>
      </c>
      <c r="H96" s="951" t="s">
        <v>1885</v>
      </c>
      <c r="I96" s="1414"/>
      <c r="J96" s="866">
        <v>1083</v>
      </c>
      <c r="K96" s="866">
        <v>16.93</v>
      </c>
      <c r="L96" s="866">
        <v>160.88</v>
      </c>
      <c r="M96" s="866">
        <v>13.832000000000001</v>
      </c>
      <c r="N96" s="831">
        <v>256</v>
      </c>
      <c r="O96" s="831">
        <v>10487</v>
      </c>
      <c r="P96" s="831">
        <v>12093</v>
      </c>
      <c r="Q96" s="831">
        <v>98000</v>
      </c>
      <c r="R96" s="1022">
        <f t="shared" si="18"/>
        <v>3755850.75</v>
      </c>
      <c r="S96" s="1022" t="s">
        <v>978</v>
      </c>
    </row>
    <row r="97" spans="1:20" s="681" customFormat="1">
      <c r="A97" s="551">
        <v>88</v>
      </c>
      <c r="B97" s="951" t="s">
        <v>1982</v>
      </c>
      <c r="C97" s="951" t="s">
        <v>1424</v>
      </c>
      <c r="D97" s="974"/>
      <c r="E97" s="951" t="s">
        <v>61</v>
      </c>
      <c r="F97" s="1025">
        <f>G96</f>
        <v>46154</v>
      </c>
      <c r="G97" s="1025">
        <f>F97+8</f>
        <v>46162</v>
      </c>
      <c r="H97" s="951" t="s">
        <v>1885</v>
      </c>
      <c r="I97" s="1414"/>
      <c r="J97" s="866">
        <v>1083</v>
      </c>
      <c r="K97" s="866">
        <v>16.93</v>
      </c>
      <c r="L97" s="866">
        <v>160.88</v>
      </c>
      <c r="M97" s="866">
        <v>13.832000000000001</v>
      </c>
      <c r="N97" s="831">
        <v>256</v>
      </c>
      <c r="O97" s="831">
        <v>10487</v>
      </c>
      <c r="P97" s="831">
        <v>12093</v>
      </c>
      <c r="Q97" s="831">
        <v>98000</v>
      </c>
      <c r="R97" s="1022">
        <f t="shared" si="18"/>
        <v>3755850.75</v>
      </c>
      <c r="S97" s="69"/>
    </row>
    <row r="98" spans="1:20" s="681" customFormat="1">
      <c r="A98" s="551">
        <v>89</v>
      </c>
      <c r="B98" s="951" t="s">
        <v>1983</v>
      </c>
      <c r="C98" s="951" t="s">
        <v>1424</v>
      </c>
      <c r="D98" s="974"/>
      <c r="E98" s="951" t="s">
        <v>42</v>
      </c>
      <c r="F98" s="1025">
        <f>G97</f>
        <v>46162</v>
      </c>
      <c r="G98" s="1025">
        <f>F98+6</f>
        <v>46168</v>
      </c>
      <c r="H98" s="951" t="s">
        <v>1885</v>
      </c>
      <c r="I98" s="1414"/>
      <c r="J98" s="1027">
        <v>555</v>
      </c>
      <c r="K98" s="1027">
        <v>8.4499999999999993</v>
      </c>
      <c r="L98" s="1027">
        <v>70.78</v>
      </c>
      <c r="M98" s="831">
        <v>5.2329999999999997</v>
      </c>
      <c r="N98" s="831">
        <v>256</v>
      </c>
      <c r="O98" s="831">
        <v>10487</v>
      </c>
      <c r="P98" s="831">
        <v>12093</v>
      </c>
      <c r="Q98" s="831">
        <v>98000</v>
      </c>
      <c r="R98" s="1022">
        <f t="shared" si="18"/>
        <v>1599471.69</v>
      </c>
      <c r="S98" s="29" t="s">
        <v>1978</v>
      </c>
    </row>
    <row r="99" spans="1:20" s="681" customFormat="1">
      <c r="A99" s="551">
        <v>90</v>
      </c>
      <c r="B99" s="951" t="s">
        <v>1984</v>
      </c>
      <c r="C99" s="951" t="s">
        <v>1181</v>
      </c>
      <c r="D99" s="974"/>
      <c r="E99" s="951" t="s">
        <v>42</v>
      </c>
      <c r="F99" s="1025">
        <f>G98</f>
        <v>46168</v>
      </c>
      <c r="G99" s="1025">
        <f>F99+5</f>
        <v>46173</v>
      </c>
      <c r="H99" s="951" t="s">
        <v>1885</v>
      </c>
      <c r="I99" s="1414"/>
      <c r="J99" s="1028">
        <v>908.28</v>
      </c>
      <c r="K99" s="680">
        <v>14.11</v>
      </c>
      <c r="L99" s="680">
        <v>135.68</v>
      </c>
      <c r="M99" s="831">
        <v>12.17</v>
      </c>
      <c r="N99" s="831">
        <v>256</v>
      </c>
      <c r="O99" s="831">
        <v>10487</v>
      </c>
      <c r="P99" s="831">
        <v>12093</v>
      </c>
      <c r="Q99" s="831">
        <v>98000</v>
      </c>
      <c r="R99" s="1022">
        <f t="shared" si="18"/>
        <v>3213929.49</v>
      </c>
      <c r="S99" s="29" t="s">
        <v>1978</v>
      </c>
    </row>
    <row r="100" spans="1:20" s="681" customFormat="1">
      <c r="A100" s="551">
        <v>91</v>
      </c>
      <c r="B100" s="860" t="s">
        <v>1985</v>
      </c>
      <c r="C100" s="951" t="s">
        <v>32</v>
      </c>
      <c r="D100" s="974"/>
      <c r="E100" s="951" t="s">
        <v>42</v>
      </c>
      <c r="F100" s="1025">
        <v>46143</v>
      </c>
      <c r="G100" s="1025">
        <f>F100+5</f>
        <v>46148</v>
      </c>
      <c r="H100" s="951" t="s">
        <v>1922</v>
      </c>
      <c r="I100" s="1414">
        <v>10</v>
      </c>
      <c r="J100" s="853">
        <v>306</v>
      </c>
      <c r="K100" s="831">
        <v>4.51</v>
      </c>
      <c r="L100" s="831">
        <v>36.020000000000003</v>
      </c>
      <c r="M100" s="831">
        <v>2.419</v>
      </c>
      <c r="N100" s="831">
        <v>256</v>
      </c>
      <c r="O100" s="831">
        <v>10487</v>
      </c>
      <c r="P100" s="831">
        <v>12093</v>
      </c>
      <c r="Q100" s="831">
        <v>98000</v>
      </c>
      <c r="R100" s="1022">
        <f t="shared" si="18"/>
        <v>798284.23</v>
      </c>
      <c r="S100" s="1022" t="s">
        <v>29</v>
      </c>
    </row>
    <row r="101" spans="1:20" s="681" customFormat="1">
      <c r="A101" s="551">
        <v>92</v>
      </c>
      <c r="B101" s="1029" t="s">
        <v>1986</v>
      </c>
      <c r="C101" s="951" t="s">
        <v>32</v>
      </c>
      <c r="D101" s="974"/>
      <c r="E101" s="951" t="s">
        <v>42</v>
      </c>
      <c r="F101" s="1025">
        <f>G100</f>
        <v>46148</v>
      </c>
      <c r="G101" s="1025">
        <f>F101+6</f>
        <v>46154</v>
      </c>
      <c r="H101" s="951" t="s">
        <v>1922</v>
      </c>
      <c r="I101" s="1414"/>
      <c r="J101" s="853">
        <v>306</v>
      </c>
      <c r="K101" s="831">
        <v>4.51</v>
      </c>
      <c r="L101" s="831">
        <v>36.020000000000003</v>
      </c>
      <c r="M101" s="831">
        <v>2.419</v>
      </c>
      <c r="N101" s="831">
        <v>256</v>
      </c>
      <c r="O101" s="831">
        <v>10487</v>
      </c>
      <c r="P101" s="831">
        <v>12093</v>
      </c>
      <c r="Q101" s="831">
        <v>98000</v>
      </c>
      <c r="R101" s="1022">
        <f t="shared" si="18"/>
        <v>798284.23</v>
      </c>
      <c r="S101" s="1022" t="s">
        <v>29</v>
      </c>
    </row>
    <row r="102" spans="1:20" s="681" customFormat="1">
      <c r="A102" s="551">
        <v>93</v>
      </c>
      <c r="B102" s="860" t="s">
        <v>1989</v>
      </c>
      <c r="C102" s="951" t="s">
        <v>34</v>
      </c>
      <c r="D102" s="974"/>
      <c r="E102" s="951" t="s">
        <v>42</v>
      </c>
      <c r="F102" s="1025">
        <f>G101</f>
        <v>46154</v>
      </c>
      <c r="G102" s="1025">
        <f>F102+8</f>
        <v>46162</v>
      </c>
      <c r="H102" s="951" t="s">
        <v>1922</v>
      </c>
      <c r="I102" s="1414"/>
      <c r="J102" s="853">
        <v>306</v>
      </c>
      <c r="K102" s="831">
        <v>4.51</v>
      </c>
      <c r="L102" s="831">
        <v>36.020000000000003</v>
      </c>
      <c r="M102" s="831">
        <v>2.419</v>
      </c>
      <c r="N102" s="831">
        <v>256</v>
      </c>
      <c r="O102" s="831">
        <v>10487</v>
      </c>
      <c r="P102" s="831">
        <v>12093</v>
      </c>
      <c r="Q102" s="831">
        <v>98000</v>
      </c>
      <c r="R102" s="1022">
        <f t="shared" si="18"/>
        <v>798284.23</v>
      </c>
      <c r="S102" s="29" t="s">
        <v>978</v>
      </c>
    </row>
    <row r="103" spans="1:20" s="681" customFormat="1">
      <c r="A103" s="551">
        <v>94</v>
      </c>
      <c r="B103" s="860" t="s">
        <v>1988</v>
      </c>
      <c r="C103" s="951" t="s">
        <v>34</v>
      </c>
      <c r="D103" s="974"/>
      <c r="E103" s="951" t="s">
        <v>42</v>
      </c>
      <c r="F103" s="1025">
        <f>G102</f>
        <v>46162</v>
      </c>
      <c r="G103" s="1025">
        <f>F103+6</f>
        <v>46168</v>
      </c>
      <c r="H103" s="951" t="s">
        <v>1922</v>
      </c>
      <c r="I103" s="1414"/>
      <c r="J103" s="853">
        <v>306</v>
      </c>
      <c r="K103" s="831">
        <v>4.51</v>
      </c>
      <c r="L103" s="831">
        <v>36.020000000000003</v>
      </c>
      <c r="M103" s="831">
        <v>2.419</v>
      </c>
      <c r="N103" s="831">
        <v>256</v>
      </c>
      <c r="O103" s="831">
        <v>10487</v>
      </c>
      <c r="P103" s="831">
        <v>12093</v>
      </c>
      <c r="Q103" s="831">
        <v>98000</v>
      </c>
      <c r="R103" s="1022">
        <f t="shared" si="18"/>
        <v>798284.23</v>
      </c>
      <c r="S103" s="29" t="s">
        <v>977</v>
      </c>
    </row>
    <row r="104" spans="1:20" s="681" customFormat="1">
      <c r="A104" s="551">
        <v>95</v>
      </c>
      <c r="B104" s="860" t="s">
        <v>1987</v>
      </c>
      <c r="C104" s="951" t="s">
        <v>48</v>
      </c>
      <c r="D104" s="974"/>
      <c r="E104" s="951" t="s">
        <v>42</v>
      </c>
      <c r="F104" s="1025">
        <f>G103</f>
        <v>46168</v>
      </c>
      <c r="G104" s="1025">
        <f>F104+5</f>
        <v>46173</v>
      </c>
      <c r="H104" s="951" t="s">
        <v>1922</v>
      </c>
      <c r="I104" s="1414"/>
      <c r="J104" s="853">
        <v>306</v>
      </c>
      <c r="K104" s="831">
        <v>4.51</v>
      </c>
      <c r="L104" s="831">
        <v>36.020000000000003</v>
      </c>
      <c r="M104" s="831">
        <v>2.419</v>
      </c>
      <c r="N104" s="831">
        <v>256</v>
      </c>
      <c r="O104" s="831">
        <v>10487</v>
      </c>
      <c r="P104" s="831">
        <v>12093</v>
      </c>
      <c r="Q104" s="831">
        <v>98000</v>
      </c>
      <c r="R104" s="1022">
        <f t="shared" si="18"/>
        <v>798284.23</v>
      </c>
      <c r="S104" s="29" t="s">
        <v>977</v>
      </c>
    </row>
    <row r="105" spans="1:20" s="681" customFormat="1">
      <c r="A105" s="551">
        <v>96</v>
      </c>
      <c r="B105" s="1030" t="s">
        <v>1990</v>
      </c>
      <c r="C105" s="951" t="s">
        <v>32</v>
      </c>
      <c r="D105" s="974"/>
      <c r="E105" s="951" t="s">
        <v>42</v>
      </c>
      <c r="F105" s="1025">
        <v>46150</v>
      </c>
      <c r="G105" s="1025">
        <f>F105+4</f>
        <v>46154</v>
      </c>
      <c r="H105" s="1436" t="s">
        <v>2014</v>
      </c>
      <c r="I105" s="1414"/>
      <c r="J105" s="853">
        <v>306</v>
      </c>
      <c r="K105" s="831">
        <v>4.51</v>
      </c>
      <c r="L105" s="831">
        <v>36.020000000000003</v>
      </c>
      <c r="M105" s="831">
        <v>2.419</v>
      </c>
      <c r="N105" s="831">
        <v>256</v>
      </c>
      <c r="O105" s="831">
        <v>10487</v>
      </c>
      <c r="P105" s="831">
        <v>12093</v>
      </c>
      <c r="Q105" s="831">
        <v>98000</v>
      </c>
      <c r="R105" s="1022">
        <f t="shared" si="18"/>
        <v>798284.23</v>
      </c>
      <c r="S105" s="29"/>
    </row>
    <row r="106" spans="1:20" s="681" customFormat="1">
      <c r="A106" s="551">
        <v>97</v>
      </c>
      <c r="B106" s="860" t="s">
        <v>1991</v>
      </c>
      <c r="C106" s="951" t="s">
        <v>45</v>
      </c>
      <c r="D106" s="974"/>
      <c r="E106" s="951" t="s">
        <v>31</v>
      </c>
      <c r="F106" s="1025">
        <f>G105</f>
        <v>46154</v>
      </c>
      <c r="G106" s="1025">
        <f>F106+6</f>
        <v>46160</v>
      </c>
      <c r="H106" s="1437"/>
      <c r="I106" s="1414"/>
      <c r="J106" s="853">
        <v>758</v>
      </c>
      <c r="K106" s="831">
        <v>11.7</v>
      </c>
      <c r="L106" s="831">
        <v>113.63</v>
      </c>
      <c r="M106" s="831">
        <v>10.175000000000001</v>
      </c>
      <c r="N106" s="831">
        <v>256</v>
      </c>
      <c r="O106" s="831">
        <v>10487</v>
      </c>
      <c r="P106" s="831">
        <v>12093</v>
      </c>
      <c r="Q106" s="831">
        <v>98000</v>
      </c>
      <c r="R106" s="1022">
        <f t="shared" si="18"/>
        <v>2688023.4899999998</v>
      </c>
      <c r="S106" s="29" t="s">
        <v>977</v>
      </c>
    </row>
    <row r="107" spans="1:20" s="681" customFormat="1">
      <c r="A107" s="551">
        <v>98</v>
      </c>
      <c r="B107" s="860" t="s">
        <v>1992</v>
      </c>
      <c r="C107" s="951" t="s">
        <v>57</v>
      </c>
      <c r="D107" s="974"/>
      <c r="E107" s="951" t="s">
        <v>31</v>
      </c>
      <c r="F107" s="1025">
        <f>G106</f>
        <v>46160</v>
      </c>
      <c r="G107" s="1025">
        <f>F107+4</f>
        <v>46164</v>
      </c>
      <c r="H107" s="1437"/>
      <c r="I107" s="1414"/>
      <c r="J107" s="853">
        <v>580</v>
      </c>
      <c r="K107" s="831">
        <v>8.84</v>
      </c>
      <c r="L107" s="831">
        <v>80.349999999999994</v>
      </c>
      <c r="M107" s="831">
        <v>6.0960000000000001</v>
      </c>
      <c r="N107" s="831">
        <v>256</v>
      </c>
      <c r="O107" s="831">
        <v>10487</v>
      </c>
      <c r="P107" s="831">
        <v>12093</v>
      </c>
      <c r="Q107" s="831">
        <v>98000</v>
      </c>
      <c r="R107" s="1022">
        <f t="shared" si="18"/>
        <v>1810265.63</v>
      </c>
      <c r="S107" s="29" t="s">
        <v>977</v>
      </c>
    </row>
    <row r="108" spans="1:20" s="681" customFormat="1">
      <c r="A108" s="551">
        <v>99</v>
      </c>
      <c r="B108" s="860" t="s">
        <v>1993</v>
      </c>
      <c r="C108" s="951" t="s">
        <v>53</v>
      </c>
      <c r="D108" s="974"/>
      <c r="E108" s="951" t="s">
        <v>42</v>
      </c>
      <c r="F108" s="1025">
        <f>G107</f>
        <v>46164</v>
      </c>
      <c r="G108" s="1025">
        <f>F108+5</f>
        <v>46169</v>
      </c>
      <c r="H108" s="1437"/>
      <c r="I108" s="1414"/>
      <c r="J108" s="1027">
        <v>693.12</v>
      </c>
      <c r="K108" s="680">
        <v>10.66</v>
      </c>
      <c r="L108" s="680">
        <v>95.43</v>
      </c>
      <c r="M108" s="831">
        <v>7.2220000000000004</v>
      </c>
      <c r="N108" s="831">
        <v>256</v>
      </c>
      <c r="O108" s="831">
        <v>10487</v>
      </c>
      <c r="P108" s="831">
        <v>12093</v>
      </c>
      <c r="Q108" s="831">
        <v>98000</v>
      </c>
      <c r="R108" s="1022">
        <f t="shared" si="18"/>
        <v>2151021.13</v>
      </c>
      <c r="S108" s="29" t="s">
        <v>977</v>
      </c>
    </row>
    <row r="109" spans="1:20" s="681" customFormat="1">
      <c r="A109" s="551">
        <v>100</v>
      </c>
      <c r="B109" s="860" t="s">
        <v>1994</v>
      </c>
      <c r="C109" s="951" t="s">
        <v>53</v>
      </c>
      <c r="D109" s="974"/>
      <c r="E109" s="951" t="s">
        <v>61</v>
      </c>
      <c r="F109" s="1025">
        <f>G108</f>
        <v>46169</v>
      </c>
      <c r="G109" s="1025">
        <f t="shared" ref="G109" si="24">F109+4</f>
        <v>46173</v>
      </c>
      <c r="H109" s="1438"/>
      <c r="I109" s="1414"/>
      <c r="J109" s="1027">
        <v>817</v>
      </c>
      <c r="K109" s="680">
        <v>12.64</v>
      </c>
      <c r="L109" s="680">
        <v>111.89</v>
      </c>
      <c r="M109" s="831">
        <v>8.1890000000000001</v>
      </c>
      <c r="N109" s="831">
        <v>256</v>
      </c>
      <c r="O109" s="831">
        <v>10487</v>
      </c>
      <c r="P109" s="831">
        <v>12093</v>
      </c>
      <c r="Q109" s="831">
        <v>98000</v>
      </c>
      <c r="R109" s="1022">
        <f t="shared" si="18"/>
        <v>2497315.4500000002</v>
      </c>
      <c r="S109" s="29" t="s">
        <v>977</v>
      </c>
    </row>
    <row r="110" spans="1:20" s="681" customFormat="1">
      <c r="B110" s="1008"/>
      <c r="C110" s="1009"/>
      <c r="D110" s="1009"/>
      <c r="E110" s="1009"/>
      <c r="F110" s="1008"/>
      <c r="G110" s="1010"/>
      <c r="H110" s="1010"/>
      <c r="I110" s="1010"/>
      <c r="J110" s="1011"/>
      <c r="K110" s="1012"/>
      <c r="L110" s="1012"/>
      <c r="M110" s="1012"/>
      <c r="N110" s="1013"/>
      <c r="O110" s="1014"/>
      <c r="P110" s="1014"/>
      <c r="Q110" s="1014"/>
      <c r="R110" s="1014"/>
      <c r="S110" s="1015"/>
      <c r="T110" s="1008"/>
    </row>
    <row r="111" spans="1:20" s="681" customFormat="1">
      <c r="B111" s="1008"/>
      <c r="C111" s="1009"/>
      <c r="D111" s="1009"/>
      <c r="E111" s="1009"/>
      <c r="F111" s="1008"/>
      <c r="G111" s="1010"/>
      <c r="H111" s="1010"/>
      <c r="I111" s="1010"/>
      <c r="J111" s="1011"/>
      <c r="K111" s="1012"/>
      <c r="L111" s="1012"/>
      <c r="M111" s="1012"/>
      <c r="N111" s="1013"/>
      <c r="O111" s="1014"/>
      <c r="P111" s="1014"/>
      <c r="Q111" s="1014"/>
      <c r="R111" s="1014"/>
      <c r="S111" s="1015"/>
      <c r="T111" s="1008"/>
    </row>
    <row r="113" spans="1:10">
      <c r="A113" s="1415" t="s">
        <v>928</v>
      </c>
      <c r="B113" s="1416"/>
      <c r="C113" s="1416"/>
      <c r="D113" s="1416"/>
      <c r="E113" s="1416"/>
      <c r="F113" s="1416"/>
      <c r="G113" s="1417"/>
    </row>
    <row r="114" spans="1:10" s="568" customFormat="1" ht="38.25">
      <c r="A114" s="805" t="s">
        <v>1054</v>
      </c>
      <c r="B114" s="805" t="s">
        <v>2010</v>
      </c>
      <c r="C114" s="805" t="s">
        <v>1189</v>
      </c>
      <c r="D114" s="805" t="s">
        <v>1187</v>
      </c>
      <c r="E114" s="805" t="s">
        <v>2011</v>
      </c>
      <c r="F114" s="805" t="s">
        <v>978</v>
      </c>
      <c r="G114" s="805" t="s">
        <v>2012</v>
      </c>
    </row>
    <row r="115" spans="1:10">
      <c r="A115" s="806" t="s">
        <v>1055</v>
      </c>
      <c r="B115" s="806">
        <v>15</v>
      </c>
      <c r="C115" s="806">
        <v>3</v>
      </c>
      <c r="D115" s="808">
        <f>H187+H192+H197</f>
        <v>51</v>
      </c>
      <c r="E115" s="806">
        <v>10</v>
      </c>
      <c r="F115" s="806">
        <v>3</v>
      </c>
      <c r="G115" s="533">
        <f>B115-E115-F115</f>
        <v>2</v>
      </c>
    </row>
    <row r="116" spans="1:10" ht="25.5">
      <c r="A116" s="806" t="s">
        <v>1056</v>
      </c>
      <c r="B116" s="809">
        <v>55</v>
      </c>
      <c r="C116" s="806">
        <v>3</v>
      </c>
      <c r="D116" s="808">
        <f>H122+H134+H149+H159+H168</f>
        <v>47</v>
      </c>
      <c r="E116" s="806">
        <v>18</v>
      </c>
      <c r="F116" s="806">
        <v>3</v>
      </c>
      <c r="G116" s="533">
        <f>B116-E116-F116</f>
        <v>34</v>
      </c>
    </row>
    <row r="117" spans="1:10" ht="25.5">
      <c r="A117" s="806" t="s">
        <v>1057</v>
      </c>
      <c r="B117" s="809">
        <v>10</v>
      </c>
      <c r="C117" s="806">
        <v>1</v>
      </c>
      <c r="D117" s="806">
        <f>H168+H177</f>
        <v>0</v>
      </c>
      <c r="E117" s="806">
        <v>2</v>
      </c>
      <c r="F117" s="806">
        <v>1</v>
      </c>
      <c r="G117" s="533">
        <f>B117-E117-F117</f>
        <v>7</v>
      </c>
    </row>
    <row r="118" spans="1:10">
      <c r="A118" s="810" t="s">
        <v>1059</v>
      </c>
      <c r="B118" s="810">
        <f>SUM(B115:B117)</f>
        <v>80</v>
      </c>
      <c r="C118" s="810">
        <f>SUM(C115:C117)</f>
        <v>7</v>
      </c>
      <c r="D118" s="810">
        <f>SUM(D115:D117)</f>
        <v>98</v>
      </c>
      <c r="E118" s="810">
        <f>SUM(E115:E117)</f>
        <v>30</v>
      </c>
      <c r="F118" s="810">
        <f t="shared" ref="F118" si="25">SUM(F115:F117)</f>
        <v>7</v>
      </c>
      <c r="G118" s="810">
        <f>SUM(G115:G117)</f>
        <v>43</v>
      </c>
    </row>
    <row r="120" spans="1:10">
      <c r="A120" s="1413" t="s">
        <v>2003</v>
      </c>
      <c r="B120" s="1413"/>
      <c r="C120" s="1413"/>
      <c r="D120" s="1413"/>
      <c r="E120" s="1413"/>
      <c r="F120" s="1413"/>
      <c r="G120" s="1413"/>
      <c r="H120" s="1413"/>
      <c r="I120" s="1413"/>
    </row>
    <row r="121" spans="1:10" ht="21">
      <c r="A121" s="991" t="s">
        <v>1997</v>
      </c>
      <c r="B121" s="992" t="s">
        <v>1998</v>
      </c>
      <c r="C121" s="991" t="s">
        <v>989</v>
      </c>
      <c r="D121" s="991" t="s">
        <v>1830</v>
      </c>
      <c r="E121" s="991" t="s">
        <v>1959</v>
      </c>
      <c r="F121" s="991" t="s">
        <v>1960</v>
      </c>
      <c r="G121" s="992" t="s">
        <v>1069</v>
      </c>
      <c r="H121" s="992" t="s">
        <v>1853</v>
      </c>
      <c r="I121" s="991" t="s">
        <v>1969</v>
      </c>
      <c r="J121" s="992" t="s">
        <v>2</v>
      </c>
    </row>
    <row r="122" spans="1:10">
      <c r="A122" s="551">
        <v>1</v>
      </c>
      <c r="B122" s="974" t="s">
        <v>1639</v>
      </c>
      <c r="C122" s="996" t="s">
        <v>32</v>
      </c>
      <c r="D122" s="974">
        <v>5.1669999999999998</v>
      </c>
      <c r="E122" s="986">
        <v>46143</v>
      </c>
      <c r="F122" s="986">
        <f t="shared" ref="F122:F127" si="26">E122+2</f>
        <v>46145</v>
      </c>
      <c r="G122" s="974" t="s">
        <v>1916</v>
      </c>
      <c r="H122" s="1412">
        <v>16</v>
      </c>
      <c r="I122" s="1040">
        <f t="shared" ref="I122:I154" si="27">D122*9798</f>
        <v>50626.265999999996</v>
      </c>
      <c r="J122" s="1001" t="s">
        <v>29</v>
      </c>
    </row>
    <row r="123" spans="1:10">
      <c r="A123" s="551">
        <v>2</v>
      </c>
      <c r="B123" s="974" t="s">
        <v>1686</v>
      </c>
      <c r="C123" s="974" t="s">
        <v>1181</v>
      </c>
      <c r="D123" s="974">
        <v>8.0860000000000003</v>
      </c>
      <c r="E123" s="986">
        <f>F122</f>
        <v>46145</v>
      </c>
      <c r="F123" s="986">
        <f t="shared" si="26"/>
        <v>46147</v>
      </c>
      <c r="G123" s="974" t="s">
        <v>1916</v>
      </c>
      <c r="H123" s="1412"/>
      <c r="I123" s="1040">
        <f t="shared" si="27"/>
        <v>79226.627999999997</v>
      </c>
      <c r="J123" s="1001" t="s">
        <v>29</v>
      </c>
    </row>
    <row r="124" spans="1:10">
      <c r="A124" s="551">
        <v>3</v>
      </c>
      <c r="B124" s="1080" t="s">
        <v>1685</v>
      </c>
      <c r="C124" s="1111" t="s">
        <v>34</v>
      </c>
      <c r="D124" s="1111">
        <v>4.3780000000000001</v>
      </c>
      <c r="E124" s="986">
        <f t="shared" ref="E124:E133" si="28">F123</f>
        <v>46147</v>
      </c>
      <c r="F124" s="986">
        <f t="shared" si="26"/>
        <v>46149</v>
      </c>
      <c r="G124" s="974" t="s">
        <v>1916</v>
      </c>
      <c r="H124" s="1412"/>
      <c r="I124" s="1040">
        <f t="shared" si="27"/>
        <v>42895.644</v>
      </c>
      <c r="J124" s="1001" t="s">
        <v>29</v>
      </c>
    </row>
    <row r="125" spans="1:10">
      <c r="A125" s="551">
        <v>4</v>
      </c>
      <c r="B125" s="974" t="s">
        <v>1684</v>
      </c>
      <c r="C125" s="996" t="s">
        <v>48</v>
      </c>
      <c r="D125" s="974">
        <v>5.7130000000000001</v>
      </c>
      <c r="E125" s="986">
        <f t="shared" si="28"/>
        <v>46149</v>
      </c>
      <c r="F125" s="986">
        <f t="shared" si="26"/>
        <v>46151</v>
      </c>
      <c r="G125" s="974" t="s">
        <v>1916</v>
      </c>
      <c r="H125" s="1412"/>
      <c r="I125" s="1040">
        <f t="shared" si="27"/>
        <v>55975.974000000002</v>
      </c>
      <c r="J125" s="1001" t="s">
        <v>978</v>
      </c>
    </row>
    <row r="126" spans="1:10">
      <c r="A126" s="551">
        <v>5</v>
      </c>
      <c r="B126" s="974" t="s">
        <v>1683</v>
      </c>
      <c r="C126" s="996" t="s">
        <v>32</v>
      </c>
      <c r="D126" s="974">
        <v>5.1669999999999998</v>
      </c>
      <c r="E126" s="986">
        <f t="shared" si="28"/>
        <v>46151</v>
      </c>
      <c r="F126" s="986">
        <f t="shared" si="26"/>
        <v>46153</v>
      </c>
      <c r="G126" s="974" t="s">
        <v>1916</v>
      </c>
      <c r="H126" s="1412"/>
      <c r="I126" s="1040">
        <f t="shared" si="27"/>
        <v>50626.265999999996</v>
      </c>
      <c r="J126" s="1001"/>
    </row>
    <row r="127" spans="1:10">
      <c r="A127" s="551">
        <v>6</v>
      </c>
      <c r="B127" s="974" t="s">
        <v>1682</v>
      </c>
      <c r="C127" s="996" t="s">
        <v>50</v>
      </c>
      <c r="D127" s="974">
        <v>9.7910000000000004</v>
      </c>
      <c r="E127" s="986">
        <f t="shared" si="28"/>
        <v>46153</v>
      </c>
      <c r="F127" s="986">
        <f t="shared" si="26"/>
        <v>46155</v>
      </c>
      <c r="G127" s="974" t="s">
        <v>1916</v>
      </c>
      <c r="H127" s="1412"/>
      <c r="I127" s="1040">
        <f t="shared" si="27"/>
        <v>95932.218000000008</v>
      </c>
      <c r="J127" s="1001"/>
    </row>
    <row r="128" spans="1:10">
      <c r="A128" s="551">
        <v>7</v>
      </c>
      <c r="B128" s="974" t="s">
        <v>1691</v>
      </c>
      <c r="C128" s="996" t="s">
        <v>53</v>
      </c>
      <c r="D128" s="974">
        <v>6.5629999999999997</v>
      </c>
      <c r="E128" s="986">
        <f t="shared" si="28"/>
        <v>46155</v>
      </c>
      <c r="F128" s="986">
        <f t="shared" ref="F128:F133" si="29">E128+3</f>
        <v>46158</v>
      </c>
      <c r="G128" s="974" t="s">
        <v>1916</v>
      </c>
      <c r="H128" s="1412"/>
      <c r="I128" s="1040">
        <f t="shared" si="27"/>
        <v>64304.273999999998</v>
      </c>
      <c r="J128" s="1001"/>
    </row>
    <row r="129" spans="1:10">
      <c r="A129" s="551">
        <v>8</v>
      </c>
      <c r="B129" s="974" t="s">
        <v>1692</v>
      </c>
      <c r="C129" s="996" t="s">
        <v>32</v>
      </c>
      <c r="D129" s="974">
        <v>5.1669999999999998</v>
      </c>
      <c r="E129" s="986">
        <f t="shared" si="28"/>
        <v>46158</v>
      </c>
      <c r="F129" s="986">
        <f t="shared" si="29"/>
        <v>46161</v>
      </c>
      <c r="G129" s="974" t="s">
        <v>1916</v>
      </c>
      <c r="H129" s="1412"/>
      <c r="I129" s="1040">
        <f t="shared" si="27"/>
        <v>50626.265999999996</v>
      </c>
      <c r="J129" s="1001"/>
    </row>
    <row r="130" spans="1:10">
      <c r="A130" s="551">
        <v>9</v>
      </c>
      <c r="B130" s="974" t="s">
        <v>1693</v>
      </c>
      <c r="C130" s="996" t="s">
        <v>1181</v>
      </c>
      <c r="D130" s="974">
        <v>8.0860000000000003</v>
      </c>
      <c r="E130" s="986">
        <f t="shared" si="28"/>
        <v>46161</v>
      </c>
      <c r="F130" s="986">
        <f t="shared" si="29"/>
        <v>46164</v>
      </c>
      <c r="G130" s="974" t="s">
        <v>1916</v>
      </c>
      <c r="H130" s="1412"/>
      <c r="I130" s="1040">
        <f t="shared" si="27"/>
        <v>79226.627999999997</v>
      </c>
      <c r="J130" s="1001"/>
    </row>
    <row r="131" spans="1:10">
      <c r="A131" s="551">
        <v>10</v>
      </c>
      <c r="B131" s="974" t="s">
        <v>1235</v>
      </c>
      <c r="C131" s="996" t="s">
        <v>50</v>
      </c>
      <c r="D131" s="974">
        <v>9.7910000000000004</v>
      </c>
      <c r="E131" s="986">
        <f t="shared" si="28"/>
        <v>46164</v>
      </c>
      <c r="F131" s="986">
        <f t="shared" si="29"/>
        <v>46167</v>
      </c>
      <c r="G131" s="974" t="s">
        <v>1916</v>
      </c>
      <c r="H131" s="1412"/>
      <c r="I131" s="1040">
        <f t="shared" si="27"/>
        <v>95932.218000000008</v>
      </c>
      <c r="J131" s="1001"/>
    </row>
    <row r="132" spans="1:10">
      <c r="A132" s="551">
        <v>11</v>
      </c>
      <c r="B132" s="974" t="s">
        <v>1236</v>
      </c>
      <c r="C132" s="996" t="s">
        <v>34</v>
      </c>
      <c r="D132" s="974">
        <v>4.3780000000000001</v>
      </c>
      <c r="E132" s="986">
        <f t="shared" si="28"/>
        <v>46167</v>
      </c>
      <c r="F132" s="986">
        <f t="shared" si="29"/>
        <v>46170</v>
      </c>
      <c r="G132" s="974" t="s">
        <v>1916</v>
      </c>
      <c r="H132" s="1412"/>
      <c r="I132" s="1040">
        <f t="shared" si="27"/>
        <v>42895.644</v>
      </c>
      <c r="J132" s="1001"/>
    </row>
    <row r="133" spans="1:10">
      <c r="A133" s="551">
        <v>12</v>
      </c>
      <c r="B133" s="974" t="s">
        <v>1237</v>
      </c>
      <c r="C133" s="996" t="s">
        <v>34</v>
      </c>
      <c r="D133" s="974">
        <v>4.3780000000000001</v>
      </c>
      <c r="E133" s="986">
        <f t="shared" si="28"/>
        <v>46170</v>
      </c>
      <c r="F133" s="986">
        <f t="shared" si="29"/>
        <v>46173</v>
      </c>
      <c r="G133" s="974" t="s">
        <v>1916</v>
      </c>
      <c r="H133" s="1412"/>
      <c r="I133" s="1040">
        <f t="shared" si="27"/>
        <v>42895.644</v>
      </c>
      <c r="J133" s="1001"/>
    </row>
    <row r="134" spans="1:10">
      <c r="A134" s="551">
        <v>13</v>
      </c>
      <c r="B134" s="974" t="s">
        <v>1337</v>
      </c>
      <c r="C134" s="996" t="s">
        <v>32</v>
      </c>
      <c r="D134" s="974">
        <v>5.1669999999999998</v>
      </c>
      <c r="E134" s="986">
        <v>46143</v>
      </c>
      <c r="F134" s="986">
        <f t="shared" ref="F134:F146" si="30">E134+2</f>
        <v>46145</v>
      </c>
      <c r="G134" s="974" t="s">
        <v>1999</v>
      </c>
      <c r="H134" s="1433">
        <v>15</v>
      </c>
      <c r="I134" s="1040">
        <f t="shared" si="27"/>
        <v>50626.265999999996</v>
      </c>
      <c r="J134" s="1001" t="s">
        <v>29</v>
      </c>
    </row>
    <row r="135" spans="1:10">
      <c r="A135" s="551">
        <v>14</v>
      </c>
      <c r="B135" s="974" t="s">
        <v>1342</v>
      </c>
      <c r="C135" s="996" t="s">
        <v>32</v>
      </c>
      <c r="D135" s="982">
        <v>5.1669999999999998</v>
      </c>
      <c r="E135" s="986">
        <f>F134</f>
        <v>46145</v>
      </c>
      <c r="F135" s="986">
        <f t="shared" si="30"/>
        <v>46147</v>
      </c>
      <c r="G135" s="974" t="s">
        <v>1999</v>
      </c>
      <c r="H135" s="1434"/>
      <c r="I135" s="1040">
        <f t="shared" si="27"/>
        <v>50626.265999999996</v>
      </c>
      <c r="J135" s="1001" t="s">
        <v>29</v>
      </c>
    </row>
    <row r="136" spans="1:10">
      <c r="A136" s="551">
        <v>15</v>
      </c>
      <c r="B136" s="1080" t="s">
        <v>1288</v>
      </c>
      <c r="C136" s="1080" t="s">
        <v>1424</v>
      </c>
      <c r="D136" s="1080">
        <v>5.97</v>
      </c>
      <c r="E136" s="986">
        <f t="shared" ref="E136:E158" si="31">F135</f>
        <v>46147</v>
      </c>
      <c r="F136" s="986">
        <f t="shared" si="30"/>
        <v>46149</v>
      </c>
      <c r="G136" s="974" t="s">
        <v>1999</v>
      </c>
      <c r="H136" s="1434"/>
      <c r="I136" s="1040">
        <f t="shared" si="27"/>
        <v>58494.06</v>
      </c>
      <c r="J136" s="1001" t="s">
        <v>29</v>
      </c>
    </row>
    <row r="137" spans="1:10">
      <c r="A137" s="551">
        <v>16</v>
      </c>
      <c r="B137" s="1105" t="s">
        <v>1286</v>
      </c>
      <c r="C137" s="1105" t="s">
        <v>43</v>
      </c>
      <c r="D137" s="1105">
        <v>8.0860000000000003</v>
      </c>
      <c r="E137" s="986">
        <f t="shared" si="31"/>
        <v>46149</v>
      </c>
      <c r="F137" s="986">
        <f t="shared" si="30"/>
        <v>46151</v>
      </c>
      <c r="G137" s="974" t="s">
        <v>1999</v>
      </c>
      <c r="H137" s="1434"/>
      <c r="I137" s="1040">
        <f t="shared" si="27"/>
        <v>79226.627999999997</v>
      </c>
      <c r="J137" s="1001" t="s">
        <v>29</v>
      </c>
    </row>
    <row r="138" spans="1:10">
      <c r="A138" s="551">
        <v>17</v>
      </c>
      <c r="B138" s="1111" t="s">
        <v>1287</v>
      </c>
      <c r="C138" s="1111" t="s">
        <v>48</v>
      </c>
      <c r="D138" s="1111">
        <v>5.7130000000000001</v>
      </c>
      <c r="E138" s="986">
        <f t="shared" si="31"/>
        <v>46151</v>
      </c>
      <c r="F138" s="986">
        <f t="shared" si="30"/>
        <v>46153</v>
      </c>
      <c r="G138" s="974" t="s">
        <v>1999</v>
      </c>
      <c r="H138" s="1434"/>
      <c r="I138" s="1040">
        <f t="shared" si="27"/>
        <v>55975.974000000002</v>
      </c>
      <c r="J138" s="1001" t="s">
        <v>29</v>
      </c>
    </row>
    <row r="139" spans="1:10">
      <c r="A139" s="551">
        <v>18</v>
      </c>
      <c r="B139" s="1111" t="s">
        <v>1285</v>
      </c>
      <c r="C139" s="1111" t="s">
        <v>48</v>
      </c>
      <c r="D139" s="1111">
        <v>5.7130000000000001</v>
      </c>
      <c r="E139" s="986">
        <f t="shared" si="31"/>
        <v>46153</v>
      </c>
      <c r="F139" s="986">
        <f t="shared" si="30"/>
        <v>46155</v>
      </c>
      <c r="G139" s="974" t="s">
        <v>1999</v>
      </c>
      <c r="H139" s="1434"/>
      <c r="I139" s="1040">
        <f t="shared" si="27"/>
        <v>55975.974000000002</v>
      </c>
      <c r="J139" s="1001" t="s">
        <v>29</v>
      </c>
    </row>
    <row r="140" spans="1:10">
      <c r="A140" s="551">
        <v>19</v>
      </c>
      <c r="B140" s="1111" t="s">
        <v>1284</v>
      </c>
      <c r="C140" s="1111" t="s">
        <v>32</v>
      </c>
      <c r="D140" s="1111">
        <v>5.1669999999999998</v>
      </c>
      <c r="E140" s="986">
        <f t="shared" si="31"/>
        <v>46155</v>
      </c>
      <c r="F140" s="986">
        <f t="shared" si="30"/>
        <v>46157</v>
      </c>
      <c r="G140" s="974" t="s">
        <v>1999</v>
      </c>
      <c r="H140" s="1434"/>
      <c r="I140" s="1040">
        <f t="shared" si="27"/>
        <v>50626.265999999996</v>
      </c>
      <c r="J140" s="1001" t="s">
        <v>29</v>
      </c>
    </row>
    <row r="141" spans="1:10">
      <c r="A141" s="551">
        <v>21</v>
      </c>
      <c r="B141" s="1119" t="s">
        <v>1193</v>
      </c>
      <c r="C141" s="996" t="s">
        <v>50</v>
      </c>
      <c r="D141" s="1119">
        <v>9.7910000000000004</v>
      </c>
      <c r="E141" s="986">
        <f t="shared" ref="E141" si="32">F140</f>
        <v>46157</v>
      </c>
      <c r="F141" s="986">
        <f t="shared" ref="F141" si="33">E141+2</f>
        <v>46159</v>
      </c>
      <c r="G141" s="1119" t="s">
        <v>1999</v>
      </c>
      <c r="H141" s="1434"/>
      <c r="I141" s="1040">
        <f t="shared" ref="I141" si="34">D141*9798</f>
        <v>95932.218000000008</v>
      </c>
      <c r="J141" s="1001" t="s">
        <v>978</v>
      </c>
    </row>
    <row r="142" spans="1:10">
      <c r="A142" s="551">
        <v>20</v>
      </c>
      <c r="B142" s="974" t="s">
        <v>1194</v>
      </c>
      <c r="C142" s="974" t="s">
        <v>1181</v>
      </c>
      <c r="D142" s="974">
        <v>8.0860000000000003</v>
      </c>
      <c r="E142" s="986">
        <f>F140</f>
        <v>46157</v>
      </c>
      <c r="F142" s="986">
        <f t="shared" si="30"/>
        <v>46159</v>
      </c>
      <c r="G142" s="974" t="s">
        <v>1999</v>
      </c>
      <c r="H142" s="1434"/>
      <c r="I142" s="1040">
        <f t="shared" si="27"/>
        <v>79226.627999999997</v>
      </c>
      <c r="J142" s="1001"/>
    </row>
    <row r="143" spans="1:10">
      <c r="A143" s="551">
        <v>21</v>
      </c>
      <c r="B143" s="974" t="s">
        <v>1193</v>
      </c>
      <c r="C143" s="996" t="s">
        <v>50</v>
      </c>
      <c r="D143" s="974">
        <v>9.7910000000000004</v>
      </c>
      <c r="E143" s="986">
        <f t="shared" si="31"/>
        <v>46159</v>
      </c>
      <c r="F143" s="986">
        <f t="shared" si="30"/>
        <v>46161</v>
      </c>
      <c r="G143" s="974" t="s">
        <v>1999</v>
      </c>
      <c r="H143" s="1434"/>
      <c r="I143" s="1040">
        <f t="shared" si="27"/>
        <v>95932.218000000008</v>
      </c>
      <c r="J143" s="1001"/>
    </row>
    <row r="144" spans="1:10">
      <c r="A144" s="551">
        <v>22</v>
      </c>
      <c r="B144" s="974" t="s">
        <v>1284</v>
      </c>
      <c r="C144" s="974" t="s">
        <v>32</v>
      </c>
      <c r="D144" s="974">
        <v>5.1669999999999998</v>
      </c>
      <c r="E144" s="986">
        <f t="shared" si="31"/>
        <v>46161</v>
      </c>
      <c r="F144" s="986">
        <f t="shared" si="30"/>
        <v>46163</v>
      </c>
      <c r="G144" s="974" t="s">
        <v>1999</v>
      </c>
      <c r="H144" s="1434"/>
      <c r="I144" s="1040">
        <f t="shared" si="27"/>
        <v>50626.265999999996</v>
      </c>
      <c r="J144" s="1001"/>
    </row>
    <row r="145" spans="1:10">
      <c r="A145" s="551">
        <v>23</v>
      </c>
      <c r="B145" s="974" t="s">
        <v>1285</v>
      </c>
      <c r="C145" s="974" t="s">
        <v>48</v>
      </c>
      <c r="D145" s="974">
        <v>5.7130000000000001</v>
      </c>
      <c r="E145" s="986">
        <f t="shared" si="31"/>
        <v>46163</v>
      </c>
      <c r="F145" s="986">
        <f t="shared" si="30"/>
        <v>46165</v>
      </c>
      <c r="G145" s="974" t="s">
        <v>1999</v>
      </c>
      <c r="H145" s="1434"/>
      <c r="I145" s="1040">
        <f t="shared" si="27"/>
        <v>55975.974000000002</v>
      </c>
      <c r="J145" s="1001"/>
    </row>
    <row r="146" spans="1:10">
      <c r="A146" s="551">
        <v>24</v>
      </c>
      <c r="B146" s="974" t="s">
        <v>1286</v>
      </c>
      <c r="C146" s="974" t="s">
        <v>43</v>
      </c>
      <c r="D146" s="974">
        <v>8.0860000000000003</v>
      </c>
      <c r="E146" s="986">
        <f t="shared" si="31"/>
        <v>46165</v>
      </c>
      <c r="F146" s="986">
        <f t="shared" si="30"/>
        <v>46167</v>
      </c>
      <c r="G146" s="974" t="s">
        <v>1999</v>
      </c>
      <c r="H146" s="1434"/>
      <c r="I146" s="1040">
        <f t="shared" si="27"/>
        <v>79226.627999999997</v>
      </c>
      <c r="J146" s="1001"/>
    </row>
    <row r="147" spans="1:10">
      <c r="A147" s="551">
        <v>25</v>
      </c>
      <c r="B147" s="974" t="s">
        <v>1287</v>
      </c>
      <c r="C147" s="974" t="s">
        <v>48</v>
      </c>
      <c r="D147" s="974">
        <v>5.7130000000000001</v>
      </c>
      <c r="E147" s="986">
        <f t="shared" si="31"/>
        <v>46167</v>
      </c>
      <c r="F147" s="986">
        <f t="shared" ref="F147" si="35">E147+4</f>
        <v>46171</v>
      </c>
      <c r="G147" s="974" t="s">
        <v>1999</v>
      </c>
      <c r="H147" s="1434"/>
      <c r="I147" s="1040">
        <f t="shared" si="27"/>
        <v>55975.974000000002</v>
      </c>
      <c r="J147" s="1001"/>
    </row>
    <row r="148" spans="1:10">
      <c r="A148" s="551">
        <v>26</v>
      </c>
      <c r="B148" s="974" t="s">
        <v>1288</v>
      </c>
      <c r="C148" s="974" t="s">
        <v>1424</v>
      </c>
      <c r="D148" s="974">
        <v>5.97</v>
      </c>
      <c r="E148" s="986">
        <f t="shared" si="31"/>
        <v>46171</v>
      </c>
      <c r="F148" s="986">
        <f>E148+2</f>
        <v>46173</v>
      </c>
      <c r="G148" s="974" t="s">
        <v>1999</v>
      </c>
      <c r="H148" s="1435"/>
      <c r="I148" s="1040">
        <f t="shared" si="27"/>
        <v>58494.06</v>
      </c>
      <c r="J148" s="1001"/>
    </row>
    <row r="149" spans="1:10">
      <c r="A149" s="551">
        <v>27</v>
      </c>
      <c r="B149" s="974" t="s">
        <v>1280</v>
      </c>
      <c r="C149" s="974" t="s">
        <v>34</v>
      </c>
      <c r="D149" s="974">
        <v>6.5629999999999997</v>
      </c>
      <c r="E149" s="986">
        <v>46143</v>
      </c>
      <c r="F149" s="986">
        <f>E149+3</f>
        <v>46146</v>
      </c>
      <c r="G149" s="974" t="s">
        <v>1926</v>
      </c>
      <c r="H149" s="1433">
        <v>16</v>
      </c>
      <c r="I149" s="1040">
        <f t="shared" si="27"/>
        <v>64304.273999999998</v>
      </c>
      <c r="J149" s="1001" t="s">
        <v>978</v>
      </c>
    </row>
    <row r="150" spans="1:10">
      <c r="A150" s="551">
        <v>28</v>
      </c>
      <c r="B150" s="974" t="s">
        <v>1350</v>
      </c>
      <c r="C150" s="974" t="s">
        <v>49</v>
      </c>
      <c r="D150" s="974">
        <v>6.3250000000000002</v>
      </c>
      <c r="E150" s="986">
        <f t="shared" si="31"/>
        <v>46146</v>
      </c>
      <c r="F150" s="986">
        <f>E150+3</f>
        <v>46149</v>
      </c>
      <c r="G150" s="974" t="s">
        <v>1926</v>
      </c>
      <c r="H150" s="1434"/>
      <c r="I150" s="1040">
        <f t="shared" si="27"/>
        <v>61972.35</v>
      </c>
      <c r="J150" s="1001"/>
    </row>
    <row r="151" spans="1:10">
      <c r="A151" s="551">
        <v>29</v>
      </c>
      <c r="B151" s="974" t="s">
        <v>1351</v>
      </c>
      <c r="C151" s="974" t="s">
        <v>50</v>
      </c>
      <c r="D151" s="974">
        <v>9.7910000000000004</v>
      </c>
      <c r="E151" s="986">
        <f t="shared" si="31"/>
        <v>46149</v>
      </c>
      <c r="F151" s="986">
        <f>E151+4</f>
        <v>46153</v>
      </c>
      <c r="G151" s="974" t="s">
        <v>1926</v>
      </c>
      <c r="H151" s="1434"/>
      <c r="I151" s="1040">
        <f t="shared" si="27"/>
        <v>95932.218000000008</v>
      </c>
      <c r="J151" s="1001"/>
    </row>
    <row r="152" spans="1:10">
      <c r="A152" s="551">
        <v>30</v>
      </c>
      <c r="B152" s="974" t="s">
        <v>1352</v>
      </c>
      <c r="C152" s="974" t="s">
        <v>1181</v>
      </c>
      <c r="D152" s="974">
        <v>8.0860000000000003</v>
      </c>
      <c r="E152" s="986">
        <f t="shared" si="31"/>
        <v>46153</v>
      </c>
      <c r="F152" s="986">
        <f>E152+4</f>
        <v>46157</v>
      </c>
      <c r="G152" s="974" t="s">
        <v>1926</v>
      </c>
      <c r="H152" s="1434"/>
      <c r="I152" s="1040">
        <f t="shared" si="27"/>
        <v>79226.627999999997</v>
      </c>
      <c r="J152" s="1001"/>
    </row>
    <row r="153" spans="1:10">
      <c r="A153" s="551">
        <v>31</v>
      </c>
      <c r="B153" s="974" t="s">
        <v>1353</v>
      </c>
      <c r="C153" s="996" t="s">
        <v>48</v>
      </c>
      <c r="D153" s="974">
        <v>5.7130000000000001</v>
      </c>
      <c r="E153" s="986">
        <f t="shared" si="31"/>
        <v>46157</v>
      </c>
      <c r="F153" s="986">
        <f>E153+3</f>
        <v>46160</v>
      </c>
      <c r="G153" s="974" t="s">
        <v>1926</v>
      </c>
      <c r="H153" s="1434"/>
      <c r="I153" s="1040">
        <f t="shared" si="27"/>
        <v>55975.974000000002</v>
      </c>
      <c r="J153" s="1001"/>
    </row>
    <row r="154" spans="1:10">
      <c r="A154" s="551">
        <v>32</v>
      </c>
      <c r="B154" s="974" t="s">
        <v>1354</v>
      </c>
      <c r="C154" s="996" t="s">
        <v>1426</v>
      </c>
      <c r="D154" s="974">
        <v>15.971</v>
      </c>
      <c r="E154" s="986">
        <f t="shared" si="31"/>
        <v>46160</v>
      </c>
      <c r="F154" s="986">
        <f>E154+3</f>
        <v>46163</v>
      </c>
      <c r="G154" s="974" t="s">
        <v>1926</v>
      </c>
      <c r="H154" s="1434"/>
      <c r="I154" s="1040">
        <f t="shared" si="27"/>
        <v>156483.85800000001</v>
      </c>
      <c r="J154" s="1001"/>
    </row>
    <row r="155" spans="1:10">
      <c r="A155" s="551">
        <v>33</v>
      </c>
      <c r="B155" s="974" t="s">
        <v>1355</v>
      </c>
      <c r="C155" s="996" t="s">
        <v>1427</v>
      </c>
      <c r="D155" s="974">
        <v>18.623000000000001</v>
      </c>
      <c r="E155" s="986">
        <f t="shared" si="31"/>
        <v>46163</v>
      </c>
      <c r="F155" s="986">
        <f>E155+3</f>
        <v>46166</v>
      </c>
      <c r="G155" s="974" t="s">
        <v>1926</v>
      </c>
      <c r="H155" s="1434"/>
      <c r="I155" s="1040">
        <f t="shared" ref="I155:I177" si="36">D155*9798</f>
        <v>182468.15400000001</v>
      </c>
      <c r="J155" s="1001"/>
    </row>
    <row r="156" spans="1:10">
      <c r="A156" s="551">
        <v>34</v>
      </c>
      <c r="B156" s="974" t="s">
        <v>1356</v>
      </c>
      <c r="C156" s="996" t="s">
        <v>1425</v>
      </c>
      <c r="D156" s="974">
        <v>6.3250000000000002</v>
      </c>
      <c r="E156" s="986">
        <f t="shared" si="31"/>
        <v>46166</v>
      </c>
      <c r="F156" s="986">
        <f>E156+3</f>
        <v>46169</v>
      </c>
      <c r="G156" s="974" t="s">
        <v>1926</v>
      </c>
      <c r="H156" s="1434"/>
      <c r="I156" s="1040">
        <f t="shared" si="36"/>
        <v>61972.35</v>
      </c>
      <c r="J156" s="1001"/>
    </row>
    <row r="157" spans="1:10">
      <c r="A157" s="551">
        <v>35</v>
      </c>
      <c r="B157" s="974" t="s">
        <v>1357</v>
      </c>
      <c r="C157" s="996" t="s">
        <v>48</v>
      </c>
      <c r="D157" s="974">
        <v>5.7130000000000001</v>
      </c>
      <c r="E157" s="986">
        <f t="shared" si="31"/>
        <v>46169</v>
      </c>
      <c r="F157" s="986">
        <f t="shared" ref="F157:F158" si="37">E157+2</f>
        <v>46171</v>
      </c>
      <c r="G157" s="974" t="s">
        <v>1926</v>
      </c>
      <c r="H157" s="1434"/>
      <c r="I157" s="1040">
        <f t="shared" si="36"/>
        <v>55975.974000000002</v>
      </c>
      <c r="J157" s="1001"/>
    </row>
    <row r="158" spans="1:10">
      <c r="A158" s="551">
        <v>36</v>
      </c>
      <c r="B158" s="974" t="s">
        <v>1358</v>
      </c>
      <c r="C158" s="996" t="s">
        <v>53</v>
      </c>
      <c r="D158" s="974">
        <v>6.5629999999999997</v>
      </c>
      <c r="E158" s="986">
        <f t="shared" si="31"/>
        <v>46171</v>
      </c>
      <c r="F158" s="986">
        <f t="shared" si="37"/>
        <v>46173</v>
      </c>
      <c r="G158" s="974" t="s">
        <v>1926</v>
      </c>
      <c r="H158" s="1435"/>
      <c r="I158" s="1040">
        <f t="shared" si="36"/>
        <v>64304.273999999998</v>
      </c>
      <c r="J158" s="1001"/>
    </row>
    <row r="159" spans="1:10">
      <c r="A159" s="551">
        <v>37</v>
      </c>
      <c r="B159" s="974" t="s">
        <v>1332</v>
      </c>
      <c r="C159" s="996" t="s">
        <v>50</v>
      </c>
      <c r="D159" s="974">
        <v>9.7910000000000004</v>
      </c>
      <c r="E159" s="986">
        <v>46147</v>
      </c>
      <c r="F159" s="986">
        <f t="shared" ref="F159:F165" si="38">E159+3</f>
        <v>46150</v>
      </c>
      <c r="G159" s="974" t="s">
        <v>2000</v>
      </c>
      <c r="H159" s="1412"/>
      <c r="I159" s="1040">
        <f t="shared" si="36"/>
        <v>95932.218000000008</v>
      </c>
      <c r="J159" s="1001" t="s">
        <v>2001</v>
      </c>
    </row>
    <row r="160" spans="1:10">
      <c r="A160" s="551">
        <v>38</v>
      </c>
      <c r="B160" s="974" t="s">
        <v>1333</v>
      </c>
      <c r="C160" s="996" t="s">
        <v>48</v>
      </c>
      <c r="D160" s="974">
        <v>5.7130000000000001</v>
      </c>
      <c r="E160" s="986">
        <f t="shared" ref="E160:E167" si="39">F159</f>
        <v>46150</v>
      </c>
      <c r="F160" s="986">
        <f t="shared" si="38"/>
        <v>46153</v>
      </c>
      <c r="G160" s="974" t="s">
        <v>2000</v>
      </c>
      <c r="H160" s="1412"/>
      <c r="I160" s="1040">
        <f t="shared" si="36"/>
        <v>55975.974000000002</v>
      </c>
      <c r="J160" s="1001"/>
    </row>
    <row r="161" spans="1:10">
      <c r="A161" s="551">
        <v>39</v>
      </c>
      <c r="B161" s="974" t="s">
        <v>1334</v>
      </c>
      <c r="C161" s="996" t="s">
        <v>48</v>
      </c>
      <c r="D161" s="974">
        <v>5.7130000000000001</v>
      </c>
      <c r="E161" s="986">
        <f t="shared" si="39"/>
        <v>46153</v>
      </c>
      <c r="F161" s="986">
        <f t="shared" si="38"/>
        <v>46156</v>
      </c>
      <c r="G161" s="974" t="s">
        <v>2000</v>
      </c>
      <c r="H161" s="1412"/>
      <c r="I161" s="1040">
        <f t="shared" si="36"/>
        <v>55975.974000000002</v>
      </c>
      <c r="J161" s="1001"/>
    </row>
    <row r="162" spans="1:10">
      <c r="A162" s="551">
        <v>40</v>
      </c>
      <c r="B162" s="974" t="s">
        <v>1335</v>
      </c>
      <c r="C162" s="996" t="s">
        <v>34</v>
      </c>
      <c r="D162" s="974">
        <v>4.3780000000000001</v>
      </c>
      <c r="E162" s="986">
        <f t="shared" si="39"/>
        <v>46156</v>
      </c>
      <c r="F162" s="986">
        <f t="shared" si="38"/>
        <v>46159</v>
      </c>
      <c r="G162" s="974" t="s">
        <v>2000</v>
      </c>
      <c r="H162" s="1412"/>
      <c r="I162" s="1040">
        <f t="shared" si="36"/>
        <v>42895.644</v>
      </c>
      <c r="J162" s="1001"/>
    </row>
    <row r="163" spans="1:10">
      <c r="A163" s="551">
        <v>41</v>
      </c>
      <c r="B163" s="974" t="s">
        <v>1336</v>
      </c>
      <c r="C163" s="996" t="s">
        <v>43</v>
      </c>
      <c r="D163" s="974">
        <v>8.0860000000000003</v>
      </c>
      <c r="E163" s="986">
        <f t="shared" si="39"/>
        <v>46159</v>
      </c>
      <c r="F163" s="986">
        <f t="shared" si="38"/>
        <v>46162</v>
      </c>
      <c r="G163" s="974" t="s">
        <v>2000</v>
      </c>
      <c r="H163" s="1412"/>
      <c r="I163" s="1040">
        <f t="shared" si="36"/>
        <v>79226.627999999997</v>
      </c>
      <c r="J163" s="1001"/>
    </row>
    <row r="164" spans="1:10">
      <c r="A164" s="551">
        <v>42</v>
      </c>
      <c r="B164" s="974" t="s">
        <v>1369</v>
      </c>
      <c r="C164" s="996" t="s">
        <v>1175</v>
      </c>
      <c r="D164" s="974">
        <v>6</v>
      </c>
      <c r="E164" s="986">
        <f t="shared" si="39"/>
        <v>46162</v>
      </c>
      <c r="F164" s="986">
        <f t="shared" si="38"/>
        <v>46165</v>
      </c>
      <c r="G164" s="974" t="s">
        <v>2000</v>
      </c>
      <c r="H164" s="1412"/>
      <c r="I164" s="1040">
        <f t="shared" si="36"/>
        <v>58788</v>
      </c>
      <c r="J164" s="1001"/>
    </row>
    <row r="165" spans="1:10">
      <c r="A165" s="551">
        <v>43</v>
      </c>
      <c r="B165" s="974" t="s">
        <v>1370</v>
      </c>
      <c r="C165" s="996" t="s">
        <v>48</v>
      </c>
      <c r="D165" s="974">
        <v>5.7130000000000001</v>
      </c>
      <c r="E165" s="986">
        <f t="shared" si="39"/>
        <v>46165</v>
      </c>
      <c r="F165" s="986">
        <f t="shared" si="38"/>
        <v>46168</v>
      </c>
      <c r="G165" s="974" t="s">
        <v>2000</v>
      </c>
      <c r="H165" s="1412"/>
      <c r="I165" s="1040">
        <f t="shared" si="36"/>
        <v>55975.974000000002</v>
      </c>
      <c r="J165" s="1001"/>
    </row>
    <row r="166" spans="1:10">
      <c r="A166" s="551">
        <v>44</v>
      </c>
      <c r="B166" s="974" t="s">
        <v>1371</v>
      </c>
      <c r="C166" s="996" t="s">
        <v>32</v>
      </c>
      <c r="D166" s="974">
        <v>5.1669999999999998</v>
      </c>
      <c r="E166" s="986">
        <f t="shared" si="39"/>
        <v>46168</v>
      </c>
      <c r="F166" s="986">
        <f>E166+2</f>
        <v>46170</v>
      </c>
      <c r="G166" s="974" t="s">
        <v>2000</v>
      </c>
      <c r="H166" s="1412"/>
      <c r="I166" s="1040">
        <f t="shared" si="36"/>
        <v>50626.265999999996</v>
      </c>
      <c r="J166" s="1001"/>
    </row>
    <row r="167" spans="1:10">
      <c r="A167" s="551">
        <v>45</v>
      </c>
      <c r="B167" s="974" t="s">
        <v>1372</v>
      </c>
      <c r="C167" s="996" t="s">
        <v>43</v>
      </c>
      <c r="D167" s="974">
        <v>8.0860000000000003</v>
      </c>
      <c r="E167" s="986">
        <f t="shared" si="39"/>
        <v>46170</v>
      </c>
      <c r="F167" s="986">
        <f>E167+3</f>
        <v>46173</v>
      </c>
      <c r="G167" s="974" t="s">
        <v>2000</v>
      </c>
      <c r="H167" s="1412"/>
      <c r="I167" s="1040">
        <f t="shared" si="36"/>
        <v>79226.627999999997</v>
      </c>
      <c r="J167" s="1001"/>
    </row>
    <row r="168" spans="1:10">
      <c r="A168" s="551">
        <v>46</v>
      </c>
      <c r="B168" s="974" t="s">
        <v>1200</v>
      </c>
      <c r="C168" s="996" t="s">
        <v>34</v>
      </c>
      <c r="D168" s="974">
        <v>4.3780000000000001</v>
      </c>
      <c r="E168" s="986">
        <v>46150</v>
      </c>
      <c r="F168" s="986">
        <f t="shared" ref="F168:F172" si="40">E168+2</f>
        <v>46152</v>
      </c>
      <c r="G168" s="974" t="s">
        <v>2002</v>
      </c>
      <c r="H168" s="1433"/>
      <c r="I168" s="1040">
        <f t="shared" si="36"/>
        <v>42895.644</v>
      </c>
      <c r="J168" s="1001"/>
    </row>
    <row r="169" spans="1:10">
      <c r="A169" s="551">
        <v>47</v>
      </c>
      <c r="B169" s="974" t="s">
        <v>1202</v>
      </c>
      <c r="C169" s="996" t="s">
        <v>32</v>
      </c>
      <c r="D169" s="974">
        <v>5.1669999999999998</v>
      </c>
      <c r="E169" s="986">
        <f>F168</f>
        <v>46152</v>
      </c>
      <c r="F169" s="986">
        <f t="shared" si="40"/>
        <v>46154</v>
      </c>
      <c r="G169" s="974" t="s">
        <v>2002</v>
      </c>
      <c r="H169" s="1434"/>
      <c r="I169" s="1040">
        <f t="shared" si="36"/>
        <v>50626.265999999996</v>
      </c>
      <c r="J169" s="1001"/>
    </row>
    <row r="170" spans="1:10">
      <c r="A170" s="551">
        <v>48</v>
      </c>
      <c r="B170" s="974" t="s">
        <v>1203</v>
      </c>
      <c r="C170" s="996" t="s">
        <v>48</v>
      </c>
      <c r="D170" s="974">
        <v>5.7130000000000001</v>
      </c>
      <c r="E170" s="986">
        <f t="shared" ref="E170:E172" si="41">F169</f>
        <v>46154</v>
      </c>
      <c r="F170" s="986">
        <f t="shared" si="40"/>
        <v>46156</v>
      </c>
      <c r="G170" s="974" t="s">
        <v>2002</v>
      </c>
      <c r="H170" s="1434"/>
      <c r="I170" s="1040">
        <f t="shared" si="36"/>
        <v>55975.974000000002</v>
      </c>
      <c r="J170" s="1001"/>
    </row>
    <row r="171" spans="1:10">
      <c r="A171" s="551">
        <v>49</v>
      </c>
      <c r="B171" s="974" t="s">
        <v>1305</v>
      </c>
      <c r="C171" s="996" t="s">
        <v>32</v>
      </c>
      <c r="D171" s="974">
        <v>5.1669999999999998</v>
      </c>
      <c r="E171" s="986">
        <f t="shared" si="41"/>
        <v>46156</v>
      </c>
      <c r="F171" s="986">
        <f t="shared" si="40"/>
        <v>46158</v>
      </c>
      <c r="G171" s="974" t="s">
        <v>2002</v>
      </c>
      <c r="H171" s="1434"/>
      <c r="I171" s="1040">
        <f t="shared" si="36"/>
        <v>50626.265999999996</v>
      </c>
      <c r="J171" s="1001"/>
    </row>
    <row r="172" spans="1:10">
      <c r="A172" s="551">
        <v>50</v>
      </c>
      <c r="B172" s="974" t="s">
        <v>1306</v>
      </c>
      <c r="C172" s="996" t="s">
        <v>48</v>
      </c>
      <c r="D172" s="974">
        <v>5.7130000000000001</v>
      </c>
      <c r="E172" s="986">
        <f t="shared" si="41"/>
        <v>46158</v>
      </c>
      <c r="F172" s="986">
        <f t="shared" si="40"/>
        <v>46160</v>
      </c>
      <c r="G172" s="974" t="s">
        <v>2002</v>
      </c>
      <c r="H172" s="1434"/>
      <c r="I172" s="1040">
        <f t="shared" si="36"/>
        <v>55975.974000000002</v>
      </c>
      <c r="J172" s="1001"/>
    </row>
    <row r="173" spans="1:10">
      <c r="A173" s="551">
        <v>52</v>
      </c>
      <c r="B173" s="974" t="s">
        <v>1414</v>
      </c>
      <c r="C173" s="996" t="s">
        <v>48</v>
      </c>
      <c r="D173" s="974">
        <v>5.7130000000000001</v>
      </c>
      <c r="E173" s="986">
        <f>X173</f>
        <v>0</v>
      </c>
      <c r="F173" s="986">
        <f>E173+2</f>
        <v>2</v>
      </c>
      <c r="G173" s="974" t="s">
        <v>2002</v>
      </c>
      <c r="H173" s="1434"/>
      <c r="I173" s="1040">
        <f t="shared" si="36"/>
        <v>55975.974000000002</v>
      </c>
      <c r="J173" s="1001"/>
    </row>
    <row r="174" spans="1:10">
      <c r="A174" s="551">
        <v>53</v>
      </c>
      <c r="B174" s="974" t="s">
        <v>1415</v>
      </c>
      <c r="C174" s="996" t="s">
        <v>48</v>
      </c>
      <c r="D174" s="974">
        <v>6.3250000000000002</v>
      </c>
      <c r="E174" s="986">
        <f>F173</f>
        <v>2</v>
      </c>
      <c r="F174" s="986">
        <f>E174+3</f>
        <v>5</v>
      </c>
      <c r="G174" s="974" t="s">
        <v>2002</v>
      </c>
      <c r="H174" s="1434"/>
      <c r="I174" s="1040">
        <f t="shared" si="36"/>
        <v>61972.35</v>
      </c>
      <c r="J174" s="1001"/>
    </row>
    <row r="175" spans="1:10">
      <c r="A175" s="551">
        <v>54</v>
      </c>
      <c r="B175" s="974" t="s">
        <v>1418</v>
      </c>
      <c r="C175" s="996" t="s">
        <v>48</v>
      </c>
      <c r="D175" s="974">
        <v>6.3250000000000002</v>
      </c>
      <c r="E175" s="986">
        <f>F174</f>
        <v>5</v>
      </c>
      <c r="F175" s="986">
        <f>E175+3</f>
        <v>8</v>
      </c>
      <c r="G175" s="974" t="s">
        <v>2002</v>
      </c>
      <c r="H175" s="1434"/>
      <c r="I175" s="1040">
        <f t="shared" si="36"/>
        <v>61972.35</v>
      </c>
      <c r="J175" s="1001"/>
    </row>
    <row r="176" spans="1:10">
      <c r="A176" s="551">
        <v>55</v>
      </c>
      <c r="B176" s="974" t="s">
        <v>1419</v>
      </c>
      <c r="C176" s="996" t="s">
        <v>32</v>
      </c>
      <c r="D176" s="974">
        <v>5.1669999999999998</v>
      </c>
      <c r="E176" s="986">
        <f>F175</f>
        <v>8</v>
      </c>
      <c r="F176" s="986">
        <f>E176+3</f>
        <v>11</v>
      </c>
      <c r="G176" s="974" t="s">
        <v>2002</v>
      </c>
      <c r="H176" s="1435"/>
      <c r="I176" s="1040">
        <f t="shared" si="36"/>
        <v>50626.265999999996</v>
      </c>
      <c r="J176" s="1001"/>
    </row>
    <row r="177" spans="1:10">
      <c r="A177" s="551">
        <v>56</v>
      </c>
      <c r="B177" s="69" t="s">
        <v>186</v>
      </c>
      <c r="C177" s="69" t="s">
        <v>582</v>
      </c>
      <c r="D177" s="853">
        <v>8.3339999999999996</v>
      </c>
      <c r="E177" s="1031">
        <v>46150</v>
      </c>
      <c r="F177" s="1032">
        <f>E177+3</f>
        <v>46153</v>
      </c>
      <c r="G177" s="1424" t="s">
        <v>2020</v>
      </c>
      <c r="H177" s="1414"/>
      <c r="I177" s="1018">
        <f t="shared" si="36"/>
        <v>81656.531999999992</v>
      </c>
      <c r="J177" s="1033"/>
    </row>
    <row r="178" spans="1:10">
      <c r="A178" s="551">
        <v>57</v>
      </c>
      <c r="B178" s="69" t="s">
        <v>64</v>
      </c>
      <c r="C178" s="69" t="s">
        <v>586</v>
      </c>
      <c r="D178" s="853">
        <v>13.664</v>
      </c>
      <c r="E178" s="1016">
        <f>F177-1</f>
        <v>46152</v>
      </c>
      <c r="F178" s="1032">
        <f>E178+3</f>
        <v>46155</v>
      </c>
      <c r="G178" s="1425"/>
      <c r="H178" s="1414"/>
      <c r="I178" s="1018">
        <f t="shared" ref="I178:I186" si="42">D178*9798</f>
        <v>133879.872</v>
      </c>
      <c r="J178" s="1033"/>
    </row>
    <row r="179" spans="1:10">
      <c r="A179" s="551">
        <v>58</v>
      </c>
      <c r="B179" s="69" t="s">
        <v>198</v>
      </c>
      <c r="C179" s="69" t="s">
        <v>591</v>
      </c>
      <c r="D179" s="853">
        <v>6.8090000000000002</v>
      </c>
      <c r="E179" s="1016">
        <f t="shared" ref="E179:E186" si="43">F178-1</f>
        <v>46154</v>
      </c>
      <c r="F179" s="1032">
        <f t="shared" ref="F179:F186" si="44">E179+3</f>
        <v>46157</v>
      </c>
      <c r="G179" s="1425"/>
      <c r="H179" s="1414"/>
      <c r="I179" s="1018">
        <f t="shared" si="42"/>
        <v>66714.581999999995</v>
      </c>
      <c r="J179" s="1033"/>
    </row>
    <row r="180" spans="1:10">
      <c r="A180" s="551">
        <v>59</v>
      </c>
      <c r="B180" s="69" t="s">
        <v>65</v>
      </c>
      <c r="C180" s="977" t="s">
        <v>53</v>
      </c>
      <c r="D180" s="853">
        <v>10.593999999999999</v>
      </c>
      <c r="E180" s="1016">
        <f t="shared" si="43"/>
        <v>46156</v>
      </c>
      <c r="F180" s="1032">
        <f t="shared" si="44"/>
        <v>46159</v>
      </c>
      <c r="G180" s="1425"/>
      <c r="H180" s="1414"/>
      <c r="I180" s="1018">
        <f t="shared" si="42"/>
        <v>103800.01199999999</v>
      </c>
      <c r="J180" s="1033"/>
    </row>
    <row r="181" spans="1:10">
      <c r="A181" s="551">
        <v>60</v>
      </c>
      <c r="B181" s="69" t="s">
        <v>598</v>
      </c>
      <c r="C181" s="69" t="s">
        <v>582</v>
      </c>
      <c r="D181" s="853">
        <v>8.3339999999999996</v>
      </c>
      <c r="E181" s="1016">
        <f t="shared" si="43"/>
        <v>46158</v>
      </c>
      <c r="F181" s="1032">
        <f t="shared" si="44"/>
        <v>46161</v>
      </c>
      <c r="G181" s="1425"/>
      <c r="H181" s="1414"/>
      <c r="I181" s="1018">
        <f t="shared" si="42"/>
        <v>81656.531999999992</v>
      </c>
      <c r="J181" s="1033" t="s">
        <v>978</v>
      </c>
    </row>
    <row r="182" spans="1:10">
      <c r="A182" s="551">
        <v>61</v>
      </c>
      <c r="B182" s="69" t="s">
        <v>602</v>
      </c>
      <c r="C182" s="69" t="s">
        <v>603</v>
      </c>
      <c r="D182" s="853">
        <v>9.048</v>
      </c>
      <c r="E182" s="1016">
        <f t="shared" si="43"/>
        <v>46160</v>
      </c>
      <c r="F182" s="1032">
        <f t="shared" si="44"/>
        <v>46163</v>
      </c>
      <c r="G182" s="1425"/>
      <c r="H182" s="1414"/>
      <c r="I182" s="1018">
        <f t="shared" si="42"/>
        <v>88652.304000000004</v>
      </c>
      <c r="J182" s="1033"/>
    </row>
    <row r="183" spans="1:10">
      <c r="A183" s="551">
        <v>62</v>
      </c>
      <c r="B183" s="1034" t="s">
        <v>213</v>
      </c>
      <c r="C183" s="977" t="s">
        <v>57</v>
      </c>
      <c r="D183" s="853">
        <v>14.337</v>
      </c>
      <c r="E183" s="1016">
        <f t="shared" si="43"/>
        <v>46162</v>
      </c>
      <c r="F183" s="1032">
        <f t="shared" si="44"/>
        <v>46165</v>
      </c>
      <c r="G183" s="1425"/>
      <c r="H183" s="1414"/>
      <c r="I183" s="1018">
        <f t="shared" si="42"/>
        <v>140473.92600000001</v>
      </c>
      <c r="J183" s="1035"/>
    </row>
    <row r="184" spans="1:10">
      <c r="A184" s="551">
        <v>63</v>
      </c>
      <c r="B184" s="1034" t="s">
        <v>224</v>
      </c>
      <c r="C184" s="977" t="s">
        <v>53</v>
      </c>
      <c r="D184" s="853">
        <v>10.593999999999999</v>
      </c>
      <c r="E184" s="1016">
        <f t="shared" si="43"/>
        <v>46164</v>
      </c>
      <c r="F184" s="1032">
        <f t="shared" si="44"/>
        <v>46167</v>
      </c>
      <c r="G184" s="1425"/>
      <c r="H184" s="1414"/>
      <c r="I184" s="1018">
        <f t="shared" si="42"/>
        <v>103800.01199999999</v>
      </c>
      <c r="J184" s="1035"/>
    </row>
    <row r="185" spans="1:10">
      <c r="A185" s="551">
        <v>64</v>
      </c>
      <c r="B185" s="1036" t="s">
        <v>637</v>
      </c>
      <c r="C185" s="680" t="s">
        <v>34</v>
      </c>
      <c r="D185" s="853">
        <v>6.8090000000000002</v>
      </c>
      <c r="E185" s="1016">
        <f t="shared" si="43"/>
        <v>46166</v>
      </c>
      <c r="F185" s="1032">
        <f t="shared" si="44"/>
        <v>46169</v>
      </c>
      <c r="G185" s="1425"/>
      <c r="H185" s="1414"/>
      <c r="I185" s="1018">
        <f t="shared" si="42"/>
        <v>66714.581999999995</v>
      </c>
      <c r="J185" s="1035"/>
    </row>
    <row r="186" spans="1:10">
      <c r="A186" s="551">
        <v>65</v>
      </c>
      <c r="B186" s="1037" t="s">
        <v>152</v>
      </c>
      <c r="C186" s="69" t="s">
        <v>671</v>
      </c>
      <c r="D186" s="853">
        <v>16.943000000000001</v>
      </c>
      <c r="E186" s="1016">
        <f t="shared" si="43"/>
        <v>46168</v>
      </c>
      <c r="F186" s="1032">
        <f t="shared" si="44"/>
        <v>46171</v>
      </c>
      <c r="G186" s="1426"/>
      <c r="H186" s="1414"/>
      <c r="I186" s="1018">
        <f t="shared" si="42"/>
        <v>166007.51400000002</v>
      </c>
      <c r="J186" s="1035"/>
    </row>
    <row r="187" spans="1:10">
      <c r="A187" s="551">
        <v>66</v>
      </c>
      <c r="B187" s="951" t="s">
        <v>1914</v>
      </c>
      <c r="C187" s="69" t="s">
        <v>153</v>
      </c>
      <c r="D187" s="853">
        <v>16.922000000000001</v>
      </c>
      <c r="E187" s="1016">
        <v>46143</v>
      </c>
      <c r="F187" s="1016">
        <f>E187+7</f>
        <v>46150</v>
      </c>
      <c r="G187" s="1427" t="s">
        <v>1893</v>
      </c>
      <c r="H187" s="1427">
        <v>25</v>
      </c>
      <c r="I187" s="1018">
        <f>D187*9798</f>
        <v>165801.75599999999</v>
      </c>
      <c r="J187" s="1038" t="s">
        <v>29</v>
      </c>
    </row>
    <row r="188" spans="1:10">
      <c r="A188" s="551">
        <v>67</v>
      </c>
      <c r="B188" s="951" t="s">
        <v>2004</v>
      </c>
      <c r="C188" s="69" t="s">
        <v>167</v>
      </c>
      <c r="D188" s="853">
        <v>31.21</v>
      </c>
      <c r="E188" s="1016">
        <f>F187</f>
        <v>46150</v>
      </c>
      <c r="F188" s="1016">
        <f>E188+7</f>
        <v>46157</v>
      </c>
      <c r="G188" s="1428"/>
      <c r="H188" s="1428"/>
      <c r="I188" s="1018">
        <f t="shared" ref="I188:I201" si="45">D188*9798</f>
        <v>305795.58</v>
      </c>
      <c r="J188" s="1038" t="s">
        <v>29</v>
      </c>
    </row>
    <row r="189" spans="1:10">
      <c r="A189" s="551">
        <v>68</v>
      </c>
      <c r="B189" s="860" t="s">
        <v>1937</v>
      </c>
      <c r="C189" s="503" t="s">
        <v>153</v>
      </c>
      <c r="D189" s="853">
        <v>16.922000000000001</v>
      </c>
      <c r="E189" s="1016">
        <f t="shared" ref="E189:E191" si="46">F188</f>
        <v>46157</v>
      </c>
      <c r="F189" s="1016">
        <f t="shared" ref="F189:F191" si="47">E189+5</f>
        <v>46162</v>
      </c>
      <c r="G189" s="1428"/>
      <c r="H189" s="1428"/>
      <c r="I189" s="1018">
        <f t="shared" si="45"/>
        <v>165801.75599999999</v>
      </c>
      <c r="J189" s="1038" t="s">
        <v>29</v>
      </c>
    </row>
    <row r="190" spans="1:10">
      <c r="A190" s="551">
        <v>69</v>
      </c>
      <c r="B190" s="860" t="s">
        <v>2044</v>
      </c>
      <c r="C190" s="69" t="s">
        <v>133</v>
      </c>
      <c r="D190" s="853">
        <v>37.869999999999997</v>
      </c>
      <c r="E190" s="1016">
        <f t="shared" si="46"/>
        <v>46162</v>
      </c>
      <c r="F190" s="1016">
        <f t="shared" si="47"/>
        <v>46167</v>
      </c>
      <c r="G190" s="1428"/>
      <c r="H190" s="1428"/>
      <c r="I190" s="1018">
        <f t="shared" si="45"/>
        <v>371050.25999999995</v>
      </c>
      <c r="J190" s="1039" t="s">
        <v>1943</v>
      </c>
    </row>
    <row r="191" spans="1:10">
      <c r="A191" s="551">
        <v>70</v>
      </c>
      <c r="B191" s="860" t="s">
        <v>1920</v>
      </c>
      <c r="C191" s="503" t="s">
        <v>153</v>
      </c>
      <c r="D191" s="853">
        <v>16.922000000000001</v>
      </c>
      <c r="E191" s="1016">
        <f t="shared" si="46"/>
        <v>46167</v>
      </c>
      <c r="F191" s="1016">
        <f t="shared" si="47"/>
        <v>46172</v>
      </c>
      <c r="G191" s="1429"/>
      <c r="H191" s="1429"/>
      <c r="I191" s="1018">
        <f t="shared" si="45"/>
        <v>165801.75599999999</v>
      </c>
      <c r="J191" s="1039"/>
    </row>
    <row r="192" spans="1:10">
      <c r="A192" s="551">
        <v>71</v>
      </c>
      <c r="B192" s="951" t="s">
        <v>1913</v>
      </c>
      <c r="C192" s="69" t="s">
        <v>133</v>
      </c>
      <c r="D192" s="853">
        <v>37.869999999999997</v>
      </c>
      <c r="E192" s="1016">
        <v>46143</v>
      </c>
      <c r="F192" s="1016">
        <f>E192+7</f>
        <v>46150</v>
      </c>
      <c r="G192" s="1427" t="s">
        <v>1915</v>
      </c>
      <c r="H192" s="1427">
        <v>26</v>
      </c>
      <c r="I192" s="1018">
        <f t="shared" si="45"/>
        <v>371050.25999999995</v>
      </c>
      <c r="J192" s="1038" t="s">
        <v>29</v>
      </c>
    </row>
    <row r="193" spans="1:10">
      <c r="A193" s="551">
        <v>72</v>
      </c>
      <c r="B193" s="860" t="s">
        <v>2008</v>
      </c>
      <c r="C193" s="69" t="s">
        <v>344</v>
      </c>
      <c r="D193" s="853">
        <v>40.17</v>
      </c>
      <c r="E193" s="1016">
        <f>F192</f>
        <v>46150</v>
      </c>
      <c r="F193" s="1016">
        <f>E193+7</f>
        <v>46157</v>
      </c>
      <c r="G193" s="1428"/>
      <c r="H193" s="1428"/>
      <c r="I193" s="1018">
        <f t="shared" si="45"/>
        <v>393585.66000000003</v>
      </c>
      <c r="J193" s="1038" t="s">
        <v>29</v>
      </c>
    </row>
    <row r="194" spans="1:10">
      <c r="A194" s="551">
        <v>73</v>
      </c>
      <c r="B194" s="951" t="s">
        <v>2005</v>
      </c>
      <c r="C194" s="69" t="s">
        <v>133</v>
      </c>
      <c r="D194" s="853">
        <v>37.869999999999997</v>
      </c>
      <c r="E194" s="1016">
        <f t="shared" ref="E194:E196" si="48">F193</f>
        <v>46157</v>
      </c>
      <c r="F194" s="1016">
        <f t="shared" ref="F194:F196" si="49">E194+5</f>
        <v>46162</v>
      </c>
      <c r="G194" s="1428"/>
      <c r="H194" s="1428"/>
      <c r="I194" s="1018">
        <f t="shared" si="45"/>
        <v>371050.25999999995</v>
      </c>
      <c r="J194" s="1038" t="s">
        <v>978</v>
      </c>
    </row>
    <row r="195" spans="1:10">
      <c r="A195" s="551">
        <v>74</v>
      </c>
      <c r="B195" s="951" t="s">
        <v>1918</v>
      </c>
      <c r="C195" s="69" t="s">
        <v>153</v>
      </c>
      <c r="D195" s="853">
        <v>16.922000000000001</v>
      </c>
      <c r="E195" s="1016">
        <f t="shared" si="48"/>
        <v>46162</v>
      </c>
      <c r="F195" s="1016">
        <f t="shared" si="49"/>
        <v>46167</v>
      </c>
      <c r="G195" s="1428"/>
      <c r="H195" s="1428"/>
      <c r="I195" s="1018">
        <f t="shared" si="45"/>
        <v>165801.75599999999</v>
      </c>
      <c r="J195" s="1039"/>
    </row>
    <row r="196" spans="1:10">
      <c r="A196" s="551">
        <v>75</v>
      </c>
      <c r="B196" s="1029" t="s">
        <v>1944</v>
      </c>
      <c r="C196" s="69" t="s">
        <v>301</v>
      </c>
      <c r="D196" s="853">
        <v>20.631</v>
      </c>
      <c r="E196" s="1016">
        <f t="shared" si="48"/>
        <v>46167</v>
      </c>
      <c r="F196" s="1016">
        <f t="shared" si="49"/>
        <v>46172</v>
      </c>
      <c r="G196" s="1429"/>
      <c r="H196" s="1429"/>
      <c r="I196" s="1018">
        <f t="shared" si="45"/>
        <v>202142.538</v>
      </c>
      <c r="J196" s="1039"/>
    </row>
    <row r="197" spans="1:10">
      <c r="A197" s="551">
        <v>76</v>
      </c>
      <c r="B197" s="1029" t="s">
        <v>2006</v>
      </c>
      <c r="C197" s="503" t="s">
        <v>153</v>
      </c>
      <c r="D197" s="853">
        <v>16.922000000000001</v>
      </c>
      <c r="E197" s="1016">
        <v>46143</v>
      </c>
      <c r="F197" s="1016">
        <f>E197+7</f>
        <v>46150</v>
      </c>
      <c r="G197" s="1430" t="s">
        <v>2007</v>
      </c>
      <c r="H197" s="1430"/>
      <c r="I197" s="1018">
        <f t="shared" si="45"/>
        <v>165801.75599999999</v>
      </c>
      <c r="J197" s="1038"/>
    </row>
    <row r="198" spans="1:10">
      <c r="A198" s="551">
        <v>77</v>
      </c>
      <c r="B198" s="860" t="s">
        <v>1919</v>
      </c>
      <c r="C198" s="503" t="s">
        <v>153</v>
      </c>
      <c r="D198" s="853">
        <v>16.922000000000001</v>
      </c>
      <c r="E198" s="1016">
        <f>F197</f>
        <v>46150</v>
      </c>
      <c r="F198" s="1016">
        <f>E198+7</f>
        <v>46157</v>
      </c>
      <c r="G198" s="1431"/>
      <c r="H198" s="1431"/>
      <c r="I198" s="1018">
        <f t="shared" si="45"/>
        <v>165801.75599999999</v>
      </c>
      <c r="J198" s="1039"/>
    </row>
    <row r="199" spans="1:10">
      <c r="A199" s="551">
        <v>78</v>
      </c>
      <c r="B199" s="860" t="s">
        <v>1930</v>
      </c>
      <c r="C199" s="503" t="s">
        <v>301</v>
      </c>
      <c r="D199" s="853">
        <v>20.631</v>
      </c>
      <c r="E199" s="1016">
        <f t="shared" ref="E199:E201" si="50">F198</f>
        <v>46157</v>
      </c>
      <c r="F199" s="1016">
        <f t="shared" ref="F199:F201" si="51">E199+5</f>
        <v>46162</v>
      </c>
      <c r="G199" s="1431"/>
      <c r="H199" s="1431"/>
      <c r="I199" s="1018">
        <f t="shared" si="45"/>
        <v>202142.538</v>
      </c>
      <c r="J199" s="1039"/>
    </row>
    <row r="200" spans="1:10">
      <c r="A200" s="551">
        <v>79</v>
      </c>
      <c r="B200" s="860" t="s">
        <v>2008</v>
      </c>
      <c r="C200" s="69" t="s">
        <v>344</v>
      </c>
      <c r="D200" s="853">
        <v>40.17</v>
      </c>
      <c r="E200" s="1016">
        <f t="shared" si="50"/>
        <v>46162</v>
      </c>
      <c r="F200" s="1016">
        <f t="shared" si="51"/>
        <v>46167</v>
      </c>
      <c r="G200" s="1431"/>
      <c r="H200" s="1431"/>
      <c r="I200" s="1018">
        <f t="shared" si="45"/>
        <v>393585.66000000003</v>
      </c>
      <c r="J200" s="1039"/>
    </row>
    <row r="201" spans="1:10">
      <c r="A201" s="551">
        <v>80</v>
      </c>
      <c r="B201" s="860" t="s">
        <v>2009</v>
      </c>
      <c r="C201" s="69" t="s">
        <v>133</v>
      </c>
      <c r="D201" s="853">
        <v>37.869999999999997</v>
      </c>
      <c r="E201" s="1016">
        <f t="shared" si="50"/>
        <v>46167</v>
      </c>
      <c r="F201" s="1016">
        <f t="shared" si="51"/>
        <v>46172</v>
      </c>
      <c r="G201" s="1432"/>
      <c r="H201" s="1432"/>
      <c r="I201" s="1022">
        <f t="shared" si="45"/>
        <v>371050.25999999995</v>
      </c>
      <c r="J201" s="1039"/>
    </row>
  </sheetData>
  <mergeCells count="35">
    <mergeCell ref="H105:H109"/>
    <mergeCell ref="I60:I64"/>
    <mergeCell ref="I65:I74"/>
    <mergeCell ref="I75:I79"/>
    <mergeCell ref="I80:I84"/>
    <mergeCell ref="I85:I89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</mergeCells>
  <conditionalFormatting sqref="D2">
    <cfRule type="duplicateValues" dxfId="542" priority="30"/>
  </conditionalFormatting>
  <conditionalFormatting sqref="D114">
    <cfRule type="duplicateValues" dxfId="541" priority="29"/>
  </conditionalFormatting>
  <conditionalFormatting sqref="B85 B106:B109 B87:B101 B103:B104">
    <cfRule type="duplicateValues" dxfId="540" priority="3"/>
  </conditionalFormatting>
  <conditionalFormatting sqref="B86">
    <cfRule type="duplicateValues" dxfId="539" priority="2"/>
  </conditionalFormatting>
  <conditionalFormatting sqref="B102">
    <cfRule type="duplicateValues" dxfId="538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129" zoomScale="110" zoomScaleNormal="110" workbookViewId="0">
      <selection activeCell="B139" sqref="B139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453" t="s">
        <v>80</v>
      </c>
      <c r="B1" s="1453"/>
      <c r="C1" s="1453"/>
      <c r="D1" s="1453"/>
      <c r="E1" s="1453"/>
      <c r="F1" s="2"/>
      <c r="G1" s="568"/>
      <c r="H1" s="568"/>
      <c r="I1" s="568"/>
    </row>
    <row r="2" spans="1:9">
      <c r="A2" s="1446" t="s">
        <v>1153</v>
      </c>
      <c r="B2" s="1446"/>
      <c r="C2" s="1446"/>
      <c r="D2" s="1446"/>
      <c r="E2" s="1446"/>
      <c r="F2" s="2"/>
      <c r="G2" s="571" t="s">
        <v>1201</v>
      </c>
      <c r="H2" s="1442" t="str">
        <f>'DPR Sheet '!F2</f>
        <v>Date-09/07/2026</v>
      </c>
      <c r="I2" s="1443"/>
    </row>
    <row r="3" spans="1:9" ht="30">
      <c r="A3" s="486" t="s">
        <v>82</v>
      </c>
      <c r="B3" s="486" t="s">
        <v>63</v>
      </c>
      <c r="C3" s="487" t="s">
        <v>81</v>
      </c>
      <c r="D3" s="487" t="s">
        <v>37</v>
      </c>
      <c r="E3" s="487" t="s">
        <v>2</v>
      </c>
      <c r="F3" s="2"/>
      <c r="G3" s="559" t="s">
        <v>1154</v>
      </c>
      <c r="H3" s="559" t="s">
        <v>1159</v>
      </c>
      <c r="I3" s="560" t="s">
        <v>1161</v>
      </c>
    </row>
    <row r="4" spans="1:9" ht="12.75" customHeight="1">
      <c r="A4" s="484">
        <v>1</v>
      </c>
      <c r="B4" s="484" t="s">
        <v>131</v>
      </c>
      <c r="C4" s="485">
        <v>45896</v>
      </c>
      <c r="D4" s="484" t="s">
        <v>31</v>
      </c>
      <c r="E4" s="1451" t="s">
        <v>1027</v>
      </c>
      <c r="F4" s="2"/>
      <c r="G4" s="1439" t="s">
        <v>1160</v>
      </c>
      <c r="H4" s="555" t="s">
        <v>1155</v>
      </c>
      <c r="I4" s="558">
        <v>40</v>
      </c>
    </row>
    <row r="5" spans="1:9" ht="12.75" customHeight="1">
      <c r="A5" s="21">
        <v>2</v>
      </c>
      <c r="B5" s="21" t="s">
        <v>165</v>
      </c>
      <c r="C5" s="22">
        <v>45896</v>
      </c>
      <c r="D5" s="21" t="s">
        <v>42</v>
      </c>
      <c r="E5" s="1451"/>
      <c r="F5" s="2"/>
      <c r="G5" s="1440"/>
      <c r="H5" s="555" t="s">
        <v>1007</v>
      </c>
      <c r="I5" s="558">
        <v>40</v>
      </c>
    </row>
    <row r="6" spans="1:9" ht="12.75" customHeight="1">
      <c r="A6" s="21">
        <v>3</v>
      </c>
      <c r="B6" s="21" t="s">
        <v>173</v>
      </c>
      <c r="C6" s="22">
        <v>45896</v>
      </c>
      <c r="D6" s="21" t="s">
        <v>42</v>
      </c>
      <c r="E6" s="1451"/>
      <c r="F6" s="2"/>
      <c r="G6" s="1440"/>
      <c r="H6" s="558" t="s">
        <v>1156</v>
      </c>
      <c r="I6" s="558">
        <v>40</v>
      </c>
    </row>
    <row r="7" spans="1:9" ht="12.75" customHeight="1">
      <c r="A7" s="21">
        <v>4</v>
      </c>
      <c r="B7" s="21" t="s">
        <v>192</v>
      </c>
      <c r="C7" s="22">
        <v>45896</v>
      </c>
      <c r="D7" s="21" t="s">
        <v>42</v>
      </c>
      <c r="E7" s="1451"/>
      <c r="F7" s="2"/>
      <c r="G7" s="1440"/>
      <c r="H7" s="558" t="s">
        <v>1158</v>
      </c>
      <c r="I7" s="558">
        <v>40</v>
      </c>
    </row>
    <row r="8" spans="1:9" ht="12.75" customHeight="1">
      <c r="A8" s="21">
        <v>5</v>
      </c>
      <c r="B8" s="21" t="s">
        <v>553</v>
      </c>
      <c r="C8" s="22">
        <v>45896</v>
      </c>
      <c r="D8" s="21" t="s">
        <v>42</v>
      </c>
      <c r="E8" s="1451"/>
      <c r="F8" s="2"/>
      <c r="G8" s="1441"/>
      <c r="H8" s="555" t="s">
        <v>1157</v>
      </c>
      <c r="I8" s="558">
        <v>0</v>
      </c>
    </row>
    <row r="9" spans="1:9" ht="12.75" customHeight="1">
      <c r="A9" s="798">
        <v>6</v>
      </c>
      <c r="B9" s="798" t="s">
        <v>212</v>
      </c>
      <c r="C9" s="799">
        <v>45897</v>
      </c>
      <c r="D9" s="798" t="s">
        <v>42</v>
      </c>
      <c r="E9" s="1451"/>
      <c r="F9" s="2"/>
      <c r="G9" s="557"/>
      <c r="H9" s="555"/>
      <c r="I9" s="558"/>
    </row>
    <row r="10" spans="1:9" ht="12.75" customHeight="1">
      <c r="A10" s="798">
        <v>7</v>
      </c>
      <c r="B10" s="798" t="s">
        <v>218</v>
      </c>
      <c r="C10" s="799">
        <v>45897</v>
      </c>
      <c r="D10" s="798" t="s">
        <v>42</v>
      </c>
      <c r="E10" s="1451"/>
      <c r="F10" s="2"/>
      <c r="G10" s="1439" t="s">
        <v>86</v>
      </c>
      <c r="H10" s="555" t="s">
        <v>1155</v>
      </c>
      <c r="I10" s="558">
        <v>7</v>
      </c>
    </row>
    <row r="11" spans="1:9" ht="12.75" customHeight="1">
      <c r="A11" s="798">
        <v>8</v>
      </c>
      <c r="B11" s="798" t="s">
        <v>223</v>
      </c>
      <c r="C11" s="799">
        <v>45896</v>
      </c>
      <c r="D11" s="798" t="s">
        <v>42</v>
      </c>
      <c r="E11" s="1451"/>
      <c r="F11" s="2"/>
      <c r="G11" s="1440"/>
      <c r="H11" s="555" t="s">
        <v>1007</v>
      </c>
      <c r="I11" s="558">
        <v>7</v>
      </c>
    </row>
    <row r="12" spans="1:9" ht="12.75" customHeight="1">
      <c r="A12" s="21">
        <v>9</v>
      </c>
      <c r="B12" s="21" t="s">
        <v>256</v>
      </c>
      <c r="C12" s="22">
        <v>45897</v>
      </c>
      <c r="D12" s="21" t="s">
        <v>31</v>
      </c>
      <c r="E12" s="1451"/>
      <c r="F12" s="2"/>
      <c r="G12" s="1440"/>
      <c r="H12" s="558" t="s">
        <v>1156</v>
      </c>
      <c r="I12" s="558">
        <v>7</v>
      </c>
    </row>
    <row r="13" spans="1:9" ht="12.75" customHeight="1">
      <c r="A13" s="21">
        <v>10</v>
      </c>
      <c r="B13" s="21" t="s">
        <v>263</v>
      </c>
      <c r="C13" s="22">
        <v>45897</v>
      </c>
      <c r="D13" s="21" t="s">
        <v>31</v>
      </c>
      <c r="E13" s="1451"/>
      <c r="F13" s="2"/>
      <c r="G13" s="1440"/>
      <c r="H13" s="558" t="s">
        <v>1158</v>
      </c>
      <c r="I13" s="558">
        <v>7</v>
      </c>
    </row>
    <row r="14" spans="1:9" ht="12.75" customHeight="1">
      <c r="A14" s="21">
        <v>11</v>
      </c>
      <c r="B14" s="21" t="s">
        <v>270</v>
      </c>
      <c r="C14" s="22">
        <v>45897</v>
      </c>
      <c r="D14" s="21" t="s">
        <v>42</v>
      </c>
      <c r="E14" s="1451"/>
      <c r="F14" s="2"/>
      <c r="G14" s="1441"/>
      <c r="H14" s="555" t="s">
        <v>1157</v>
      </c>
      <c r="I14" s="558">
        <v>0</v>
      </c>
    </row>
    <row r="15" spans="1:9" ht="12.75" customHeight="1">
      <c r="A15" s="21">
        <v>12</v>
      </c>
      <c r="B15" s="21" t="s">
        <v>286</v>
      </c>
      <c r="C15" s="22">
        <v>45898</v>
      </c>
      <c r="D15" s="21" t="s">
        <v>42</v>
      </c>
      <c r="E15" s="1451"/>
      <c r="F15" s="2"/>
      <c r="G15" s="556"/>
      <c r="H15" s="555"/>
      <c r="I15" s="558"/>
    </row>
    <row r="16" spans="1:9" ht="12.75" customHeight="1">
      <c r="A16" s="798">
        <v>13</v>
      </c>
      <c r="B16" s="798" t="s">
        <v>291</v>
      </c>
      <c r="C16" s="799">
        <v>45898</v>
      </c>
      <c r="D16" s="798" t="s">
        <v>42</v>
      </c>
      <c r="E16" s="1451"/>
      <c r="F16" s="2"/>
      <c r="G16" s="1439" t="s">
        <v>1162</v>
      </c>
      <c r="H16" s="561" t="s">
        <v>1155</v>
      </c>
      <c r="I16" s="558">
        <v>100</v>
      </c>
    </row>
    <row r="17" spans="1:9" ht="12.75" customHeight="1">
      <c r="A17" s="21">
        <v>14</v>
      </c>
      <c r="B17" s="21" t="s">
        <v>325</v>
      </c>
      <c r="C17" s="22">
        <v>45898</v>
      </c>
      <c r="D17" s="21" t="s">
        <v>61</v>
      </c>
      <c r="E17" s="1451"/>
      <c r="F17" s="2"/>
      <c r="G17" s="1440"/>
      <c r="H17" s="561" t="s">
        <v>1007</v>
      </c>
      <c r="I17" s="558">
        <v>100</v>
      </c>
    </row>
    <row r="18" spans="1:9" ht="12.75" customHeight="1">
      <c r="A18" s="798">
        <v>15</v>
      </c>
      <c r="B18" s="798" t="s">
        <v>336</v>
      </c>
      <c r="C18" s="799">
        <v>45898</v>
      </c>
      <c r="D18" s="798" t="s">
        <v>61</v>
      </c>
      <c r="E18" s="1451"/>
      <c r="F18" s="2"/>
      <c r="G18" s="1440"/>
      <c r="H18" s="562" t="s">
        <v>1188</v>
      </c>
      <c r="I18" s="558">
        <v>25</v>
      </c>
    </row>
    <row r="19" spans="1:9" ht="12.75" customHeight="1">
      <c r="A19" s="798">
        <v>16</v>
      </c>
      <c r="B19" s="798" t="s">
        <v>363</v>
      </c>
      <c r="C19" s="799">
        <v>45898</v>
      </c>
      <c r="D19" s="798" t="s">
        <v>42</v>
      </c>
      <c r="E19" s="1451"/>
      <c r="F19" s="2"/>
      <c r="G19" s="1440"/>
      <c r="H19" s="562" t="s">
        <v>1158</v>
      </c>
      <c r="I19" s="558">
        <v>21</v>
      </c>
    </row>
    <row r="20" spans="1:9" ht="12.75" customHeight="1">
      <c r="A20" s="798">
        <v>17</v>
      </c>
      <c r="B20" s="798" t="s">
        <v>370</v>
      </c>
      <c r="C20" s="799">
        <v>45898</v>
      </c>
      <c r="D20" s="798" t="s">
        <v>42</v>
      </c>
      <c r="E20" s="1451"/>
      <c r="F20" s="2"/>
      <c r="G20" s="1440"/>
      <c r="H20" s="561" t="s">
        <v>1163</v>
      </c>
      <c r="I20" s="558">
        <v>36</v>
      </c>
    </row>
    <row r="21" spans="1:9" ht="12.75" customHeight="1">
      <c r="A21" s="1047">
        <v>18</v>
      </c>
      <c r="B21" s="1047" t="s">
        <v>379</v>
      </c>
      <c r="C21" s="1048">
        <v>45899</v>
      </c>
      <c r="D21" s="1047" t="s">
        <v>42</v>
      </c>
      <c r="E21" s="1451"/>
      <c r="F21" s="2"/>
      <c r="G21" s="1441"/>
      <c r="H21" s="561" t="s">
        <v>1157</v>
      </c>
      <c r="I21" s="558">
        <f>I16-I17</f>
        <v>0</v>
      </c>
    </row>
    <row r="22" spans="1:9" ht="12.75" customHeight="1">
      <c r="A22" s="798">
        <v>19</v>
      </c>
      <c r="B22" s="798" t="s">
        <v>415</v>
      </c>
      <c r="C22" s="799">
        <v>45899</v>
      </c>
      <c r="D22" s="798" t="s">
        <v>42</v>
      </c>
      <c r="E22" s="1451"/>
      <c r="F22" s="2"/>
    </row>
    <row r="23" spans="1:9" ht="12.75" customHeight="1">
      <c r="A23" s="798">
        <v>20</v>
      </c>
      <c r="B23" s="798" t="s">
        <v>448</v>
      </c>
      <c r="C23" s="799">
        <v>45899</v>
      </c>
      <c r="D23" s="798" t="s">
        <v>61</v>
      </c>
      <c r="E23" s="1452"/>
      <c r="F23" s="2"/>
    </row>
    <row r="24" spans="1:9" ht="12.75" customHeight="1">
      <c r="A24" s="21">
        <v>21</v>
      </c>
      <c r="B24" s="21" t="s">
        <v>131</v>
      </c>
      <c r="C24" s="22">
        <v>45905</v>
      </c>
      <c r="D24" s="21" t="s">
        <v>31</v>
      </c>
      <c r="E24" s="1450" t="s">
        <v>1028</v>
      </c>
      <c r="F24" s="2"/>
    </row>
    <row r="25" spans="1:9" ht="12.75" customHeight="1">
      <c r="A25" s="21">
        <v>22</v>
      </c>
      <c r="B25" s="21" t="s">
        <v>556</v>
      </c>
      <c r="C25" s="22">
        <v>45899</v>
      </c>
      <c r="D25" s="21" t="s">
        <v>31</v>
      </c>
      <c r="E25" s="1451"/>
      <c r="F25" s="2"/>
    </row>
    <row r="26" spans="1:9" ht="12.75" customHeight="1">
      <c r="A26" s="21">
        <v>23</v>
      </c>
      <c r="B26" s="21" t="s">
        <v>557</v>
      </c>
      <c r="C26" s="22">
        <v>45899</v>
      </c>
      <c r="D26" s="21" t="s">
        <v>42</v>
      </c>
      <c r="E26" s="1451"/>
      <c r="F26" s="2"/>
    </row>
    <row r="27" spans="1:9" ht="12.75" customHeight="1">
      <c r="A27" s="21">
        <v>24</v>
      </c>
      <c r="B27" s="21" t="s">
        <v>558</v>
      </c>
      <c r="C27" s="22">
        <v>45900</v>
      </c>
      <c r="D27" s="21" t="s">
        <v>42</v>
      </c>
      <c r="E27" s="1451"/>
      <c r="F27" s="2"/>
    </row>
    <row r="28" spans="1:9" ht="12.75" customHeight="1">
      <c r="A28" s="21">
        <v>25</v>
      </c>
      <c r="B28" s="21" t="s">
        <v>212</v>
      </c>
      <c r="C28" s="22">
        <v>45900</v>
      </c>
      <c r="D28" s="21" t="s">
        <v>42</v>
      </c>
      <c r="E28" s="1451"/>
      <c r="F28" s="2"/>
    </row>
    <row r="29" spans="1:9" ht="12.75" customHeight="1">
      <c r="A29" s="21">
        <v>26</v>
      </c>
      <c r="B29" s="21" t="s">
        <v>223</v>
      </c>
      <c r="C29" s="22">
        <v>45900</v>
      </c>
      <c r="D29" s="21" t="s">
        <v>42</v>
      </c>
      <c r="E29" s="1451"/>
      <c r="F29" s="2"/>
    </row>
    <row r="30" spans="1:9" ht="12.75" customHeight="1">
      <c r="A30" s="21">
        <v>27</v>
      </c>
      <c r="B30" s="21" t="s">
        <v>244</v>
      </c>
      <c r="C30" s="22">
        <v>45901</v>
      </c>
      <c r="D30" s="21" t="s">
        <v>42</v>
      </c>
      <c r="E30" s="1451"/>
      <c r="F30" s="2"/>
    </row>
    <row r="31" spans="1:9" ht="12.75" customHeight="1">
      <c r="A31" s="21">
        <v>28</v>
      </c>
      <c r="B31" s="21" t="s">
        <v>270</v>
      </c>
      <c r="C31" s="22">
        <v>45901</v>
      </c>
      <c r="D31" s="21" t="s">
        <v>42</v>
      </c>
      <c r="E31" s="1451"/>
      <c r="F31" s="2"/>
    </row>
    <row r="32" spans="1:9" ht="12.75" customHeight="1">
      <c r="A32" s="21">
        <v>29</v>
      </c>
      <c r="B32" s="21" t="s">
        <v>559</v>
      </c>
      <c r="C32" s="22">
        <v>45901</v>
      </c>
      <c r="D32" s="21" t="s">
        <v>42</v>
      </c>
      <c r="E32" s="1451"/>
      <c r="F32" s="2"/>
    </row>
    <row r="33" spans="1:6" ht="12.75" customHeight="1">
      <c r="A33" s="21">
        <v>30</v>
      </c>
      <c r="B33" s="21" t="s">
        <v>286</v>
      </c>
      <c r="C33" s="22">
        <v>45902</v>
      </c>
      <c r="D33" s="21" t="s">
        <v>42</v>
      </c>
      <c r="E33" s="1451"/>
      <c r="F33" s="2"/>
    </row>
    <row r="34" spans="1:6" ht="12.75" customHeight="1">
      <c r="A34" s="21">
        <v>31</v>
      </c>
      <c r="B34" s="21" t="s">
        <v>291</v>
      </c>
      <c r="C34" s="22">
        <v>45902</v>
      </c>
      <c r="D34" s="21" t="s">
        <v>31</v>
      </c>
      <c r="E34" s="1451"/>
      <c r="F34" s="2"/>
    </row>
    <row r="35" spans="1:6" ht="12.75" customHeight="1">
      <c r="A35" s="21">
        <v>32</v>
      </c>
      <c r="B35" s="21" t="s">
        <v>305</v>
      </c>
      <c r="C35" s="22">
        <v>45903</v>
      </c>
      <c r="D35" s="21" t="s">
        <v>42</v>
      </c>
      <c r="E35" s="1451"/>
      <c r="F35" s="2"/>
    </row>
    <row r="36" spans="1:6" ht="12.75" customHeight="1">
      <c r="A36" s="798">
        <v>33</v>
      </c>
      <c r="B36" s="798" t="s">
        <v>336</v>
      </c>
      <c r="C36" s="799">
        <v>45902</v>
      </c>
      <c r="D36" s="798" t="s">
        <v>42</v>
      </c>
      <c r="E36" s="1451"/>
      <c r="F36" s="2"/>
    </row>
    <row r="37" spans="1:6" ht="12.75" customHeight="1">
      <c r="A37" s="798">
        <v>34</v>
      </c>
      <c r="B37" s="798" t="s">
        <v>370</v>
      </c>
      <c r="C37" s="799">
        <v>45903</v>
      </c>
      <c r="D37" s="798" t="s">
        <v>61</v>
      </c>
      <c r="E37" s="1451"/>
      <c r="F37" s="2"/>
    </row>
    <row r="38" spans="1:6" ht="12.75" customHeight="1">
      <c r="A38" s="798">
        <v>35</v>
      </c>
      <c r="B38" s="798" t="s">
        <v>379</v>
      </c>
      <c r="C38" s="799">
        <v>45903</v>
      </c>
      <c r="D38" s="798" t="s">
        <v>61</v>
      </c>
      <c r="E38" s="1451"/>
      <c r="F38" s="2"/>
    </row>
    <row r="39" spans="1:6" ht="12.75" customHeight="1">
      <c r="A39" s="798">
        <v>36</v>
      </c>
      <c r="B39" s="798" t="s">
        <v>415</v>
      </c>
      <c r="C39" s="799">
        <v>45904</v>
      </c>
      <c r="D39" s="798" t="s">
        <v>42</v>
      </c>
      <c r="E39" s="1451"/>
      <c r="F39" s="2"/>
    </row>
    <row r="40" spans="1:6" ht="12.75" customHeight="1">
      <c r="A40" s="798">
        <v>37</v>
      </c>
      <c r="B40" s="798" t="s">
        <v>435</v>
      </c>
      <c r="C40" s="799">
        <v>45904</v>
      </c>
      <c r="D40" s="798" t="s">
        <v>31</v>
      </c>
      <c r="E40" s="1451"/>
      <c r="F40" s="2"/>
    </row>
    <row r="41" spans="1:6" ht="12.75" customHeight="1">
      <c r="A41" s="798">
        <v>38</v>
      </c>
      <c r="B41" s="798" t="s">
        <v>442</v>
      </c>
      <c r="C41" s="799">
        <v>45904</v>
      </c>
      <c r="D41" s="798" t="s">
        <v>42</v>
      </c>
      <c r="E41" s="1451"/>
      <c r="F41" s="2"/>
    </row>
    <row r="42" spans="1:6" ht="12.75" customHeight="1">
      <c r="A42" s="798">
        <v>39</v>
      </c>
      <c r="B42" s="798" t="s">
        <v>456</v>
      </c>
      <c r="C42" s="799">
        <v>45905</v>
      </c>
      <c r="D42" s="798" t="s">
        <v>42</v>
      </c>
      <c r="E42" s="1451"/>
      <c r="F42" s="2"/>
    </row>
    <row r="43" spans="1:6" ht="12.75" customHeight="1">
      <c r="A43" s="21">
        <v>40</v>
      </c>
      <c r="B43" s="21" t="s">
        <v>560</v>
      </c>
      <c r="C43" s="22">
        <v>45905</v>
      </c>
      <c r="D43" s="21" t="s">
        <v>61</v>
      </c>
      <c r="E43" s="1452"/>
      <c r="F43" s="2"/>
    </row>
    <row r="44" spans="1:6" ht="12.75" customHeight="1">
      <c r="A44" s="1444" t="s">
        <v>79</v>
      </c>
      <c r="B44" s="1445"/>
      <c r="C44" s="23">
        <f>COUNTA(C4:C43)</f>
        <v>40</v>
      </c>
      <c r="D44" s="23"/>
      <c r="E44" s="33"/>
      <c r="F44" s="2"/>
    </row>
    <row r="45" spans="1:6" ht="12.75" customHeight="1">
      <c r="A45" s="24"/>
      <c r="B45" s="24"/>
      <c r="C45" s="24"/>
      <c r="D45" s="24"/>
      <c r="E45" s="2"/>
      <c r="F45" s="2"/>
    </row>
    <row r="46" spans="1:6">
      <c r="A46" s="1454" t="s">
        <v>1152</v>
      </c>
      <c r="B46" s="1454"/>
      <c r="C46" s="1454"/>
      <c r="D46" s="1454"/>
      <c r="E46" s="1454"/>
      <c r="F46" s="2"/>
    </row>
    <row r="47" spans="1:6" ht="31.15" customHeight="1">
      <c r="A47" s="553" t="s">
        <v>82</v>
      </c>
      <c r="B47" s="554" t="s">
        <v>551</v>
      </c>
      <c r="C47" s="27" t="s">
        <v>81</v>
      </c>
      <c r="D47" s="27" t="s">
        <v>37</v>
      </c>
      <c r="E47" s="32" t="s">
        <v>2</v>
      </c>
      <c r="F47" s="2"/>
    </row>
    <row r="48" spans="1:6" ht="12.75" customHeight="1">
      <c r="A48" s="21">
        <v>1</v>
      </c>
      <c r="B48" s="21" t="s">
        <v>64</v>
      </c>
      <c r="C48" s="22">
        <v>45459</v>
      </c>
      <c r="D48" s="21" t="s">
        <v>52</v>
      </c>
      <c r="E48" s="1447" t="s">
        <v>1586</v>
      </c>
      <c r="F48" s="2"/>
    </row>
    <row r="49" spans="1:6" ht="12.75" customHeight="1">
      <c r="A49" s="21">
        <v>2</v>
      </c>
      <c r="B49" s="21" t="s">
        <v>65</v>
      </c>
      <c r="C49" s="22">
        <v>45459</v>
      </c>
      <c r="D49" s="21" t="s">
        <v>52</v>
      </c>
      <c r="E49" s="1448"/>
      <c r="F49" s="2"/>
    </row>
    <row r="50" spans="1:6" ht="12.75" customHeight="1">
      <c r="A50" s="21">
        <v>3</v>
      </c>
      <c r="B50" s="21" t="s">
        <v>66</v>
      </c>
      <c r="C50" s="22">
        <v>45459</v>
      </c>
      <c r="D50" s="21" t="s">
        <v>52</v>
      </c>
      <c r="E50" s="1448"/>
      <c r="F50" s="2"/>
    </row>
    <row r="51" spans="1:6" ht="12.75" customHeight="1">
      <c r="A51" s="21">
        <v>4</v>
      </c>
      <c r="B51" s="21" t="s">
        <v>67</v>
      </c>
      <c r="C51" s="22">
        <v>45459</v>
      </c>
      <c r="D51" s="21" t="s">
        <v>52</v>
      </c>
      <c r="E51" s="1448"/>
      <c r="F51" s="2"/>
    </row>
    <row r="52" spans="1:6" ht="12.75" customHeight="1">
      <c r="A52" s="798">
        <v>5</v>
      </c>
      <c r="B52" s="798" t="s">
        <v>56</v>
      </c>
      <c r="C52" s="799">
        <v>45458</v>
      </c>
      <c r="D52" s="798" t="s">
        <v>52</v>
      </c>
      <c r="E52" s="1448"/>
      <c r="F52" s="2"/>
    </row>
    <row r="53" spans="1:6" ht="12.75" customHeight="1">
      <c r="A53" s="798">
        <v>6</v>
      </c>
      <c r="B53" s="798" t="s">
        <v>60</v>
      </c>
      <c r="C53" s="799">
        <v>45458</v>
      </c>
      <c r="D53" s="798" t="s">
        <v>61</v>
      </c>
      <c r="E53" s="1448"/>
      <c r="F53" s="2"/>
    </row>
    <row r="54" spans="1:6" ht="12.75" customHeight="1">
      <c r="A54" s="798">
        <v>7</v>
      </c>
      <c r="B54" s="798" t="s">
        <v>59</v>
      </c>
      <c r="C54" s="799">
        <v>45460</v>
      </c>
      <c r="D54" s="798" t="s">
        <v>52</v>
      </c>
      <c r="E54" s="1448"/>
      <c r="F54" s="2"/>
    </row>
    <row r="55" spans="1:6" ht="12.75" customHeight="1">
      <c r="A55" s="798">
        <v>8</v>
      </c>
      <c r="B55" s="798" t="s">
        <v>46</v>
      </c>
      <c r="C55" s="799">
        <v>45460</v>
      </c>
      <c r="D55" s="798" t="s">
        <v>52</v>
      </c>
      <c r="E55" s="1448"/>
      <c r="F55" s="2"/>
    </row>
    <row r="56" spans="1:6" ht="12.75" customHeight="1">
      <c r="A56" s="21">
        <v>9</v>
      </c>
      <c r="B56" s="21" t="s">
        <v>69</v>
      </c>
      <c r="C56" s="22">
        <v>45460</v>
      </c>
      <c r="D56" s="21" t="s">
        <v>52</v>
      </c>
      <c r="E56" s="1448"/>
      <c r="F56" s="2"/>
    </row>
    <row r="57" spans="1:6" ht="12.75" customHeight="1">
      <c r="A57" s="21">
        <v>10</v>
      </c>
      <c r="B57" s="21" t="s">
        <v>70</v>
      </c>
      <c r="C57" s="22">
        <v>45460</v>
      </c>
      <c r="D57" s="21" t="s">
        <v>52</v>
      </c>
      <c r="E57" s="1448"/>
      <c r="F57" s="2"/>
    </row>
    <row r="58" spans="1:6" ht="12.75" customHeight="1">
      <c r="A58" s="21">
        <v>11</v>
      </c>
      <c r="B58" s="21" t="s">
        <v>71</v>
      </c>
      <c r="C58" s="22">
        <v>45461</v>
      </c>
      <c r="D58" s="21" t="s">
        <v>52</v>
      </c>
      <c r="E58" s="1448"/>
      <c r="F58" s="2"/>
    </row>
    <row r="59" spans="1:6" ht="12.75" customHeight="1">
      <c r="A59" s="21">
        <v>12</v>
      </c>
      <c r="B59" s="21" t="s">
        <v>72</v>
      </c>
      <c r="C59" s="22">
        <v>45461</v>
      </c>
      <c r="D59" s="21" t="s">
        <v>52</v>
      </c>
      <c r="E59" s="1448"/>
      <c r="F59" s="2"/>
    </row>
    <row r="60" spans="1:6" ht="12.75" customHeight="1">
      <c r="A60" s="21">
        <v>13</v>
      </c>
      <c r="B60" s="21" t="s">
        <v>73</v>
      </c>
      <c r="C60" s="22">
        <v>45461</v>
      </c>
      <c r="D60" s="21" t="s">
        <v>52</v>
      </c>
      <c r="E60" s="1448"/>
      <c r="F60" s="2"/>
    </row>
    <row r="61" spans="1:6" ht="12.75" customHeight="1">
      <c r="A61" s="798">
        <v>14</v>
      </c>
      <c r="B61" s="798" t="s">
        <v>44</v>
      </c>
      <c r="C61" s="799">
        <v>45461</v>
      </c>
      <c r="D61" s="798" t="s">
        <v>52</v>
      </c>
      <c r="E61" s="1448"/>
      <c r="F61" s="2"/>
    </row>
    <row r="62" spans="1:6" ht="12.75" customHeight="1">
      <c r="A62" s="798">
        <v>15</v>
      </c>
      <c r="B62" s="798" t="s">
        <v>40</v>
      </c>
      <c r="C62" s="799">
        <v>45462</v>
      </c>
      <c r="D62" s="798" t="s">
        <v>52</v>
      </c>
      <c r="E62" s="1448"/>
      <c r="F62" s="2"/>
    </row>
    <row r="63" spans="1:6" ht="12.75" customHeight="1">
      <c r="A63" s="21">
        <v>16</v>
      </c>
      <c r="B63" s="21" t="s">
        <v>74</v>
      </c>
      <c r="C63" s="22">
        <v>45462</v>
      </c>
      <c r="D63" s="21" t="s">
        <v>52</v>
      </c>
      <c r="E63" s="1448"/>
      <c r="F63" s="2"/>
    </row>
    <row r="64" spans="1:6" ht="12.75" customHeight="1">
      <c r="A64" s="21">
        <v>17</v>
      </c>
      <c r="B64" s="669" t="s">
        <v>75</v>
      </c>
      <c r="C64" s="670">
        <v>45462</v>
      </c>
      <c r="D64" s="669" t="s">
        <v>52</v>
      </c>
      <c r="E64" s="1448"/>
      <c r="F64" s="2"/>
    </row>
    <row r="65" spans="1:6" ht="12.75" customHeight="1">
      <c r="A65" s="798">
        <v>18</v>
      </c>
      <c r="B65" s="800" t="s">
        <v>51</v>
      </c>
      <c r="C65" s="801">
        <v>45462</v>
      </c>
      <c r="D65" s="800" t="s">
        <v>52</v>
      </c>
      <c r="E65" s="1448"/>
      <c r="F65" s="2"/>
    </row>
    <row r="66" spans="1:6" ht="12.75" customHeight="1">
      <c r="A66" s="21">
        <v>19</v>
      </c>
      <c r="B66" s="669" t="s">
        <v>76</v>
      </c>
      <c r="C66" s="670">
        <v>45463</v>
      </c>
      <c r="D66" s="669" t="s">
        <v>52</v>
      </c>
      <c r="E66" s="1448"/>
      <c r="F66" s="2"/>
    </row>
    <row r="67" spans="1:6" ht="12.75" customHeight="1">
      <c r="A67" s="21">
        <v>20</v>
      </c>
      <c r="B67" s="669" t="s">
        <v>77</v>
      </c>
      <c r="C67" s="670">
        <v>45463</v>
      </c>
      <c r="D67" s="669" t="s">
        <v>52</v>
      </c>
      <c r="E67" s="1448"/>
      <c r="F67" s="2"/>
    </row>
    <row r="68" spans="1:6" ht="12.75" customHeight="1">
      <c r="A68" s="127">
        <v>21</v>
      </c>
      <c r="B68" s="669" t="s">
        <v>78</v>
      </c>
      <c r="C68" s="671">
        <v>45463</v>
      </c>
      <c r="D68" s="669" t="s">
        <v>52</v>
      </c>
      <c r="E68" s="1449"/>
      <c r="F68" s="2"/>
    </row>
    <row r="69" spans="1:6">
      <c r="A69" s="21">
        <v>22</v>
      </c>
      <c r="B69" s="669" t="s">
        <v>180</v>
      </c>
      <c r="C69" s="670">
        <v>46005</v>
      </c>
      <c r="D69" s="669" t="s">
        <v>42</v>
      </c>
      <c r="E69" s="33"/>
      <c r="F69" s="2"/>
    </row>
    <row r="70" spans="1:6">
      <c r="A70" s="21">
        <v>23</v>
      </c>
      <c r="B70" s="669" t="s">
        <v>482</v>
      </c>
      <c r="C70" s="670">
        <v>46005</v>
      </c>
      <c r="D70" s="669" t="s">
        <v>61</v>
      </c>
      <c r="E70" s="33"/>
      <c r="F70" s="2"/>
    </row>
    <row r="71" spans="1:6">
      <c r="A71" s="21">
        <v>24</v>
      </c>
      <c r="B71" s="669" t="s">
        <v>223</v>
      </c>
      <c r="C71" s="672">
        <v>45986</v>
      </c>
      <c r="D71" s="396" t="s">
        <v>42</v>
      </c>
      <c r="E71" s="1450" t="s">
        <v>1585</v>
      </c>
      <c r="F71" s="2"/>
    </row>
    <row r="72" spans="1:6">
      <c r="A72" s="21">
        <v>25</v>
      </c>
      <c r="B72" s="669" t="s">
        <v>256</v>
      </c>
      <c r="C72" s="672">
        <v>45986</v>
      </c>
      <c r="D72" s="396" t="s">
        <v>61</v>
      </c>
      <c r="E72" s="1451"/>
      <c r="F72" s="2"/>
    </row>
    <row r="73" spans="1:6">
      <c r="A73" s="21">
        <v>26</v>
      </c>
      <c r="B73" s="669" t="s">
        <v>291</v>
      </c>
      <c r="C73" s="672">
        <v>45986</v>
      </c>
      <c r="D73" s="396" t="s">
        <v>42</v>
      </c>
      <c r="E73" s="1451"/>
      <c r="F73" s="2"/>
    </row>
    <row r="74" spans="1:6">
      <c r="A74" s="21">
        <v>27</v>
      </c>
      <c r="B74" s="669" t="s">
        <v>1148</v>
      </c>
      <c r="C74" s="672">
        <v>45985</v>
      </c>
      <c r="D74" s="396" t="s">
        <v>61</v>
      </c>
      <c r="E74" s="1451"/>
      <c r="F74" s="2"/>
    </row>
    <row r="75" spans="1:6">
      <c r="A75" s="21">
        <v>28</v>
      </c>
      <c r="B75" s="669" t="s">
        <v>363</v>
      </c>
      <c r="C75" s="672">
        <v>45985</v>
      </c>
      <c r="D75" s="396" t="s">
        <v>42</v>
      </c>
      <c r="E75" s="1451"/>
      <c r="F75" s="2"/>
    </row>
    <row r="76" spans="1:6">
      <c r="A76" s="21">
        <v>29</v>
      </c>
      <c r="B76" s="669" t="s">
        <v>435</v>
      </c>
      <c r="C76" s="672">
        <v>45985</v>
      </c>
      <c r="D76" s="396" t="s">
        <v>61</v>
      </c>
      <c r="E76" s="1451"/>
      <c r="F76" s="2"/>
    </row>
    <row r="77" spans="1:6">
      <c r="A77" s="21">
        <v>30</v>
      </c>
      <c r="B77" s="669" t="s">
        <v>456</v>
      </c>
      <c r="C77" s="672">
        <v>45984</v>
      </c>
      <c r="D77" s="396" t="s">
        <v>61</v>
      </c>
      <c r="E77" s="1451"/>
      <c r="F77" s="2"/>
    </row>
    <row r="78" spans="1:6">
      <c r="A78" s="21">
        <v>31</v>
      </c>
      <c r="B78" s="669" t="s">
        <v>1149</v>
      </c>
      <c r="C78" s="672">
        <v>45984</v>
      </c>
      <c r="D78" s="396" t="s">
        <v>61</v>
      </c>
      <c r="E78" s="1451"/>
      <c r="F78" s="2"/>
    </row>
    <row r="79" spans="1:6">
      <c r="A79" s="21">
        <v>32</v>
      </c>
      <c r="B79" s="669" t="s">
        <v>705</v>
      </c>
      <c r="C79" s="672">
        <v>45984</v>
      </c>
      <c r="D79" s="396" t="s">
        <v>61</v>
      </c>
      <c r="E79" s="1451"/>
      <c r="F79" s="2"/>
    </row>
    <row r="80" spans="1:6">
      <c r="A80" s="21">
        <v>33</v>
      </c>
      <c r="B80" s="669" t="s">
        <v>483</v>
      </c>
      <c r="C80" s="672">
        <v>45983</v>
      </c>
      <c r="D80" s="396" t="s">
        <v>42</v>
      </c>
      <c r="E80" s="1451"/>
      <c r="F80" s="2"/>
    </row>
    <row r="81" spans="1:6">
      <c r="A81" s="21">
        <v>34</v>
      </c>
      <c r="B81" s="669" t="s">
        <v>484</v>
      </c>
      <c r="C81" s="672">
        <v>45983</v>
      </c>
      <c r="D81" s="396" t="s">
        <v>42</v>
      </c>
      <c r="E81" s="1451"/>
      <c r="F81" s="2"/>
    </row>
    <row r="82" spans="1:6">
      <c r="A82" s="21">
        <v>35</v>
      </c>
      <c r="B82" s="669" t="s">
        <v>485</v>
      </c>
      <c r="C82" s="672">
        <v>45983</v>
      </c>
      <c r="D82" s="396" t="s">
        <v>61</v>
      </c>
      <c r="E82" s="1452"/>
      <c r="F82" s="2"/>
    </row>
    <row r="83" spans="1:6">
      <c r="A83" s="798">
        <v>36</v>
      </c>
      <c r="B83" s="800" t="s">
        <v>486</v>
      </c>
      <c r="C83" s="801">
        <v>45982</v>
      </c>
      <c r="D83" s="950" t="s">
        <v>61</v>
      </c>
      <c r="E83" s="1450" t="s">
        <v>1585</v>
      </c>
      <c r="F83" s="2"/>
    </row>
    <row r="84" spans="1:6">
      <c r="A84" s="798">
        <v>37</v>
      </c>
      <c r="B84" s="800" t="s">
        <v>487</v>
      </c>
      <c r="C84" s="801">
        <v>45982</v>
      </c>
      <c r="D84" s="802" t="s">
        <v>42</v>
      </c>
      <c r="E84" s="1451"/>
      <c r="F84" s="2"/>
    </row>
    <row r="85" spans="1:6">
      <c r="A85" s="21">
        <v>38</v>
      </c>
      <c r="B85" s="669" t="s">
        <v>488</v>
      </c>
      <c r="C85" s="670">
        <v>45982</v>
      </c>
      <c r="D85" s="673" t="s">
        <v>31</v>
      </c>
      <c r="E85" s="1451"/>
      <c r="F85" s="2"/>
    </row>
    <row r="86" spans="1:6">
      <c r="A86" s="798">
        <v>39</v>
      </c>
      <c r="B86" s="800" t="s">
        <v>489</v>
      </c>
      <c r="C86" s="801">
        <v>45981</v>
      </c>
      <c r="D86" s="802" t="s">
        <v>61</v>
      </c>
      <c r="E86" s="1451"/>
      <c r="F86" s="2"/>
    </row>
    <row r="87" spans="1:6">
      <c r="A87" s="842">
        <v>40</v>
      </c>
      <c r="B87" s="843" t="s">
        <v>490</v>
      </c>
      <c r="C87" s="844">
        <v>45981</v>
      </c>
      <c r="D87" s="845" t="s">
        <v>61</v>
      </c>
      <c r="E87" s="1451"/>
      <c r="F87" s="2"/>
    </row>
    <row r="88" spans="1:6">
      <c r="A88" s="21">
        <v>41</v>
      </c>
      <c r="B88" s="669" t="s">
        <v>491</v>
      </c>
      <c r="C88" s="670">
        <v>45981</v>
      </c>
      <c r="D88" s="673" t="s">
        <v>61</v>
      </c>
      <c r="E88" s="1451"/>
      <c r="F88" s="2"/>
    </row>
    <row r="89" spans="1:6">
      <c r="A89" s="21">
        <v>42</v>
      </c>
      <c r="B89" s="669" t="s">
        <v>492</v>
      </c>
      <c r="C89" s="670">
        <v>45980</v>
      </c>
      <c r="D89" s="673" t="s">
        <v>61</v>
      </c>
      <c r="E89" s="1451"/>
      <c r="F89" s="2"/>
    </row>
    <row r="90" spans="1:6">
      <c r="A90" s="21">
        <v>43</v>
      </c>
      <c r="B90" s="669" t="s">
        <v>493</v>
      </c>
      <c r="C90" s="670">
        <v>45980</v>
      </c>
      <c r="D90" s="673" t="s">
        <v>61</v>
      </c>
      <c r="E90" s="1451"/>
      <c r="F90" s="2"/>
    </row>
    <row r="91" spans="1:6">
      <c r="A91" s="21">
        <v>44</v>
      </c>
      <c r="B91" s="669" t="s">
        <v>494</v>
      </c>
      <c r="C91" s="670">
        <v>45980</v>
      </c>
      <c r="D91" s="673" t="s">
        <v>61</v>
      </c>
      <c r="E91" s="1451"/>
      <c r="F91" s="2"/>
    </row>
    <row r="92" spans="1:6">
      <c r="A92" s="798">
        <v>45</v>
      </c>
      <c r="B92" s="800" t="s">
        <v>495</v>
      </c>
      <c r="C92" s="801">
        <v>45978</v>
      </c>
      <c r="D92" s="802" t="s">
        <v>61</v>
      </c>
      <c r="E92" s="1451"/>
      <c r="F92" s="2"/>
    </row>
    <row r="93" spans="1:6">
      <c r="A93" s="842">
        <v>46</v>
      </c>
      <c r="B93" s="843" t="s">
        <v>496</v>
      </c>
      <c r="C93" s="844">
        <v>45978</v>
      </c>
      <c r="D93" s="845" t="s">
        <v>61</v>
      </c>
      <c r="E93" s="1451"/>
      <c r="F93" s="2"/>
    </row>
    <row r="94" spans="1:6">
      <c r="A94" s="21">
        <v>47</v>
      </c>
      <c r="B94" s="669" t="s">
        <v>550</v>
      </c>
      <c r="C94" s="670">
        <v>45978</v>
      </c>
      <c r="D94" s="673" t="s">
        <v>61</v>
      </c>
      <c r="E94" s="1451"/>
      <c r="F94" s="2"/>
    </row>
    <row r="95" spans="1:6">
      <c r="A95" s="21">
        <v>48</v>
      </c>
      <c r="B95" s="669" t="s">
        <v>497</v>
      </c>
      <c r="C95" s="670">
        <v>45977</v>
      </c>
      <c r="D95" s="673" t="s">
        <v>61</v>
      </c>
      <c r="E95" s="1451"/>
      <c r="F95" s="2"/>
    </row>
    <row r="96" spans="1:6">
      <c r="A96" s="21">
        <v>49</v>
      </c>
      <c r="B96" s="669" t="s">
        <v>498</v>
      </c>
      <c r="C96" s="670">
        <v>45977</v>
      </c>
      <c r="D96" s="673" t="s">
        <v>61</v>
      </c>
      <c r="E96" s="1451"/>
      <c r="F96" s="2"/>
    </row>
    <row r="97" spans="1:6">
      <c r="A97" s="21">
        <v>50</v>
      </c>
      <c r="B97" s="669" t="s">
        <v>499</v>
      </c>
      <c r="C97" s="670">
        <v>45977</v>
      </c>
      <c r="D97" s="673" t="s">
        <v>61</v>
      </c>
      <c r="E97" s="1451"/>
      <c r="F97" s="2"/>
    </row>
    <row r="98" spans="1:6">
      <c r="A98" s="21">
        <v>51</v>
      </c>
      <c r="B98" s="669" t="s">
        <v>500</v>
      </c>
      <c r="C98" s="670">
        <v>45976</v>
      </c>
      <c r="D98" s="673" t="s">
        <v>61</v>
      </c>
      <c r="E98" s="1451"/>
      <c r="F98" s="2"/>
    </row>
    <row r="99" spans="1:6">
      <c r="A99" s="21">
        <v>52</v>
      </c>
      <c r="B99" s="669" t="s">
        <v>501</v>
      </c>
      <c r="C99" s="670">
        <v>45976</v>
      </c>
      <c r="D99" s="673" t="s">
        <v>42</v>
      </c>
      <c r="E99" s="1451"/>
      <c r="F99" s="2"/>
    </row>
    <row r="100" spans="1:6">
      <c r="A100" s="21">
        <v>53</v>
      </c>
      <c r="B100" s="669" t="s">
        <v>502</v>
      </c>
      <c r="C100" s="670">
        <v>45976</v>
      </c>
      <c r="D100" s="673" t="s">
        <v>42</v>
      </c>
      <c r="E100" s="1451"/>
      <c r="F100" s="2"/>
    </row>
    <row r="101" spans="1:6" ht="15" customHeight="1">
      <c r="A101" s="21">
        <v>54</v>
      </c>
      <c r="B101" s="669" t="s">
        <v>503</v>
      </c>
      <c r="C101" s="670">
        <v>45975</v>
      </c>
      <c r="D101" s="673" t="s">
        <v>42</v>
      </c>
      <c r="E101" s="1451"/>
      <c r="F101" s="2"/>
    </row>
    <row r="102" spans="1:6">
      <c r="A102" s="21">
        <v>55</v>
      </c>
      <c r="B102" s="669" t="s">
        <v>504</v>
      </c>
      <c r="C102" s="670">
        <v>45975</v>
      </c>
      <c r="D102" s="673" t="s">
        <v>61</v>
      </c>
      <c r="E102" s="1451"/>
      <c r="F102" s="2"/>
    </row>
    <row r="103" spans="1:6">
      <c r="A103" s="842">
        <v>56</v>
      </c>
      <c r="B103" s="843" t="s">
        <v>505</v>
      </c>
      <c r="C103" s="844">
        <v>45975</v>
      </c>
      <c r="D103" s="845" t="s">
        <v>61</v>
      </c>
      <c r="E103" s="1451"/>
      <c r="F103" s="2"/>
    </row>
    <row r="104" spans="1:6">
      <c r="A104" s="798">
        <v>57</v>
      </c>
      <c r="B104" s="800" t="s">
        <v>506</v>
      </c>
      <c r="C104" s="801">
        <v>45974</v>
      </c>
      <c r="D104" s="802" t="s">
        <v>61</v>
      </c>
      <c r="E104" s="1451"/>
      <c r="F104" s="2"/>
    </row>
    <row r="105" spans="1:6">
      <c r="A105" s="798">
        <v>58</v>
      </c>
      <c r="B105" s="800" t="s">
        <v>507</v>
      </c>
      <c r="C105" s="801">
        <v>45974</v>
      </c>
      <c r="D105" s="802" t="s">
        <v>61</v>
      </c>
      <c r="E105" s="1451"/>
      <c r="F105" s="2"/>
    </row>
    <row r="106" spans="1:6">
      <c r="A106" s="798">
        <v>59</v>
      </c>
      <c r="B106" s="800" t="s">
        <v>508</v>
      </c>
      <c r="C106" s="801">
        <v>45974</v>
      </c>
      <c r="D106" s="802" t="s">
        <v>61</v>
      </c>
      <c r="E106" s="1451"/>
      <c r="F106" s="2"/>
    </row>
    <row r="107" spans="1:6">
      <c r="A107" s="798">
        <v>60</v>
      </c>
      <c r="B107" s="800" t="s">
        <v>509</v>
      </c>
      <c r="C107" s="801">
        <v>45973</v>
      </c>
      <c r="D107" s="802" t="s">
        <v>42</v>
      </c>
      <c r="E107" s="1451"/>
      <c r="F107" s="2"/>
    </row>
    <row r="108" spans="1:6">
      <c r="A108" s="21">
        <v>61</v>
      </c>
      <c r="B108" s="669" t="s">
        <v>510</v>
      </c>
      <c r="C108" s="670">
        <v>45973</v>
      </c>
      <c r="D108" s="673" t="s">
        <v>42</v>
      </c>
      <c r="E108" s="1451"/>
      <c r="F108" s="2"/>
    </row>
    <row r="109" spans="1:6">
      <c r="A109" s="526">
        <v>62</v>
      </c>
      <c r="B109" s="669" t="s">
        <v>511</v>
      </c>
      <c r="C109" s="672">
        <v>45973</v>
      </c>
      <c r="D109" s="673" t="s">
        <v>42</v>
      </c>
      <c r="E109" s="1452"/>
      <c r="F109" s="2"/>
    </row>
    <row r="110" spans="1:6">
      <c r="A110" s="526">
        <v>63</v>
      </c>
      <c r="B110" s="669" t="s">
        <v>512</v>
      </c>
      <c r="C110" s="670">
        <v>45972</v>
      </c>
      <c r="D110" s="674" t="s">
        <v>42</v>
      </c>
      <c r="E110" s="1447" t="s">
        <v>1585</v>
      </c>
      <c r="F110" s="2"/>
    </row>
    <row r="111" spans="1:6">
      <c r="A111" s="526">
        <v>64</v>
      </c>
      <c r="B111" s="669" t="s">
        <v>513</v>
      </c>
      <c r="C111" s="670">
        <v>45972</v>
      </c>
      <c r="D111" s="669" t="s">
        <v>42</v>
      </c>
      <c r="E111" s="1448"/>
      <c r="F111" s="2"/>
    </row>
    <row r="112" spans="1:6">
      <c r="A112" s="798">
        <v>65</v>
      </c>
      <c r="B112" s="800" t="s">
        <v>514</v>
      </c>
      <c r="C112" s="801">
        <v>45971</v>
      </c>
      <c r="D112" s="800" t="s">
        <v>42</v>
      </c>
      <c r="E112" s="1448"/>
      <c r="F112" s="2"/>
    </row>
    <row r="113" spans="1:6">
      <c r="A113" s="798">
        <v>66</v>
      </c>
      <c r="B113" s="800" t="s">
        <v>515</v>
      </c>
      <c r="C113" s="801">
        <v>45971</v>
      </c>
      <c r="D113" s="800" t="s">
        <v>42</v>
      </c>
      <c r="E113" s="1449"/>
      <c r="F113" s="2"/>
    </row>
    <row r="114" spans="1:6">
      <c r="A114" s="798">
        <v>67</v>
      </c>
      <c r="B114" s="800" t="s">
        <v>516</v>
      </c>
      <c r="C114" s="801">
        <v>46005</v>
      </c>
      <c r="D114" s="800" t="s">
        <v>61</v>
      </c>
      <c r="E114" s="33" t="s">
        <v>42</v>
      </c>
      <c r="F114" s="2"/>
    </row>
    <row r="115" spans="1:6">
      <c r="A115" s="21">
        <v>68</v>
      </c>
      <c r="B115" s="669" t="s">
        <v>517</v>
      </c>
      <c r="C115" s="670">
        <v>46005</v>
      </c>
      <c r="D115" s="669" t="s">
        <v>61</v>
      </c>
      <c r="E115" s="33"/>
      <c r="F115" s="2"/>
    </row>
    <row r="116" spans="1:6">
      <c r="A116" s="21">
        <v>69</v>
      </c>
      <c r="B116" s="669" t="s">
        <v>518</v>
      </c>
      <c r="C116" s="670">
        <v>46004</v>
      </c>
      <c r="D116" s="669" t="s">
        <v>42</v>
      </c>
      <c r="E116" s="33"/>
      <c r="F116" s="2"/>
    </row>
    <row r="117" spans="1:6">
      <c r="A117" s="21">
        <v>70</v>
      </c>
      <c r="B117" s="708" t="s">
        <v>519</v>
      </c>
      <c r="C117" s="709">
        <v>46004</v>
      </c>
      <c r="D117" s="708" t="s">
        <v>61</v>
      </c>
      <c r="E117" s="710"/>
      <c r="F117" s="2"/>
    </row>
    <row r="118" spans="1:6">
      <c r="A118" s="127">
        <v>71</v>
      </c>
      <c r="B118" s="711" t="s">
        <v>520</v>
      </c>
      <c r="C118" s="712">
        <v>46004</v>
      </c>
      <c r="D118" s="711" t="s">
        <v>42</v>
      </c>
      <c r="E118" s="33"/>
      <c r="F118" s="2"/>
    </row>
    <row r="119" spans="1:6">
      <c r="A119" s="127">
        <v>72</v>
      </c>
      <c r="B119" s="711" t="s">
        <v>521</v>
      </c>
      <c r="C119" s="712">
        <v>46004</v>
      </c>
      <c r="D119" s="711" t="s">
        <v>61</v>
      </c>
      <c r="E119" s="33"/>
      <c r="F119" s="2"/>
    </row>
    <row r="120" spans="1:6">
      <c r="A120" s="127">
        <v>73</v>
      </c>
      <c r="B120" s="711" t="s">
        <v>522</v>
      </c>
      <c r="C120" s="712">
        <v>46003</v>
      </c>
      <c r="D120" s="711" t="s">
        <v>61</v>
      </c>
      <c r="E120" s="33"/>
      <c r="F120" s="2"/>
    </row>
    <row r="121" spans="1:6">
      <c r="A121" s="127">
        <v>74</v>
      </c>
      <c r="B121" s="711" t="s">
        <v>523</v>
      </c>
      <c r="C121" s="712">
        <v>46003</v>
      </c>
      <c r="D121" s="711" t="s">
        <v>61</v>
      </c>
      <c r="E121" s="33"/>
      <c r="F121" s="2"/>
    </row>
    <row r="122" spans="1:6">
      <c r="A122" s="21">
        <v>75</v>
      </c>
      <c r="B122" s="674" t="s">
        <v>524</v>
      </c>
      <c r="C122" s="706">
        <v>46003</v>
      </c>
      <c r="D122" s="674" t="s">
        <v>61</v>
      </c>
      <c r="E122" s="707"/>
      <c r="F122" s="2"/>
    </row>
    <row r="123" spans="1:6">
      <c r="A123" s="21">
        <v>76</v>
      </c>
      <c r="B123" s="669" t="s">
        <v>525</v>
      </c>
      <c r="C123" s="670">
        <v>46003</v>
      </c>
      <c r="D123" s="669" t="s">
        <v>61</v>
      </c>
      <c r="E123" s="33"/>
      <c r="F123" s="2"/>
    </row>
    <row r="124" spans="1:6">
      <c r="A124" s="798">
        <v>77</v>
      </c>
      <c r="B124" s="800" t="s">
        <v>526</v>
      </c>
      <c r="C124" s="801" t="s">
        <v>1431</v>
      </c>
      <c r="D124" s="800" t="s">
        <v>61</v>
      </c>
      <c r="E124" s="33"/>
      <c r="F124" s="2"/>
    </row>
    <row r="125" spans="1:6">
      <c r="A125" s="798">
        <v>78</v>
      </c>
      <c r="B125" s="800" t="s">
        <v>527</v>
      </c>
      <c r="C125" s="801" t="s">
        <v>1431</v>
      </c>
      <c r="D125" s="800" t="s">
        <v>42</v>
      </c>
      <c r="E125" s="33"/>
      <c r="F125" s="2"/>
    </row>
    <row r="126" spans="1:6">
      <c r="A126" s="798">
        <v>79</v>
      </c>
      <c r="B126" s="800" t="s">
        <v>528</v>
      </c>
      <c r="C126" s="801" t="s">
        <v>1431</v>
      </c>
      <c r="D126" s="800" t="s">
        <v>61</v>
      </c>
      <c r="E126" s="33"/>
      <c r="F126" s="2"/>
    </row>
    <row r="127" spans="1:6">
      <c r="A127" s="21">
        <v>80</v>
      </c>
      <c r="B127" s="669" t="s">
        <v>529</v>
      </c>
      <c r="C127" s="670" t="s">
        <v>1431</v>
      </c>
      <c r="D127" s="669" t="s">
        <v>61</v>
      </c>
      <c r="E127" s="33"/>
      <c r="F127" s="2"/>
    </row>
    <row r="128" spans="1:6">
      <c r="A128" s="21">
        <v>81</v>
      </c>
      <c r="B128" s="669" t="s">
        <v>530</v>
      </c>
      <c r="C128" s="670" t="s">
        <v>1432</v>
      </c>
      <c r="D128" s="669" t="s">
        <v>61</v>
      </c>
      <c r="E128" s="33"/>
      <c r="F128" s="2"/>
    </row>
    <row r="129" spans="1:6">
      <c r="A129" s="21">
        <v>82</v>
      </c>
      <c r="B129" s="669" t="s">
        <v>531</v>
      </c>
      <c r="C129" s="670" t="s">
        <v>1432</v>
      </c>
      <c r="D129" s="669" t="s">
        <v>61</v>
      </c>
      <c r="E129" s="33"/>
      <c r="F129" s="2"/>
    </row>
    <row r="130" spans="1:6">
      <c r="A130" s="21">
        <v>83</v>
      </c>
      <c r="B130" s="669" t="s">
        <v>532</v>
      </c>
      <c r="C130" s="670" t="s">
        <v>1432</v>
      </c>
      <c r="D130" s="669" t="s">
        <v>61</v>
      </c>
      <c r="E130" s="33"/>
      <c r="F130" s="2"/>
    </row>
    <row r="131" spans="1:6">
      <c r="A131" s="21">
        <v>84</v>
      </c>
      <c r="B131" s="669" t="s">
        <v>533</v>
      </c>
      <c r="C131" s="670" t="s">
        <v>1432</v>
      </c>
      <c r="D131" s="669" t="s">
        <v>61</v>
      </c>
      <c r="E131" s="33"/>
      <c r="F131" s="2"/>
    </row>
    <row r="132" spans="1:6">
      <c r="A132" s="798">
        <v>85</v>
      </c>
      <c r="B132" s="800" t="s">
        <v>534</v>
      </c>
      <c r="C132" s="801">
        <v>46000</v>
      </c>
      <c r="D132" s="800" t="s">
        <v>42</v>
      </c>
      <c r="E132" s="33"/>
      <c r="F132" s="2"/>
    </row>
    <row r="133" spans="1:6">
      <c r="A133" s="798">
        <v>86</v>
      </c>
      <c r="B133" s="800" t="s">
        <v>535</v>
      </c>
      <c r="C133" s="801">
        <v>46000</v>
      </c>
      <c r="D133" s="800" t="s">
        <v>61</v>
      </c>
      <c r="E133" s="33"/>
      <c r="F133" s="2"/>
    </row>
    <row r="134" spans="1:6">
      <c r="A134" s="798">
        <v>87</v>
      </c>
      <c r="B134" s="800" t="s">
        <v>536</v>
      </c>
      <c r="C134" s="801">
        <v>46000</v>
      </c>
      <c r="D134" s="800" t="s">
        <v>61</v>
      </c>
      <c r="E134" s="33"/>
      <c r="F134" s="2"/>
    </row>
    <row r="135" spans="1:6">
      <c r="A135" s="798">
        <v>88</v>
      </c>
      <c r="B135" s="800" t="s">
        <v>537</v>
      </c>
      <c r="C135" s="801">
        <v>46000</v>
      </c>
      <c r="D135" s="800" t="s">
        <v>42</v>
      </c>
      <c r="E135" s="33"/>
      <c r="F135" s="2"/>
    </row>
    <row r="136" spans="1:6">
      <c r="A136" s="21">
        <v>89</v>
      </c>
      <c r="B136" s="669" t="s">
        <v>538</v>
      </c>
      <c r="C136" s="670">
        <v>45999</v>
      </c>
      <c r="D136" s="669" t="s">
        <v>61</v>
      </c>
      <c r="E136" s="33"/>
      <c r="F136" s="2"/>
    </row>
    <row r="137" spans="1:6">
      <c r="A137" s="21">
        <v>90</v>
      </c>
      <c r="B137" s="669" t="s">
        <v>539</v>
      </c>
      <c r="C137" s="670">
        <v>45999</v>
      </c>
      <c r="D137" s="669" t="s">
        <v>42</v>
      </c>
      <c r="E137" s="33"/>
      <c r="F137" s="2"/>
    </row>
    <row r="138" spans="1:6">
      <c r="A138" s="21">
        <v>91</v>
      </c>
      <c r="B138" s="669" t="s">
        <v>540</v>
      </c>
      <c r="C138" s="670">
        <v>45999</v>
      </c>
      <c r="D138" s="669" t="s">
        <v>61</v>
      </c>
      <c r="E138" s="33"/>
      <c r="F138" s="2"/>
    </row>
    <row r="139" spans="1:6">
      <c r="A139" s="21">
        <v>92</v>
      </c>
      <c r="B139" s="669" t="s">
        <v>541</v>
      </c>
      <c r="C139" s="670">
        <v>45999</v>
      </c>
      <c r="D139" s="669" t="s">
        <v>61</v>
      </c>
      <c r="E139" s="33"/>
      <c r="F139" s="2"/>
    </row>
    <row r="140" spans="1:6">
      <c r="A140" s="21">
        <v>93</v>
      </c>
      <c r="B140" s="669" t="s">
        <v>542</v>
      </c>
      <c r="C140" s="670">
        <v>45998</v>
      </c>
      <c r="D140" s="669" t="s">
        <v>61</v>
      </c>
      <c r="E140" s="33"/>
      <c r="F140" s="2"/>
    </row>
    <row r="141" spans="1:6">
      <c r="A141" s="21">
        <v>94</v>
      </c>
      <c r="B141" s="669" t="s">
        <v>543</v>
      </c>
      <c r="C141" s="670">
        <v>45998</v>
      </c>
      <c r="D141" s="669" t="s">
        <v>42</v>
      </c>
      <c r="E141" s="33"/>
      <c r="F141" s="2"/>
    </row>
    <row r="142" spans="1:6">
      <c r="A142" s="21">
        <v>95</v>
      </c>
      <c r="B142" s="669" t="s">
        <v>544</v>
      </c>
      <c r="C142" s="670">
        <v>45998</v>
      </c>
      <c r="D142" s="669" t="s">
        <v>31</v>
      </c>
      <c r="E142" s="33"/>
      <c r="F142" s="2"/>
    </row>
    <row r="143" spans="1:6">
      <c r="A143" s="21">
        <v>96</v>
      </c>
      <c r="B143" s="669" t="s">
        <v>545</v>
      </c>
      <c r="C143" s="670">
        <v>45998</v>
      </c>
      <c r="D143" s="669" t="s">
        <v>61</v>
      </c>
      <c r="E143" s="33"/>
      <c r="F143" s="2"/>
    </row>
    <row r="144" spans="1:6">
      <c r="A144" s="21">
        <v>97</v>
      </c>
      <c r="B144" s="669" t="s">
        <v>546</v>
      </c>
      <c r="C144" s="670">
        <v>45997</v>
      </c>
      <c r="D144" s="669" t="s">
        <v>42</v>
      </c>
      <c r="E144" s="33"/>
      <c r="F144" s="2"/>
    </row>
    <row r="145" spans="1:6">
      <c r="A145" s="21">
        <v>98</v>
      </c>
      <c r="B145" s="669" t="s">
        <v>547</v>
      </c>
      <c r="C145" s="670">
        <v>45997</v>
      </c>
      <c r="D145" s="669" t="s">
        <v>42</v>
      </c>
      <c r="E145" s="33"/>
      <c r="F145" s="2"/>
    </row>
    <row r="146" spans="1:6">
      <c r="A146" s="21">
        <v>99</v>
      </c>
      <c r="B146" s="669" t="s">
        <v>548</v>
      </c>
      <c r="C146" s="670">
        <v>45997</v>
      </c>
      <c r="D146" s="669" t="s">
        <v>61</v>
      </c>
      <c r="E146" s="33"/>
      <c r="F146" s="2"/>
    </row>
    <row r="147" spans="1:6">
      <c r="A147" s="21">
        <v>100</v>
      </c>
      <c r="B147" s="669" t="s">
        <v>549</v>
      </c>
      <c r="C147" s="670">
        <v>45997</v>
      </c>
      <c r="D147" s="669" t="s">
        <v>61</v>
      </c>
      <c r="E147" s="33"/>
      <c r="F147" s="2"/>
    </row>
    <row r="148" spans="1:6" ht="12.75" customHeight="1">
      <c r="A148" s="1444" t="s">
        <v>79</v>
      </c>
      <c r="B148" s="1445"/>
      <c r="C148" s="23">
        <f>COUNTA(C48:C147)</f>
        <v>100</v>
      </c>
      <c r="D148" s="23"/>
      <c r="E148" s="33"/>
      <c r="F148" s="2"/>
    </row>
    <row r="149" spans="1:6" ht="12.75" customHeight="1">
      <c r="A149" s="24"/>
      <c r="B149" s="24"/>
      <c r="C149" s="24"/>
      <c r="D149" s="24"/>
      <c r="E149" s="2"/>
      <c r="F149" s="2"/>
    </row>
    <row r="150" spans="1:6" ht="12.75" customHeight="1">
      <c r="A150" s="1455" t="s">
        <v>86</v>
      </c>
      <c r="B150" s="1456"/>
      <c r="C150" s="1456"/>
      <c r="D150" s="1456"/>
      <c r="E150" s="1456"/>
      <c r="F150" s="2"/>
    </row>
    <row r="151" spans="1:6" ht="33.75" customHeight="1">
      <c r="A151" s="26" t="s">
        <v>82</v>
      </c>
      <c r="B151" s="26" t="s">
        <v>551</v>
      </c>
      <c r="C151" s="27" t="s">
        <v>81</v>
      </c>
      <c r="D151" s="27" t="s">
        <v>37</v>
      </c>
      <c r="E151" s="32" t="s">
        <v>2</v>
      </c>
      <c r="F151" s="2"/>
    </row>
    <row r="152" spans="1:6" ht="12.75" customHeight="1">
      <c r="A152" s="21">
        <v>1</v>
      </c>
      <c r="B152" s="798" t="s">
        <v>165</v>
      </c>
      <c r="C152" s="799">
        <v>45893</v>
      </c>
      <c r="D152" s="798" t="s">
        <v>42</v>
      </c>
      <c r="E152" s="33"/>
      <c r="F152" s="2"/>
    </row>
    <row r="153" spans="1:6" ht="12.75" customHeight="1">
      <c r="A153" s="21">
        <v>2</v>
      </c>
      <c r="B153" s="798" t="s">
        <v>552</v>
      </c>
      <c r="C153" s="799">
        <v>45894</v>
      </c>
      <c r="D153" s="798" t="s">
        <v>31</v>
      </c>
      <c r="E153" s="33"/>
      <c r="F153" s="2"/>
    </row>
    <row r="154" spans="1:6" ht="12.75" customHeight="1">
      <c r="A154" s="21">
        <v>3</v>
      </c>
      <c r="B154" s="798" t="s">
        <v>212</v>
      </c>
      <c r="C154" s="799">
        <v>45894</v>
      </c>
      <c r="D154" s="798" t="s">
        <v>42</v>
      </c>
      <c r="E154" s="33"/>
      <c r="F154" s="2"/>
    </row>
    <row r="155" spans="1:6" ht="12.75" customHeight="1">
      <c r="A155" s="21">
        <v>4</v>
      </c>
      <c r="B155" s="798" t="s">
        <v>223</v>
      </c>
      <c r="C155" s="799">
        <v>45894</v>
      </c>
      <c r="D155" s="798" t="s">
        <v>42</v>
      </c>
      <c r="E155" s="33"/>
      <c r="F155" s="2"/>
    </row>
    <row r="156" spans="1:6" ht="12.75" customHeight="1">
      <c r="A156" s="21">
        <v>5</v>
      </c>
      <c r="B156" s="798" t="s">
        <v>256</v>
      </c>
      <c r="C156" s="799">
        <v>45896</v>
      </c>
      <c r="D156" s="798" t="s">
        <v>61</v>
      </c>
      <c r="E156" s="33"/>
      <c r="F156" s="2"/>
    </row>
    <row r="157" spans="1:6" ht="12.75" customHeight="1">
      <c r="A157" s="21">
        <v>6</v>
      </c>
      <c r="B157" s="21" t="s">
        <v>263</v>
      </c>
      <c r="C157" s="22">
        <v>45895</v>
      </c>
      <c r="D157" s="21" t="s">
        <v>42</v>
      </c>
      <c r="E157" s="33"/>
      <c r="F157" s="2"/>
    </row>
    <row r="158" spans="1:6" ht="12.75" customHeight="1">
      <c r="A158" s="21">
        <v>7</v>
      </c>
      <c r="B158" s="21" t="s">
        <v>270</v>
      </c>
      <c r="C158" s="22">
        <v>45895</v>
      </c>
      <c r="D158" s="21" t="s">
        <v>61</v>
      </c>
      <c r="E158" s="33"/>
      <c r="F158" s="2"/>
    </row>
    <row r="159" spans="1:6" ht="12.75" customHeight="1">
      <c r="A159" s="1444" t="s">
        <v>79</v>
      </c>
      <c r="B159" s="1445"/>
      <c r="C159" s="25">
        <f>COUNTA(C152:C158)</f>
        <v>7</v>
      </c>
      <c r="D159" s="23"/>
      <c r="E159" s="33"/>
      <c r="F159" s="2"/>
    </row>
    <row r="160" spans="1:6" ht="12.75" customHeight="1">
      <c r="A160" s="24"/>
      <c r="B160" s="24"/>
      <c r="C160" s="24"/>
      <c r="D160" s="24"/>
      <c r="E160" s="2"/>
      <c r="F160" s="2"/>
    </row>
    <row r="161" spans="1:6" ht="12.75" customHeight="1">
      <c r="A161" s="24"/>
      <c r="B161" s="24"/>
      <c r="C161" s="24"/>
      <c r="D161" s="24"/>
      <c r="E161" s="2"/>
      <c r="F161" s="2"/>
    </row>
    <row r="162" spans="1:6" ht="12.75" customHeight="1">
      <c r="A162" s="24"/>
      <c r="B162" s="24"/>
      <c r="C162" s="24"/>
      <c r="D162" s="24"/>
      <c r="E162" s="2"/>
      <c r="F162" s="2"/>
    </row>
    <row r="163" spans="1:6" ht="12.75" customHeight="1">
      <c r="A163" s="24"/>
      <c r="B163" s="24"/>
      <c r="C163" s="24"/>
      <c r="D163" s="24"/>
      <c r="E163" s="2"/>
      <c r="F163" s="2"/>
    </row>
    <row r="164" spans="1:6" ht="12.75" customHeight="1">
      <c r="A164" s="24"/>
      <c r="B164" s="24"/>
      <c r="C164" s="24"/>
      <c r="D164" s="24"/>
      <c r="E164" s="2"/>
      <c r="F164" s="2"/>
    </row>
    <row r="165" spans="1:6" ht="12.75" customHeight="1">
      <c r="A165" s="24"/>
      <c r="B165" s="24"/>
      <c r="C165" s="24"/>
      <c r="D165" s="24"/>
      <c r="E165" s="2"/>
      <c r="F165" s="2"/>
    </row>
    <row r="166" spans="1:6" ht="12.75" customHeight="1">
      <c r="A166" s="24"/>
      <c r="B166" s="24"/>
      <c r="C166" s="24"/>
      <c r="D166" s="24"/>
      <c r="E166" s="2"/>
      <c r="F166" s="2"/>
    </row>
    <row r="167" spans="1:6" ht="12.75" customHeight="1">
      <c r="A167" s="24"/>
      <c r="B167" s="24"/>
      <c r="C167" s="24"/>
      <c r="D167" s="24"/>
      <c r="E167" s="2"/>
      <c r="F167" s="2"/>
    </row>
    <row r="168" spans="1:6" ht="12.75" customHeight="1">
      <c r="A168" s="24"/>
      <c r="B168" s="24"/>
      <c r="C168" s="24"/>
      <c r="D168" s="24"/>
      <c r="E168" s="2"/>
      <c r="F168" s="2"/>
    </row>
    <row r="169" spans="1:6" ht="12.75" customHeight="1">
      <c r="A169" s="24"/>
      <c r="B169" s="24"/>
      <c r="C169" s="24"/>
      <c r="D169" s="24"/>
      <c r="E169" s="2"/>
      <c r="F169" s="2"/>
    </row>
    <row r="170" spans="1:6" ht="12.75" customHeight="1">
      <c r="A170" s="24"/>
      <c r="B170" s="24"/>
      <c r="C170" s="24"/>
      <c r="D170" s="24"/>
      <c r="E170" s="2"/>
      <c r="F170" s="2"/>
    </row>
    <row r="171" spans="1:6" ht="12.75" customHeight="1">
      <c r="A171" s="24"/>
      <c r="B171" s="24"/>
      <c r="C171" s="24"/>
      <c r="D171" s="24"/>
      <c r="E171" s="2"/>
      <c r="F171" s="2"/>
    </row>
    <row r="172" spans="1:6" ht="12.75" customHeight="1">
      <c r="A172" s="24"/>
      <c r="B172" s="24"/>
      <c r="C172" s="24"/>
      <c r="D172" s="24"/>
      <c r="E172" s="2"/>
      <c r="F172" s="2"/>
    </row>
    <row r="173" spans="1:6" ht="12.75" customHeight="1">
      <c r="A173" s="24"/>
      <c r="B173" s="24"/>
      <c r="C173" s="24"/>
      <c r="D173" s="24"/>
      <c r="E173" s="2"/>
      <c r="F173" s="2"/>
    </row>
    <row r="174" spans="1:6" ht="12.75" customHeight="1">
      <c r="A174" s="24"/>
      <c r="B174" s="24"/>
      <c r="C174" s="24"/>
      <c r="D174" s="24"/>
      <c r="E174" s="2"/>
      <c r="F174" s="2"/>
    </row>
    <row r="175" spans="1:6" ht="12.75" customHeight="1">
      <c r="A175" s="24"/>
      <c r="B175" s="24"/>
      <c r="C175" s="24"/>
      <c r="D175" s="24"/>
      <c r="E175" s="2"/>
      <c r="F175" s="2"/>
    </row>
    <row r="176" spans="1:6" ht="12.75" customHeight="1">
      <c r="A176" s="24"/>
      <c r="B176" s="24"/>
      <c r="C176" s="24"/>
      <c r="D176" s="24"/>
      <c r="E176" s="2"/>
      <c r="F176" s="2"/>
    </row>
    <row r="177" spans="1:6" ht="12.75" customHeight="1">
      <c r="A177" s="24"/>
      <c r="B177" s="24"/>
      <c r="C177" s="24"/>
      <c r="D177" s="24"/>
      <c r="E177" s="2"/>
      <c r="F177" s="2"/>
    </row>
    <row r="178" spans="1:6" ht="12.75" customHeight="1">
      <c r="A178" s="24"/>
      <c r="B178" s="24"/>
      <c r="C178" s="24"/>
      <c r="D178" s="24"/>
      <c r="E178" s="2"/>
      <c r="F178" s="2"/>
    </row>
    <row r="179" spans="1:6" ht="12.75" customHeight="1">
      <c r="A179" s="24"/>
      <c r="B179" s="24"/>
      <c r="C179" s="24"/>
      <c r="D179" s="24"/>
      <c r="E179" s="2"/>
      <c r="F179" s="2"/>
    </row>
    <row r="180" spans="1:6" ht="12.75" customHeight="1">
      <c r="A180" s="24"/>
      <c r="B180" s="24"/>
      <c r="C180" s="24"/>
      <c r="D180" s="24"/>
      <c r="E180" s="2"/>
      <c r="F180" s="2"/>
    </row>
    <row r="181" spans="1:6" ht="12.75" customHeight="1">
      <c r="A181" s="24"/>
      <c r="B181" s="24"/>
      <c r="C181" s="24"/>
      <c r="D181" s="24"/>
      <c r="E181" s="2"/>
      <c r="F181" s="2"/>
    </row>
    <row r="182" spans="1:6" ht="12.75" customHeight="1">
      <c r="A182" s="24"/>
      <c r="B182" s="24"/>
      <c r="C182" s="24"/>
      <c r="D182" s="24"/>
      <c r="E182" s="2"/>
      <c r="F182" s="2"/>
    </row>
    <row r="183" spans="1:6" ht="12.75" customHeight="1">
      <c r="A183" s="24"/>
      <c r="B183" s="24"/>
      <c r="C183" s="24"/>
      <c r="D183" s="24"/>
      <c r="E183" s="2"/>
      <c r="F183" s="2"/>
    </row>
    <row r="184" spans="1:6" ht="12.75" customHeight="1">
      <c r="A184" s="24"/>
      <c r="B184" s="24"/>
      <c r="C184" s="24"/>
      <c r="D184" s="24"/>
      <c r="E184" s="2"/>
      <c r="F184" s="2"/>
    </row>
    <row r="185" spans="1:6" ht="12.75" customHeight="1">
      <c r="A185" s="24"/>
      <c r="B185" s="24"/>
      <c r="C185" s="24"/>
      <c r="D185" s="24"/>
      <c r="E185" s="2"/>
      <c r="F185" s="2"/>
    </row>
    <row r="186" spans="1:6" ht="12.75" customHeight="1">
      <c r="A186" s="24"/>
      <c r="B186" s="24"/>
      <c r="C186" s="24"/>
      <c r="D186" s="24"/>
      <c r="E186" s="2"/>
      <c r="F186" s="2"/>
    </row>
    <row r="187" spans="1:6" ht="12.75" customHeight="1">
      <c r="A187" s="24"/>
      <c r="B187" s="24"/>
      <c r="C187" s="24"/>
      <c r="D187" s="24"/>
      <c r="E187" s="2"/>
      <c r="F187" s="2"/>
    </row>
    <row r="188" spans="1:6" ht="12.75" customHeight="1">
      <c r="A188" s="24"/>
      <c r="B188" s="24"/>
      <c r="C188" s="24"/>
      <c r="D188" s="24"/>
      <c r="E188" s="2"/>
      <c r="F188" s="2"/>
    </row>
    <row r="189" spans="1:6" ht="12.75" customHeight="1">
      <c r="A189" s="24"/>
      <c r="B189" s="24"/>
      <c r="C189" s="24"/>
      <c r="D189" s="24"/>
      <c r="E189" s="2"/>
      <c r="F189" s="2"/>
    </row>
    <row r="190" spans="1:6" ht="12.75" customHeight="1">
      <c r="A190" s="24"/>
      <c r="B190" s="24"/>
      <c r="C190" s="24"/>
      <c r="D190" s="24"/>
      <c r="E190" s="2"/>
      <c r="F190" s="2"/>
    </row>
    <row r="191" spans="1:6" ht="12.75" customHeight="1">
      <c r="A191" s="24"/>
      <c r="B191" s="24"/>
      <c r="C191" s="24"/>
      <c r="D191" s="24"/>
      <c r="E191" s="2"/>
      <c r="F191" s="2"/>
    </row>
    <row r="192" spans="1:6" ht="12.75" customHeight="1">
      <c r="A192" s="24"/>
      <c r="B192" s="24"/>
      <c r="C192" s="24"/>
      <c r="D192" s="24"/>
      <c r="E192" s="2"/>
      <c r="F192" s="2"/>
    </row>
    <row r="193" spans="1:6" ht="12.75" customHeight="1">
      <c r="A193" s="24"/>
      <c r="B193" s="24"/>
      <c r="C193" s="24"/>
      <c r="D193" s="24"/>
      <c r="E193" s="2"/>
      <c r="F193" s="2"/>
    </row>
    <row r="194" spans="1:6" ht="12.75" customHeight="1">
      <c r="A194" s="24"/>
      <c r="B194" s="24"/>
      <c r="C194" s="24"/>
      <c r="D194" s="24"/>
      <c r="E194" s="2"/>
      <c r="F194" s="2"/>
    </row>
    <row r="195" spans="1:6" ht="12.75" customHeight="1">
      <c r="A195" s="24"/>
      <c r="B195" s="24"/>
      <c r="C195" s="24"/>
      <c r="D195" s="24"/>
      <c r="E195" s="2"/>
      <c r="F195" s="2"/>
    </row>
    <row r="196" spans="1:6" ht="12.75" customHeight="1">
      <c r="A196" s="24"/>
      <c r="B196" s="24"/>
      <c r="C196" s="24"/>
      <c r="D196" s="24"/>
      <c r="E196" s="2"/>
      <c r="F196" s="2"/>
    </row>
    <row r="197" spans="1:6" ht="12.75" customHeight="1">
      <c r="A197" s="24"/>
      <c r="B197" s="24"/>
      <c r="C197" s="24"/>
      <c r="D197" s="24"/>
      <c r="E197" s="2"/>
      <c r="F197" s="2"/>
    </row>
    <row r="198" spans="1:6" ht="12.75" customHeight="1">
      <c r="A198" s="24"/>
      <c r="B198" s="24"/>
      <c r="C198" s="24"/>
      <c r="D198" s="24"/>
      <c r="E198" s="2"/>
      <c r="F198" s="2"/>
    </row>
    <row r="199" spans="1:6" ht="12.75" customHeight="1">
      <c r="A199" s="24"/>
      <c r="B199" s="24"/>
      <c r="C199" s="24"/>
      <c r="D199" s="24"/>
      <c r="E199" s="2"/>
      <c r="F199" s="2"/>
    </row>
    <row r="200" spans="1:6" ht="12.75" customHeight="1">
      <c r="A200" s="24"/>
      <c r="B200" s="24"/>
      <c r="C200" s="24"/>
      <c r="D200" s="24"/>
      <c r="E200" s="2"/>
      <c r="F200" s="2"/>
    </row>
    <row r="201" spans="1:6" ht="12.75" customHeight="1">
      <c r="A201" s="24"/>
      <c r="B201" s="24"/>
      <c r="C201" s="24"/>
      <c r="D201" s="24"/>
      <c r="E201" s="2"/>
      <c r="F201" s="2"/>
    </row>
    <row r="202" spans="1:6" ht="12.75" customHeight="1">
      <c r="A202" s="24"/>
      <c r="B202" s="24"/>
      <c r="C202" s="24"/>
      <c r="D202" s="24"/>
      <c r="E202" s="2"/>
      <c r="F202" s="2"/>
    </row>
    <row r="203" spans="1:6" ht="12.75" customHeight="1">
      <c r="A203" s="24"/>
      <c r="B203" s="24"/>
      <c r="C203" s="24"/>
      <c r="D203" s="24"/>
      <c r="E203" s="2"/>
      <c r="F203" s="2"/>
    </row>
    <row r="204" spans="1:6" ht="12.75" customHeight="1">
      <c r="A204" s="24"/>
      <c r="B204" s="24"/>
      <c r="C204" s="24"/>
      <c r="D204" s="24"/>
      <c r="E204" s="2"/>
      <c r="F204" s="2"/>
    </row>
    <row r="205" spans="1:6" ht="12.75" customHeight="1">
      <c r="A205" s="24"/>
      <c r="B205" s="24"/>
      <c r="C205" s="24"/>
      <c r="D205" s="24"/>
      <c r="E205" s="2"/>
      <c r="F205" s="2"/>
    </row>
    <row r="206" spans="1:6" ht="12.75" customHeight="1">
      <c r="A206" s="24"/>
      <c r="B206" s="24"/>
      <c r="C206" s="24"/>
      <c r="D206" s="24"/>
      <c r="E206" s="2"/>
      <c r="F206" s="2"/>
    </row>
    <row r="207" spans="1:6" ht="12.75" customHeight="1">
      <c r="A207" s="24"/>
      <c r="B207" s="24"/>
      <c r="C207" s="24"/>
      <c r="D207" s="24"/>
      <c r="E207" s="2"/>
      <c r="F207" s="2"/>
    </row>
    <row r="208" spans="1:6" ht="12.75" customHeight="1">
      <c r="A208" s="24"/>
      <c r="B208" s="24"/>
      <c r="C208" s="24"/>
      <c r="D208" s="24"/>
      <c r="E208" s="2"/>
      <c r="F208" s="2"/>
    </row>
    <row r="209" spans="1:6" ht="12.75" customHeight="1">
      <c r="A209" s="24"/>
      <c r="B209" s="24"/>
      <c r="C209" s="24"/>
      <c r="D209" s="24"/>
      <c r="E209" s="2"/>
      <c r="F209" s="2"/>
    </row>
    <row r="210" spans="1:6" ht="12.75" customHeight="1">
      <c r="A210" s="24"/>
      <c r="B210" s="24"/>
      <c r="C210" s="24"/>
      <c r="D210" s="24"/>
      <c r="E210" s="2"/>
      <c r="F210" s="2"/>
    </row>
    <row r="211" spans="1:6" ht="12.75" customHeight="1">
      <c r="A211" s="24"/>
      <c r="B211" s="24"/>
      <c r="C211" s="24"/>
      <c r="D211" s="24"/>
      <c r="E211" s="2"/>
      <c r="F211" s="2"/>
    </row>
    <row r="212" spans="1:6" ht="12.75" customHeight="1">
      <c r="A212" s="24"/>
      <c r="B212" s="24"/>
      <c r="C212" s="24"/>
      <c r="D212" s="24"/>
      <c r="E212" s="2"/>
      <c r="F212" s="2"/>
    </row>
    <row r="213" spans="1:6" ht="12.75" customHeight="1">
      <c r="A213" s="24"/>
      <c r="B213" s="24"/>
      <c r="C213" s="24"/>
      <c r="D213" s="24"/>
      <c r="E213" s="2"/>
      <c r="F213" s="2"/>
    </row>
    <row r="214" spans="1:6" ht="12.75" customHeight="1">
      <c r="A214" s="24"/>
      <c r="B214" s="24"/>
      <c r="C214" s="24"/>
      <c r="D214" s="24"/>
      <c r="E214" s="2"/>
      <c r="F214" s="2"/>
    </row>
    <row r="215" spans="1:6" ht="12.75" customHeight="1">
      <c r="A215" s="24"/>
      <c r="B215" s="24"/>
      <c r="C215" s="24"/>
      <c r="D215" s="24"/>
      <c r="E215" s="2"/>
      <c r="F215" s="2"/>
    </row>
    <row r="216" spans="1:6" ht="12.75" customHeight="1">
      <c r="A216" s="24"/>
      <c r="B216" s="24"/>
      <c r="C216" s="24"/>
      <c r="D216" s="24"/>
      <c r="E216" s="2"/>
      <c r="F216" s="2"/>
    </row>
    <row r="217" spans="1:6" ht="12.75" customHeight="1">
      <c r="A217" s="24"/>
      <c r="B217" s="24"/>
      <c r="C217" s="24"/>
      <c r="D217" s="24"/>
      <c r="E217" s="2"/>
      <c r="F217" s="2"/>
    </row>
    <row r="218" spans="1:6" ht="12.75" customHeight="1">
      <c r="A218" s="24"/>
      <c r="B218" s="24"/>
      <c r="C218" s="24"/>
      <c r="D218" s="24"/>
      <c r="E218" s="2"/>
      <c r="F218" s="2"/>
    </row>
    <row r="219" spans="1:6" ht="12.75" customHeight="1">
      <c r="A219" s="24"/>
      <c r="B219" s="24"/>
      <c r="C219" s="24"/>
      <c r="D219" s="24"/>
      <c r="E219" s="2"/>
      <c r="F219" s="2"/>
    </row>
    <row r="220" spans="1:6" ht="12.75" customHeight="1">
      <c r="A220" s="24"/>
      <c r="B220" s="24"/>
      <c r="C220" s="24"/>
      <c r="D220" s="24"/>
      <c r="E220" s="2"/>
      <c r="F220" s="2"/>
    </row>
    <row r="221" spans="1:6" ht="12.75" customHeight="1">
      <c r="A221" s="24"/>
      <c r="B221" s="24"/>
      <c r="C221" s="24"/>
      <c r="D221" s="24"/>
      <c r="E221" s="2"/>
      <c r="F221" s="2"/>
    </row>
    <row r="222" spans="1:6" ht="12.75" customHeight="1">
      <c r="A222" s="24"/>
      <c r="B222" s="24"/>
      <c r="C222" s="24"/>
      <c r="D222" s="24"/>
      <c r="E222" s="2"/>
      <c r="F222" s="2"/>
    </row>
    <row r="223" spans="1:6" ht="12.75" customHeight="1">
      <c r="A223" s="24"/>
      <c r="B223" s="24"/>
      <c r="C223" s="24"/>
      <c r="D223" s="24"/>
      <c r="E223" s="2"/>
      <c r="F223" s="2"/>
    </row>
    <row r="224" spans="1:6" ht="12.75" customHeight="1">
      <c r="A224" s="24"/>
      <c r="B224" s="24"/>
      <c r="C224" s="24"/>
      <c r="D224" s="24"/>
      <c r="E224" s="2"/>
      <c r="F224" s="2"/>
    </row>
    <row r="225" spans="1:6" ht="12.75" customHeight="1">
      <c r="A225" s="24"/>
      <c r="B225" s="24"/>
      <c r="C225" s="24"/>
      <c r="D225" s="24"/>
      <c r="E225" s="2"/>
      <c r="F225" s="2"/>
    </row>
    <row r="226" spans="1:6" ht="12.75" customHeight="1">
      <c r="A226" s="24"/>
      <c r="B226" s="24"/>
      <c r="C226" s="24"/>
      <c r="D226" s="24"/>
      <c r="E226" s="2"/>
      <c r="F226" s="2"/>
    </row>
    <row r="227" spans="1:6" ht="12.75" customHeight="1">
      <c r="A227" s="24"/>
      <c r="B227" s="24"/>
      <c r="C227" s="24"/>
      <c r="D227" s="24"/>
      <c r="E227" s="2"/>
      <c r="F227" s="2"/>
    </row>
    <row r="228" spans="1:6" ht="12.75" customHeight="1">
      <c r="A228" s="24"/>
      <c r="B228" s="24"/>
      <c r="C228" s="24"/>
      <c r="D228" s="24"/>
      <c r="E228" s="2"/>
      <c r="F228" s="2"/>
    </row>
    <row r="229" spans="1:6" ht="12.75" customHeight="1">
      <c r="A229" s="24"/>
      <c r="B229" s="24"/>
      <c r="C229" s="24"/>
      <c r="D229" s="24"/>
      <c r="E229" s="2"/>
      <c r="F229" s="2"/>
    </row>
    <row r="230" spans="1:6" ht="12.75" customHeight="1">
      <c r="A230" s="24"/>
      <c r="B230" s="24"/>
      <c r="C230" s="24"/>
      <c r="D230" s="24"/>
      <c r="E230" s="2"/>
      <c r="F230" s="2"/>
    </row>
    <row r="231" spans="1:6" ht="12.75" customHeight="1">
      <c r="A231" s="24"/>
      <c r="B231" s="24"/>
      <c r="C231" s="24"/>
      <c r="D231" s="24"/>
      <c r="E231" s="2"/>
      <c r="F231" s="2"/>
    </row>
    <row r="232" spans="1:6" ht="12.75" customHeight="1">
      <c r="A232" s="24"/>
      <c r="B232" s="24"/>
      <c r="C232" s="24"/>
      <c r="D232" s="24"/>
      <c r="E232" s="2"/>
      <c r="F232" s="2"/>
    </row>
    <row r="233" spans="1:6" ht="12.75" customHeight="1">
      <c r="A233" s="24"/>
      <c r="B233" s="24"/>
      <c r="C233" s="24"/>
      <c r="D233" s="24"/>
      <c r="E233" s="2"/>
      <c r="F233" s="2"/>
    </row>
    <row r="234" spans="1:6" ht="12.75" customHeight="1">
      <c r="A234" s="24"/>
      <c r="B234" s="24"/>
      <c r="C234" s="24"/>
      <c r="D234" s="24"/>
      <c r="E234" s="2"/>
      <c r="F234" s="2"/>
    </row>
    <row r="235" spans="1:6" ht="12.75" customHeight="1">
      <c r="A235" s="24"/>
      <c r="B235" s="24"/>
      <c r="C235" s="24"/>
      <c r="D235" s="24"/>
      <c r="E235" s="2"/>
      <c r="F235" s="2"/>
    </row>
    <row r="236" spans="1:6" ht="12.75" customHeight="1">
      <c r="A236" s="24"/>
      <c r="B236" s="24"/>
      <c r="C236" s="24"/>
      <c r="D236" s="24"/>
      <c r="E236" s="2"/>
      <c r="F236" s="2"/>
    </row>
    <row r="237" spans="1:6" ht="12.75" customHeight="1">
      <c r="A237" s="24"/>
      <c r="B237" s="24"/>
      <c r="C237" s="24"/>
      <c r="D237" s="24"/>
      <c r="E237" s="2"/>
      <c r="F237" s="2"/>
    </row>
    <row r="238" spans="1:6" ht="12.75" customHeight="1">
      <c r="A238" s="24"/>
      <c r="B238" s="24"/>
      <c r="C238" s="24"/>
      <c r="D238" s="24"/>
      <c r="E238" s="2"/>
      <c r="F238" s="2"/>
    </row>
    <row r="239" spans="1:6" ht="12.75" customHeight="1">
      <c r="A239" s="24"/>
      <c r="B239" s="24"/>
      <c r="C239" s="24"/>
      <c r="D239" s="24"/>
      <c r="E239" s="2"/>
      <c r="F239" s="2"/>
    </row>
    <row r="240" spans="1:6" ht="12.75" customHeight="1">
      <c r="A240" s="24"/>
      <c r="B240" s="24"/>
      <c r="C240" s="24"/>
      <c r="D240" s="24"/>
      <c r="E240" s="2"/>
      <c r="F240" s="2"/>
    </row>
    <row r="241" spans="1:6" ht="12.75" customHeight="1">
      <c r="A241" s="24"/>
      <c r="B241" s="24"/>
      <c r="C241" s="24"/>
      <c r="D241" s="24"/>
      <c r="E241" s="2"/>
      <c r="F241" s="2"/>
    </row>
    <row r="242" spans="1:6" ht="12.75" customHeight="1">
      <c r="A242" s="24"/>
      <c r="B242" s="24"/>
      <c r="C242" s="24"/>
      <c r="D242" s="24"/>
      <c r="E242" s="2"/>
      <c r="F242" s="2"/>
    </row>
    <row r="243" spans="1:6" ht="12.75" customHeight="1">
      <c r="A243" s="24"/>
      <c r="B243" s="24"/>
      <c r="C243" s="24"/>
      <c r="D243" s="24"/>
      <c r="E243" s="2"/>
      <c r="F243" s="2"/>
    </row>
    <row r="244" spans="1:6" ht="12.75" customHeight="1">
      <c r="A244" s="24"/>
      <c r="B244" s="24"/>
      <c r="C244" s="24"/>
      <c r="D244" s="24"/>
      <c r="E244" s="2"/>
      <c r="F244" s="2"/>
    </row>
    <row r="245" spans="1:6" ht="12.75" customHeight="1">
      <c r="A245" s="24"/>
      <c r="B245" s="24"/>
      <c r="C245" s="24"/>
      <c r="D245" s="24"/>
      <c r="E245" s="2"/>
      <c r="F245" s="2"/>
    </row>
    <row r="246" spans="1:6" ht="12.75" customHeight="1">
      <c r="A246" s="24"/>
      <c r="B246" s="24"/>
      <c r="C246" s="24"/>
      <c r="D246" s="24"/>
      <c r="E246" s="2"/>
      <c r="F246" s="2"/>
    </row>
    <row r="247" spans="1:6" ht="12.75" customHeight="1">
      <c r="A247" s="24"/>
      <c r="B247" s="24"/>
      <c r="C247" s="24"/>
      <c r="D247" s="24"/>
      <c r="E247" s="2"/>
      <c r="F247" s="2"/>
    </row>
    <row r="248" spans="1:6" ht="12.75" customHeight="1">
      <c r="A248" s="24"/>
      <c r="B248" s="24"/>
      <c r="C248" s="24"/>
      <c r="D248" s="24"/>
      <c r="E248" s="2"/>
      <c r="F248" s="2"/>
    </row>
    <row r="249" spans="1:6" ht="12.75" customHeight="1">
      <c r="A249" s="24"/>
      <c r="B249" s="24"/>
      <c r="C249" s="24"/>
      <c r="D249" s="24"/>
      <c r="E249" s="2"/>
      <c r="F249" s="2"/>
    </row>
    <row r="250" spans="1:6" ht="12.75" customHeight="1">
      <c r="A250" s="24"/>
      <c r="B250" s="24"/>
      <c r="C250" s="24"/>
      <c r="D250" s="24"/>
      <c r="E250" s="2"/>
      <c r="F250" s="2"/>
    </row>
    <row r="251" spans="1:6" ht="12.75" customHeight="1">
      <c r="A251" s="24"/>
      <c r="B251" s="24"/>
      <c r="C251" s="24"/>
      <c r="D251" s="24"/>
      <c r="E251" s="2"/>
      <c r="F251" s="2"/>
    </row>
    <row r="252" spans="1:6" ht="12.75" customHeight="1">
      <c r="A252" s="24"/>
      <c r="B252" s="24"/>
      <c r="C252" s="24"/>
      <c r="D252" s="24"/>
      <c r="E252" s="2"/>
      <c r="F252" s="2"/>
    </row>
    <row r="253" spans="1:6" ht="12.75" customHeight="1">
      <c r="A253" s="24"/>
      <c r="B253" s="24"/>
      <c r="C253" s="24"/>
      <c r="D253" s="24"/>
      <c r="E253" s="2"/>
      <c r="F253" s="2"/>
    </row>
    <row r="254" spans="1:6" ht="12.75" customHeight="1">
      <c r="A254" s="24"/>
      <c r="B254" s="24"/>
      <c r="C254" s="24"/>
      <c r="D254" s="24"/>
      <c r="E254" s="2"/>
      <c r="F254" s="2"/>
    </row>
    <row r="255" spans="1:6" ht="12.75" customHeight="1">
      <c r="A255" s="24"/>
      <c r="B255" s="24"/>
      <c r="C255" s="24"/>
      <c r="D255" s="24"/>
      <c r="E255" s="2"/>
      <c r="F255" s="2"/>
    </row>
    <row r="256" spans="1:6" ht="12.75" customHeight="1">
      <c r="A256" s="24"/>
      <c r="B256" s="24"/>
      <c r="C256" s="24"/>
      <c r="D256" s="24"/>
      <c r="E256" s="2"/>
      <c r="F256" s="2"/>
    </row>
    <row r="257" spans="1:6" ht="12.75" customHeight="1">
      <c r="A257" s="24"/>
      <c r="B257" s="24"/>
      <c r="C257" s="24"/>
      <c r="D257" s="24"/>
      <c r="E257" s="2"/>
      <c r="F257" s="2"/>
    </row>
    <row r="258" spans="1:6" ht="12.75" customHeight="1">
      <c r="A258" s="24"/>
      <c r="B258" s="24"/>
      <c r="C258" s="24"/>
      <c r="D258" s="24"/>
      <c r="E258" s="2"/>
      <c r="F258" s="2"/>
    </row>
    <row r="259" spans="1:6" ht="12.75" customHeight="1">
      <c r="A259" s="24"/>
      <c r="B259" s="24"/>
      <c r="C259" s="24"/>
      <c r="D259" s="24"/>
      <c r="E259" s="2"/>
      <c r="F259" s="2"/>
    </row>
    <row r="260" spans="1:6" ht="12.75" customHeight="1">
      <c r="A260" s="24"/>
      <c r="B260" s="24"/>
      <c r="C260" s="24"/>
      <c r="D260" s="24"/>
      <c r="E260" s="2"/>
      <c r="F260" s="2"/>
    </row>
    <row r="261" spans="1:6" ht="12.75" customHeight="1">
      <c r="A261" s="24"/>
      <c r="B261" s="24"/>
      <c r="C261" s="24"/>
      <c r="D261" s="24"/>
      <c r="E261" s="2"/>
      <c r="F261" s="2"/>
    </row>
    <row r="262" spans="1:6" ht="12.75" customHeight="1">
      <c r="A262" s="24"/>
      <c r="B262" s="24"/>
      <c r="C262" s="24"/>
      <c r="D262" s="24"/>
      <c r="E262" s="2"/>
      <c r="F262" s="2"/>
    </row>
    <row r="263" spans="1:6" ht="12.75" customHeight="1">
      <c r="A263" s="24"/>
      <c r="B263" s="24"/>
      <c r="C263" s="24"/>
      <c r="D263" s="24"/>
      <c r="E263" s="2"/>
      <c r="F263" s="2"/>
    </row>
    <row r="264" spans="1:6" ht="12.75" customHeight="1">
      <c r="A264" s="24"/>
      <c r="B264" s="24"/>
      <c r="C264" s="24"/>
      <c r="D264" s="24"/>
      <c r="E264" s="2"/>
      <c r="F264" s="2"/>
    </row>
    <row r="265" spans="1:6" ht="12.75" customHeight="1">
      <c r="A265" s="24"/>
      <c r="B265" s="24"/>
      <c r="C265" s="24"/>
      <c r="D265" s="24"/>
      <c r="E265" s="2"/>
      <c r="F265" s="2"/>
    </row>
    <row r="266" spans="1:6" ht="12.75" customHeight="1">
      <c r="A266" s="24"/>
      <c r="B266" s="24"/>
      <c r="C266" s="24"/>
      <c r="D266" s="24"/>
      <c r="E266" s="2"/>
      <c r="F266" s="2"/>
    </row>
    <row r="267" spans="1:6" ht="12.75" customHeight="1">
      <c r="A267" s="24"/>
      <c r="B267" s="24"/>
      <c r="C267" s="24"/>
      <c r="D267" s="24"/>
      <c r="E267" s="2"/>
      <c r="F267" s="2"/>
    </row>
    <row r="268" spans="1:6" ht="12.75" customHeight="1">
      <c r="A268" s="24"/>
      <c r="B268" s="24"/>
      <c r="C268" s="24"/>
      <c r="D268" s="24"/>
      <c r="E268" s="2"/>
      <c r="F268" s="2"/>
    </row>
    <row r="269" spans="1:6" ht="12.75" customHeight="1">
      <c r="A269" s="24"/>
      <c r="B269" s="24"/>
      <c r="C269" s="24"/>
      <c r="D269" s="24"/>
      <c r="E269" s="2"/>
      <c r="F269" s="2"/>
    </row>
    <row r="270" spans="1:6" ht="12.75" customHeight="1">
      <c r="A270" s="24"/>
      <c r="B270" s="24"/>
      <c r="C270" s="24"/>
      <c r="D270" s="24"/>
      <c r="E270" s="2"/>
      <c r="F270" s="2"/>
    </row>
    <row r="271" spans="1:6" ht="12.75" customHeight="1">
      <c r="A271" s="24"/>
      <c r="B271" s="24"/>
      <c r="C271" s="24"/>
      <c r="D271" s="24"/>
      <c r="E271" s="2"/>
      <c r="F271" s="2"/>
    </row>
    <row r="272" spans="1:6" ht="12.75" customHeight="1">
      <c r="A272" s="24"/>
      <c r="B272" s="24"/>
      <c r="C272" s="24"/>
      <c r="D272" s="24"/>
      <c r="E272" s="2"/>
      <c r="F272" s="2"/>
    </row>
    <row r="273" spans="1:6" ht="12.75" customHeight="1">
      <c r="A273" s="24"/>
      <c r="B273" s="24"/>
      <c r="C273" s="24"/>
      <c r="D273" s="24"/>
      <c r="E273" s="2"/>
      <c r="F273" s="2"/>
    </row>
    <row r="274" spans="1:6" ht="12.75" customHeight="1">
      <c r="A274" s="24"/>
      <c r="B274" s="24"/>
      <c r="C274" s="24"/>
      <c r="D274" s="24"/>
      <c r="E274" s="2"/>
      <c r="F274" s="2"/>
    </row>
    <row r="275" spans="1:6" ht="12.75" customHeight="1">
      <c r="A275" s="24"/>
      <c r="B275" s="24"/>
      <c r="C275" s="24"/>
      <c r="D275" s="24"/>
      <c r="E275" s="2"/>
      <c r="F275" s="2"/>
    </row>
    <row r="276" spans="1:6" ht="12.75" customHeight="1">
      <c r="A276" s="24"/>
      <c r="B276" s="24"/>
      <c r="C276" s="24"/>
      <c r="D276" s="24"/>
      <c r="E276" s="2"/>
      <c r="F276" s="2"/>
    </row>
    <row r="277" spans="1:6" ht="12.75" customHeight="1">
      <c r="A277" s="24"/>
      <c r="B277" s="24"/>
      <c r="C277" s="24"/>
      <c r="D277" s="24"/>
      <c r="E277" s="2"/>
      <c r="F277" s="2"/>
    </row>
    <row r="278" spans="1:6" ht="12.75" customHeight="1">
      <c r="A278" s="24"/>
      <c r="B278" s="24"/>
      <c r="C278" s="24"/>
      <c r="D278" s="24"/>
      <c r="E278" s="2"/>
      <c r="F278" s="2"/>
    </row>
    <row r="279" spans="1:6" ht="12.75" customHeight="1">
      <c r="A279" s="24"/>
      <c r="B279" s="24"/>
      <c r="C279" s="24"/>
      <c r="D279" s="24"/>
      <c r="E279" s="2"/>
      <c r="F279" s="2"/>
    </row>
    <row r="280" spans="1:6" ht="12.75" customHeight="1">
      <c r="A280" s="24"/>
      <c r="B280" s="24"/>
      <c r="C280" s="24"/>
      <c r="D280" s="24"/>
      <c r="E280" s="2"/>
      <c r="F280" s="2"/>
    </row>
    <row r="281" spans="1:6" ht="12.75" customHeight="1">
      <c r="A281" s="24"/>
      <c r="B281" s="24"/>
      <c r="C281" s="24"/>
      <c r="D281" s="24"/>
      <c r="E281" s="2"/>
      <c r="F281" s="2"/>
    </row>
    <row r="282" spans="1:6" ht="12.75" customHeight="1">
      <c r="A282" s="24"/>
      <c r="B282" s="24"/>
      <c r="C282" s="24"/>
      <c r="D282" s="24"/>
      <c r="E282" s="2"/>
      <c r="F282" s="2"/>
    </row>
    <row r="283" spans="1:6" ht="12.75" customHeight="1">
      <c r="A283" s="24"/>
      <c r="B283" s="24"/>
      <c r="C283" s="24"/>
      <c r="D283" s="24"/>
      <c r="E283" s="2"/>
      <c r="F283" s="2"/>
    </row>
    <row r="284" spans="1:6" ht="12.75" customHeight="1">
      <c r="A284" s="24"/>
      <c r="B284" s="24"/>
      <c r="C284" s="24"/>
      <c r="D284" s="24"/>
      <c r="E284" s="2"/>
      <c r="F284" s="2"/>
    </row>
    <row r="285" spans="1:6" ht="12.75" customHeight="1">
      <c r="A285" s="24"/>
      <c r="B285" s="24"/>
      <c r="C285" s="24"/>
      <c r="D285" s="24"/>
      <c r="E285" s="2"/>
      <c r="F285" s="2"/>
    </row>
    <row r="286" spans="1:6" ht="12.75" customHeight="1">
      <c r="A286" s="24"/>
      <c r="B286" s="24"/>
      <c r="C286" s="24"/>
      <c r="D286" s="24"/>
      <c r="E286" s="2"/>
      <c r="F286" s="2"/>
    </row>
    <row r="287" spans="1:6" ht="12.75" customHeight="1">
      <c r="A287" s="24"/>
      <c r="B287" s="24"/>
      <c r="C287" s="24"/>
      <c r="D287" s="24"/>
      <c r="E287" s="2"/>
      <c r="F287" s="2"/>
    </row>
    <row r="288" spans="1:6" ht="12.75" customHeight="1">
      <c r="A288" s="24"/>
      <c r="B288" s="24"/>
      <c r="C288" s="24"/>
      <c r="D288" s="24"/>
      <c r="E288" s="2"/>
      <c r="F288" s="2"/>
    </row>
    <row r="289" spans="1:6" ht="12.75" customHeight="1">
      <c r="A289" s="24"/>
      <c r="B289" s="24"/>
      <c r="C289" s="24"/>
      <c r="D289" s="24"/>
      <c r="E289" s="2"/>
      <c r="F289" s="2"/>
    </row>
    <row r="290" spans="1:6" ht="12.75" customHeight="1">
      <c r="A290" s="24"/>
      <c r="B290" s="24"/>
      <c r="C290" s="24"/>
      <c r="D290" s="24"/>
      <c r="E290" s="2"/>
      <c r="F290" s="2"/>
    </row>
    <row r="291" spans="1:6" ht="12.75" customHeight="1">
      <c r="A291" s="24"/>
      <c r="B291" s="24"/>
      <c r="C291" s="24"/>
      <c r="D291" s="24"/>
      <c r="E291" s="2"/>
      <c r="F291" s="2"/>
    </row>
    <row r="292" spans="1:6" ht="12.75" customHeight="1">
      <c r="A292" s="24"/>
      <c r="B292" s="24"/>
      <c r="C292" s="24"/>
      <c r="D292" s="24"/>
      <c r="E292" s="2"/>
      <c r="F292" s="2"/>
    </row>
    <row r="293" spans="1:6" ht="12.75" customHeight="1">
      <c r="A293" s="24"/>
      <c r="B293" s="24"/>
      <c r="C293" s="24"/>
      <c r="D293" s="24"/>
      <c r="E293" s="2"/>
      <c r="F293" s="2"/>
    </row>
    <row r="294" spans="1:6" ht="12.75" customHeight="1">
      <c r="A294" s="24"/>
      <c r="B294" s="24"/>
      <c r="C294" s="24"/>
      <c r="D294" s="24"/>
      <c r="E294" s="2"/>
      <c r="F294" s="2"/>
    </row>
    <row r="295" spans="1:6" ht="12.75" customHeight="1">
      <c r="A295" s="24"/>
      <c r="B295" s="24"/>
      <c r="C295" s="24"/>
      <c r="D295" s="24"/>
      <c r="E295" s="2"/>
      <c r="F295" s="2"/>
    </row>
    <row r="296" spans="1:6" ht="12.75" customHeight="1">
      <c r="A296" s="24"/>
      <c r="B296" s="24"/>
      <c r="C296" s="24"/>
      <c r="D296" s="24"/>
      <c r="E296" s="2"/>
      <c r="F296" s="2"/>
    </row>
    <row r="297" spans="1:6" ht="12.75" customHeight="1">
      <c r="A297" s="24"/>
      <c r="B297" s="24"/>
      <c r="C297" s="24"/>
      <c r="D297" s="24"/>
      <c r="E297" s="2"/>
      <c r="F297" s="2"/>
    </row>
    <row r="298" spans="1:6" ht="12.75" customHeight="1">
      <c r="A298" s="24"/>
      <c r="B298" s="24"/>
      <c r="C298" s="24"/>
      <c r="D298" s="24"/>
      <c r="E298" s="2"/>
      <c r="F298" s="2"/>
    </row>
    <row r="299" spans="1:6" ht="12.75" customHeight="1">
      <c r="A299" s="24"/>
      <c r="B299" s="24"/>
      <c r="C299" s="24"/>
      <c r="D299" s="24"/>
      <c r="E299" s="2"/>
      <c r="F299" s="2"/>
    </row>
    <row r="300" spans="1:6" ht="12.75" customHeight="1">
      <c r="A300" s="24"/>
      <c r="B300" s="24"/>
      <c r="C300" s="24"/>
      <c r="D300" s="24"/>
      <c r="E300" s="2"/>
      <c r="F300" s="2"/>
    </row>
    <row r="301" spans="1:6" ht="12.75" customHeight="1">
      <c r="A301" s="24"/>
      <c r="B301" s="24"/>
      <c r="C301" s="24"/>
      <c r="D301" s="24"/>
      <c r="E301" s="2"/>
      <c r="F301" s="2"/>
    </row>
    <row r="302" spans="1:6" ht="12.75" customHeight="1">
      <c r="A302" s="24"/>
      <c r="B302" s="24"/>
      <c r="C302" s="24"/>
      <c r="D302" s="24"/>
      <c r="E302" s="2"/>
      <c r="F302" s="2"/>
    </row>
    <row r="303" spans="1:6" ht="12.75" customHeight="1">
      <c r="A303" s="24"/>
      <c r="B303" s="24"/>
      <c r="C303" s="24"/>
      <c r="D303" s="24"/>
      <c r="E303" s="2"/>
      <c r="F303" s="2"/>
    </row>
    <row r="304" spans="1:6" ht="12.75" customHeight="1">
      <c r="A304" s="24"/>
      <c r="B304" s="24"/>
      <c r="C304" s="24"/>
      <c r="D304" s="24"/>
      <c r="E304" s="2"/>
      <c r="F304" s="2"/>
    </row>
    <row r="305" spans="1:6" ht="12.75" customHeight="1">
      <c r="A305" s="24"/>
      <c r="B305" s="24"/>
      <c r="C305" s="24"/>
      <c r="D305" s="24"/>
      <c r="E305" s="2"/>
      <c r="F305" s="2"/>
    </row>
    <row r="306" spans="1:6" ht="12.75" customHeight="1">
      <c r="A306" s="24"/>
      <c r="B306" s="24"/>
      <c r="C306" s="24"/>
      <c r="D306" s="24"/>
      <c r="E306" s="2"/>
      <c r="F306" s="2"/>
    </row>
    <row r="307" spans="1:6" ht="12.75" customHeight="1">
      <c r="A307" s="24"/>
      <c r="B307" s="24"/>
      <c r="C307" s="24"/>
      <c r="D307" s="24"/>
      <c r="E307" s="2"/>
      <c r="F307" s="2"/>
    </row>
    <row r="308" spans="1:6" ht="12.75" customHeight="1">
      <c r="A308" s="24"/>
      <c r="B308" s="24"/>
      <c r="C308" s="24"/>
      <c r="D308" s="24"/>
      <c r="E308" s="2"/>
      <c r="F308" s="2"/>
    </row>
    <row r="309" spans="1:6" ht="12.75" customHeight="1">
      <c r="A309" s="24"/>
      <c r="B309" s="24"/>
      <c r="C309" s="24"/>
      <c r="D309" s="24"/>
      <c r="E309" s="2"/>
      <c r="F309" s="2"/>
    </row>
    <row r="310" spans="1:6" ht="12.75" customHeight="1">
      <c r="A310" s="24"/>
      <c r="B310" s="24"/>
      <c r="C310" s="24"/>
      <c r="D310" s="24"/>
      <c r="E310" s="2"/>
      <c r="F310" s="2"/>
    </row>
    <row r="311" spans="1:6" ht="12.75" customHeight="1">
      <c r="A311" s="24"/>
      <c r="B311" s="24"/>
      <c r="C311" s="24"/>
      <c r="D311" s="24"/>
      <c r="E311" s="2"/>
      <c r="F311" s="2"/>
    </row>
    <row r="312" spans="1:6" ht="12.75" customHeight="1">
      <c r="A312" s="24"/>
      <c r="B312" s="24"/>
      <c r="C312" s="24"/>
      <c r="D312" s="24"/>
      <c r="E312" s="2"/>
      <c r="F312" s="2"/>
    </row>
    <row r="313" spans="1:6" ht="12.75" customHeight="1">
      <c r="A313" s="24"/>
      <c r="B313" s="24"/>
      <c r="C313" s="24"/>
      <c r="D313" s="24"/>
      <c r="E313" s="2"/>
      <c r="F313" s="2"/>
    </row>
    <row r="314" spans="1:6" ht="12.75" customHeight="1">
      <c r="A314" s="24"/>
      <c r="B314" s="24"/>
      <c r="C314" s="24"/>
      <c r="D314" s="24"/>
      <c r="E314" s="2"/>
      <c r="F314" s="2"/>
    </row>
    <row r="315" spans="1:6" ht="12.75" customHeight="1">
      <c r="A315" s="24"/>
      <c r="B315" s="24"/>
      <c r="C315" s="24"/>
      <c r="D315" s="24"/>
      <c r="E315" s="2"/>
      <c r="F315" s="2"/>
    </row>
    <row r="316" spans="1:6" ht="12.75" customHeight="1">
      <c r="A316" s="24"/>
      <c r="B316" s="24"/>
      <c r="C316" s="24"/>
      <c r="D316" s="24"/>
      <c r="E316" s="2"/>
      <c r="F316" s="2"/>
    </row>
    <row r="317" spans="1:6" ht="12.75" customHeight="1">
      <c r="A317" s="24"/>
      <c r="B317" s="24"/>
      <c r="C317" s="24"/>
      <c r="D317" s="24"/>
      <c r="E317" s="2"/>
      <c r="F317" s="2"/>
    </row>
    <row r="318" spans="1:6" ht="12.75" customHeight="1">
      <c r="A318" s="24"/>
      <c r="B318" s="24"/>
      <c r="C318" s="24"/>
      <c r="D318" s="24"/>
      <c r="E318" s="2"/>
      <c r="F318" s="2"/>
    </row>
    <row r="319" spans="1:6" ht="12.75" customHeight="1">
      <c r="A319" s="24"/>
      <c r="B319" s="24"/>
      <c r="C319" s="24"/>
      <c r="D319" s="24"/>
      <c r="E319" s="2"/>
      <c r="F319" s="2"/>
    </row>
    <row r="320" spans="1:6" ht="12.75" customHeight="1">
      <c r="A320" s="24"/>
      <c r="B320" s="24"/>
      <c r="C320" s="24"/>
      <c r="D320" s="24"/>
      <c r="E320" s="2"/>
      <c r="F320" s="2"/>
    </row>
    <row r="321" spans="1:6" ht="12.75" customHeight="1">
      <c r="A321" s="24"/>
      <c r="B321" s="24"/>
      <c r="C321" s="24"/>
      <c r="D321" s="24"/>
      <c r="E321" s="2"/>
      <c r="F321" s="2"/>
    </row>
    <row r="322" spans="1:6" ht="12.75" customHeight="1">
      <c r="A322" s="24"/>
      <c r="B322" s="24"/>
      <c r="C322" s="24"/>
      <c r="D322" s="24"/>
      <c r="E322" s="2"/>
      <c r="F322" s="2"/>
    </row>
    <row r="323" spans="1:6" ht="12.75" customHeight="1">
      <c r="A323" s="24"/>
      <c r="B323" s="24"/>
      <c r="C323" s="24"/>
      <c r="D323" s="24"/>
      <c r="E323" s="2"/>
      <c r="F323" s="2"/>
    </row>
    <row r="324" spans="1:6" ht="12.75" customHeight="1">
      <c r="A324" s="24"/>
      <c r="B324" s="24"/>
      <c r="C324" s="24"/>
      <c r="D324" s="24"/>
      <c r="E324" s="2"/>
      <c r="F324" s="2"/>
    </row>
    <row r="325" spans="1:6" ht="12.75" customHeight="1">
      <c r="A325" s="24"/>
      <c r="B325" s="24"/>
      <c r="C325" s="24"/>
      <c r="D325" s="24"/>
      <c r="E325" s="2"/>
      <c r="F325" s="2"/>
    </row>
    <row r="326" spans="1:6" ht="12.75" customHeight="1">
      <c r="A326" s="24"/>
      <c r="B326" s="24"/>
      <c r="C326" s="24"/>
      <c r="D326" s="24"/>
      <c r="E326" s="2"/>
      <c r="F326" s="2"/>
    </row>
    <row r="327" spans="1:6" ht="12.75" customHeight="1">
      <c r="A327" s="24"/>
      <c r="B327" s="24"/>
      <c r="C327" s="24"/>
      <c r="D327" s="24"/>
      <c r="E327" s="2"/>
      <c r="F327" s="2"/>
    </row>
    <row r="328" spans="1:6" ht="12.75" customHeight="1">
      <c r="A328" s="24"/>
      <c r="B328" s="24"/>
      <c r="C328" s="24"/>
      <c r="D328" s="24"/>
      <c r="E328" s="2"/>
      <c r="F328" s="2"/>
    </row>
    <row r="329" spans="1:6" ht="12.75" customHeight="1">
      <c r="A329" s="24"/>
      <c r="B329" s="24"/>
      <c r="C329" s="24"/>
      <c r="D329" s="24"/>
      <c r="E329" s="2"/>
      <c r="F329" s="2"/>
    </row>
    <row r="330" spans="1:6" ht="12.75" customHeight="1">
      <c r="A330" s="24"/>
      <c r="B330" s="24"/>
      <c r="C330" s="24"/>
      <c r="D330" s="24"/>
      <c r="E330" s="2"/>
      <c r="F330" s="2"/>
    </row>
    <row r="331" spans="1:6" ht="12.75" customHeight="1">
      <c r="A331" s="24"/>
      <c r="B331" s="24"/>
      <c r="C331" s="24"/>
      <c r="D331" s="24"/>
      <c r="E331" s="2"/>
      <c r="F331" s="2"/>
    </row>
    <row r="332" spans="1:6" ht="12.75" customHeight="1">
      <c r="A332" s="24"/>
      <c r="B332" s="24"/>
      <c r="C332" s="24"/>
      <c r="D332" s="24"/>
      <c r="E332" s="2"/>
      <c r="F332" s="2"/>
    </row>
    <row r="333" spans="1:6" ht="12.75" customHeight="1">
      <c r="A333" s="24"/>
      <c r="B333" s="24"/>
      <c r="C333" s="24"/>
      <c r="D333" s="24"/>
      <c r="E333" s="2"/>
      <c r="F333" s="2"/>
    </row>
    <row r="334" spans="1:6" ht="12.75" customHeight="1">
      <c r="A334" s="24"/>
      <c r="B334" s="24"/>
      <c r="C334" s="24"/>
      <c r="D334" s="24"/>
      <c r="E334" s="2"/>
      <c r="F334" s="2"/>
    </row>
    <row r="335" spans="1:6" ht="12.75" customHeight="1">
      <c r="A335" s="24"/>
      <c r="B335" s="24"/>
      <c r="C335" s="24"/>
      <c r="D335" s="24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A1:E1"/>
    <mergeCell ref="A46:E46"/>
    <mergeCell ref="E24:E43"/>
    <mergeCell ref="E4:E23"/>
    <mergeCell ref="A150:E150"/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2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32" customFormat="1" ht="15.75" thickBot="1">
      <c r="A1" s="1462" t="s">
        <v>481</v>
      </c>
      <c r="B1" s="1463"/>
      <c r="C1" s="1463"/>
      <c r="D1" s="1463"/>
      <c r="E1" s="1463"/>
      <c r="F1" s="1463"/>
      <c r="G1" s="1464"/>
    </row>
    <row r="2" spans="1:7">
      <c r="A2" s="1466" t="s">
        <v>82</v>
      </c>
      <c r="B2" s="1468" t="s">
        <v>551</v>
      </c>
      <c r="C2" s="1470" t="s">
        <v>81</v>
      </c>
      <c r="D2" s="1468" t="s">
        <v>1086</v>
      </c>
      <c r="E2" s="1465" t="s">
        <v>1087</v>
      </c>
      <c r="F2" s="1465"/>
      <c r="G2" s="1460" t="s">
        <v>1147</v>
      </c>
    </row>
    <row r="3" spans="1:7" ht="21" customHeight="1" thickBot="1">
      <c r="A3" s="1467"/>
      <c r="B3" s="1469"/>
      <c r="C3" s="1471"/>
      <c r="D3" s="1469"/>
      <c r="E3" s="536" t="s">
        <v>1088</v>
      </c>
      <c r="F3" s="536" t="s">
        <v>1089</v>
      </c>
      <c r="G3" s="1461"/>
    </row>
    <row r="4" spans="1:7">
      <c r="A4" s="537">
        <v>1</v>
      </c>
      <c r="B4" s="538" t="s">
        <v>486</v>
      </c>
      <c r="C4" s="539">
        <v>45982</v>
      </c>
      <c r="D4" s="548" t="s">
        <v>61</v>
      </c>
      <c r="E4" s="540" t="s">
        <v>1090</v>
      </c>
      <c r="F4" s="540" t="s">
        <v>1091</v>
      </c>
      <c r="G4" s="541"/>
    </row>
    <row r="5" spans="1:7">
      <c r="A5" s="542">
        <v>2</v>
      </c>
      <c r="B5" s="533" t="s">
        <v>487</v>
      </c>
      <c r="C5" s="534">
        <v>45982</v>
      </c>
      <c r="D5" s="29" t="s">
        <v>42</v>
      </c>
      <c r="E5" s="535" t="s">
        <v>1092</v>
      </c>
      <c r="F5" s="535" t="s">
        <v>1093</v>
      </c>
      <c r="G5" s="84"/>
    </row>
    <row r="6" spans="1:7">
      <c r="A6" s="542">
        <v>3</v>
      </c>
      <c r="B6" s="533" t="s">
        <v>488</v>
      </c>
      <c r="C6" s="534">
        <v>45982</v>
      </c>
      <c r="D6" s="29" t="s">
        <v>31</v>
      </c>
      <c r="E6" s="535" t="s">
        <v>1094</v>
      </c>
      <c r="F6" s="535" t="s">
        <v>1095</v>
      </c>
      <c r="G6" s="84"/>
    </row>
    <row r="7" spans="1:7">
      <c r="A7" s="542">
        <v>4</v>
      </c>
      <c r="B7" s="533" t="s">
        <v>489</v>
      </c>
      <c r="C7" s="534">
        <v>45981</v>
      </c>
      <c r="D7" s="29" t="s">
        <v>61</v>
      </c>
      <c r="E7" s="535" t="s">
        <v>1096</v>
      </c>
      <c r="F7" s="535" t="s">
        <v>1097</v>
      </c>
      <c r="G7" s="84"/>
    </row>
    <row r="8" spans="1:7">
      <c r="A8" s="542">
        <v>5</v>
      </c>
      <c r="B8" s="533" t="s">
        <v>490</v>
      </c>
      <c r="C8" s="534">
        <v>45981</v>
      </c>
      <c r="D8" s="29" t="s">
        <v>61</v>
      </c>
      <c r="E8" s="535" t="s">
        <v>1098</v>
      </c>
      <c r="F8" s="535" t="s">
        <v>1099</v>
      </c>
      <c r="G8" s="84"/>
    </row>
    <row r="9" spans="1:7">
      <c r="A9" s="542">
        <v>6</v>
      </c>
      <c r="B9" s="533" t="s">
        <v>491</v>
      </c>
      <c r="C9" s="534">
        <v>45981</v>
      </c>
      <c r="D9" s="29" t="s">
        <v>61</v>
      </c>
      <c r="E9" s="535" t="s">
        <v>1100</v>
      </c>
      <c r="F9" s="535" t="s">
        <v>1101</v>
      </c>
      <c r="G9" s="84"/>
    </row>
    <row r="10" spans="1:7">
      <c r="A10" s="542">
        <v>7</v>
      </c>
      <c r="B10" s="533" t="s">
        <v>492</v>
      </c>
      <c r="C10" s="534">
        <v>45980</v>
      </c>
      <c r="D10" s="29" t="s">
        <v>61</v>
      </c>
      <c r="E10" s="535" t="s">
        <v>1102</v>
      </c>
      <c r="F10" s="535" t="s">
        <v>1103</v>
      </c>
      <c r="G10" s="84"/>
    </row>
    <row r="11" spans="1:7">
      <c r="A11" s="542">
        <v>8</v>
      </c>
      <c r="B11" s="533" t="s">
        <v>493</v>
      </c>
      <c r="C11" s="534">
        <v>45980</v>
      </c>
      <c r="D11" s="29" t="s">
        <v>61</v>
      </c>
      <c r="E11" s="535" t="s">
        <v>1104</v>
      </c>
      <c r="F11" s="535" t="s">
        <v>1105</v>
      </c>
      <c r="G11" s="84"/>
    </row>
    <row r="12" spans="1:7">
      <c r="A12" s="542">
        <v>9</v>
      </c>
      <c r="B12" s="533" t="s">
        <v>494</v>
      </c>
      <c r="C12" s="534">
        <v>45980</v>
      </c>
      <c r="D12" s="29" t="s">
        <v>61</v>
      </c>
      <c r="E12" s="535" t="s">
        <v>1106</v>
      </c>
      <c r="F12" s="535" t="s">
        <v>1107</v>
      </c>
      <c r="G12" s="84"/>
    </row>
    <row r="13" spans="1:7">
      <c r="A13" s="542">
        <v>10</v>
      </c>
      <c r="B13" s="533" t="s">
        <v>495</v>
      </c>
      <c r="C13" s="534">
        <v>45978</v>
      </c>
      <c r="D13" s="29" t="s">
        <v>42</v>
      </c>
      <c r="E13" s="535" t="s">
        <v>1108</v>
      </c>
      <c r="F13" s="535" t="s">
        <v>1109</v>
      </c>
      <c r="G13" s="84"/>
    </row>
    <row r="14" spans="1:7">
      <c r="A14" s="542">
        <v>11</v>
      </c>
      <c r="B14" s="533" t="s">
        <v>496</v>
      </c>
      <c r="C14" s="534">
        <v>45978</v>
      </c>
      <c r="D14" s="29" t="s">
        <v>42</v>
      </c>
      <c r="E14" s="535" t="s">
        <v>1110</v>
      </c>
      <c r="F14" s="535" t="s">
        <v>1111</v>
      </c>
      <c r="G14" s="84"/>
    </row>
    <row r="15" spans="1:7">
      <c r="A15" s="542">
        <v>12</v>
      </c>
      <c r="B15" s="533" t="s">
        <v>550</v>
      </c>
      <c r="C15" s="534">
        <v>45978</v>
      </c>
      <c r="D15" s="29" t="s">
        <v>61</v>
      </c>
      <c r="E15" s="535" t="s">
        <v>1112</v>
      </c>
      <c r="F15" s="535" t="s">
        <v>1113</v>
      </c>
      <c r="G15" s="1457" t="s">
        <v>1144</v>
      </c>
    </row>
    <row r="16" spans="1:7">
      <c r="A16" s="542">
        <v>13</v>
      </c>
      <c r="B16" s="533" t="s">
        <v>497</v>
      </c>
      <c r="C16" s="534">
        <v>45977</v>
      </c>
      <c r="D16" s="29" t="s">
        <v>61</v>
      </c>
      <c r="E16" s="535" t="s">
        <v>1114</v>
      </c>
      <c r="F16" s="535" t="s">
        <v>1115</v>
      </c>
      <c r="G16" s="1457"/>
    </row>
    <row r="17" spans="1:7">
      <c r="A17" s="542">
        <v>14</v>
      </c>
      <c r="B17" s="533" t="s">
        <v>498</v>
      </c>
      <c r="C17" s="534">
        <v>45977</v>
      </c>
      <c r="D17" s="29" t="s">
        <v>61</v>
      </c>
      <c r="E17" s="535" t="s">
        <v>1116</v>
      </c>
      <c r="F17" s="535" t="s">
        <v>1117</v>
      </c>
      <c r="G17" s="1457" t="s">
        <v>1145</v>
      </c>
    </row>
    <row r="18" spans="1:7">
      <c r="A18" s="542">
        <v>15</v>
      </c>
      <c r="B18" s="533" t="s">
        <v>499</v>
      </c>
      <c r="C18" s="534">
        <v>45977</v>
      </c>
      <c r="D18" s="29" t="s">
        <v>61</v>
      </c>
      <c r="E18" s="535" t="s">
        <v>1118</v>
      </c>
      <c r="F18" s="535" t="s">
        <v>1119</v>
      </c>
      <c r="G18" s="1457"/>
    </row>
    <row r="19" spans="1:7">
      <c r="A19" s="542">
        <v>16</v>
      </c>
      <c r="B19" s="533" t="s">
        <v>500</v>
      </c>
      <c r="C19" s="534">
        <v>45976</v>
      </c>
      <c r="D19" s="29" t="s">
        <v>61</v>
      </c>
      <c r="E19" s="535" t="s">
        <v>1120</v>
      </c>
      <c r="F19" s="535" t="s">
        <v>1121</v>
      </c>
      <c r="G19" s="543" t="s">
        <v>921</v>
      </c>
    </row>
    <row r="20" spans="1:7">
      <c r="A20" s="542">
        <v>17</v>
      </c>
      <c r="B20" s="533" t="s">
        <v>501</v>
      </c>
      <c r="C20" s="534">
        <v>45976</v>
      </c>
      <c r="D20" s="29" t="s">
        <v>42</v>
      </c>
      <c r="E20" s="535" t="s">
        <v>1122</v>
      </c>
      <c r="F20" s="535" t="s">
        <v>1123</v>
      </c>
      <c r="G20" s="84"/>
    </row>
    <row r="21" spans="1:7">
      <c r="A21" s="542">
        <v>18</v>
      </c>
      <c r="B21" s="533" t="s">
        <v>502</v>
      </c>
      <c r="C21" s="534">
        <v>45976</v>
      </c>
      <c r="D21" s="29" t="s">
        <v>42</v>
      </c>
      <c r="E21" s="535" t="s">
        <v>1124</v>
      </c>
      <c r="F21" s="535" t="s">
        <v>1125</v>
      </c>
      <c r="G21" s="84"/>
    </row>
    <row r="22" spans="1:7">
      <c r="A22" s="542">
        <v>19</v>
      </c>
      <c r="B22" s="533" t="s">
        <v>503</v>
      </c>
      <c r="C22" s="534">
        <v>45975</v>
      </c>
      <c r="D22" s="29" t="s">
        <v>42</v>
      </c>
      <c r="E22" s="535" t="s">
        <v>1126</v>
      </c>
      <c r="F22" s="535" t="s">
        <v>1127</v>
      </c>
      <c r="G22" s="84"/>
    </row>
    <row r="23" spans="1:7">
      <c r="A23" s="542">
        <v>20</v>
      </c>
      <c r="B23" s="533" t="s">
        <v>504</v>
      </c>
      <c r="C23" s="534">
        <v>45975</v>
      </c>
      <c r="D23" s="29" t="s">
        <v>61</v>
      </c>
      <c r="E23" s="535" t="s">
        <v>1128</v>
      </c>
      <c r="F23" s="535" t="s">
        <v>1129</v>
      </c>
      <c r="G23" s="84"/>
    </row>
    <row r="24" spans="1:7">
      <c r="A24" s="542">
        <v>21</v>
      </c>
      <c r="B24" s="533" t="s">
        <v>505</v>
      </c>
      <c r="C24" s="534">
        <v>45975</v>
      </c>
      <c r="D24" s="29" t="s">
        <v>61</v>
      </c>
      <c r="E24" s="535" t="s">
        <v>1130</v>
      </c>
      <c r="F24" s="535" t="s">
        <v>1131</v>
      </c>
      <c r="G24" s="84"/>
    </row>
    <row r="25" spans="1:7">
      <c r="A25" s="542">
        <v>22</v>
      </c>
      <c r="B25" s="533" t="s">
        <v>506</v>
      </c>
      <c r="C25" s="534">
        <v>45974</v>
      </c>
      <c r="D25" s="29" t="s">
        <v>61</v>
      </c>
      <c r="E25" s="535" t="s">
        <v>1132</v>
      </c>
      <c r="F25" s="535" t="s">
        <v>1133</v>
      </c>
      <c r="G25" s="84"/>
    </row>
    <row r="26" spans="1:7">
      <c r="A26" s="542">
        <v>23</v>
      </c>
      <c r="B26" s="533" t="s">
        <v>507</v>
      </c>
      <c r="C26" s="534">
        <v>45974</v>
      </c>
      <c r="D26" s="29" t="s">
        <v>61</v>
      </c>
      <c r="E26" s="535" t="s">
        <v>1134</v>
      </c>
      <c r="F26" s="535" t="s">
        <v>1135</v>
      </c>
      <c r="G26" s="84"/>
    </row>
    <row r="27" spans="1:7">
      <c r="A27" s="542">
        <v>24</v>
      </c>
      <c r="B27" s="533" t="s">
        <v>508</v>
      </c>
      <c r="C27" s="534">
        <v>45974</v>
      </c>
      <c r="D27" s="29" t="s">
        <v>61</v>
      </c>
      <c r="E27" s="535" t="s">
        <v>1136</v>
      </c>
      <c r="F27" s="535" t="s">
        <v>1137</v>
      </c>
      <c r="G27" s="84"/>
    </row>
    <row r="28" spans="1:7">
      <c r="A28" s="542">
        <v>25</v>
      </c>
      <c r="B28" s="533" t="s">
        <v>509</v>
      </c>
      <c r="C28" s="534">
        <v>45973</v>
      </c>
      <c r="D28" s="29" t="s">
        <v>42</v>
      </c>
      <c r="E28" s="535" t="s">
        <v>1138</v>
      </c>
      <c r="F28" s="535" t="s">
        <v>1139</v>
      </c>
      <c r="G28" s="84"/>
    </row>
    <row r="29" spans="1:7">
      <c r="A29" s="542">
        <v>26</v>
      </c>
      <c r="B29" s="533" t="s">
        <v>510</v>
      </c>
      <c r="C29" s="534">
        <v>45973</v>
      </c>
      <c r="D29" s="29" t="s">
        <v>42</v>
      </c>
      <c r="E29" s="535" t="s">
        <v>1140</v>
      </c>
      <c r="F29" s="535" t="s">
        <v>1141</v>
      </c>
      <c r="G29" s="1458" t="s">
        <v>1146</v>
      </c>
    </row>
    <row r="30" spans="1:7" ht="15.75" thickBot="1">
      <c r="A30" s="544">
        <v>27</v>
      </c>
      <c r="B30" s="545" t="s">
        <v>511</v>
      </c>
      <c r="C30" s="546">
        <v>45973</v>
      </c>
      <c r="D30" s="549" t="s">
        <v>42</v>
      </c>
      <c r="E30" s="547" t="s">
        <v>1142</v>
      </c>
      <c r="F30" s="547" t="s">
        <v>1143</v>
      </c>
      <c r="G30" s="1459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395" bestFit="1" customWidth="1"/>
    <col min="2" max="2" width="10.7109375" style="395" bestFit="1" customWidth="1"/>
    <col min="3" max="3" width="13" style="395" customWidth="1"/>
    <col min="4" max="4" width="24.7109375" style="410" bestFit="1" customWidth="1"/>
    <col min="5" max="5" width="20.7109375" style="410" bestFit="1" customWidth="1"/>
    <col min="6" max="6" width="6.85546875" style="395" bestFit="1" customWidth="1"/>
    <col min="7" max="8" width="6.7109375" style="395" bestFit="1" customWidth="1"/>
    <col min="9" max="9" width="4.5703125" style="395" bestFit="1" customWidth="1"/>
    <col min="10" max="10" width="9.140625" style="395" customWidth="1"/>
    <col min="11" max="11" width="15.85546875" style="395" customWidth="1"/>
    <col min="12" max="12" width="15.7109375" style="395" bestFit="1" customWidth="1"/>
    <col min="13" max="13" width="17.28515625" style="419" bestFit="1" customWidth="1"/>
    <col min="14" max="14" width="23.5703125" style="419" bestFit="1" customWidth="1"/>
    <col min="15" max="15" width="14.28515625" style="420" bestFit="1" customWidth="1"/>
    <col min="16" max="16" width="14" style="417" bestFit="1" customWidth="1"/>
    <col min="17" max="17" width="16.140625" style="417" bestFit="1" customWidth="1"/>
    <col min="18" max="18" width="12.85546875" style="417" bestFit="1" customWidth="1"/>
    <col min="19" max="19" width="31.42578125" style="395" customWidth="1"/>
    <col min="20" max="20" width="20.140625" style="395" customWidth="1"/>
    <col min="21" max="16384" width="10.140625" style="395"/>
  </cols>
  <sheetData>
    <row r="1" spans="1:20" ht="15.75">
      <c r="A1" s="1475" t="s">
        <v>963</v>
      </c>
      <c r="B1" s="1476"/>
      <c r="C1" s="1477" t="s">
        <v>985</v>
      </c>
      <c r="D1" s="1478"/>
      <c r="E1" s="1479"/>
      <c r="F1" s="1480"/>
      <c r="G1" s="1480"/>
      <c r="H1" s="1480"/>
      <c r="I1" s="1480"/>
      <c r="J1" s="1480"/>
      <c r="K1" s="1480"/>
      <c r="L1" s="1480"/>
      <c r="M1" s="1480"/>
      <c r="N1" s="1480"/>
      <c r="O1" s="1481"/>
      <c r="P1" s="1482"/>
      <c r="Q1" s="1483"/>
      <c r="R1" s="440"/>
      <c r="S1" s="1484"/>
      <c r="T1" s="1512"/>
    </row>
    <row r="2" spans="1:20" ht="15.75">
      <c r="A2" s="1486" t="s">
        <v>986</v>
      </c>
      <c r="B2" s="1487"/>
      <c r="C2" s="1488" t="s">
        <v>1003</v>
      </c>
      <c r="D2" s="1489"/>
      <c r="E2" s="1490"/>
      <c r="F2" s="1491"/>
      <c r="G2" s="1491"/>
      <c r="H2" s="1491"/>
      <c r="I2" s="1491"/>
      <c r="J2" s="1491"/>
      <c r="K2" s="1491"/>
      <c r="L2" s="1491"/>
      <c r="M2" s="1491"/>
      <c r="N2" s="1491"/>
      <c r="O2" s="1492"/>
      <c r="P2" s="1493"/>
      <c r="Q2" s="1494"/>
      <c r="R2" s="441"/>
      <c r="S2" s="1484"/>
      <c r="T2" s="1484"/>
    </row>
    <row r="3" spans="1:20" ht="19.5" customHeight="1" thickBot="1">
      <c r="A3" s="1495" t="s">
        <v>988</v>
      </c>
      <c r="B3" s="1496"/>
      <c r="C3" s="1497" t="s">
        <v>987</v>
      </c>
      <c r="D3" s="1498"/>
      <c r="E3" s="1499"/>
      <c r="F3" s="1500"/>
      <c r="G3" s="1500"/>
      <c r="H3" s="1500"/>
      <c r="I3" s="1500"/>
      <c r="J3" s="1500"/>
      <c r="K3" s="1500"/>
      <c r="L3" s="1500"/>
      <c r="M3" s="1500"/>
      <c r="N3" s="1500"/>
      <c r="O3" s="1501"/>
      <c r="P3" s="1502"/>
      <c r="Q3" s="1503"/>
      <c r="R3" s="442"/>
      <c r="S3" s="1485"/>
      <c r="T3" s="1485"/>
    </row>
    <row r="4" spans="1:20" ht="14.45" customHeight="1">
      <c r="A4" s="1504" t="s">
        <v>964</v>
      </c>
      <c r="B4" s="1506" t="s">
        <v>965</v>
      </c>
      <c r="C4" s="1506" t="s">
        <v>966</v>
      </c>
      <c r="D4" s="1506" t="s">
        <v>967</v>
      </c>
      <c r="E4" s="1508" t="s">
        <v>106</v>
      </c>
      <c r="F4" s="1472" t="s">
        <v>106</v>
      </c>
      <c r="G4" s="1473"/>
      <c r="H4" s="1473"/>
      <c r="I4" s="1474"/>
      <c r="J4" s="1510" t="s">
        <v>931</v>
      </c>
      <c r="K4" s="1510" t="s">
        <v>968</v>
      </c>
      <c r="L4" s="1510" t="s">
        <v>969</v>
      </c>
      <c r="M4" s="1510" t="s">
        <v>970</v>
      </c>
      <c r="N4" s="1510" t="s">
        <v>971</v>
      </c>
      <c r="O4" s="1510" t="s">
        <v>972</v>
      </c>
      <c r="P4" s="1510" t="s">
        <v>973</v>
      </c>
      <c r="Q4" s="1510" t="s">
        <v>971</v>
      </c>
      <c r="R4" s="1510" t="s">
        <v>974</v>
      </c>
      <c r="S4" s="1513" t="s">
        <v>975</v>
      </c>
      <c r="T4" s="1513" t="s">
        <v>2</v>
      </c>
    </row>
    <row r="5" spans="1:20" ht="15.75" thickBot="1">
      <c r="A5" s="1505"/>
      <c r="B5" s="1507"/>
      <c r="C5" s="1507"/>
      <c r="D5" s="1507"/>
      <c r="E5" s="1509"/>
      <c r="F5" s="438" t="s">
        <v>123</v>
      </c>
      <c r="G5" s="438" t="s">
        <v>124</v>
      </c>
      <c r="H5" s="438" t="s">
        <v>125</v>
      </c>
      <c r="I5" s="439" t="s">
        <v>976</v>
      </c>
      <c r="J5" s="1511"/>
      <c r="K5" s="1511"/>
      <c r="L5" s="1511"/>
      <c r="M5" s="1511"/>
      <c r="N5" s="1511"/>
      <c r="O5" s="1511"/>
      <c r="P5" s="1511"/>
      <c r="Q5" s="1511"/>
      <c r="R5" s="1511"/>
      <c r="S5" s="1514"/>
      <c r="T5" s="1514"/>
    </row>
    <row r="6" spans="1:20">
      <c r="A6" s="402">
        <v>1</v>
      </c>
      <c r="B6" s="56" t="s">
        <v>132</v>
      </c>
      <c r="C6" s="56" t="s">
        <v>133</v>
      </c>
      <c r="D6" s="56" t="s">
        <v>135</v>
      </c>
      <c r="E6" s="435"/>
      <c r="F6" s="402"/>
      <c r="G6" s="402"/>
      <c r="H6" s="402"/>
      <c r="I6" s="402"/>
      <c r="J6" s="70">
        <v>112.764</v>
      </c>
      <c r="K6" s="437"/>
      <c r="L6" s="402"/>
      <c r="M6" s="70" t="s">
        <v>951</v>
      </c>
      <c r="N6" s="401"/>
      <c r="O6" s="401"/>
      <c r="P6" s="401"/>
      <c r="Q6" s="401"/>
      <c r="R6" s="401"/>
      <c r="S6" s="70" t="s">
        <v>138</v>
      </c>
      <c r="T6" s="70" t="s">
        <v>554</v>
      </c>
    </row>
    <row r="7" spans="1:20">
      <c r="A7" s="396">
        <f t="shared" ref="A7:A10" si="0">A6+1</f>
        <v>2</v>
      </c>
      <c r="B7" s="69" t="s">
        <v>141</v>
      </c>
      <c r="C7" s="69" t="s">
        <v>133</v>
      </c>
      <c r="D7" s="69" t="s">
        <v>142</v>
      </c>
      <c r="E7" s="397"/>
      <c r="F7" s="396"/>
      <c r="G7" s="396"/>
      <c r="H7" s="396"/>
      <c r="I7" s="396"/>
      <c r="J7" s="70">
        <v>158.65899999999999</v>
      </c>
      <c r="K7" s="399"/>
      <c r="L7" s="396"/>
      <c r="M7" s="70" t="s">
        <v>951</v>
      </c>
      <c r="N7" s="400"/>
      <c r="O7" s="400"/>
      <c r="P7" s="400"/>
      <c r="Q7" s="400"/>
      <c r="R7" s="400"/>
      <c r="S7" s="70" t="s">
        <v>145</v>
      </c>
      <c r="T7" s="70" t="s">
        <v>554</v>
      </c>
    </row>
    <row r="8" spans="1:20">
      <c r="A8" s="396">
        <f t="shared" si="0"/>
        <v>3</v>
      </c>
      <c r="B8" s="69" t="s">
        <v>147</v>
      </c>
      <c r="C8" s="69" t="s">
        <v>133</v>
      </c>
      <c r="D8" s="69" t="s">
        <v>148</v>
      </c>
      <c r="E8" s="397"/>
      <c r="F8" s="396"/>
      <c r="G8" s="396"/>
      <c r="H8" s="396"/>
      <c r="I8" s="396"/>
      <c r="J8" s="29">
        <v>296</v>
      </c>
      <c r="K8" s="399"/>
      <c r="L8" s="396"/>
      <c r="M8" s="70" t="s">
        <v>951</v>
      </c>
      <c r="N8" s="400"/>
      <c r="O8" s="400"/>
      <c r="P8" s="400"/>
      <c r="Q8" s="400"/>
      <c r="R8" s="400"/>
      <c r="S8" s="70" t="s">
        <v>145</v>
      </c>
      <c r="T8" s="70" t="s">
        <v>554</v>
      </c>
    </row>
    <row r="9" spans="1:20">
      <c r="A9" s="396">
        <f t="shared" si="0"/>
        <v>4</v>
      </c>
      <c r="B9" s="69" t="s">
        <v>152</v>
      </c>
      <c r="C9" s="69" t="s">
        <v>153</v>
      </c>
      <c r="D9" s="69" t="s">
        <v>134</v>
      </c>
      <c r="E9" s="397"/>
      <c r="F9" s="396"/>
      <c r="G9" s="396"/>
      <c r="H9" s="396"/>
      <c r="I9" s="396"/>
      <c r="J9" s="70">
        <v>332</v>
      </c>
      <c r="K9" s="1518"/>
      <c r="L9" s="396"/>
      <c r="M9" s="70" t="s">
        <v>951</v>
      </c>
      <c r="N9" s="400"/>
      <c r="O9" s="400"/>
      <c r="P9" s="400"/>
      <c r="Q9" s="400"/>
      <c r="R9" s="400"/>
      <c r="S9" s="70" t="s">
        <v>145</v>
      </c>
      <c r="T9" s="70" t="s">
        <v>554</v>
      </c>
    </row>
    <row r="10" spans="1:20">
      <c r="A10" s="396">
        <f t="shared" si="0"/>
        <v>5</v>
      </c>
      <c r="B10" s="69" t="s">
        <v>156</v>
      </c>
      <c r="C10" s="69" t="s">
        <v>153</v>
      </c>
      <c r="D10" s="69" t="s">
        <v>134</v>
      </c>
      <c r="E10" s="397"/>
      <c r="F10" s="396"/>
      <c r="G10" s="396"/>
      <c r="H10" s="396"/>
      <c r="I10" s="396"/>
      <c r="J10" s="70">
        <v>277</v>
      </c>
      <c r="K10" s="1519"/>
      <c r="L10" s="396"/>
      <c r="M10" s="70" t="s">
        <v>951</v>
      </c>
      <c r="N10" s="400"/>
      <c r="O10" s="400"/>
      <c r="P10" s="400"/>
      <c r="Q10" s="400"/>
      <c r="R10" s="400"/>
      <c r="S10" s="70" t="s">
        <v>145</v>
      </c>
      <c r="T10" s="70" t="s">
        <v>554</v>
      </c>
    </row>
    <row r="11" spans="1:20">
      <c r="A11" s="396">
        <f t="shared" ref="A11:A74" si="1">A10+1</f>
        <v>6</v>
      </c>
      <c r="B11" s="69" t="s">
        <v>160</v>
      </c>
      <c r="C11" s="69" t="s">
        <v>153</v>
      </c>
      <c r="D11" s="69" t="s">
        <v>134</v>
      </c>
      <c r="E11" s="397"/>
      <c r="F11" s="396"/>
      <c r="G11" s="396"/>
      <c r="H11" s="396"/>
      <c r="I11" s="396"/>
      <c r="J11" s="70">
        <v>340.68400000000003</v>
      </c>
      <c r="K11" s="399"/>
      <c r="L11" s="396"/>
      <c r="M11" s="70" t="s">
        <v>951</v>
      </c>
      <c r="N11" s="400"/>
      <c r="O11" s="400"/>
      <c r="P11" s="400"/>
      <c r="Q11" s="400"/>
      <c r="R11" s="400"/>
      <c r="S11" s="70" t="s">
        <v>163</v>
      </c>
      <c r="T11" s="70" t="s">
        <v>554</v>
      </c>
    </row>
    <row r="12" spans="1:20" ht="16.5" customHeight="1">
      <c r="A12" s="396">
        <f t="shared" si="1"/>
        <v>7</v>
      </c>
      <c r="B12" s="69" t="s">
        <v>166</v>
      </c>
      <c r="C12" s="69" t="s">
        <v>167</v>
      </c>
      <c r="D12" s="69" t="s">
        <v>168</v>
      </c>
      <c r="E12" s="397"/>
      <c r="F12" s="396"/>
      <c r="G12" s="396"/>
      <c r="H12" s="396"/>
      <c r="I12" s="396"/>
      <c r="J12" s="70">
        <v>229.84100000000001</v>
      </c>
      <c r="K12" s="1518" t="s">
        <v>1025</v>
      </c>
      <c r="L12" s="396"/>
      <c r="M12" s="70" t="s">
        <v>951</v>
      </c>
      <c r="N12" s="400"/>
      <c r="O12" s="400"/>
      <c r="P12" s="400"/>
      <c r="Q12" s="400"/>
      <c r="R12" s="400"/>
      <c r="S12" s="70" t="s">
        <v>163</v>
      </c>
      <c r="T12" s="70" t="s">
        <v>554</v>
      </c>
    </row>
    <row r="13" spans="1:20">
      <c r="A13" s="396">
        <f t="shared" si="1"/>
        <v>8</v>
      </c>
      <c r="B13" s="69" t="s">
        <v>174</v>
      </c>
      <c r="C13" s="69" t="s">
        <v>133</v>
      </c>
      <c r="D13" s="69" t="s">
        <v>175</v>
      </c>
      <c r="E13" s="397"/>
      <c r="F13" s="396"/>
      <c r="G13" s="396"/>
      <c r="H13" s="396"/>
      <c r="I13" s="396"/>
      <c r="J13" s="70">
        <v>276.92500000000001</v>
      </c>
      <c r="K13" s="1519"/>
      <c r="L13" s="396"/>
      <c r="M13" s="70" t="s">
        <v>951</v>
      </c>
      <c r="N13" s="400"/>
      <c r="O13" s="400"/>
      <c r="P13" s="400"/>
      <c r="Q13" s="400"/>
      <c r="R13" s="400"/>
      <c r="S13" s="70" t="s">
        <v>178</v>
      </c>
      <c r="T13" s="70" t="s">
        <v>554</v>
      </c>
    </row>
    <row r="14" spans="1:20">
      <c r="A14" s="396">
        <f t="shared" si="1"/>
        <v>9</v>
      </c>
      <c r="B14" s="69" t="s">
        <v>181</v>
      </c>
      <c r="C14" s="69" t="s">
        <v>133</v>
      </c>
      <c r="D14" s="69" t="s">
        <v>182</v>
      </c>
      <c r="E14" s="397"/>
      <c r="F14" s="396"/>
      <c r="G14" s="396"/>
      <c r="H14" s="396"/>
      <c r="I14" s="396"/>
      <c r="J14" s="70">
        <v>357</v>
      </c>
      <c r="K14" s="399"/>
      <c r="L14" s="396"/>
      <c r="M14" s="70" t="s">
        <v>951</v>
      </c>
      <c r="N14" s="400"/>
      <c r="O14" s="400"/>
      <c r="P14" s="400"/>
      <c r="Q14" s="400"/>
      <c r="R14" s="400"/>
      <c r="S14" s="70" t="s">
        <v>178</v>
      </c>
      <c r="T14" s="70" t="s">
        <v>554</v>
      </c>
    </row>
    <row r="15" spans="1:20">
      <c r="A15" s="396">
        <f t="shared" si="1"/>
        <v>10</v>
      </c>
      <c r="B15" s="69" t="s">
        <v>186</v>
      </c>
      <c r="C15" s="603" t="s">
        <v>187</v>
      </c>
      <c r="D15" s="69" t="s">
        <v>134</v>
      </c>
      <c r="E15" s="397"/>
      <c r="F15" s="396"/>
      <c r="G15" s="396"/>
      <c r="H15" s="396"/>
      <c r="I15" s="396"/>
      <c r="J15" s="70">
        <v>243.767</v>
      </c>
      <c r="K15" s="399"/>
      <c r="L15" s="396"/>
      <c r="M15" s="70" t="s">
        <v>951</v>
      </c>
      <c r="N15" s="400"/>
      <c r="O15" s="400"/>
      <c r="P15" s="400"/>
      <c r="Q15" s="400"/>
      <c r="R15" s="400"/>
      <c r="S15" s="70" t="s">
        <v>190</v>
      </c>
      <c r="T15" s="70" t="s">
        <v>554</v>
      </c>
    </row>
    <row r="16" spans="1:20" ht="16.5" customHeight="1">
      <c r="A16" s="396">
        <f t="shared" si="1"/>
        <v>11</v>
      </c>
      <c r="B16" s="69" t="s">
        <v>64</v>
      </c>
      <c r="C16" s="603" t="s">
        <v>193</v>
      </c>
      <c r="D16" s="69" t="s">
        <v>194</v>
      </c>
      <c r="E16" s="397"/>
      <c r="F16" s="396"/>
      <c r="G16" s="396"/>
      <c r="H16" s="396"/>
      <c r="I16" s="396"/>
      <c r="J16" s="70">
        <v>338</v>
      </c>
      <c r="K16" s="426"/>
      <c r="L16" s="396"/>
      <c r="M16" s="70" t="s">
        <v>951</v>
      </c>
      <c r="N16" s="400"/>
      <c r="O16" s="400"/>
      <c r="P16" s="400"/>
      <c r="Q16" s="400"/>
      <c r="R16" s="400"/>
      <c r="S16" s="70" t="s">
        <v>190</v>
      </c>
      <c r="T16" s="70" t="s">
        <v>554</v>
      </c>
    </row>
    <row r="17" spans="1:167" s="403" customFormat="1">
      <c r="A17" s="396">
        <f t="shared" si="1"/>
        <v>12</v>
      </c>
      <c r="B17" s="69" t="s">
        <v>198</v>
      </c>
      <c r="C17" s="69" t="s">
        <v>153</v>
      </c>
      <c r="D17" s="69" t="s">
        <v>134</v>
      </c>
      <c r="E17" s="400"/>
      <c r="F17" s="402"/>
      <c r="G17" s="402"/>
      <c r="H17" s="402"/>
      <c r="I17" s="402"/>
      <c r="J17" s="70">
        <v>309</v>
      </c>
      <c r="K17" s="1518"/>
      <c r="L17" s="396"/>
      <c r="M17" s="70" t="s">
        <v>978</v>
      </c>
      <c r="N17" s="400" t="s">
        <v>41</v>
      </c>
      <c r="O17" s="400" t="s">
        <v>978</v>
      </c>
      <c r="P17" s="400"/>
      <c r="Q17" s="400"/>
      <c r="R17" s="400"/>
      <c r="S17" s="70" t="s">
        <v>201</v>
      </c>
      <c r="T17" s="70" t="s">
        <v>554</v>
      </c>
      <c r="U17" s="395"/>
      <c r="V17" s="395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5"/>
      <c r="AH17" s="395"/>
      <c r="AI17" s="395"/>
      <c r="AJ17" s="395"/>
      <c r="AK17" s="395"/>
      <c r="AL17" s="395"/>
      <c r="AM17" s="395"/>
      <c r="AN17" s="395"/>
      <c r="AO17" s="395"/>
      <c r="AP17" s="395"/>
      <c r="AQ17" s="395"/>
      <c r="AR17" s="395"/>
      <c r="AS17" s="395"/>
      <c r="AT17" s="395"/>
      <c r="AU17" s="395"/>
      <c r="AV17" s="395"/>
      <c r="AW17" s="395"/>
      <c r="AX17" s="395"/>
      <c r="AY17" s="395"/>
      <c r="AZ17" s="395"/>
      <c r="BA17" s="395"/>
      <c r="BB17" s="395"/>
      <c r="BC17" s="395"/>
      <c r="BD17" s="395"/>
      <c r="BE17" s="395"/>
      <c r="BF17" s="395"/>
      <c r="BG17" s="395"/>
      <c r="BH17" s="395"/>
      <c r="BI17" s="395"/>
      <c r="BJ17" s="395"/>
      <c r="BK17" s="395"/>
      <c r="BL17" s="395"/>
      <c r="BM17" s="395"/>
      <c r="BN17" s="395"/>
      <c r="BO17" s="395"/>
      <c r="BP17" s="395"/>
      <c r="BQ17" s="395"/>
      <c r="BR17" s="395"/>
      <c r="BS17" s="395"/>
      <c r="BT17" s="395"/>
      <c r="BU17" s="395"/>
      <c r="BV17" s="395"/>
      <c r="BW17" s="395"/>
      <c r="BX17" s="395"/>
      <c r="BY17" s="395"/>
      <c r="BZ17" s="395"/>
      <c r="CA17" s="395"/>
      <c r="CB17" s="395"/>
      <c r="CC17" s="395"/>
      <c r="CD17" s="395"/>
      <c r="CE17" s="395"/>
      <c r="CF17" s="395"/>
      <c r="CG17" s="395"/>
      <c r="CH17" s="395"/>
      <c r="CI17" s="395"/>
      <c r="CJ17" s="395"/>
      <c r="CK17" s="395"/>
      <c r="CL17" s="395"/>
      <c r="CM17" s="395"/>
      <c r="CN17" s="395"/>
      <c r="CO17" s="395"/>
      <c r="CP17" s="395"/>
      <c r="CQ17" s="395"/>
      <c r="CR17" s="395"/>
      <c r="CS17" s="395"/>
      <c r="CT17" s="395"/>
      <c r="CU17" s="395"/>
      <c r="CV17" s="395"/>
      <c r="CW17" s="395"/>
      <c r="CX17" s="395"/>
      <c r="CY17" s="395"/>
      <c r="CZ17" s="395"/>
      <c r="DA17" s="395"/>
      <c r="DB17" s="395"/>
      <c r="DC17" s="395"/>
      <c r="DD17" s="395"/>
      <c r="DE17" s="395"/>
      <c r="DF17" s="395"/>
      <c r="DG17" s="395"/>
      <c r="DH17" s="395"/>
      <c r="DI17" s="395"/>
      <c r="DJ17" s="395"/>
      <c r="DK17" s="395"/>
      <c r="DL17" s="395"/>
      <c r="DM17" s="395"/>
      <c r="DN17" s="395"/>
      <c r="DO17" s="395"/>
      <c r="DP17" s="395"/>
      <c r="DQ17" s="395"/>
      <c r="DR17" s="395"/>
      <c r="DS17" s="395"/>
      <c r="DT17" s="395"/>
      <c r="DU17" s="395"/>
      <c r="DV17" s="395"/>
      <c r="DW17" s="395"/>
      <c r="DX17" s="395"/>
      <c r="DY17" s="395"/>
      <c r="DZ17" s="395"/>
      <c r="EA17" s="395"/>
      <c r="EB17" s="395"/>
      <c r="EC17" s="395"/>
      <c r="ED17" s="395"/>
      <c r="EE17" s="395"/>
      <c r="EF17" s="395"/>
      <c r="EG17" s="395"/>
      <c r="EH17" s="395"/>
      <c r="EI17" s="395"/>
      <c r="EJ17" s="395"/>
      <c r="EK17" s="395"/>
      <c r="EL17" s="395"/>
      <c r="EM17" s="395"/>
      <c r="EN17" s="395"/>
      <c r="EO17" s="395"/>
      <c r="EP17" s="395"/>
      <c r="EQ17" s="395"/>
      <c r="ER17" s="395"/>
      <c r="ES17" s="395"/>
      <c r="ET17" s="395"/>
      <c r="EU17" s="395"/>
      <c r="EV17" s="395"/>
      <c r="EW17" s="395"/>
      <c r="EX17" s="395"/>
      <c r="EY17" s="395"/>
      <c r="EZ17" s="395"/>
      <c r="FA17" s="395"/>
      <c r="FB17" s="395"/>
      <c r="FC17" s="395"/>
      <c r="FD17" s="395"/>
      <c r="FE17" s="395"/>
      <c r="FF17" s="395"/>
      <c r="FG17" s="395"/>
      <c r="FH17" s="395"/>
      <c r="FI17" s="395"/>
      <c r="FJ17" s="395"/>
      <c r="FK17" s="395"/>
    </row>
    <row r="18" spans="1:167" s="403" customFormat="1">
      <c r="A18" s="396">
        <f t="shared" si="1"/>
        <v>13</v>
      </c>
      <c r="B18" s="69" t="s">
        <v>203</v>
      </c>
      <c r="C18" s="69" t="s">
        <v>153</v>
      </c>
      <c r="D18" s="69" t="s">
        <v>134</v>
      </c>
      <c r="E18" s="400"/>
      <c r="F18" s="402"/>
      <c r="G18" s="402"/>
      <c r="H18" s="402"/>
      <c r="I18" s="402"/>
      <c r="J18" s="70">
        <v>381.53399999999999</v>
      </c>
      <c r="K18" s="1519"/>
      <c r="L18" s="396"/>
      <c r="M18" s="70" t="s">
        <v>978</v>
      </c>
      <c r="N18" s="400" t="s">
        <v>2039</v>
      </c>
      <c r="O18" s="400"/>
      <c r="P18" s="400"/>
      <c r="Q18" s="400"/>
      <c r="R18" s="400"/>
      <c r="S18" s="70" t="s">
        <v>201</v>
      </c>
      <c r="T18" s="70" t="s">
        <v>554</v>
      </c>
      <c r="U18" s="395"/>
      <c r="V18" s="395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5"/>
      <c r="AH18" s="395"/>
      <c r="AI18" s="395"/>
      <c r="AJ18" s="395"/>
      <c r="AK18" s="395"/>
      <c r="AL18" s="395"/>
      <c r="AM18" s="395"/>
      <c r="AN18" s="395"/>
      <c r="AO18" s="395"/>
      <c r="AP18" s="395"/>
      <c r="AQ18" s="395"/>
      <c r="AR18" s="395"/>
      <c r="AS18" s="395"/>
      <c r="AT18" s="395"/>
      <c r="AU18" s="395"/>
      <c r="AV18" s="395"/>
      <c r="AW18" s="395"/>
      <c r="AX18" s="395"/>
      <c r="AY18" s="395"/>
      <c r="AZ18" s="395"/>
      <c r="BA18" s="395"/>
      <c r="BB18" s="395"/>
      <c r="BC18" s="395"/>
      <c r="BD18" s="395"/>
      <c r="BE18" s="395"/>
      <c r="BF18" s="395"/>
      <c r="BG18" s="395"/>
      <c r="BH18" s="395"/>
      <c r="BI18" s="395"/>
      <c r="BJ18" s="395"/>
      <c r="BK18" s="395"/>
      <c r="BL18" s="395"/>
      <c r="BM18" s="395"/>
      <c r="BN18" s="395"/>
      <c r="BO18" s="395"/>
      <c r="BP18" s="395"/>
      <c r="BQ18" s="395"/>
      <c r="BR18" s="395"/>
      <c r="BS18" s="395"/>
      <c r="BT18" s="395"/>
      <c r="BU18" s="395"/>
      <c r="BV18" s="395"/>
      <c r="BW18" s="395"/>
      <c r="BX18" s="395"/>
      <c r="BY18" s="395"/>
      <c r="BZ18" s="395"/>
      <c r="CA18" s="395"/>
      <c r="CB18" s="395"/>
      <c r="CC18" s="395"/>
      <c r="CD18" s="395"/>
      <c r="CE18" s="395"/>
      <c r="CF18" s="395"/>
      <c r="CG18" s="395"/>
      <c r="CH18" s="395"/>
      <c r="CI18" s="395"/>
      <c r="CJ18" s="395"/>
      <c r="CK18" s="395"/>
      <c r="CL18" s="395"/>
      <c r="CM18" s="395"/>
      <c r="CN18" s="395"/>
      <c r="CO18" s="395"/>
      <c r="CP18" s="395"/>
      <c r="CQ18" s="395"/>
      <c r="CR18" s="395"/>
      <c r="CS18" s="395"/>
      <c r="CT18" s="395"/>
      <c r="CU18" s="395"/>
      <c r="CV18" s="395"/>
      <c r="CW18" s="395"/>
      <c r="CX18" s="395"/>
      <c r="CY18" s="395"/>
      <c r="CZ18" s="395"/>
      <c r="DA18" s="395"/>
      <c r="DB18" s="395"/>
      <c r="DC18" s="395"/>
      <c r="DD18" s="395"/>
      <c r="DE18" s="395"/>
      <c r="DF18" s="395"/>
      <c r="DG18" s="395"/>
      <c r="DH18" s="395"/>
      <c r="DI18" s="395"/>
      <c r="DJ18" s="395"/>
      <c r="DK18" s="395"/>
      <c r="DL18" s="395"/>
      <c r="DM18" s="395"/>
      <c r="DN18" s="395"/>
      <c r="DO18" s="395"/>
      <c r="DP18" s="395"/>
      <c r="DQ18" s="395"/>
      <c r="DR18" s="395"/>
      <c r="DS18" s="395"/>
      <c r="DT18" s="395"/>
      <c r="DU18" s="395"/>
      <c r="DV18" s="395"/>
      <c r="DW18" s="395"/>
      <c r="DX18" s="395"/>
      <c r="DY18" s="395"/>
      <c r="DZ18" s="395"/>
      <c r="EA18" s="395"/>
      <c r="EB18" s="395"/>
      <c r="EC18" s="395"/>
      <c r="ED18" s="395"/>
      <c r="EE18" s="395"/>
      <c r="EF18" s="395"/>
      <c r="EG18" s="395"/>
      <c r="EH18" s="395"/>
      <c r="EI18" s="395"/>
      <c r="EJ18" s="395"/>
      <c r="EK18" s="395"/>
      <c r="EL18" s="395"/>
      <c r="EM18" s="395"/>
      <c r="EN18" s="395"/>
      <c r="EO18" s="395"/>
      <c r="EP18" s="395"/>
      <c r="EQ18" s="395"/>
      <c r="ER18" s="395"/>
      <c r="ES18" s="395"/>
      <c r="ET18" s="395"/>
      <c r="EU18" s="395"/>
      <c r="EV18" s="395"/>
      <c r="EW18" s="395"/>
      <c r="EX18" s="395"/>
      <c r="EY18" s="395"/>
      <c r="EZ18" s="395"/>
      <c r="FA18" s="395"/>
      <c r="FB18" s="395"/>
      <c r="FC18" s="395"/>
      <c r="FD18" s="395"/>
      <c r="FE18" s="395"/>
      <c r="FF18" s="395"/>
      <c r="FG18" s="395"/>
      <c r="FH18" s="395"/>
      <c r="FI18" s="395"/>
      <c r="FJ18" s="395"/>
      <c r="FK18" s="395"/>
    </row>
    <row r="19" spans="1:167">
      <c r="A19" s="396">
        <f t="shared" si="1"/>
        <v>14</v>
      </c>
      <c r="B19" s="503" t="s">
        <v>65</v>
      </c>
      <c r="C19" s="503" t="s">
        <v>193</v>
      </c>
      <c r="D19" s="69" t="s">
        <v>208</v>
      </c>
      <c r="E19" s="397"/>
      <c r="F19" s="396"/>
      <c r="G19" s="396"/>
      <c r="H19" s="396"/>
      <c r="I19" s="396"/>
      <c r="J19" s="70">
        <v>331.87</v>
      </c>
      <c r="K19" s="1518"/>
      <c r="L19" s="396"/>
      <c r="M19" s="70" t="s">
        <v>29</v>
      </c>
      <c r="N19" s="400" t="s">
        <v>2039</v>
      </c>
      <c r="O19" s="400"/>
      <c r="P19" s="400"/>
      <c r="Q19" s="400"/>
      <c r="R19" s="400"/>
      <c r="S19" s="70" t="s">
        <v>201</v>
      </c>
      <c r="T19" s="70" t="s">
        <v>554</v>
      </c>
    </row>
    <row r="20" spans="1:167">
      <c r="A20" s="396">
        <f t="shared" si="1"/>
        <v>15</v>
      </c>
      <c r="B20" s="503" t="s">
        <v>213</v>
      </c>
      <c r="C20" s="503" t="s">
        <v>167</v>
      </c>
      <c r="D20" s="69" t="s">
        <v>214</v>
      </c>
      <c r="E20" s="397"/>
      <c r="F20" s="396"/>
      <c r="G20" s="396"/>
      <c r="H20" s="396"/>
      <c r="I20" s="396"/>
      <c r="J20" s="70">
        <v>341.21199999999999</v>
      </c>
      <c r="K20" s="1519"/>
      <c r="L20" s="396"/>
      <c r="M20" s="400" t="s">
        <v>29</v>
      </c>
      <c r="N20" s="400" t="s">
        <v>1883</v>
      </c>
      <c r="O20" s="400" t="s">
        <v>29</v>
      </c>
      <c r="P20" s="400"/>
      <c r="Q20" s="400"/>
      <c r="R20" s="400"/>
      <c r="S20" s="70" t="s">
        <v>201</v>
      </c>
      <c r="T20" s="70" t="s">
        <v>554</v>
      </c>
    </row>
    <row r="21" spans="1:167">
      <c r="A21" s="396">
        <f t="shared" si="1"/>
        <v>16</v>
      </c>
      <c r="B21" s="503" t="s">
        <v>66</v>
      </c>
      <c r="C21" s="503" t="s">
        <v>193</v>
      </c>
      <c r="D21" s="69" t="s">
        <v>219</v>
      </c>
      <c r="E21" s="397"/>
      <c r="F21" s="396"/>
      <c r="G21" s="396"/>
      <c r="H21" s="396"/>
      <c r="I21" s="396"/>
      <c r="J21" s="70">
        <v>243.495</v>
      </c>
      <c r="K21" s="742"/>
      <c r="L21" s="396"/>
      <c r="M21" s="400" t="s">
        <v>29</v>
      </c>
      <c r="N21" s="400" t="s">
        <v>1883</v>
      </c>
      <c r="O21" s="400" t="s">
        <v>29</v>
      </c>
      <c r="P21" s="400"/>
      <c r="Q21" s="400"/>
      <c r="R21" s="400"/>
      <c r="S21" s="70" t="s">
        <v>201</v>
      </c>
      <c r="T21" s="70" t="s">
        <v>554</v>
      </c>
    </row>
    <row r="22" spans="1:167">
      <c r="A22" s="396">
        <f t="shared" si="1"/>
        <v>17</v>
      </c>
      <c r="B22" s="503" t="s">
        <v>224</v>
      </c>
      <c r="C22" s="503" t="s">
        <v>133</v>
      </c>
      <c r="D22" s="69" t="s">
        <v>225</v>
      </c>
      <c r="E22" s="397"/>
      <c r="F22" s="396"/>
      <c r="G22" s="396"/>
      <c r="H22" s="396"/>
      <c r="I22" s="396"/>
      <c r="J22" s="70">
        <v>316</v>
      </c>
      <c r="K22" s="742"/>
      <c r="L22" s="396"/>
      <c r="M22" s="400" t="s">
        <v>29</v>
      </c>
      <c r="N22" s="400" t="s">
        <v>1883</v>
      </c>
      <c r="O22" s="400" t="s">
        <v>29</v>
      </c>
      <c r="P22" s="400"/>
      <c r="Q22" s="400"/>
      <c r="R22" s="400"/>
      <c r="S22" s="70" t="s">
        <v>228</v>
      </c>
      <c r="T22" s="70" t="s">
        <v>554</v>
      </c>
    </row>
    <row r="23" spans="1:167">
      <c r="A23" s="396">
        <f t="shared" si="1"/>
        <v>18</v>
      </c>
      <c r="B23" s="603" t="s">
        <v>230</v>
      </c>
      <c r="C23" s="503" t="s">
        <v>153</v>
      </c>
      <c r="D23" s="69" t="s">
        <v>134</v>
      </c>
      <c r="E23" s="397"/>
      <c r="F23" s="396"/>
      <c r="G23" s="396"/>
      <c r="H23" s="396"/>
      <c r="I23" s="396"/>
      <c r="J23" s="70">
        <v>325</v>
      </c>
      <c r="K23" s="399"/>
      <c r="L23" s="396"/>
      <c r="M23" s="400" t="s">
        <v>29</v>
      </c>
      <c r="N23" s="400" t="s">
        <v>41</v>
      </c>
      <c r="O23" s="400" t="s">
        <v>29</v>
      </c>
      <c r="P23" s="400"/>
      <c r="Q23" s="400"/>
      <c r="R23" s="400"/>
      <c r="S23" s="70" t="s">
        <v>228</v>
      </c>
      <c r="T23" s="70" t="s">
        <v>554</v>
      </c>
    </row>
    <row r="24" spans="1:167">
      <c r="A24" s="396">
        <f t="shared" si="1"/>
        <v>19</v>
      </c>
      <c r="B24" s="503" t="s">
        <v>234</v>
      </c>
      <c r="C24" s="503" t="s">
        <v>153</v>
      </c>
      <c r="D24" s="69" t="s">
        <v>134</v>
      </c>
      <c r="E24" s="397"/>
      <c r="F24" s="396"/>
      <c r="G24" s="396"/>
      <c r="H24" s="396"/>
      <c r="I24" s="396"/>
      <c r="J24" s="70">
        <v>269</v>
      </c>
      <c r="K24" s="399"/>
      <c r="L24" s="396"/>
      <c r="M24" s="400" t="s">
        <v>29</v>
      </c>
      <c r="N24" s="400" t="s">
        <v>1637</v>
      </c>
      <c r="O24" s="400"/>
      <c r="P24" s="400"/>
      <c r="Q24" s="400"/>
      <c r="R24" s="400"/>
      <c r="S24" s="70" t="s">
        <v>237</v>
      </c>
      <c r="T24" s="70" t="s">
        <v>554</v>
      </c>
    </row>
    <row r="25" spans="1:167">
      <c r="A25" s="396">
        <f t="shared" si="1"/>
        <v>20</v>
      </c>
      <c r="B25" s="503" t="s">
        <v>239</v>
      </c>
      <c r="C25" s="503" t="s">
        <v>153</v>
      </c>
      <c r="D25" s="69" t="s">
        <v>134</v>
      </c>
      <c r="E25" s="397"/>
      <c r="F25" s="396"/>
      <c r="G25" s="396"/>
      <c r="H25" s="396"/>
      <c r="I25" s="396"/>
      <c r="J25" s="70">
        <v>281.82799999999997</v>
      </c>
      <c r="K25" s="399"/>
      <c r="L25" s="396"/>
      <c r="M25" s="400" t="s">
        <v>29</v>
      </c>
      <c r="N25" s="400" t="s">
        <v>41</v>
      </c>
      <c r="O25" s="400"/>
      <c r="P25" s="400"/>
      <c r="Q25" s="400"/>
      <c r="R25" s="400"/>
      <c r="S25" s="70" t="s">
        <v>237</v>
      </c>
      <c r="T25" s="70" t="s">
        <v>554</v>
      </c>
    </row>
    <row r="26" spans="1:167">
      <c r="A26" s="396">
        <f t="shared" si="1"/>
        <v>21</v>
      </c>
      <c r="B26" s="503" t="s">
        <v>67</v>
      </c>
      <c r="C26" s="503" t="s">
        <v>245</v>
      </c>
      <c r="D26" s="69" t="s">
        <v>246</v>
      </c>
      <c r="E26" s="397"/>
      <c r="F26" s="396"/>
      <c r="G26" s="396"/>
      <c r="H26" s="396"/>
      <c r="I26" s="396"/>
      <c r="J26" s="70">
        <v>423</v>
      </c>
      <c r="K26" s="399"/>
      <c r="L26" s="396" t="s">
        <v>977</v>
      </c>
      <c r="M26" s="396" t="s">
        <v>977</v>
      </c>
      <c r="N26" s="400"/>
      <c r="O26" s="400"/>
      <c r="P26" s="400"/>
      <c r="Q26" s="400"/>
      <c r="R26" s="400"/>
      <c r="S26" s="70" t="s">
        <v>237</v>
      </c>
      <c r="T26" s="70" t="s">
        <v>554</v>
      </c>
    </row>
    <row r="27" spans="1:167">
      <c r="A27" s="396">
        <f t="shared" si="1"/>
        <v>22</v>
      </c>
      <c r="B27" s="503" t="s">
        <v>250</v>
      </c>
      <c r="C27" s="503" t="s">
        <v>251</v>
      </c>
      <c r="D27" s="69" t="s">
        <v>134</v>
      </c>
      <c r="E27" s="397"/>
      <c r="F27" s="396"/>
      <c r="G27" s="396"/>
      <c r="H27" s="396"/>
      <c r="I27" s="396"/>
      <c r="J27" s="70">
        <v>376.09500000000003</v>
      </c>
      <c r="K27" s="399"/>
      <c r="L27" s="396"/>
      <c r="M27" s="400" t="s">
        <v>29</v>
      </c>
      <c r="N27" s="400" t="s">
        <v>41</v>
      </c>
      <c r="O27" s="400"/>
      <c r="P27" s="400"/>
      <c r="Q27" s="400"/>
      <c r="R27" s="400"/>
      <c r="S27" s="70" t="s">
        <v>254</v>
      </c>
      <c r="T27" s="70" t="s">
        <v>554</v>
      </c>
    </row>
    <row r="28" spans="1:167">
      <c r="A28" s="396">
        <f t="shared" si="1"/>
        <v>23</v>
      </c>
      <c r="B28" s="503" t="s">
        <v>68</v>
      </c>
      <c r="C28" s="503" t="s">
        <v>257</v>
      </c>
      <c r="D28" s="69" t="s">
        <v>258</v>
      </c>
      <c r="E28" s="397"/>
      <c r="F28" s="396"/>
      <c r="G28" s="396"/>
      <c r="H28" s="396"/>
      <c r="I28" s="396"/>
      <c r="J28" s="70">
        <v>439.07600000000002</v>
      </c>
      <c r="K28" s="399"/>
      <c r="L28" s="396" t="s">
        <v>977</v>
      </c>
      <c r="M28" s="396" t="s">
        <v>977</v>
      </c>
      <c r="N28" s="400"/>
      <c r="O28" s="400"/>
      <c r="P28" s="400"/>
      <c r="Q28" s="400"/>
      <c r="R28" s="400"/>
      <c r="S28" s="70" t="s">
        <v>261</v>
      </c>
      <c r="T28" s="70" t="s">
        <v>554</v>
      </c>
    </row>
    <row r="29" spans="1:167">
      <c r="A29" s="396">
        <f t="shared" si="1"/>
        <v>24</v>
      </c>
      <c r="B29" s="503" t="s">
        <v>56</v>
      </c>
      <c r="C29" s="503" t="s">
        <v>264</v>
      </c>
      <c r="D29" s="69" t="s">
        <v>265</v>
      </c>
      <c r="E29" s="397"/>
      <c r="F29" s="396"/>
      <c r="G29" s="396"/>
      <c r="H29" s="396"/>
      <c r="I29" s="396"/>
      <c r="J29" s="70">
        <v>317.98899999999998</v>
      </c>
      <c r="K29" s="399"/>
      <c r="L29" s="396" t="s">
        <v>977</v>
      </c>
      <c r="M29" s="396" t="s">
        <v>977</v>
      </c>
      <c r="N29" s="400"/>
      <c r="O29" s="400"/>
      <c r="P29" s="400"/>
      <c r="Q29" s="400"/>
      <c r="R29" s="400"/>
      <c r="S29" s="70" t="s">
        <v>268</v>
      </c>
      <c r="T29" s="70" t="s">
        <v>554</v>
      </c>
    </row>
    <row r="30" spans="1:167">
      <c r="A30" s="396">
        <f t="shared" si="1"/>
        <v>25</v>
      </c>
      <c r="B30" s="503" t="s">
        <v>60</v>
      </c>
      <c r="C30" s="503" t="s">
        <v>167</v>
      </c>
      <c r="D30" s="69" t="s">
        <v>271</v>
      </c>
      <c r="E30" s="397"/>
      <c r="F30" s="396"/>
      <c r="G30" s="396"/>
      <c r="H30" s="396"/>
      <c r="I30" s="396"/>
      <c r="J30" s="70">
        <v>350</v>
      </c>
      <c r="K30" s="399"/>
      <c r="L30" s="396" t="s">
        <v>977</v>
      </c>
      <c r="M30" s="396" t="s">
        <v>977</v>
      </c>
      <c r="N30" s="400"/>
      <c r="O30" s="400"/>
      <c r="P30" s="400"/>
      <c r="Q30" s="400"/>
      <c r="R30" s="400"/>
      <c r="S30" s="70" t="s">
        <v>254</v>
      </c>
      <c r="T30" s="70" t="s">
        <v>554</v>
      </c>
    </row>
    <row r="31" spans="1:167">
      <c r="A31" s="396">
        <f t="shared" si="1"/>
        <v>26</v>
      </c>
      <c r="B31" s="503" t="s">
        <v>275</v>
      </c>
      <c r="C31" s="503" t="s">
        <v>187</v>
      </c>
      <c r="D31" s="69" t="s">
        <v>134</v>
      </c>
      <c r="E31" s="397"/>
      <c r="F31" s="396"/>
      <c r="G31" s="396"/>
      <c r="H31" s="396"/>
      <c r="I31" s="396"/>
      <c r="J31" s="70">
        <v>434.14100000000002</v>
      </c>
      <c r="K31" s="399"/>
      <c r="L31" s="396" t="s">
        <v>977</v>
      </c>
      <c r="M31" s="396" t="s">
        <v>977</v>
      </c>
      <c r="N31" s="400"/>
      <c r="O31" s="400"/>
      <c r="P31" s="400"/>
      <c r="Q31" s="400"/>
      <c r="R31" s="400"/>
      <c r="S31" s="70" t="s">
        <v>278</v>
      </c>
      <c r="T31" s="70" t="s">
        <v>554</v>
      </c>
    </row>
    <row r="32" spans="1:167" ht="15.75" customHeight="1">
      <c r="A32" s="396">
        <f t="shared" si="1"/>
        <v>27</v>
      </c>
      <c r="B32" s="503" t="s">
        <v>55</v>
      </c>
      <c r="C32" s="503" t="s">
        <v>281</v>
      </c>
      <c r="D32" s="69" t="s">
        <v>282</v>
      </c>
      <c r="E32" s="397"/>
      <c r="F32" s="396"/>
      <c r="G32" s="396"/>
      <c r="H32" s="396"/>
      <c r="I32" s="396"/>
      <c r="J32" s="70">
        <v>271.00299999999999</v>
      </c>
      <c r="K32" s="1516" t="s">
        <v>1000</v>
      </c>
      <c r="L32" s="396" t="s">
        <v>2015</v>
      </c>
      <c r="M32" s="400"/>
      <c r="N32" s="400"/>
      <c r="O32" s="400"/>
      <c r="P32" s="400"/>
      <c r="Q32" s="400"/>
      <c r="R32" s="400"/>
      <c r="S32" s="70" t="s">
        <v>278</v>
      </c>
      <c r="T32" s="70" t="s">
        <v>554</v>
      </c>
    </row>
    <row r="33" spans="1:20">
      <c r="A33" s="396">
        <f t="shared" si="1"/>
        <v>28</v>
      </c>
      <c r="B33" s="503" t="s">
        <v>59</v>
      </c>
      <c r="C33" s="503" t="s">
        <v>287</v>
      </c>
      <c r="D33" s="69" t="s">
        <v>288</v>
      </c>
      <c r="E33" s="397"/>
      <c r="F33" s="396"/>
      <c r="G33" s="396"/>
      <c r="H33" s="396"/>
      <c r="I33" s="396"/>
      <c r="J33" s="70">
        <v>190.90899999999999</v>
      </c>
      <c r="K33" s="1517"/>
      <c r="L33" s="396" t="s">
        <v>2015</v>
      </c>
      <c r="M33" s="400"/>
      <c r="N33" s="400"/>
      <c r="O33" s="400"/>
      <c r="P33" s="400"/>
      <c r="Q33" s="400"/>
      <c r="R33" s="400"/>
      <c r="S33" s="70" t="s">
        <v>278</v>
      </c>
      <c r="T33" s="70" t="s">
        <v>554</v>
      </c>
    </row>
    <row r="34" spans="1:20">
      <c r="A34" s="396">
        <f t="shared" si="1"/>
        <v>29</v>
      </c>
      <c r="B34" s="503" t="s">
        <v>58</v>
      </c>
      <c r="C34" s="503" t="s">
        <v>264</v>
      </c>
      <c r="D34" s="69" t="s">
        <v>292</v>
      </c>
      <c r="E34" s="397"/>
      <c r="F34" s="396"/>
      <c r="G34" s="396"/>
      <c r="H34" s="396"/>
      <c r="I34" s="396"/>
      <c r="J34" s="70">
        <v>411</v>
      </c>
      <c r="K34" s="399"/>
      <c r="L34" s="396"/>
      <c r="M34" s="400" t="s">
        <v>29</v>
      </c>
      <c r="N34" s="400" t="s">
        <v>1186</v>
      </c>
      <c r="O34" s="400" t="s">
        <v>29</v>
      </c>
      <c r="P34" s="400" t="s">
        <v>29</v>
      </c>
      <c r="Q34" s="400" t="s">
        <v>1893</v>
      </c>
      <c r="R34" s="400"/>
      <c r="S34" s="70" t="s">
        <v>278</v>
      </c>
      <c r="T34" s="70" t="s">
        <v>554</v>
      </c>
    </row>
    <row r="35" spans="1:20">
      <c r="A35" s="396">
        <f t="shared" si="1"/>
        <v>30</v>
      </c>
      <c r="B35" s="503" t="s">
        <v>296</v>
      </c>
      <c r="C35" s="503" t="s">
        <v>187</v>
      </c>
      <c r="D35" s="69" t="s">
        <v>134</v>
      </c>
      <c r="E35" s="397"/>
      <c r="F35" s="396"/>
      <c r="G35" s="396"/>
      <c r="H35" s="396"/>
      <c r="I35" s="396"/>
      <c r="J35" s="70">
        <v>387</v>
      </c>
      <c r="K35" s="399"/>
      <c r="L35" s="396"/>
      <c r="M35" s="400" t="s">
        <v>29</v>
      </c>
      <c r="N35" s="400" t="s">
        <v>1186</v>
      </c>
      <c r="O35" s="400" t="s">
        <v>29</v>
      </c>
      <c r="P35" s="400" t="s">
        <v>29</v>
      </c>
      <c r="Q35" s="400" t="s">
        <v>1893</v>
      </c>
      <c r="R35" s="400"/>
      <c r="S35" s="70" t="s">
        <v>268</v>
      </c>
      <c r="T35" s="70" t="s">
        <v>554</v>
      </c>
    </row>
    <row r="36" spans="1:20">
      <c r="A36" s="396">
        <f t="shared" si="1"/>
        <v>31</v>
      </c>
      <c r="B36" s="503" t="s">
        <v>300</v>
      </c>
      <c r="C36" s="503" t="s">
        <v>301</v>
      </c>
      <c r="D36" s="69" t="s">
        <v>134</v>
      </c>
      <c r="E36" s="397"/>
      <c r="F36" s="396"/>
      <c r="G36" s="396"/>
      <c r="H36" s="396"/>
      <c r="I36" s="396"/>
      <c r="J36" s="70">
        <v>377.351</v>
      </c>
      <c r="K36" s="399"/>
      <c r="L36" s="396"/>
      <c r="M36" s="400" t="s">
        <v>29</v>
      </c>
      <c r="N36" s="400" t="s">
        <v>1186</v>
      </c>
      <c r="O36" s="400" t="s">
        <v>29</v>
      </c>
      <c r="P36" s="400" t="s">
        <v>29</v>
      </c>
      <c r="Q36" s="400" t="s">
        <v>1893</v>
      </c>
      <c r="R36" s="400"/>
      <c r="S36" s="70" t="s">
        <v>268</v>
      </c>
      <c r="T36" s="70" t="s">
        <v>554</v>
      </c>
    </row>
    <row r="37" spans="1:20">
      <c r="A37" s="396">
        <f t="shared" si="1"/>
        <v>32</v>
      </c>
      <c r="B37" s="503" t="s">
        <v>46</v>
      </c>
      <c r="C37" s="503" t="s">
        <v>245</v>
      </c>
      <c r="D37" s="69" t="s">
        <v>306</v>
      </c>
      <c r="E37" s="397"/>
      <c r="F37" s="396"/>
      <c r="G37" s="396"/>
      <c r="H37" s="396"/>
      <c r="I37" s="396"/>
      <c r="J37" s="70">
        <v>392</v>
      </c>
      <c r="K37" s="399"/>
      <c r="L37" s="396"/>
      <c r="M37" s="400" t="s">
        <v>29</v>
      </c>
      <c r="N37" s="400" t="s">
        <v>1186</v>
      </c>
      <c r="O37" s="400" t="s">
        <v>29</v>
      </c>
      <c r="P37" s="400" t="s">
        <v>29</v>
      </c>
      <c r="Q37" s="400" t="s">
        <v>1893</v>
      </c>
      <c r="R37" s="400"/>
      <c r="S37" s="70" t="s">
        <v>268</v>
      </c>
      <c r="T37" s="70" t="s">
        <v>554</v>
      </c>
    </row>
    <row r="38" spans="1:20">
      <c r="A38" s="396">
        <f t="shared" si="1"/>
        <v>33</v>
      </c>
      <c r="B38" s="503" t="s">
        <v>310</v>
      </c>
      <c r="C38" s="503" t="s">
        <v>153</v>
      </c>
      <c r="D38" s="69" t="s">
        <v>134</v>
      </c>
      <c r="E38" s="397"/>
      <c r="F38" s="396"/>
      <c r="G38" s="396"/>
      <c r="H38" s="396"/>
      <c r="I38" s="396"/>
      <c r="J38" s="70">
        <v>313</v>
      </c>
      <c r="K38" s="399"/>
      <c r="L38" s="396"/>
      <c r="M38" s="400" t="s">
        <v>29</v>
      </c>
      <c r="N38" s="400" t="s">
        <v>1186</v>
      </c>
      <c r="O38" s="400" t="s">
        <v>29</v>
      </c>
      <c r="P38" s="400" t="s">
        <v>29</v>
      </c>
      <c r="Q38" s="400" t="s">
        <v>1893</v>
      </c>
      <c r="R38" s="400"/>
      <c r="S38" s="70" t="s">
        <v>268</v>
      </c>
      <c r="T38" s="70" t="s">
        <v>554</v>
      </c>
    </row>
    <row r="39" spans="1:20">
      <c r="A39" s="396">
        <f t="shared" si="1"/>
        <v>34</v>
      </c>
      <c r="B39" s="503" t="s">
        <v>314</v>
      </c>
      <c r="C39" s="503" t="s">
        <v>153</v>
      </c>
      <c r="D39" s="69" t="s">
        <v>134</v>
      </c>
      <c r="E39" s="397"/>
      <c r="F39" s="396"/>
      <c r="G39" s="396"/>
      <c r="H39" s="396"/>
      <c r="I39" s="396"/>
      <c r="J39" s="70">
        <v>318</v>
      </c>
      <c r="K39" s="399"/>
      <c r="L39" s="396"/>
      <c r="M39" s="400" t="s">
        <v>29</v>
      </c>
      <c r="N39" s="400" t="s">
        <v>1186</v>
      </c>
      <c r="O39" s="400" t="s">
        <v>29</v>
      </c>
      <c r="P39" s="400" t="s">
        <v>29</v>
      </c>
      <c r="Q39" s="400" t="s">
        <v>1893</v>
      </c>
      <c r="R39" s="400"/>
      <c r="S39" s="70" t="s">
        <v>317</v>
      </c>
      <c r="T39" s="70" t="s">
        <v>554</v>
      </c>
    </row>
    <row r="40" spans="1:20">
      <c r="A40" s="396">
        <f t="shared" si="1"/>
        <v>35</v>
      </c>
      <c r="B40" s="503" t="s">
        <v>318</v>
      </c>
      <c r="C40" s="503" t="s">
        <v>153</v>
      </c>
      <c r="D40" s="69" t="s">
        <v>134</v>
      </c>
      <c r="E40" s="397"/>
      <c r="F40" s="396"/>
      <c r="G40" s="396"/>
      <c r="H40" s="396"/>
      <c r="I40" s="396"/>
      <c r="J40" s="70">
        <v>347</v>
      </c>
      <c r="K40" s="399"/>
      <c r="L40" s="396"/>
      <c r="M40" s="400" t="s">
        <v>29</v>
      </c>
      <c r="N40" s="400" t="s">
        <v>1186</v>
      </c>
      <c r="O40" s="400"/>
      <c r="P40" s="400" t="s">
        <v>29</v>
      </c>
      <c r="Q40" s="400" t="s">
        <v>1893</v>
      </c>
      <c r="R40" s="400"/>
      <c r="S40" s="70" t="s">
        <v>317</v>
      </c>
      <c r="T40" s="70" t="s">
        <v>554</v>
      </c>
    </row>
    <row r="41" spans="1:20">
      <c r="A41" s="396">
        <f t="shared" si="1"/>
        <v>36</v>
      </c>
      <c r="B41" s="503" t="s">
        <v>322</v>
      </c>
      <c r="C41" s="503" t="s">
        <v>153</v>
      </c>
      <c r="D41" s="69" t="s">
        <v>134</v>
      </c>
      <c r="E41" s="397"/>
      <c r="F41" s="396"/>
      <c r="G41" s="396"/>
      <c r="H41" s="396"/>
      <c r="I41" s="396"/>
      <c r="J41" s="70">
        <v>387.51499999999999</v>
      </c>
      <c r="K41" s="399"/>
      <c r="L41" s="396"/>
      <c r="M41" s="400" t="s">
        <v>29</v>
      </c>
      <c r="N41" s="70" t="s">
        <v>30</v>
      </c>
      <c r="O41" s="694"/>
      <c r="P41" s="400" t="s">
        <v>29</v>
      </c>
      <c r="Q41" s="400" t="s">
        <v>1893</v>
      </c>
      <c r="R41" s="400"/>
      <c r="S41" s="70" t="s">
        <v>317</v>
      </c>
      <c r="T41" s="70" t="s">
        <v>554</v>
      </c>
    </row>
    <row r="42" spans="1:20">
      <c r="A42" s="396">
        <f t="shared" si="1"/>
        <v>37</v>
      </c>
      <c r="B42" s="503" t="s">
        <v>326</v>
      </c>
      <c r="C42" s="503" t="s">
        <v>167</v>
      </c>
      <c r="D42" s="69" t="s">
        <v>327</v>
      </c>
      <c r="E42" s="397"/>
      <c r="F42" s="396"/>
      <c r="G42" s="396"/>
      <c r="H42" s="396"/>
      <c r="I42" s="396"/>
      <c r="J42" s="70">
        <v>345</v>
      </c>
      <c r="K42" s="399"/>
      <c r="L42" s="396" t="s">
        <v>977</v>
      </c>
      <c r="M42" s="396" t="s">
        <v>977</v>
      </c>
      <c r="N42" s="400"/>
      <c r="O42" s="400"/>
      <c r="P42" s="400"/>
      <c r="Q42" s="400"/>
      <c r="R42" s="400"/>
      <c r="S42" s="70" t="s">
        <v>330</v>
      </c>
      <c r="T42" s="70" t="s">
        <v>554</v>
      </c>
    </row>
    <row r="43" spans="1:20">
      <c r="A43" s="396">
        <f t="shared" si="1"/>
        <v>38</v>
      </c>
      <c r="B43" s="503" t="s">
        <v>332</v>
      </c>
      <c r="C43" s="503" t="s">
        <v>301</v>
      </c>
      <c r="D43" s="69" t="s">
        <v>134</v>
      </c>
      <c r="E43" s="397"/>
      <c r="F43" s="396"/>
      <c r="G43" s="396"/>
      <c r="H43" s="396"/>
      <c r="I43" s="396"/>
      <c r="J43" s="70">
        <v>410.29300000000001</v>
      </c>
      <c r="K43" s="399"/>
      <c r="L43" s="396"/>
      <c r="M43" s="400" t="s">
        <v>29</v>
      </c>
      <c r="N43" s="400" t="s">
        <v>30</v>
      </c>
      <c r="O43" s="400"/>
      <c r="P43" s="400"/>
      <c r="Q43" s="400"/>
      <c r="R43" s="400"/>
      <c r="S43" s="70" t="s">
        <v>330</v>
      </c>
      <c r="T43" s="70" t="s">
        <v>554</v>
      </c>
    </row>
    <row r="44" spans="1:20">
      <c r="A44" s="396">
        <f t="shared" si="1"/>
        <v>39</v>
      </c>
      <c r="B44" s="503" t="s">
        <v>47</v>
      </c>
      <c r="C44" s="503" t="s">
        <v>337</v>
      </c>
      <c r="D44" s="69" t="s">
        <v>338</v>
      </c>
      <c r="E44" s="397"/>
      <c r="F44" s="396"/>
      <c r="G44" s="396"/>
      <c r="H44" s="396"/>
      <c r="I44" s="396"/>
      <c r="J44" s="70">
        <v>391.73</v>
      </c>
      <c r="K44" s="399"/>
      <c r="L44" s="396"/>
      <c r="M44" s="400" t="s">
        <v>29</v>
      </c>
      <c r="N44" s="70" t="s">
        <v>30</v>
      </c>
      <c r="O44" s="400" t="s">
        <v>29</v>
      </c>
      <c r="P44" s="400"/>
      <c r="Q44" s="400"/>
      <c r="R44" s="400"/>
      <c r="S44" s="70" t="s">
        <v>341</v>
      </c>
      <c r="T44" s="70" t="s">
        <v>554</v>
      </c>
    </row>
    <row r="45" spans="1:20">
      <c r="A45" s="396">
        <f t="shared" si="1"/>
        <v>40</v>
      </c>
      <c r="B45" s="503" t="s">
        <v>69</v>
      </c>
      <c r="C45" s="503" t="s">
        <v>344</v>
      </c>
      <c r="D45" s="69" t="s">
        <v>345</v>
      </c>
      <c r="E45" s="397"/>
      <c r="F45" s="396"/>
      <c r="G45" s="396"/>
      <c r="H45" s="396"/>
      <c r="I45" s="396"/>
      <c r="J45" s="70">
        <v>300</v>
      </c>
      <c r="K45" s="399"/>
      <c r="L45" s="396"/>
      <c r="M45" s="400" t="s">
        <v>29</v>
      </c>
      <c r="N45" s="70" t="s">
        <v>30</v>
      </c>
      <c r="O45" s="400" t="s">
        <v>29</v>
      </c>
      <c r="P45" s="400"/>
      <c r="Q45" s="400"/>
      <c r="R45" s="400"/>
      <c r="S45" s="70" t="s">
        <v>341</v>
      </c>
      <c r="T45" s="70" t="s">
        <v>554</v>
      </c>
    </row>
    <row r="46" spans="1:20">
      <c r="A46" s="396">
        <f t="shared" si="1"/>
        <v>41</v>
      </c>
      <c r="B46" s="503" t="s">
        <v>349</v>
      </c>
      <c r="C46" s="503" t="s">
        <v>281</v>
      </c>
      <c r="D46" s="69" t="s">
        <v>134</v>
      </c>
      <c r="E46" s="397"/>
      <c r="F46" s="396"/>
      <c r="G46" s="396"/>
      <c r="H46" s="396"/>
      <c r="I46" s="396"/>
      <c r="J46" s="70">
        <v>458.61599999999999</v>
      </c>
      <c r="K46" s="399"/>
      <c r="L46" s="396"/>
      <c r="M46" s="400"/>
      <c r="N46" s="400"/>
      <c r="O46" s="400"/>
      <c r="P46" s="400"/>
      <c r="Q46" s="400"/>
      <c r="R46" s="400"/>
      <c r="S46" s="70" t="s">
        <v>352</v>
      </c>
      <c r="T46" s="70" t="s">
        <v>554</v>
      </c>
    </row>
    <row r="47" spans="1:20">
      <c r="A47" s="396">
        <f t="shared" si="1"/>
        <v>42</v>
      </c>
      <c r="B47" s="503" t="s">
        <v>356</v>
      </c>
      <c r="C47" s="503" t="s">
        <v>357</v>
      </c>
      <c r="D47" s="69" t="s">
        <v>358</v>
      </c>
      <c r="E47" s="397">
        <v>3</v>
      </c>
      <c r="F47" s="396">
        <v>3</v>
      </c>
      <c r="G47" s="396">
        <v>3</v>
      </c>
      <c r="H47" s="396">
        <v>3</v>
      </c>
      <c r="I47" s="396">
        <v>3</v>
      </c>
      <c r="J47" s="70">
        <v>306.18</v>
      </c>
      <c r="K47" s="399"/>
      <c r="L47" s="396" t="s">
        <v>2016</v>
      </c>
      <c r="M47" s="400"/>
      <c r="N47" s="400"/>
      <c r="O47" s="400"/>
      <c r="P47" s="400"/>
      <c r="Q47" s="400"/>
      <c r="R47" s="400"/>
      <c r="S47" s="70" t="s">
        <v>361</v>
      </c>
      <c r="T47" s="70" t="s">
        <v>554</v>
      </c>
    </row>
    <row r="48" spans="1:20">
      <c r="A48" s="396">
        <f t="shared" si="1"/>
        <v>43</v>
      </c>
      <c r="B48" s="503" t="s">
        <v>364</v>
      </c>
      <c r="C48" s="503" t="s">
        <v>344</v>
      </c>
      <c r="D48" s="69" t="s">
        <v>365</v>
      </c>
      <c r="E48" s="397"/>
      <c r="F48" s="396"/>
      <c r="G48" s="396"/>
      <c r="H48" s="396"/>
      <c r="I48" s="396"/>
      <c r="J48" s="70">
        <v>385.738</v>
      </c>
      <c r="K48" s="399"/>
      <c r="L48" s="396"/>
      <c r="M48" s="400" t="s">
        <v>29</v>
      </c>
      <c r="N48" s="70" t="s">
        <v>30</v>
      </c>
      <c r="O48" s="400" t="s">
        <v>29</v>
      </c>
      <c r="P48" s="400" t="s">
        <v>29</v>
      </c>
      <c r="Q48" s="400" t="s">
        <v>1836</v>
      </c>
      <c r="R48" s="400"/>
      <c r="S48" s="70" t="s">
        <v>368</v>
      </c>
      <c r="T48" s="70" t="s">
        <v>554</v>
      </c>
    </row>
    <row r="49" spans="1:20">
      <c r="A49" s="396">
        <f t="shared" si="1"/>
        <v>44</v>
      </c>
      <c r="B49" s="503" t="s">
        <v>371</v>
      </c>
      <c r="C49" s="503" t="s">
        <v>133</v>
      </c>
      <c r="D49" s="69" t="s">
        <v>372</v>
      </c>
      <c r="E49" s="397"/>
      <c r="F49" s="396"/>
      <c r="G49" s="396"/>
      <c r="H49" s="396"/>
      <c r="I49" s="396"/>
      <c r="J49" s="70">
        <v>340</v>
      </c>
      <c r="K49" s="399"/>
      <c r="L49" s="396"/>
      <c r="M49" s="400" t="s">
        <v>29</v>
      </c>
      <c r="N49" s="70" t="s">
        <v>30</v>
      </c>
      <c r="O49" s="400" t="s">
        <v>29</v>
      </c>
      <c r="P49" s="400" t="s">
        <v>29</v>
      </c>
      <c r="Q49" s="400" t="s">
        <v>1836</v>
      </c>
      <c r="R49" s="400"/>
      <c r="S49" s="70" t="s">
        <v>368</v>
      </c>
      <c r="T49" s="70" t="s">
        <v>554</v>
      </c>
    </row>
    <row r="50" spans="1:20">
      <c r="A50" s="396">
        <f t="shared" si="1"/>
        <v>45</v>
      </c>
      <c r="B50" s="503" t="s">
        <v>376</v>
      </c>
      <c r="C50" s="503" t="s">
        <v>187</v>
      </c>
      <c r="D50" s="69" t="s">
        <v>134</v>
      </c>
      <c r="E50" s="397"/>
      <c r="F50" s="396"/>
      <c r="G50" s="396"/>
      <c r="H50" s="396"/>
      <c r="I50" s="396"/>
      <c r="J50" s="70">
        <v>407.56599999999997</v>
      </c>
      <c r="K50" s="399"/>
      <c r="L50" s="396"/>
      <c r="M50" s="400" t="s">
        <v>29</v>
      </c>
      <c r="N50" s="400" t="s">
        <v>41</v>
      </c>
      <c r="O50" s="400"/>
      <c r="P50" s="400"/>
      <c r="Q50" s="400"/>
      <c r="R50" s="400"/>
      <c r="S50" s="70" t="s">
        <v>368</v>
      </c>
      <c r="T50" s="70" t="s">
        <v>554</v>
      </c>
    </row>
    <row r="51" spans="1:20">
      <c r="A51" s="396">
        <f t="shared" si="1"/>
        <v>46</v>
      </c>
      <c r="B51" s="503" t="s">
        <v>70</v>
      </c>
      <c r="C51" s="503" t="s">
        <v>133</v>
      </c>
      <c r="D51" s="69" t="s">
        <v>380</v>
      </c>
      <c r="E51" s="397"/>
      <c r="F51" s="396"/>
      <c r="G51" s="396"/>
      <c r="H51" s="396"/>
      <c r="I51" s="396"/>
      <c r="J51" s="70">
        <v>324</v>
      </c>
      <c r="K51" s="399"/>
      <c r="L51" s="396" t="s">
        <v>977</v>
      </c>
      <c r="M51" s="396" t="s">
        <v>1895</v>
      </c>
      <c r="N51" s="400"/>
      <c r="O51" s="400"/>
      <c r="P51" s="400"/>
      <c r="Q51" s="400"/>
      <c r="R51" s="400"/>
      <c r="S51" s="70" t="s">
        <v>368</v>
      </c>
      <c r="T51" s="70" t="s">
        <v>554</v>
      </c>
    </row>
    <row r="52" spans="1:20">
      <c r="A52" s="396">
        <f t="shared" si="1"/>
        <v>47</v>
      </c>
      <c r="B52" s="503" t="s">
        <v>384</v>
      </c>
      <c r="C52" s="503" t="s">
        <v>187</v>
      </c>
      <c r="D52" s="69" t="s">
        <v>134</v>
      </c>
      <c r="E52" s="397"/>
      <c r="F52" s="396"/>
      <c r="G52" s="396"/>
      <c r="H52" s="396"/>
      <c r="I52" s="396"/>
      <c r="J52" s="70">
        <v>381</v>
      </c>
      <c r="K52" s="399"/>
      <c r="L52" s="396"/>
      <c r="M52" s="400" t="s">
        <v>29</v>
      </c>
      <c r="N52" s="400" t="s">
        <v>41</v>
      </c>
      <c r="O52" s="400"/>
      <c r="P52" s="400"/>
      <c r="Q52" s="400"/>
      <c r="R52" s="400"/>
      <c r="S52" s="70" t="s">
        <v>368</v>
      </c>
      <c r="T52" s="70" t="s">
        <v>554</v>
      </c>
    </row>
    <row r="53" spans="1:20">
      <c r="A53" s="396">
        <f t="shared" si="1"/>
        <v>48</v>
      </c>
      <c r="B53" s="603" t="s">
        <v>388</v>
      </c>
      <c r="C53" s="503" t="s">
        <v>301</v>
      </c>
      <c r="D53" s="69" t="s">
        <v>134</v>
      </c>
      <c r="E53" s="397"/>
      <c r="F53" s="396"/>
      <c r="G53" s="396"/>
      <c r="H53" s="396"/>
      <c r="I53" s="396"/>
      <c r="J53" s="70">
        <v>369.15</v>
      </c>
      <c r="K53" s="399"/>
      <c r="L53" s="396"/>
      <c r="M53" s="400" t="s">
        <v>29</v>
      </c>
      <c r="N53" s="70" t="s">
        <v>30</v>
      </c>
      <c r="O53" s="400" t="s">
        <v>29</v>
      </c>
      <c r="P53" s="400" t="s">
        <v>978</v>
      </c>
      <c r="Q53" s="400" t="s">
        <v>1836</v>
      </c>
      <c r="R53" s="400"/>
      <c r="S53" s="70" t="s">
        <v>368</v>
      </c>
      <c r="T53" s="70" t="s">
        <v>554</v>
      </c>
    </row>
    <row r="54" spans="1:20">
      <c r="A54" s="396">
        <f t="shared" si="1"/>
        <v>49</v>
      </c>
      <c r="B54" s="503" t="s">
        <v>393</v>
      </c>
      <c r="C54" s="503" t="s">
        <v>245</v>
      </c>
      <c r="D54" s="69" t="s">
        <v>394</v>
      </c>
      <c r="E54" s="397"/>
      <c r="F54" s="396"/>
      <c r="G54" s="396"/>
      <c r="H54" s="396"/>
      <c r="I54" s="396"/>
      <c r="J54" s="70">
        <v>414</v>
      </c>
      <c r="K54" s="399"/>
      <c r="L54" s="396"/>
      <c r="M54" s="400" t="s">
        <v>29</v>
      </c>
      <c r="N54" s="70" t="s">
        <v>30</v>
      </c>
      <c r="O54" s="400" t="s">
        <v>29</v>
      </c>
      <c r="P54" s="400"/>
      <c r="Q54" s="400"/>
      <c r="R54" s="400"/>
      <c r="S54" s="70" t="s">
        <v>397</v>
      </c>
      <c r="T54" s="70" t="s">
        <v>554</v>
      </c>
    </row>
    <row r="55" spans="1:20">
      <c r="A55" s="396">
        <f t="shared" si="1"/>
        <v>50</v>
      </c>
      <c r="B55" s="503" t="s">
        <v>399</v>
      </c>
      <c r="C55" s="503" t="s">
        <v>301</v>
      </c>
      <c r="D55" s="69" t="s">
        <v>134</v>
      </c>
      <c r="E55" s="397"/>
      <c r="F55" s="396"/>
      <c r="G55" s="396"/>
      <c r="H55" s="396"/>
      <c r="I55" s="396"/>
      <c r="J55" s="70">
        <v>370</v>
      </c>
      <c r="K55" s="399"/>
      <c r="L55" s="396" t="s">
        <v>977</v>
      </c>
      <c r="M55" s="400" t="s">
        <v>978</v>
      </c>
      <c r="N55" s="70" t="s">
        <v>30</v>
      </c>
      <c r="O55" s="400"/>
      <c r="P55" s="400"/>
      <c r="Q55" s="400"/>
      <c r="R55" s="400"/>
      <c r="S55" s="70" t="s">
        <v>397</v>
      </c>
      <c r="T55" s="70" t="s">
        <v>554</v>
      </c>
    </row>
    <row r="56" spans="1:20">
      <c r="A56" s="396">
        <f t="shared" si="1"/>
        <v>51</v>
      </c>
      <c r="B56" s="503" t="s">
        <v>403</v>
      </c>
      <c r="C56" s="503" t="s">
        <v>153</v>
      </c>
      <c r="D56" s="69" t="s">
        <v>134</v>
      </c>
      <c r="E56" s="397"/>
      <c r="F56" s="396"/>
      <c r="G56" s="396"/>
      <c r="H56" s="396"/>
      <c r="I56" s="396"/>
      <c r="J56" s="70">
        <v>307</v>
      </c>
      <c r="K56" s="399"/>
      <c r="L56" s="396" t="s">
        <v>977</v>
      </c>
      <c r="M56" s="400" t="s">
        <v>978</v>
      </c>
      <c r="N56" s="400" t="s">
        <v>30</v>
      </c>
      <c r="O56" s="400"/>
      <c r="P56" s="400"/>
      <c r="Q56" s="400"/>
      <c r="R56" s="400"/>
      <c r="S56" s="70" t="s">
        <v>406</v>
      </c>
      <c r="T56" s="70" t="s">
        <v>554</v>
      </c>
    </row>
    <row r="57" spans="1:20">
      <c r="A57" s="396">
        <f t="shared" si="1"/>
        <v>52</v>
      </c>
      <c r="B57" s="503" t="s">
        <v>407</v>
      </c>
      <c r="C57" s="503" t="s">
        <v>153</v>
      </c>
      <c r="D57" s="69" t="s">
        <v>134</v>
      </c>
      <c r="E57" s="397"/>
      <c r="F57" s="396"/>
      <c r="G57" s="396"/>
      <c r="H57" s="396"/>
      <c r="I57" s="396"/>
      <c r="J57" s="70">
        <v>291</v>
      </c>
      <c r="K57" s="399"/>
      <c r="L57" s="396"/>
      <c r="M57" s="400" t="s">
        <v>29</v>
      </c>
      <c r="N57" s="400" t="s">
        <v>41</v>
      </c>
      <c r="O57" s="400"/>
      <c r="P57" s="400"/>
      <c r="Q57" s="400"/>
      <c r="R57" s="400"/>
      <c r="S57" s="70" t="s">
        <v>406</v>
      </c>
      <c r="T57" s="70" t="s">
        <v>554</v>
      </c>
    </row>
    <row r="58" spans="1:20">
      <c r="A58" s="396">
        <f t="shared" si="1"/>
        <v>53</v>
      </c>
      <c r="B58" s="503" t="s">
        <v>411</v>
      </c>
      <c r="C58" s="503" t="s">
        <v>153</v>
      </c>
      <c r="D58" s="69" t="s">
        <v>134</v>
      </c>
      <c r="E58" s="397"/>
      <c r="F58" s="396"/>
      <c r="G58" s="396"/>
      <c r="H58" s="396"/>
      <c r="I58" s="396"/>
      <c r="J58" s="70">
        <v>334.029</v>
      </c>
      <c r="K58" s="399"/>
      <c r="L58" s="396"/>
      <c r="M58" s="400" t="s">
        <v>29</v>
      </c>
      <c r="N58" s="70" t="s">
        <v>30</v>
      </c>
      <c r="O58" s="400" t="s">
        <v>29</v>
      </c>
      <c r="P58" s="400" t="s">
        <v>29</v>
      </c>
      <c r="Q58" s="400" t="s">
        <v>1836</v>
      </c>
      <c r="R58" s="400"/>
      <c r="S58" s="70" t="s">
        <v>406</v>
      </c>
      <c r="T58" s="70" t="s">
        <v>554</v>
      </c>
    </row>
    <row r="59" spans="1:20">
      <c r="A59" s="396">
        <f t="shared" si="1"/>
        <v>54</v>
      </c>
      <c r="B59" s="503" t="s">
        <v>416</v>
      </c>
      <c r="C59" s="503" t="s">
        <v>344</v>
      </c>
      <c r="D59" s="69" t="s">
        <v>417</v>
      </c>
      <c r="E59" s="397"/>
      <c r="F59" s="396"/>
      <c r="G59" s="396"/>
      <c r="H59" s="396"/>
      <c r="I59" s="396"/>
      <c r="J59" s="70">
        <v>266</v>
      </c>
      <c r="K59" s="399"/>
      <c r="L59" s="396"/>
      <c r="M59" s="400" t="s">
        <v>29</v>
      </c>
      <c r="N59" s="70" t="s">
        <v>30</v>
      </c>
      <c r="O59" s="400" t="s">
        <v>29</v>
      </c>
      <c r="P59" s="400" t="s">
        <v>29</v>
      </c>
      <c r="Q59" s="400" t="s">
        <v>1893</v>
      </c>
      <c r="R59" s="400"/>
      <c r="S59" s="70" t="s">
        <v>406</v>
      </c>
      <c r="T59" s="70" t="s">
        <v>554</v>
      </c>
    </row>
    <row r="60" spans="1:20">
      <c r="A60" s="396">
        <f t="shared" si="1"/>
        <v>55</v>
      </c>
      <c r="B60" s="503" t="s">
        <v>421</v>
      </c>
      <c r="C60" s="69" t="s">
        <v>153</v>
      </c>
      <c r="D60" s="69" t="s">
        <v>134</v>
      </c>
      <c r="E60" s="397"/>
      <c r="F60" s="396"/>
      <c r="G60" s="396"/>
      <c r="H60" s="396"/>
      <c r="I60" s="396"/>
      <c r="J60" s="70">
        <v>255.44499999999999</v>
      </c>
      <c r="K60" s="399"/>
      <c r="L60" s="396"/>
      <c r="M60" s="400" t="s">
        <v>29</v>
      </c>
      <c r="N60" s="70" t="s">
        <v>30</v>
      </c>
      <c r="O60" s="400" t="s">
        <v>29</v>
      </c>
      <c r="P60" s="400"/>
      <c r="Q60" s="400"/>
      <c r="R60" s="400"/>
      <c r="S60" s="70" t="s">
        <v>406</v>
      </c>
      <c r="T60" s="70" t="s">
        <v>554</v>
      </c>
    </row>
    <row r="61" spans="1:20">
      <c r="A61" s="396">
        <f t="shared" si="1"/>
        <v>56</v>
      </c>
      <c r="B61" s="503" t="s">
        <v>71</v>
      </c>
      <c r="C61" s="69" t="s">
        <v>133</v>
      </c>
      <c r="D61" s="69" t="s">
        <v>426</v>
      </c>
      <c r="E61" s="397"/>
      <c r="F61" s="396"/>
      <c r="G61" s="396"/>
      <c r="H61" s="396"/>
      <c r="I61" s="396"/>
      <c r="J61" s="70">
        <v>351</v>
      </c>
      <c r="K61" s="399"/>
      <c r="L61" s="396"/>
      <c r="M61" s="400" t="s">
        <v>29</v>
      </c>
      <c r="N61" s="400" t="s">
        <v>30</v>
      </c>
      <c r="O61" s="400" t="s">
        <v>29</v>
      </c>
      <c r="P61" s="400" t="s">
        <v>29</v>
      </c>
      <c r="Q61" s="400" t="s">
        <v>1836</v>
      </c>
      <c r="R61" s="400"/>
      <c r="S61" s="70" t="s">
        <v>406</v>
      </c>
      <c r="T61" s="70" t="s">
        <v>554</v>
      </c>
    </row>
    <row r="62" spans="1:20">
      <c r="A62" s="396">
        <f t="shared" si="1"/>
        <v>57</v>
      </c>
      <c r="B62" s="503" t="s">
        <v>430</v>
      </c>
      <c r="C62" s="69" t="s">
        <v>301</v>
      </c>
      <c r="D62" s="69" t="s">
        <v>134</v>
      </c>
      <c r="E62" s="397"/>
      <c r="F62" s="396"/>
      <c r="G62" s="396"/>
      <c r="H62" s="396"/>
      <c r="I62" s="396"/>
      <c r="J62" s="70">
        <v>422.029</v>
      </c>
      <c r="K62" s="399"/>
      <c r="L62" s="396"/>
      <c r="M62" s="400" t="s">
        <v>29</v>
      </c>
      <c r="N62" s="400" t="s">
        <v>30</v>
      </c>
      <c r="O62" s="400" t="s">
        <v>29</v>
      </c>
      <c r="P62" s="400"/>
      <c r="Q62" s="400"/>
      <c r="R62" s="400"/>
      <c r="S62" s="70" t="s">
        <v>433</v>
      </c>
      <c r="T62" s="70" t="s">
        <v>554</v>
      </c>
    </row>
    <row r="63" spans="1:20">
      <c r="A63" s="396">
        <f t="shared" si="1"/>
        <v>58</v>
      </c>
      <c r="B63" s="503" t="s">
        <v>436</v>
      </c>
      <c r="C63" s="69" t="s">
        <v>437</v>
      </c>
      <c r="D63" s="69" t="s">
        <v>438</v>
      </c>
      <c r="E63" s="397"/>
      <c r="F63" s="396"/>
      <c r="G63" s="396"/>
      <c r="H63" s="396"/>
      <c r="I63" s="396"/>
      <c r="J63" s="70">
        <v>384.08600000000001</v>
      </c>
      <c r="K63" s="399"/>
      <c r="L63" s="396"/>
      <c r="M63" s="400" t="s">
        <v>29</v>
      </c>
      <c r="N63" s="70" t="s">
        <v>30</v>
      </c>
      <c r="O63" s="400" t="s">
        <v>29</v>
      </c>
      <c r="P63" s="400"/>
      <c r="Q63" s="400"/>
      <c r="R63" s="400"/>
      <c r="S63" s="70" t="s">
        <v>441</v>
      </c>
      <c r="T63" s="70" t="s">
        <v>554</v>
      </c>
    </row>
    <row r="64" spans="1:20">
      <c r="A64" s="396">
        <f t="shared" si="1"/>
        <v>59</v>
      </c>
      <c r="B64" s="503" t="s">
        <v>443</v>
      </c>
      <c r="C64" s="69" t="s">
        <v>133</v>
      </c>
      <c r="D64" s="69" t="s">
        <v>444</v>
      </c>
      <c r="E64" s="397"/>
      <c r="F64" s="396"/>
      <c r="G64" s="396"/>
      <c r="H64" s="396"/>
      <c r="I64" s="396"/>
      <c r="J64" s="70">
        <v>366.15100000000001</v>
      </c>
      <c r="K64" s="399"/>
      <c r="L64" s="396"/>
      <c r="M64" s="400" t="s">
        <v>29</v>
      </c>
      <c r="N64" s="70" t="s">
        <v>30</v>
      </c>
      <c r="O64" s="400" t="s">
        <v>29</v>
      </c>
      <c r="P64" s="400"/>
      <c r="Q64" s="400"/>
      <c r="R64" s="400"/>
      <c r="S64" s="70" t="s">
        <v>433</v>
      </c>
      <c r="T64" s="70" t="s">
        <v>554</v>
      </c>
    </row>
    <row r="65" spans="1:20">
      <c r="A65" s="396">
        <f t="shared" si="1"/>
        <v>60</v>
      </c>
      <c r="B65" s="503" t="s">
        <v>72</v>
      </c>
      <c r="C65" s="69" t="s">
        <v>337</v>
      </c>
      <c r="D65" s="69" t="s">
        <v>449</v>
      </c>
      <c r="E65" s="397"/>
      <c r="F65" s="396"/>
      <c r="G65" s="396"/>
      <c r="H65" s="396"/>
      <c r="I65" s="396"/>
      <c r="J65" s="70">
        <v>358</v>
      </c>
      <c r="K65" s="399"/>
      <c r="L65" s="396"/>
      <c r="M65" s="400" t="s">
        <v>29</v>
      </c>
      <c r="N65" s="70" t="s">
        <v>30</v>
      </c>
      <c r="O65" s="400" t="s">
        <v>29</v>
      </c>
      <c r="P65" s="400"/>
      <c r="Q65" s="400"/>
      <c r="R65" s="400"/>
      <c r="S65" s="70" t="s">
        <v>441</v>
      </c>
      <c r="T65" s="70" t="s">
        <v>554</v>
      </c>
    </row>
    <row r="66" spans="1:20">
      <c r="A66" s="396">
        <f t="shared" si="1"/>
        <v>61</v>
      </c>
      <c r="B66" s="318" t="s">
        <v>452</v>
      </c>
      <c r="C66" s="318" t="s">
        <v>301</v>
      </c>
      <c r="D66" s="318" t="s">
        <v>134</v>
      </c>
      <c r="E66" s="443"/>
      <c r="F66" s="444"/>
      <c r="G66" s="444"/>
      <c r="H66" s="444"/>
      <c r="I66" s="444"/>
      <c r="J66" s="319">
        <v>404.49700000000001</v>
      </c>
      <c r="K66" s="399"/>
      <c r="L66" s="444"/>
      <c r="M66" s="400" t="s">
        <v>29</v>
      </c>
      <c r="N66" s="70" t="s">
        <v>30</v>
      </c>
      <c r="O66" s="400" t="s">
        <v>29</v>
      </c>
      <c r="P66" s="400" t="s">
        <v>29</v>
      </c>
      <c r="Q66" s="400" t="s">
        <v>1836</v>
      </c>
      <c r="R66" s="445"/>
      <c r="S66" s="70" t="s">
        <v>441</v>
      </c>
      <c r="T66" s="70" t="s">
        <v>554</v>
      </c>
    </row>
    <row r="67" spans="1:20">
      <c r="A67" s="396">
        <f t="shared" si="1"/>
        <v>62</v>
      </c>
      <c r="B67" s="503" t="s">
        <v>457</v>
      </c>
      <c r="C67" s="69" t="s">
        <v>344</v>
      </c>
      <c r="D67" s="69" t="s">
        <v>458</v>
      </c>
      <c r="E67" s="400"/>
      <c r="F67" s="396"/>
      <c r="G67" s="396"/>
      <c r="H67" s="396"/>
      <c r="I67" s="396"/>
      <c r="J67" s="70">
        <v>339.16199999999998</v>
      </c>
      <c r="K67" s="399"/>
      <c r="L67" s="396"/>
      <c r="M67" s="400"/>
      <c r="N67" s="400"/>
      <c r="O67" s="400"/>
      <c r="P67" s="400"/>
      <c r="Q67" s="400"/>
      <c r="R67" s="400"/>
      <c r="S67" s="70" t="s">
        <v>461</v>
      </c>
      <c r="T67" s="70" t="s">
        <v>554</v>
      </c>
    </row>
    <row r="68" spans="1:20">
      <c r="A68" s="396">
        <f t="shared" si="1"/>
        <v>63</v>
      </c>
      <c r="B68" s="69" t="s">
        <v>73</v>
      </c>
      <c r="C68" s="69" t="s">
        <v>133</v>
      </c>
      <c r="D68" s="69" t="s">
        <v>464</v>
      </c>
      <c r="E68" s="400"/>
      <c r="F68" s="396"/>
      <c r="G68" s="396"/>
      <c r="H68" s="396"/>
      <c r="I68" s="396"/>
      <c r="J68" s="70" t="s">
        <v>876</v>
      </c>
      <c r="K68" s="399"/>
      <c r="L68" s="396"/>
      <c r="M68" s="70" t="s">
        <v>951</v>
      </c>
      <c r="N68" s="400"/>
      <c r="O68" s="400"/>
      <c r="P68" s="400"/>
      <c r="Q68" s="400"/>
      <c r="R68" s="400"/>
      <c r="S68" s="70" t="s">
        <v>467</v>
      </c>
      <c r="T68" s="70" t="s">
        <v>554</v>
      </c>
    </row>
    <row r="69" spans="1:20">
      <c r="A69" s="396">
        <f t="shared" si="1"/>
        <v>64</v>
      </c>
      <c r="B69" s="69" t="s">
        <v>132</v>
      </c>
      <c r="C69" s="69" t="s">
        <v>133</v>
      </c>
      <c r="D69" s="69" t="s">
        <v>1860</v>
      </c>
      <c r="E69" s="400"/>
      <c r="F69" s="396"/>
      <c r="G69" s="396"/>
      <c r="H69" s="396"/>
      <c r="I69" s="396"/>
      <c r="J69" s="70">
        <v>106.18</v>
      </c>
      <c r="K69" s="399"/>
      <c r="L69" s="396"/>
      <c r="M69" s="70" t="s">
        <v>951</v>
      </c>
      <c r="N69" s="400"/>
      <c r="O69" s="400"/>
      <c r="P69" s="400"/>
      <c r="Q69" s="400"/>
      <c r="R69" s="400"/>
      <c r="S69" s="70"/>
      <c r="T69" s="70"/>
    </row>
    <row r="70" spans="1:20">
      <c r="A70" s="396">
        <f t="shared" si="1"/>
        <v>65</v>
      </c>
      <c r="B70" s="69" t="s">
        <v>141</v>
      </c>
      <c r="C70" s="69" t="s">
        <v>133</v>
      </c>
      <c r="D70" s="69" t="s">
        <v>1861</v>
      </c>
      <c r="E70" s="400"/>
      <c r="F70" s="396"/>
      <c r="G70" s="396"/>
      <c r="H70" s="396"/>
      <c r="I70" s="396"/>
      <c r="J70" s="70">
        <v>224.28800000000001</v>
      </c>
      <c r="K70" s="399"/>
      <c r="L70" s="396"/>
      <c r="M70" s="70" t="s">
        <v>951</v>
      </c>
      <c r="N70" s="400"/>
      <c r="O70" s="400"/>
      <c r="P70" s="400"/>
      <c r="Q70" s="400"/>
      <c r="R70" s="400"/>
      <c r="S70" s="70"/>
      <c r="T70" s="70"/>
    </row>
    <row r="71" spans="1:20">
      <c r="A71" s="396">
        <f t="shared" si="1"/>
        <v>66</v>
      </c>
      <c r="B71" s="69" t="s">
        <v>147</v>
      </c>
      <c r="C71" s="69" t="s">
        <v>245</v>
      </c>
      <c r="D71" s="69" t="s">
        <v>1862</v>
      </c>
      <c r="E71" s="400"/>
      <c r="F71" s="396"/>
      <c r="G71" s="396"/>
      <c r="H71" s="396"/>
      <c r="I71" s="396"/>
      <c r="J71" s="112">
        <v>422</v>
      </c>
      <c r="K71" s="399"/>
      <c r="L71" s="396"/>
      <c r="M71" s="70" t="s">
        <v>951</v>
      </c>
      <c r="N71" s="400"/>
      <c r="O71" s="400"/>
      <c r="P71" s="400"/>
      <c r="Q71" s="400"/>
      <c r="R71" s="400"/>
      <c r="S71" s="70"/>
      <c r="T71" s="70"/>
    </row>
    <row r="72" spans="1:20">
      <c r="A72" s="396">
        <f t="shared" si="1"/>
        <v>67</v>
      </c>
      <c r="B72" s="69" t="s">
        <v>152</v>
      </c>
      <c r="C72" s="69" t="s">
        <v>251</v>
      </c>
      <c r="D72" s="69" t="s">
        <v>134</v>
      </c>
      <c r="E72" s="400"/>
      <c r="F72" s="396"/>
      <c r="G72" s="396"/>
      <c r="H72" s="396"/>
      <c r="I72" s="396"/>
      <c r="J72" s="70">
        <v>364.19499999999999</v>
      </c>
      <c r="K72" s="399"/>
      <c r="L72" s="396"/>
      <c r="M72" s="70" t="s">
        <v>951</v>
      </c>
      <c r="N72" s="400"/>
      <c r="O72" s="400"/>
      <c r="P72" s="400"/>
      <c r="Q72" s="400"/>
      <c r="R72" s="400"/>
      <c r="S72" s="70"/>
      <c r="T72" s="70"/>
    </row>
    <row r="73" spans="1:20">
      <c r="A73" s="396">
        <f t="shared" si="1"/>
        <v>68</v>
      </c>
      <c r="B73" s="69" t="s">
        <v>166</v>
      </c>
      <c r="C73" s="69" t="s">
        <v>245</v>
      </c>
      <c r="D73" s="69" t="s">
        <v>1863</v>
      </c>
      <c r="E73" s="400"/>
      <c r="F73" s="396"/>
      <c r="G73" s="396"/>
      <c r="H73" s="396"/>
      <c r="I73" s="396"/>
      <c r="J73" s="70">
        <v>397.75299999999999</v>
      </c>
      <c r="K73" s="399"/>
      <c r="L73" s="396"/>
      <c r="M73" s="400" t="s">
        <v>29</v>
      </c>
      <c r="N73" s="400" t="s">
        <v>41</v>
      </c>
      <c r="O73" s="400" t="s">
        <v>29</v>
      </c>
      <c r="P73" s="400"/>
      <c r="Q73" s="400"/>
      <c r="R73" s="400"/>
      <c r="S73" s="70"/>
      <c r="T73" s="70"/>
    </row>
    <row r="74" spans="1:20">
      <c r="A74" s="396">
        <f t="shared" si="1"/>
        <v>69</v>
      </c>
      <c r="B74" s="69" t="s">
        <v>174</v>
      </c>
      <c r="C74" s="69" t="s">
        <v>133</v>
      </c>
      <c r="D74" s="69" t="s">
        <v>1864</v>
      </c>
      <c r="E74" s="400"/>
      <c r="F74" s="396"/>
      <c r="G74" s="396"/>
      <c r="H74" s="396"/>
      <c r="I74" s="396"/>
      <c r="J74" s="70">
        <v>253</v>
      </c>
      <c r="K74" s="399"/>
      <c r="L74" s="396"/>
      <c r="M74" s="70" t="s">
        <v>951</v>
      </c>
      <c r="N74" s="400"/>
      <c r="O74" s="400"/>
      <c r="P74" s="400"/>
      <c r="Q74" s="400"/>
      <c r="R74" s="400"/>
      <c r="S74" s="70"/>
      <c r="T74" s="70"/>
    </row>
    <row r="75" spans="1:20">
      <c r="A75" s="396">
        <f t="shared" ref="A75:A133" si="2">A74+1</f>
        <v>70</v>
      </c>
      <c r="B75" s="69" t="s">
        <v>1858</v>
      </c>
      <c r="C75" s="69" t="s">
        <v>133</v>
      </c>
      <c r="D75" s="69" t="s">
        <v>134</v>
      </c>
      <c r="E75" s="400"/>
      <c r="F75" s="396"/>
      <c r="G75" s="396"/>
      <c r="H75" s="396"/>
      <c r="I75" s="396"/>
      <c r="J75" s="70">
        <v>97.983000000000004</v>
      </c>
      <c r="K75" s="399"/>
      <c r="L75" s="396"/>
      <c r="M75" s="70" t="s">
        <v>951</v>
      </c>
      <c r="N75" s="400"/>
      <c r="O75" s="400"/>
      <c r="P75" s="400"/>
      <c r="Q75" s="400"/>
      <c r="R75" s="400"/>
      <c r="S75" s="70"/>
      <c r="T75" s="70"/>
    </row>
    <row r="76" spans="1:20">
      <c r="A76" s="396">
        <f t="shared" si="2"/>
        <v>71</v>
      </c>
      <c r="B76" s="69" t="s">
        <v>181</v>
      </c>
      <c r="C76" s="69" t="s">
        <v>1859</v>
      </c>
      <c r="D76" s="69" t="s">
        <v>1865</v>
      </c>
      <c r="E76" s="400"/>
      <c r="F76" s="396"/>
      <c r="G76" s="396"/>
      <c r="H76" s="396"/>
      <c r="I76" s="396"/>
      <c r="J76" s="70">
        <v>184.709</v>
      </c>
      <c r="K76" s="399"/>
      <c r="L76" s="396"/>
      <c r="M76" s="70" t="s">
        <v>951</v>
      </c>
      <c r="N76" s="400"/>
      <c r="O76" s="400"/>
      <c r="P76" s="400"/>
      <c r="Q76" s="400"/>
      <c r="R76" s="400"/>
      <c r="S76" s="70"/>
      <c r="T76" s="70"/>
    </row>
    <row r="77" spans="1:20">
      <c r="A77" s="396">
        <f t="shared" si="2"/>
        <v>72</v>
      </c>
      <c r="B77" s="69" t="s">
        <v>64</v>
      </c>
      <c r="C77" s="69" t="s">
        <v>193</v>
      </c>
      <c r="D77" s="69" t="s">
        <v>1866</v>
      </c>
      <c r="E77" s="400"/>
      <c r="F77" s="396"/>
      <c r="G77" s="396"/>
      <c r="H77" s="396"/>
      <c r="I77" s="396"/>
      <c r="J77" s="70">
        <v>165.679</v>
      </c>
      <c r="K77" s="399"/>
      <c r="L77" s="396"/>
      <c r="M77" s="70" t="s">
        <v>951</v>
      </c>
      <c r="N77" s="400"/>
      <c r="O77" s="400"/>
      <c r="P77" s="400"/>
      <c r="Q77" s="400"/>
      <c r="R77" s="400"/>
      <c r="S77" s="70"/>
      <c r="T77" s="70"/>
    </row>
    <row r="78" spans="1:20">
      <c r="A78" s="396">
        <f t="shared" si="2"/>
        <v>73</v>
      </c>
      <c r="B78" s="69" t="s">
        <v>65</v>
      </c>
      <c r="C78" s="69" t="s">
        <v>133</v>
      </c>
      <c r="D78" s="69" t="s">
        <v>862</v>
      </c>
      <c r="E78" s="400"/>
      <c r="F78" s="396"/>
      <c r="G78" s="396"/>
      <c r="H78" s="396"/>
      <c r="I78" s="396"/>
      <c r="J78" s="70">
        <v>181.22300000000001</v>
      </c>
      <c r="K78" s="399"/>
      <c r="L78" s="396"/>
      <c r="M78" s="70" t="s">
        <v>951</v>
      </c>
      <c r="N78" s="400"/>
      <c r="O78" s="400"/>
      <c r="P78" s="400"/>
      <c r="Q78" s="400"/>
      <c r="R78" s="400"/>
      <c r="S78" s="70"/>
      <c r="T78" s="70"/>
    </row>
    <row r="79" spans="1:20">
      <c r="A79" s="396">
        <f t="shared" si="2"/>
        <v>74</v>
      </c>
      <c r="B79" s="69" t="s">
        <v>213</v>
      </c>
      <c r="C79" s="69" t="s">
        <v>193</v>
      </c>
      <c r="D79" s="69" t="s">
        <v>857</v>
      </c>
      <c r="E79" s="400"/>
      <c r="F79" s="396"/>
      <c r="G79" s="396"/>
      <c r="H79" s="396"/>
      <c r="I79" s="396"/>
      <c r="J79" s="70">
        <v>205.952</v>
      </c>
      <c r="K79" s="399"/>
      <c r="L79" s="396"/>
      <c r="M79" s="400"/>
      <c r="N79" s="400"/>
      <c r="O79" s="400"/>
      <c r="P79" s="400"/>
      <c r="Q79" s="400"/>
      <c r="R79" s="400"/>
      <c r="S79" s="70" t="s">
        <v>854</v>
      </c>
      <c r="T79" s="70"/>
    </row>
    <row r="80" spans="1:20">
      <c r="A80" s="396">
        <f t="shared" si="2"/>
        <v>75</v>
      </c>
      <c r="B80" s="69" t="s">
        <v>66</v>
      </c>
      <c r="C80" s="69" t="s">
        <v>133</v>
      </c>
      <c r="D80" s="69" t="s">
        <v>852</v>
      </c>
      <c r="E80" s="400"/>
      <c r="F80" s="396"/>
      <c r="G80" s="396"/>
      <c r="H80" s="396"/>
      <c r="I80" s="396"/>
      <c r="J80" s="70">
        <v>311.52300000000002</v>
      </c>
      <c r="K80" s="399"/>
      <c r="L80" s="396"/>
      <c r="M80" s="400"/>
      <c r="N80" s="400"/>
      <c r="O80" s="400"/>
      <c r="P80" s="400"/>
      <c r="Q80" s="400"/>
      <c r="R80" s="400"/>
      <c r="S80" s="70" t="s">
        <v>844</v>
      </c>
      <c r="T80" s="70"/>
    </row>
    <row r="81" spans="1:20">
      <c r="A81" s="396">
        <f t="shared" si="2"/>
        <v>76</v>
      </c>
      <c r="B81" s="69" t="s">
        <v>224</v>
      </c>
      <c r="C81" s="69" t="s">
        <v>133</v>
      </c>
      <c r="D81" s="69" t="s">
        <v>847</v>
      </c>
      <c r="E81" s="400"/>
      <c r="F81" s="396"/>
      <c r="G81" s="396"/>
      <c r="H81" s="396"/>
      <c r="I81" s="396"/>
      <c r="J81" s="70">
        <v>241.03299999999999</v>
      </c>
      <c r="K81" s="399"/>
      <c r="L81" s="396"/>
      <c r="M81" s="400" t="s">
        <v>951</v>
      </c>
      <c r="N81" s="400"/>
      <c r="O81" s="400"/>
      <c r="P81" s="400"/>
      <c r="Q81" s="400"/>
      <c r="R81" s="400"/>
      <c r="S81" s="70" t="s">
        <v>844</v>
      </c>
      <c r="T81" s="70"/>
    </row>
    <row r="82" spans="1:20">
      <c r="A82" s="396">
        <f t="shared" si="2"/>
        <v>77</v>
      </c>
      <c r="B82" s="69" t="s">
        <v>67</v>
      </c>
      <c r="C82" s="69" t="s">
        <v>193</v>
      </c>
      <c r="D82" s="69" t="s">
        <v>842</v>
      </c>
      <c r="E82" s="400"/>
      <c r="F82" s="396"/>
      <c r="G82" s="396"/>
      <c r="H82" s="396"/>
      <c r="I82" s="396"/>
      <c r="J82" s="70">
        <v>130.69900000000001</v>
      </c>
      <c r="K82" s="399"/>
      <c r="L82" s="396"/>
      <c r="M82" s="400" t="s">
        <v>951</v>
      </c>
      <c r="N82" s="400"/>
      <c r="O82" s="400"/>
      <c r="P82" s="400"/>
      <c r="Q82" s="400"/>
      <c r="R82" s="400"/>
      <c r="S82" s="70" t="s">
        <v>834</v>
      </c>
      <c r="T82" s="70"/>
    </row>
    <row r="83" spans="1:20">
      <c r="A83" s="396">
        <f t="shared" si="2"/>
        <v>78</v>
      </c>
      <c r="B83" s="69" t="s">
        <v>68</v>
      </c>
      <c r="C83" s="69" t="s">
        <v>133</v>
      </c>
      <c r="D83" s="69" t="s">
        <v>837</v>
      </c>
      <c r="E83" s="400"/>
      <c r="F83" s="396"/>
      <c r="G83" s="396"/>
      <c r="H83" s="396"/>
      <c r="I83" s="396"/>
      <c r="J83" s="70">
        <v>318.82499999999999</v>
      </c>
      <c r="K83" s="399"/>
      <c r="L83" s="396"/>
      <c r="M83" s="400" t="s">
        <v>951</v>
      </c>
      <c r="N83" s="400"/>
      <c r="O83" s="400"/>
      <c r="P83" s="400"/>
      <c r="Q83" s="400"/>
      <c r="R83" s="400"/>
      <c r="S83" s="70" t="s">
        <v>834</v>
      </c>
      <c r="T83" s="70"/>
    </row>
    <row r="84" spans="1:20">
      <c r="A84" s="396">
        <f t="shared" si="2"/>
        <v>79</v>
      </c>
      <c r="B84" s="69" t="s">
        <v>56</v>
      </c>
      <c r="C84" s="603" t="s">
        <v>167</v>
      </c>
      <c r="D84" s="69" t="s">
        <v>831</v>
      </c>
      <c r="E84" s="400"/>
      <c r="F84" s="396"/>
      <c r="G84" s="396"/>
      <c r="H84" s="396"/>
      <c r="I84" s="396"/>
      <c r="J84" s="70">
        <v>205.018</v>
      </c>
      <c r="K84" s="399"/>
      <c r="L84" s="396"/>
      <c r="M84" s="400" t="s">
        <v>951</v>
      </c>
      <c r="N84" s="400"/>
      <c r="O84" s="400"/>
      <c r="P84" s="400"/>
      <c r="Q84" s="400"/>
      <c r="R84" s="400"/>
      <c r="S84" s="70" t="s">
        <v>138</v>
      </c>
      <c r="T84" s="70"/>
    </row>
    <row r="85" spans="1:20">
      <c r="A85" s="396">
        <f t="shared" si="2"/>
        <v>80</v>
      </c>
      <c r="B85" s="69" t="s">
        <v>60</v>
      </c>
      <c r="C85" s="69" t="s">
        <v>133</v>
      </c>
      <c r="D85" s="69" t="s">
        <v>828</v>
      </c>
      <c r="E85" s="400"/>
      <c r="F85" s="396"/>
      <c r="G85" s="396"/>
      <c r="H85" s="396"/>
      <c r="I85" s="396"/>
      <c r="J85" s="70">
        <v>136.578</v>
      </c>
      <c r="K85" s="399"/>
      <c r="L85" s="396"/>
      <c r="M85" s="400" t="s">
        <v>951</v>
      </c>
      <c r="N85" s="400"/>
      <c r="O85" s="400"/>
      <c r="P85" s="400"/>
      <c r="Q85" s="400"/>
      <c r="R85" s="400"/>
      <c r="S85" s="70" t="s">
        <v>138</v>
      </c>
      <c r="T85" s="70"/>
    </row>
    <row r="86" spans="1:20">
      <c r="A86" s="396">
        <f t="shared" si="2"/>
        <v>81</v>
      </c>
      <c r="B86" s="69" t="s">
        <v>55</v>
      </c>
      <c r="C86" s="603" t="s">
        <v>264</v>
      </c>
      <c r="D86" s="69" t="s">
        <v>824</v>
      </c>
      <c r="E86" s="400"/>
      <c r="F86" s="396"/>
      <c r="G86" s="396"/>
      <c r="H86" s="396"/>
      <c r="I86" s="396"/>
      <c r="J86" s="69">
        <v>134.69</v>
      </c>
      <c r="K86" s="399"/>
      <c r="L86" s="396"/>
      <c r="M86" s="400" t="s">
        <v>951</v>
      </c>
      <c r="N86" s="400"/>
      <c r="O86" s="400"/>
      <c r="P86" s="400"/>
      <c r="Q86" s="400"/>
      <c r="R86" s="400"/>
      <c r="S86" s="70" t="s">
        <v>821</v>
      </c>
      <c r="T86" s="70"/>
    </row>
    <row r="87" spans="1:20">
      <c r="A87" s="396">
        <f t="shared" si="2"/>
        <v>82</v>
      </c>
      <c r="B87" s="69" t="s">
        <v>59</v>
      </c>
      <c r="C87" s="69" t="s">
        <v>281</v>
      </c>
      <c r="D87" s="69" t="s">
        <v>1867</v>
      </c>
      <c r="E87" s="400"/>
      <c r="F87" s="396"/>
      <c r="G87" s="396"/>
      <c r="H87" s="396"/>
      <c r="I87" s="396"/>
      <c r="J87" s="69">
        <v>254</v>
      </c>
      <c r="K87" s="399"/>
      <c r="L87" s="396"/>
      <c r="M87" s="400" t="s">
        <v>951</v>
      </c>
      <c r="N87" s="400"/>
      <c r="O87" s="400"/>
      <c r="P87" s="400"/>
      <c r="Q87" s="400"/>
      <c r="R87" s="400"/>
      <c r="S87" s="70"/>
      <c r="T87" s="70"/>
    </row>
    <row r="88" spans="1:20">
      <c r="A88" s="396">
        <f t="shared" si="2"/>
        <v>83</v>
      </c>
      <c r="B88" s="69" t="s">
        <v>2064</v>
      </c>
      <c r="C88" s="69" t="s">
        <v>344</v>
      </c>
      <c r="D88" s="69" t="s">
        <v>1868</v>
      </c>
      <c r="E88" s="400"/>
      <c r="F88" s="396"/>
      <c r="G88" s="396"/>
      <c r="H88" s="396"/>
      <c r="I88" s="396"/>
      <c r="J88" s="69">
        <v>209.69</v>
      </c>
      <c r="K88" s="399"/>
      <c r="L88" s="396"/>
      <c r="M88" s="400" t="s">
        <v>978</v>
      </c>
      <c r="N88" s="400" t="s">
        <v>1186</v>
      </c>
      <c r="O88" s="400"/>
      <c r="P88" s="400"/>
      <c r="Q88" s="400"/>
      <c r="R88" s="400"/>
      <c r="S88" s="70"/>
      <c r="T88" s="70"/>
    </row>
    <row r="89" spans="1:20">
      <c r="A89" s="396">
        <f t="shared" si="2"/>
        <v>84</v>
      </c>
      <c r="B89" s="69" t="s">
        <v>46</v>
      </c>
      <c r="C89" s="69" t="s">
        <v>167</v>
      </c>
      <c r="D89" s="69" t="s">
        <v>1869</v>
      </c>
      <c r="E89" s="400"/>
      <c r="F89" s="396"/>
      <c r="G89" s="396"/>
      <c r="H89" s="396"/>
      <c r="I89" s="396"/>
      <c r="J89" s="69">
        <v>268.08</v>
      </c>
      <c r="K89" s="399"/>
      <c r="L89" s="396"/>
      <c r="M89" s="400" t="s">
        <v>29</v>
      </c>
      <c r="N89" s="400" t="s">
        <v>1186</v>
      </c>
      <c r="O89" s="400"/>
      <c r="P89" s="400"/>
      <c r="Q89" s="400"/>
      <c r="R89" s="400"/>
      <c r="S89" s="70"/>
      <c r="T89" s="70"/>
    </row>
    <row r="90" spans="1:20">
      <c r="A90" s="396">
        <f t="shared" si="2"/>
        <v>85</v>
      </c>
      <c r="B90" s="69" t="s">
        <v>326</v>
      </c>
      <c r="C90" s="69" t="s">
        <v>133</v>
      </c>
      <c r="D90" s="69" t="s">
        <v>1870</v>
      </c>
      <c r="E90" s="400"/>
      <c r="F90" s="396"/>
      <c r="G90" s="396"/>
      <c r="H90" s="396"/>
      <c r="I90" s="396"/>
      <c r="J90" s="69">
        <v>323.24</v>
      </c>
      <c r="K90" s="399"/>
      <c r="L90" s="396"/>
      <c r="M90" s="400" t="s">
        <v>29</v>
      </c>
      <c r="N90" s="400" t="s">
        <v>41</v>
      </c>
      <c r="O90" s="400"/>
      <c r="P90" s="400" t="s">
        <v>978</v>
      </c>
      <c r="Q90" s="400" t="s">
        <v>2018</v>
      </c>
      <c r="R90" s="400"/>
      <c r="S90" s="70"/>
      <c r="T90" s="70"/>
    </row>
    <row r="91" spans="1:20">
      <c r="A91" s="396">
        <f t="shared" si="2"/>
        <v>86</v>
      </c>
      <c r="B91" s="69" t="s">
        <v>47</v>
      </c>
      <c r="C91" s="69" t="s">
        <v>480</v>
      </c>
      <c r="D91" s="69" t="s">
        <v>1871</v>
      </c>
      <c r="E91" s="400"/>
      <c r="F91" s="396"/>
      <c r="G91" s="396"/>
      <c r="H91" s="396"/>
      <c r="I91" s="396"/>
      <c r="J91" s="69">
        <v>360.98</v>
      </c>
      <c r="K91" s="399"/>
      <c r="L91" s="396"/>
      <c r="M91" s="400" t="s">
        <v>29</v>
      </c>
      <c r="N91" s="400" t="s">
        <v>1186</v>
      </c>
      <c r="O91" s="400"/>
      <c r="P91" s="400"/>
      <c r="Q91" s="400"/>
      <c r="R91" s="400"/>
      <c r="S91" s="70"/>
      <c r="T91" s="70"/>
    </row>
    <row r="92" spans="1:20">
      <c r="A92" s="396">
        <f t="shared" si="2"/>
        <v>87</v>
      </c>
      <c r="B92" s="69" t="s">
        <v>69</v>
      </c>
      <c r="C92" s="69" t="s">
        <v>337</v>
      </c>
      <c r="D92" s="69" t="s">
        <v>820</v>
      </c>
      <c r="E92" s="400"/>
      <c r="F92" s="396"/>
      <c r="G92" s="396"/>
      <c r="H92" s="396"/>
      <c r="I92" s="396"/>
      <c r="J92" s="69">
        <v>253.41</v>
      </c>
      <c r="K92" s="399"/>
      <c r="L92" s="396"/>
      <c r="M92" s="400" t="s">
        <v>29</v>
      </c>
      <c r="N92" s="400" t="s">
        <v>1186</v>
      </c>
      <c r="O92" s="400"/>
      <c r="P92" s="400"/>
      <c r="Q92" s="400"/>
      <c r="R92" s="400"/>
      <c r="S92" s="70"/>
      <c r="T92" s="70"/>
    </row>
    <row r="93" spans="1:20">
      <c r="A93" s="396">
        <f t="shared" si="2"/>
        <v>88</v>
      </c>
      <c r="B93" s="69" t="s">
        <v>356</v>
      </c>
      <c r="C93" s="69" t="s">
        <v>193</v>
      </c>
      <c r="D93" s="69" t="s">
        <v>817</v>
      </c>
      <c r="E93" s="400"/>
      <c r="F93" s="396"/>
      <c r="G93" s="396"/>
      <c r="H93" s="396"/>
      <c r="I93" s="396"/>
      <c r="J93" s="70">
        <v>315</v>
      </c>
      <c r="K93" s="399"/>
      <c r="L93" s="396"/>
      <c r="M93" s="400" t="s">
        <v>29</v>
      </c>
      <c r="N93" s="400" t="s">
        <v>1186</v>
      </c>
      <c r="O93" s="400"/>
      <c r="P93" s="400"/>
      <c r="Q93" s="400"/>
      <c r="R93" s="400"/>
      <c r="S93" s="70" t="s">
        <v>814</v>
      </c>
      <c r="T93" s="70"/>
    </row>
    <row r="94" spans="1:20">
      <c r="A94" s="396">
        <f t="shared" si="2"/>
        <v>89</v>
      </c>
      <c r="B94" s="69" t="s">
        <v>811</v>
      </c>
      <c r="C94" s="69" t="s">
        <v>153</v>
      </c>
      <c r="D94" s="69" t="s">
        <v>134</v>
      </c>
      <c r="E94" s="400"/>
      <c r="F94" s="396"/>
      <c r="G94" s="396"/>
      <c r="H94" s="396"/>
      <c r="I94" s="396"/>
      <c r="J94" s="70">
        <v>297.88099999999997</v>
      </c>
      <c r="K94" s="399"/>
      <c r="L94" s="396"/>
      <c r="M94" s="400" t="s">
        <v>29</v>
      </c>
      <c r="N94" s="400" t="s">
        <v>1186</v>
      </c>
      <c r="O94" s="400"/>
      <c r="P94" s="400"/>
      <c r="Q94" s="400"/>
      <c r="R94" s="400"/>
      <c r="S94" s="70" t="s">
        <v>278</v>
      </c>
      <c r="T94" s="70"/>
    </row>
    <row r="95" spans="1:20">
      <c r="A95" s="396">
        <f t="shared" si="2"/>
        <v>90</v>
      </c>
      <c r="B95" s="69" t="s">
        <v>364</v>
      </c>
      <c r="C95" s="69" t="s">
        <v>133</v>
      </c>
      <c r="D95" s="69" t="s">
        <v>806</v>
      </c>
      <c r="E95" s="400"/>
      <c r="F95" s="396"/>
      <c r="G95" s="396"/>
      <c r="H95" s="396"/>
      <c r="I95" s="396"/>
      <c r="J95" s="70">
        <v>420</v>
      </c>
      <c r="K95" s="399"/>
      <c r="L95" s="396"/>
      <c r="M95" s="400" t="s">
        <v>29</v>
      </c>
      <c r="N95" s="400" t="s">
        <v>1186</v>
      </c>
      <c r="O95" s="400" t="s">
        <v>29</v>
      </c>
      <c r="P95" s="400"/>
      <c r="Q95" s="400"/>
      <c r="R95" s="400"/>
      <c r="S95" s="70" t="s">
        <v>278</v>
      </c>
      <c r="T95" s="70"/>
    </row>
    <row r="96" spans="1:20">
      <c r="A96" s="396">
        <f t="shared" si="2"/>
        <v>91</v>
      </c>
      <c r="B96" s="69" t="s">
        <v>803</v>
      </c>
      <c r="C96" s="69" t="s">
        <v>301</v>
      </c>
      <c r="D96" s="69" t="s">
        <v>134</v>
      </c>
      <c r="E96" s="400"/>
      <c r="F96" s="396"/>
      <c r="G96" s="396"/>
      <c r="H96" s="396"/>
      <c r="I96" s="396"/>
      <c r="J96" s="70">
        <v>356</v>
      </c>
      <c r="K96" s="399"/>
      <c r="L96" s="396"/>
      <c r="M96" s="400" t="s">
        <v>29</v>
      </c>
      <c r="N96" s="400" t="s">
        <v>1186</v>
      </c>
      <c r="O96" s="400" t="s">
        <v>29</v>
      </c>
      <c r="P96" s="400" t="s">
        <v>29</v>
      </c>
      <c r="Q96" s="400" t="s">
        <v>1894</v>
      </c>
      <c r="R96" s="400"/>
      <c r="S96" s="70" t="s">
        <v>278</v>
      </c>
      <c r="T96" s="70"/>
    </row>
    <row r="97" spans="1:20">
      <c r="A97" s="396">
        <f t="shared" si="2"/>
        <v>92</v>
      </c>
      <c r="B97" s="69" t="s">
        <v>799</v>
      </c>
      <c r="C97" s="69" t="s">
        <v>153</v>
      </c>
      <c r="D97" s="69" t="s">
        <v>134</v>
      </c>
      <c r="E97" s="400"/>
      <c r="F97" s="396"/>
      <c r="G97" s="396"/>
      <c r="H97" s="396"/>
      <c r="I97" s="396"/>
      <c r="J97" s="70">
        <v>358</v>
      </c>
      <c r="K97" s="399"/>
      <c r="L97" s="396"/>
      <c r="M97" s="400" t="s">
        <v>29</v>
      </c>
      <c r="N97" s="400" t="s">
        <v>1186</v>
      </c>
      <c r="O97" s="400" t="s">
        <v>29</v>
      </c>
      <c r="P97" s="400" t="s">
        <v>29</v>
      </c>
      <c r="Q97" s="400" t="s">
        <v>1894</v>
      </c>
      <c r="R97" s="400"/>
      <c r="S97" s="70" t="s">
        <v>268</v>
      </c>
      <c r="T97" s="70"/>
    </row>
    <row r="98" spans="1:20">
      <c r="A98" s="396">
        <f t="shared" si="2"/>
        <v>93</v>
      </c>
      <c r="B98" s="69" t="s">
        <v>795</v>
      </c>
      <c r="C98" s="69" t="s">
        <v>153</v>
      </c>
      <c r="D98" s="69" t="s">
        <v>134</v>
      </c>
      <c r="E98" s="400"/>
      <c r="F98" s="396"/>
      <c r="G98" s="396"/>
      <c r="H98" s="396"/>
      <c r="I98" s="396"/>
      <c r="J98" s="70">
        <v>317.51799999999997</v>
      </c>
      <c r="K98" s="399"/>
      <c r="L98" s="396"/>
      <c r="M98" s="400" t="s">
        <v>29</v>
      </c>
      <c r="N98" s="400" t="s">
        <v>1186</v>
      </c>
      <c r="O98" s="400" t="s">
        <v>29</v>
      </c>
      <c r="P98" s="400" t="s">
        <v>29</v>
      </c>
      <c r="Q98" s="400" t="s">
        <v>1894</v>
      </c>
      <c r="R98" s="400"/>
      <c r="S98" s="70" t="s">
        <v>268</v>
      </c>
      <c r="T98" s="70"/>
    </row>
    <row r="99" spans="1:20">
      <c r="A99" s="396">
        <f t="shared" si="2"/>
        <v>94</v>
      </c>
      <c r="B99" s="69" t="s">
        <v>371</v>
      </c>
      <c r="C99" s="69" t="s">
        <v>133</v>
      </c>
      <c r="D99" s="69" t="s">
        <v>792</v>
      </c>
      <c r="E99" s="400"/>
      <c r="F99" s="396"/>
      <c r="G99" s="396"/>
      <c r="H99" s="396"/>
      <c r="I99" s="396"/>
      <c r="J99" s="70">
        <v>269</v>
      </c>
      <c r="K99" s="399"/>
      <c r="L99" s="396"/>
      <c r="M99" s="400" t="s">
        <v>29</v>
      </c>
      <c r="N99" s="400" t="s">
        <v>1186</v>
      </c>
      <c r="O99" s="400" t="s">
        <v>29</v>
      </c>
      <c r="P99" s="400" t="s">
        <v>29</v>
      </c>
      <c r="Q99" s="400" t="s">
        <v>1836</v>
      </c>
      <c r="R99" s="400"/>
      <c r="S99" s="70" t="s">
        <v>268</v>
      </c>
      <c r="T99" s="70"/>
    </row>
    <row r="100" spans="1:20">
      <c r="A100" s="396">
        <f t="shared" si="2"/>
        <v>95</v>
      </c>
      <c r="B100" s="69" t="s">
        <v>376</v>
      </c>
      <c r="C100" s="69" t="s">
        <v>153</v>
      </c>
      <c r="D100" s="69" t="s">
        <v>134</v>
      </c>
      <c r="E100" s="400"/>
      <c r="F100" s="396"/>
      <c r="G100" s="396"/>
      <c r="H100" s="396"/>
      <c r="I100" s="396"/>
      <c r="J100" s="70">
        <v>240.12899999999999</v>
      </c>
      <c r="K100" s="399"/>
      <c r="L100" s="396"/>
      <c r="M100" s="400" t="s">
        <v>29</v>
      </c>
      <c r="N100" s="400" t="s">
        <v>1186</v>
      </c>
      <c r="O100" s="400" t="s">
        <v>29</v>
      </c>
      <c r="P100" s="400"/>
      <c r="Q100" s="400"/>
      <c r="R100" s="400"/>
      <c r="S100" s="70" t="s">
        <v>268</v>
      </c>
      <c r="T100" s="70"/>
    </row>
    <row r="101" spans="1:20">
      <c r="A101" s="396">
        <f t="shared" si="2"/>
        <v>96</v>
      </c>
      <c r="B101" s="69" t="s">
        <v>70</v>
      </c>
      <c r="C101" s="69" t="s">
        <v>167</v>
      </c>
      <c r="D101" s="69" t="s">
        <v>784</v>
      </c>
      <c r="E101" s="400"/>
      <c r="F101" s="396"/>
      <c r="G101" s="396"/>
      <c r="H101" s="396"/>
      <c r="I101" s="396"/>
      <c r="J101" s="70">
        <v>351</v>
      </c>
      <c r="K101" s="399"/>
      <c r="L101" s="396"/>
      <c r="M101" s="400" t="s">
        <v>29</v>
      </c>
      <c r="N101" s="400" t="s">
        <v>1186</v>
      </c>
      <c r="O101" s="400" t="s">
        <v>29</v>
      </c>
      <c r="P101" s="400" t="s">
        <v>29</v>
      </c>
      <c r="Q101" s="400" t="s">
        <v>1894</v>
      </c>
      <c r="R101" s="400"/>
      <c r="S101" s="70" t="s">
        <v>317</v>
      </c>
      <c r="T101" s="70"/>
    </row>
    <row r="102" spans="1:20">
      <c r="A102" s="396">
        <f t="shared" si="2"/>
        <v>97</v>
      </c>
      <c r="B102" s="69" t="s">
        <v>384</v>
      </c>
      <c r="C102" s="69" t="s">
        <v>153</v>
      </c>
      <c r="D102" s="69" t="s">
        <v>134</v>
      </c>
      <c r="E102" s="400"/>
      <c r="F102" s="396"/>
      <c r="G102" s="396"/>
      <c r="H102" s="396"/>
      <c r="I102" s="396"/>
      <c r="J102" s="70">
        <v>357.00900000000001</v>
      </c>
      <c r="K102" s="399"/>
      <c r="L102" s="396"/>
      <c r="M102" s="400" t="s">
        <v>29</v>
      </c>
      <c r="N102" s="400" t="s">
        <v>1186</v>
      </c>
      <c r="O102" s="400" t="s">
        <v>29</v>
      </c>
      <c r="P102" s="400" t="s">
        <v>29</v>
      </c>
      <c r="Q102" s="400" t="s">
        <v>1894</v>
      </c>
      <c r="R102" s="400"/>
      <c r="S102" s="70" t="s">
        <v>317</v>
      </c>
      <c r="T102" s="70"/>
    </row>
    <row r="103" spans="1:20">
      <c r="A103" s="396">
        <f t="shared" si="2"/>
        <v>98</v>
      </c>
      <c r="B103" s="69" t="s">
        <v>393</v>
      </c>
      <c r="C103" s="69" t="s">
        <v>245</v>
      </c>
      <c r="D103" s="69" t="s">
        <v>777</v>
      </c>
      <c r="E103" s="400"/>
      <c r="F103" s="396"/>
      <c r="G103" s="396"/>
      <c r="H103" s="396"/>
      <c r="I103" s="396"/>
      <c r="J103" s="70">
        <v>397.80500000000001</v>
      </c>
      <c r="K103" s="399"/>
      <c r="L103" s="396"/>
      <c r="M103" s="400" t="s">
        <v>29</v>
      </c>
      <c r="N103" s="70" t="s">
        <v>30</v>
      </c>
      <c r="O103" s="400" t="s">
        <v>29</v>
      </c>
      <c r="P103" s="400"/>
      <c r="Q103" s="400"/>
      <c r="R103" s="400"/>
      <c r="S103" s="70" t="s">
        <v>317</v>
      </c>
      <c r="T103" s="70"/>
    </row>
    <row r="104" spans="1:20">
      <c r="A104" s="396">
        <f t="shared" si="2"/>
        <v>99</v>
      </c>
      <c r="B104" s="69" t="s">
        <v>416</v>
      </c>
      <c r="C104" s="69" t="s">
        <v>133</v>
      </c>
      <c r="D104" s="69" t="s">
        <v>772</v>
      </c>
      <c r="E104" s="400"/>
      <c r="F104" s="396"/>
      <c r="G104" s="396"/>
      <c r="H104" s="396"/>
      <c r="I104" s="396"/>
      <c r="J104" s="70">
        <v>299</v>
      </c>
      <c r="K104" s="399"/>
      <c r="L104" s="396"/>
      <c r="M104" s="400" t="s">
        <v>29</v>
      </c>
      <c r="N104" s="70" t="s">
        <v>30</v>
      </c>
      <c r="O104" s="400" t="s">
        <v>29</v>
      </c>
      <c r="P104" s="400" t="s">
        <v>29</v>
      </c>
      <c r="Q104" s="400" t="s">
        <v>1836</v>
      </c>
      <c r="R104" s="400"/>
      <c r="S104" s="70" t="s">
        <v>330</v>
      </c>
      <c r="T104" s="70"/>
    </row>
    <row r="105" spans="1:20">
      <c r="A105" s="396">
        <f t="shared" si="2"/>
        <v>100</v>
      </c>
      <c r="B105" s="566" t="s">
        <v>421</v>
      </c>
      <c r="C105" s="69" t="s">
        <v>301</v>
      </c>
      <c r="D105" s="69"/>
      <c r="E105" s="400"/>
      <c r="F105" s="396"/>
      <c r="G105" s="396"/>
      <c r="H105" s="396"/>
      <c r="I105" s="396"/>
      <c r="J105" s="70">
        <v>382</v>
      </c>
      <c r="K105" s="399"/>
      <c r="L105" s="396"/>
      <c r="M105" s="400" t="s">
        <v>29</v>
      </c>
      <c r="N105" s="70" t="s">
        <v>30</v>
      </c>
      <c r="O105" s="400"/>
      <c r="P105" s="400" t="s">
        <v>29</v>
      </c>
      <c r="Q105" s="400" t="s">
        <v>1836</v>
      </c>
      <c r="R105" s="400"/>
      <c r="S105" s="70" t="s">
        <v>330</v>
      </c>
      <c r="T105" s="70"/>
    </row>
    <row r="106" spans="1:20">
      <c r="A106" s="396">
        <f t="shared" si="2"/>
        <v>101</v>
      </c>
      <c r="B106" s="69" t="s">
        <v>71</v>
      </c>
      <c r="C106" s="69" t="s">
        <v>344</v>
      </c>
      <c r="D106" s="69" t="s">
        <v>765</v>
      </c>
      <c r="E106" s="400"/>
      <c r="F106" s="396"/>
      <c r="G106" s="396"/>
      <c r="H106" s="396"/>
      <c r="I106" s="396"/>
      <c r="J106" s="70">
        <v>348.04199999999997</v>
      </c>
      <c r="K106" s="399"/>
      <c r="L106" s="396"/>
      <c r="M106" s="400" t="s">
        <v>29</v>
      </c>
      <c r="N106" s="70" t="s">
        <v>30</v>
      </c>
      <c r="O106" s="400" t="s">
        <v>29</v>
      </c>
      <c r="P106" s="400" t="s">
        <v>29</v>
      </c>
      <c r="Q106" s="400" t="s">
        <v>1836</v>
      </c>
      <c r="R106" s="400"/>
      <c r="S106" s="70" t="s">
        <v>330</v>
      </c>
      <c r="T106" s="70"/>
    </row>
    <row r="107" spans="1:20">
      <c r="A107" s="396">
        <f t="shared" si="2"/>
        <v>102</v>
      </c>
      <c r="B107" s="69" t="s">
        <v>436</v>
      </c>
      <c r="C107" s="69" t="s">
        <v>133</v>
      </c>
      <c r="D107" s="69" t="s">
        <v>762</v>
      </c>
      <c r="E107" s="400"/>
      <c r="F107" s="396"/>
      <c r="G107" s="396"/>
      <c r="H107" s="396"/>
      <c r="I107" s="396"/>
      <c r="J107" s="70">
        <v>278.54500000000002</v>
      </c>
      <c r="K107" s="399"/>
      <c r="L107" s="396"/>
      <c r="M107" s="400" t="s">
        <v>29</v>
      </c>
      <c r="N107" s="70" t="s">
        <v>30</v>
      </c>
      <c r="O107" s="400" t="s">
        <v>29</v>
      </c>
      <c r="P107" s="400" t="s">
        <v>29</v>
      </c>
      <c r="Q107" s="400" t="s">
        <v>1836</v>
      </c>
      <c r="R107" s="400"/>
      <c r="S107" s="70" t="s">
        <v>352</v>
      </c>
      <c r="T107" s="70"/>
    </row>
    <row r="108" spans="1:20">
      <c r="A108" s="396">
        <f t="shared" si="2"/>
        <v>103</v>
      </c>
      <c r="B108" s="69" t="s">
        <v>443</v>
      </c>
      <c r="C108" s="69" t="s">
        <v>133</v>
      </c>
      <c r="D108" s="69" t="s">
        <v>758</v>
      </c>
      <c r="E108" s="400"/>
      <c r="F108" s="396"/>
      <c r="G108" s="396"/>
      <c r="H108" s="396"/>
      <c r="I108" s="396"/>
      <c r="J108" s="70">
        <v>213.95699999999999</v>
      </c>
      <c r="K108" s="399"/>
      <c r="L108" s="396"/>
      <c r="M108" s="400" t="s">
        <v>29</v>
      </c>
      <c r="N108" s="70" t="s">
        <v>30</v>
      </c>
      <c r="O108" s="400" t="s">
        <v>29</v>
      </c>
      <c r="P108" s="400"/>
      <c r="Q108" s="400"/>
      <c r="R108" s="400"/>
      <c r="S108" s="70" t="s">
        <v>361</v>
      </c>
      <c r="T108" s="70"/>
    </row>
    <row r="109" spans="1:20">
      <c r="A109" s="396">
        <f t="shared" si="2"/>
        <v>104</v>
      </c>
      <c r="B109" s="69" t="s">
        <v>72</v>
      </c>
      <c r="C109" s="69" t="s">
        <v>133</v>
      </c>
      <c r="D109" s="69" t="s">
        <v>753</v>
      </c>
      <c r="E109" s="400">
        <v>1</v>
      </c>
      <c r="F109" s="396">
        <v>0</v>
      </c>
      <c r="G109" s="396">
        <v>0</v>
      </c>
      <c r="H109" s="396">
        <v>0</v>
      </c>
      <c r="I109" s="396">
        <v>0</v>
      </c>
      <c r="J109" s="70">
        <v>243.72300000000001</v>
      </c>
      <c r="K109" s="399"/>
      <c r="L109" s="396"/>
      <c r="M109" s="400"/>
      <c r="N109" s="400"/>
      <c r="O109" s="400"/>
      <c r="P109" s="400"/>
      <c r="Q109" s="400"/>
      <c r="R109" s="400"/>
      <c r="S109" s="70" t="s">
        <v>361</v>
      </c>
      <c r="T109" s="70"/>
    </row>
    <row r="110" spans="1:20">
      <c r="A110" s="396">
        <f t="shared" si="2"/>
        <v>105</v>
      </c>
      <c r="B110" s="603" t="s">
        <v>457</v>
      </c>
      <c r="C110" s="69" t="s">
        <v>133</v>
      </c>
      <c r="D110" s="69" t="s">
        <v>747</v>
      </c>
      <c r="E110" s="400"/>
      <c r="F110" s="396"/>
      <c r="G110" s="396"/>
      <c r="H110" s="396"/>
      <c r="I110" s="396"/>
      <c r="J110" s="70">
        <v>330.00099999999998</v>
      </c>
      <c r="K110" s="399"/>
      <c r="L110" s="396"/>
      <c r="M110" s="400" t="s">
        <v>29</v>
      </c>
      <c r="N110" s="70" t="s">
        <v>30</v>
      </c>
      <c r="O110" s="400" t="s">
        <v>29</v>
      </c>
      <c r="P110" s="400" t="s">
        <v>29</v>
      </c>
      <c r="Q110" s="400" t="s">
        <v>1836</v>
      </c>
      <c r="R110" s="400"/>
      <c r="S110" s="70" t="s">
        <v>744</v>
      </c>
      <c r="T110" s="70"/>
    </row>
    <row r="111" spans="1:20">
      <c r="A111" s="396">
        <f t="shared" si="2"/>
        <v>106</v>
      </c>
      <c r="B111" s="603" t="s">
        <v>1872</v>
      </c>
      <c r="C111" s="69" t="s">
        <v>153</v>
      </c>
      <c r="D111" s="69" t="s">
        <v>134</v>
      </c>
      <c r="E111" s="400"/>
      <c r="F111" s="396"/>
      <c r="G111" s="396"/>
      <c r="H111" s="396"/>
      <c r="I111" s="396"/>
      <c r="J111" s="70">
        <v>283.11200000000002</v>
      </c>
      <c r="K111" s="399"/>
      <c r="L111" s="396"/>
      <c r="M111" s="400" t="s">
        <v>29</v>
      </c>
      <c r="N111" s="400" t="s">
        <v>30</v>
      </c>
      <c r="O111" s="400" t="s">
        <v>29</v>
      </c>
      <c r="P111" s="400" t="s">
        <v>29</v>
      </c>
      <c r="Q111" s="400" t="s">
        <v>1836</v>
      </c>
      <c r="R111" s="400"/>
      <c r="S111" s="70"/>
      <c r="T111" s="70"/>
    </row>
    <row r="112" spans="1:20">
      <c r="A112" s="396">
        <f t="shared" si="2"/>
        <v>107</v>
      </c>
      <c r="B112" s="69" t="s">
        <v>73</v>
      </c>
      <c r="C112" s="69" t="s">
        <v>344</v>
      </c>
      <c r="D112" s="69" t="s">
        <v>1874</v>
      </c>
      <c r="E112" s="400"/>
      <c r="F112" s="396"/>
      <c r="G112" s="396"/>
      <c r="H112" s="396"/>
      <c r="I112" s="396"/>
      <c r="J112" s="70">
        <v>375</v>
      </c>
      <c r="K112" s="399"/>
      <c r="L112" s="396"/>
      <c r="M112" s="400" t="s">
        <v>29</v>
      </c>
      <c r="N112" s="70" t="s">
        <v>30</v>
      </c>
      <c r="O112" s="400" t="s">
        <v>29</v>
      </c>
      <c r="P112" s="400" t="s">
        <v>29</v>
      </c>
      <c r="Q112" s="400" t="s">
        <v>1836</v>
      </c>
      <c r="R112" s="400"/>
      <c r="S112" s="70"/>
      <c r="T112" s="70"/>
    </row>
    <row r="113" spans="1:20">
      <c r="A113" s="396">
        <f t="shared" si="2"/>
        <v>108</v>
      </c>
      <c r="B113" s="69" t="s">
        <v>1852</v>
      </c>
      <c r="C113" s="69" t="s">
        <v>251</v>
      </c>
      <c r="D113" s="69" t="s">
        <v>134</v>
      </c>
      <c r="E113" s="400"/>
      <c r="F113" s="396"/>
      <c r="G113" s="396"/>
      <c r="H113" s="396"/>
      <c r="I113" s="396"/>
      <c r="J113" s="70">
        <v>406.01299999999998</v>
      </c>
      <c r="K113" s="399"/>
      <c r="L113" s="396"/>
      <c r="M113" s="400" t="s">
        <v>29</v>
      </c>
      <c r="N113" s="70" t="s">
        <v>30</v>
      </c>
      <c r="O113" s="400" t="s">
        <v>29</v>
      </c>
      <c r="P113" s="400" t="s">
        <v>29</v>
      </c>
      <c r="Q113" s="400" t="s">
        <v>1836</v>
      </c>
      <c r="R113" s="400"/>
      <c r="S113" s="70"/>
      <c r="T113" s="70"/>
    </row>
    <row r="114" spans="1:20">
      <c r="A114" s="396">
        <f t="shared" si="2"/>
        <v>109</v>
      </c>
      <c r="B114" s="69" t="s">
        <v>1168</v>
      </c>
      <c r="C114" s="69" t="s">
        <v>344</v>
      </c>
      <c r="D114" s="69" t="s">
        <v>1875</v>
      </c>
      <c r="E114" s="400"/>
      <c r="F114" s="396"/>
      <c r="G114" s="396"/>
      <c r="H114" s="396"/>
      <c r="I114" s="396"/>
      <c r="J114" s="70">
        <v>398.93799999999999</v>
      </c>
      <c r="K114" s="399"/>
      <c r="L114" s="396"/>
      <c r="M114" s="400" t="s">
        <v>29</v>
      </c>
      <c r="N114" s="70" t="s">
        <v>30</v>
      </c>
      <c r="O114" s="400" t="s">
        <v>29</v>
      </c>
      <c r="P114" s="400" t="s">
        <v>29</v>
      </c>
      <c r="Q114" s="400" t="s">
        <v>1836</v>
      </c>
      <c r="R114" s="400"/>
      <c r="S114" s="70"/>
      <c r="T114" s="70"/>
    </row>
    <row r="115" spans="1:20">
      <c r="A115" s="396">
        <f t="shared" si="2"/>
        <v>110</v>
      </c>
      <c r="B115" s="69" t="s">
        <v>1206</v>
      </c>
      <c r="C115" s="69" t="s">
        <v>133</v>
      </c>
      <c r="D115" s="69" t="s">
        <v>1876</v>
      </c>
      <c r="E115" s="400"/>
      <c r="F115" s="396"/>
      <c r="G115" s="396"/>
      <c r="H115" s="396"/>
      <c r="I115" s="396"/>
      <c r="J115" s="70">
        <v>335</v>
      </c>
      <c r="K115" s="399"/>
      <c r="L115" s="396"/>
      <c r="M115" s="400" t="s">
        <v>29</v>
      </c>
      <c r="N115" s="70" t="s">
        <v>30</v>
      </c>
      <c r="O115" s="400" t="s">
        <v>29</v>
      </c>
      <c r="P115" s="400" t="s">
        <v>29</v>
      </c>
      <c r="Q115" s="400" t="s">
        <v>1836</v>
      </c>
      <c r="R115" s="400"/>
      <c r="S115" s="70"/>
      <c r="T115" s="70"/>
    </row>
    <row r="116" spans="1:20">
      <c r="A116" s="396">
        <f t="shared" si="2"/>
        <v>111</v>
      </c>
      <c r="B116" s="69" t="s">
        <v>1873</v>
      </c>
      <c r="C116" s="69" t="s">
        <v>187</v>
      </c>
      <c r="D116" s="69" t="s">
        <v>134</v>
      </c>
      <c r="E116" s="400"/>
      <c r="F116" s="396"/>
      <c r="G116" s="396"/>
      <c r="H116" s="396"/>
      <c r="I116" s="396"/>
      <c r="J116" s="70">
        <v>402.89699999999999</v>
      </c>
      <c r="K116" s="399"/>
      <c r="L116" s="396"/>
      <c r="M116" s="400"/>
      <c r="N116" s="400"/>
      <c r="O116" s="400"/>
      <c r="P116" s="400"/>
      <c r="Q116" s="400"/>
      <c r="R116" s="400"/>
      <c r="S116" s="70"/>
      <c r="T116" s="70"/>
    </row>
    <row r="117" spans="1:20">
      <c r="A117" s="396">
        <f t="shared" si="2"/>
        <v>112</v>
      </c>
      <c r="B117" s="69" t="s">
        <v>44</v>
      </c>
      <c r="C117" s="69" t="s">
        <v>357</v>
      </c>
      <c r="D117" s="69" t="s">
        <v>743</v>
      </c>
      <c r="E117" s="400"/>
      <c r="F117" s="396"/>
      <c r="G117" s="396"/>
      <c r="H117" s="396"/>
      <c r="I117" s="396"/>
      <c r="J117" s="70">
        <v>385.19900000000001</v>
      </c>
      <c r="K117" s="399"/>
      <c r="L117" s="396"/>
      <c r="M117" s="400" t="s">
        <v>29</v>
      </c>
      <c r="N117" s="400" t="s">
        <v>30</v>
      </c>
      <c r="O117" s="400"/>
      <c r="P117" s="400"/>
      <c r="Q117" s="400"/>
      <c r="R117" s="400"/>
      <c r="S117" s="70"/>
      <c r="T117" s="70"/>
    </row>
    <row r="118" spans="1:20">
      <c r="A118" s="396">
        <f t="shared" si="2"/>
        <v>113</v>
      </c>
      <c r="B118" s="603" t="s">
        <v>40</v>
      </c>
      <c r="C118" s="69" t="s">
        <v>257</v>
      </c>
      <c r="D118" s="69" t="s">
        <v>738</v>
      </c>
      <c r="E118" s="400"/>
      <c r="F118" s="396"/>
      <c r="G118" s="396"/>
      <c r="H118" s="396"/>
      <c r="I118" s="396"/>
      <c r="J118" s="70">
        <v>378.47</v>
      </c>
      <c r="K118" s="399"/>
      <c r="L118" s="396"/>
      <c r="M118" s="400" t="s">
        <v>29</v>
      </c>
      <c r="N118" s="70" t="s">
        <v>30</v>
      </c>
      <c r="O118" s="400" t="s">
        <v>29</v>
      </c>
      <c r="P118" s="400"/>
      <c r="Q118" s="400"/>
      <c r="R118" s="400"/>
      <c r="S118" s="70" t="s">
        <v>397</v>
      </c>
      <c r="T118" s="70"/>
    </row>
    <row r="119" spans="1:20">
      <c r="A119" s="396">
        <f t="shared" si="2"/>
        <v>114</v>
      </c>
      <c r="B119" s="69" t="s">
        <v>74</v>
      </c>
      <c r="C119" s="69" t="s">
        <v>193</v>
      </c>
      <c r="D119" s="69" t="s">
        <v>733</v>
      </c>
      <c r="E119" s="400"/>
      <c r="F119" s="396"/>
      <c r="G119" s="396"/>
      <c r="H119" s="396"/>
      <c r="I119" s="396"/>
      <c r="J119" s="70">
        <v>413</v>
      </c>
      <c r="K119" s="399"/>
      <c r="L119" s="396"/>
      <c r="M119" s="400"/>
      <c r="N119" s="400"/>
      <c r="O119" s="400"/>
      <c r="P119" s="400"/>
      <c r="Q119" s="400"/>
      <c r="R119" s="400"/>
      <c r="S119" s="70" t="s">
        <v>397</v>
      </c>
      <c r="T119" s="70"/>
    </row>
    <row r="120" spans="1:20">
      <c r="A120" s="396">
        <f t="shared" si="2"/>
        <v>115</v>
      </c>
      <c r="B120" s="69" t="s">
        <v>729</v>
      </c>
      <c r="C120" s="69" t="s">
        <v>301</v>
      </c>
      <c r="D120" s="69" t="s">
        <v>134</v>
      </c>
      <c r="E120" s="400"/>
      <c r="F120" s="396"/>
      <c r="G120" s="396"/>
      <c r="H120" s="396"/>
      <c r="I120" s="396"/>
      <c r="J120" s="70">
        <v>386</v>
      </c>
      <c r="K120" s="399"/>
      <c r="L120" s="396"/>
      <c r="M120" s="400" t="s">
        <v>29</v>
      </c>
      <c r="N120" s="70" t="s">
        <v>30</v>
      </c>
      <c r="O120" s="400"/>
      <c r="P120" s="400"/>
      <c r="Q120" s="400"/>
      <c r="R120" s="400"/>
      <c r="S120" s="70" t="s">
        <v>397</v>
      </c>
      <c r="T120" s="70"/>
    </row>
    <row r="121" spans="1:20">
      <c r="A121" s="396">
        <f t="shared" si="2"/>
        <v>116</v>
      </c>
      <c r="B121" s="69" t="s">
        <v>726</v>
      </c>
      <c r="C121" s="69" t="s">
        <v>187</v>
      </c>
      <c r="D121" s="69" t="s">
        <v>134</v>
      </c>
      <c r="E121" s="400"/>
      <c r="F121" s="396"/>
      <c r="G121" s="396"/>
      <c r="H121" s="396"/>
      <c r="I121" s="396"/>
      <c r="J121" s="70">
        <v>398</v>
      </c>
      <c r="K121" s="399"/>
      <c r="L121" s="396"/>
      <c r="M121" s="400" t="s">
        <v>29</v>
      </c>
      <c r="N121" s="70" t="s">
        <v>30</v>
      </c>
      <c r="O121" s="400"/>
      <c r="P121" s="400"/>
      <c r="Q121" s="400"/>
      <c r="R121" s="400"/>
      <c r="S121" s="70" t="s">
        <v>406</v>
      </c>
      <c r="T121" s="70"/>
    </row>
    <row r="122" spans="1:20">
      <c r="A122" s="396">
        <f t="shared" si="2"/>
        <v>117</v>
      </c>
      <c r="B122" s="69" t="s">
        <v>722</v>
      </c>
      <c r="C122" s="69" t="s">
        <v>153</v>
      </c>
      <c r="D122" s="69" t="s">
        <v>134</v>
      </c>
      <c r="E122" s="400"/>
      <c r="F122" s="396"/>
      <c r="G122" s="396"/>
      <c r="H122" s="396"/>
      <c r="I122" s="396"/>
      <c r="J122" s="70">
        <v>401</v>
      </c>
      <c r="K122" s="399"/>
      <c r="L122" s="396"/>
      <c r="M122" s="400" t="s">
        <v>29</v>
      </c>
      <c r="N122" s="70" t="s">
        <v>30</v>
      </c>
      <c r="O122" s="400"/>
      <c r="P122" s="400"/>
      <c r="Q122" s="400"/>
      <c r="R122" s="400"/>
      <c r="S122" s="70" t="s">
        <v>406</v>
      </c>
      <c r="T122" s="70"/>
    </row>
    <row r="123" spans="1:20">
      <c r="A123" s="396">
        <f t="shared" si="2"/>
        <v>118</v>
      </c>
      <c r="B123" s="69" t="s">
        <v>718</v>
      </c>
      <c r="C123" s="69" t="s">
        <v>187</v>
      </c>
      <c r="D123" s="69" t="s">
        <v>134</v>
      </c>
      <c r="E123" s="400"/>
      <c r="F123" s="396"/>
      <c r="G123" s="396"/>
      <c r="H123" s="396"/>
      <c r="I123" s="396"/>
      <c r="J123" s="70">
        <v>367</v>
      </c>
      <c r="K123" s="399"/>
      <c r="L123" s="396"/>
      <c r="M123" s="400" t="s">
        <v>29</v>
      </c>
      <c r="N123" s="400" t="s">
        <v>30</v>
      </c>
      <c r="O123" s="400"/>
      <c r="P123" s="400"/>
      <c r="Q123" s="400"/>
      <c r="R123" s="400"/>
      <c r="S123" s="70" t="s">
        <v>715</v>
      </c>
      <c r="T123" s="70"/>
    </row>
    <row r="124" spans="1:20">
      <c r="A124" s="396">
        <f t="shared" si="2"/>
        <v>119</v>
      </c>
      <c r="B124" s="69" t="s">
        <v>713</v>
      </c>
      <c r="C124" s="69" t="s">
        <v>187</v>
      </c>
      <c r="D124" s="69" t="s">
        <v>134</v>
      </c>
      <c r="E124" s="400"/>
      <c r="F124" s="396"/>
      <c r="G124" s="396"/>
      <c r="H124" s="396"/>
      <c r="I124" s="396"/>
      <c r="J124" s="70">
        <v>432.74299999999999</v>
      </c>
      <c r="K124" s="399"/>
      <c r="L124" s="396"/>
      <c r="M124" s="400" t="s">
        <v>29</v>
      </c>
      <c r="N124" s="400" t="s">
        <v>30</v>
      </c>
      <c r="O124" s="400"/>
      <c r="P124" s="400"/>
      <c r="Q124" s="400"/>
      <c r="R124" s="400"/>
      <c r="S124" s="70" t="s">
        <v>692</v>
      </c>
      <c r="T124" s="70"/>
    </row>
    <row r="125" spans="1:20">
      <c r="A125" s="396">
        <f t="shared" si="2"/>
        <v>120</v>
      </c>
      <c r="B125" s="69" t="s">
        <v>54</v>
      </c>
      <c r="C125" s="69" t="s">
        <v>337</v>
      </c>
      <c r="D125" s="69" t="s">
        <v>709</v>
      </c>
      <c r="E125" s="400"/>
      <c r="F125" s="396"/>
      <c r="G125" s="396"/>
      <c r="H125" s="396"/>
      <c r="I125" s="396"/>
      <c r="J125" s="70">
        <v>337.077</v>
      </c>
      <c r="K125" s="399"/>
      <c r="L125" s="396"/>
      <c r="M125" s="400" t="s">
        <v>29</v>
      </c>
      <c r="N125" s="70" t="s">
        <v>30</v>
      </c>
      <c r="O125" s="400" t="s">
        <v>29</v>
      </c>
      <c r="P125" s="400"/>
      <c r="Q125" s="400"/>
      <c r="R125" s="400"/>
      <c r="S125" s="70" t="s">
        <v>692</v>
      </c>
      <c r="T125" s="70"/>
    </row>
    <row r="126" spans="1:20">
      <c r="A126" s="396">
        <f t="shared" si="2"/>
        <v>121</v>
      </c>
      <c r="B126" s="69" t="s">
        <v>704</v>
      </c>
      <c r="C126" s="69" t="s">
        <v>167</v>
      </c>
      <c r="D126" s="69" t="s">
        <v>703</v>
      </c>
      <c r="E126" s="400"/>
      <c r="F126" s="396"/>
      <c r="G126" s="396"/>
      <c r="H126" s="396"/>
      <c r="I126" s="396"/>
      <c r="J126" s="70">
        <v>315</v>
      </c>
      <c r="K126" s="399"/>
      <c r="L126" s="396"/>
      <c r="M126" s="400" t="s">
        <v>29</v>
      </c>
      <c r="N126" s="70" t="s">
        <v>30</v>
      </c>
      <c r="O126" s="400" t="s">
        <v>29</v>
      </c>
      <c r="P126" s="400"/>
      <c r="Q126" s="400"/>
      <c r="R126" s="400"/>
      <c r="S126" s="70" t="s">
        <v>692</v>
      </c>
      <c r="T126" s="70"/>
    </row>
    <row r="127" spans="1:20">
      <c r="A127" s="396">
        <f t="shared" si="2"/>
        <v>122</v>
      </c>
      <c r="B127" s="69" t="s">
        <v>699</v>
      </c>
      <c r="C127" s="69" t="s">
        <v>153</v>
      </c>
      <c r="D127" s="69" t="s">
        <v>134</v>
      </c>
      <c r="E127" s="400"/>
      <c r="F127" s="396"/>
      <c r="G127" s="396"/>
      <c r="H127" s="396"/>
      <c r="I127" s="396"/>
      <c r="J127" s="70">
        <v>316.64499999999998</v>
      </c>
      <c r="K127" s="399"/>
      <c r="L127" s="396"/>
      <c r="M127" s="400" t="s">
        <v>29</v>
      </c>
      <c r="N127" s="70" t="s">
        <v>30</v>
      </c>
      <c r="O127" s="400" t="s">
        <v>29</v>
      </c>
      <c r="P127" s="400"/>
      <c r="Q127" s="400"/>
      <c r="R127" s="400"/>
      <c r="S127" s="70" t="s">
        <v>692</v>
      </c>
      <c r="T127" s="70"/>
    </row>
    <row r="128" spans="1:20">
      <c r="A128" s="396">
        <f t="shared" si="2"/>
        <v>123</v>
      </c>
      <c r="B128" s="69" t="s">
        <v>75</v>
      </c>
      <c r="C128" s="69" t="s">
        <v>133</v>
      </c>
      <c r="D128" s="69" t="s">
        <v>695</v>
      </c>
      <c r="E128" s="400"/>
      <c r="F128" s="396"/>
      <c r="G128" s="396"/>
      <c r="H128" s="396"/>
      <c r="I128" s="396"/>
      <c r="J128" s="70">
        <v>377.05</v>
      </c>
      <c r="K128" s="399"/>
      <c r="L128" s="396"/>
      <c r="M128" s="400" t="s">
        <v>29</v>
      </c>
      <c r="N128" s="400" t="s">
        <v>41</v>
      </c>
      <c r="O128" s="400" t="s">
        <v>29</v>
      </c>
      <c r="P128" s="400"/>
      <c r="Q128" s="400"/>
      <c r="R128" s="400"/>
      <c r="S128" s="70" t="s">
        <v>692</v>
      </c>
      <c r="T128" s="70"/>
    </row>
    <row r="129" spans="1:20">
      <c r="A129" s="396">
        <f t="shared" si="2"/>
        <v>124</v>
      </c>
      <c r="B129" s="69" t="s">
        <v>689</v>
      </c>
      <c r="C129" s="69" t="s">
        <v>344</v>
      </c>
      <c r="D129" s="69" t="s">
        <v>688</v>
      </c>
      <c r="E129" s="400"/>
      <c r="F129" s="396"/>
      <c r="G129" s="396"/>
      <c r="H129" s="396"/>
      <c r="I129" s="396"/>
      <c r="J129" s="70">
        <v>346.10300000000001</v>
      </c>
      <c r="K129" s="399"/>
      <c r="L129" s="396"/>
      <c r="M129" s="400" t="s">
        <v>29</v>
      </c>
      <c r="N129" s="400" t="s">
        <v>30</v>
      </c>
      <c r="O129" s="400" t="s">
        <v>29</v>
      </c>
      <c r="P129" s="400"/>
      <c r="Q129" s="400"/>
      <c r="R129" s="400"/>
      <c r="S129" s="70" t="s">
        <v>685</v>
      </c>
      <c r="T129" s="70"/>
    </row>
    <row r="130" spans="1:20">
      <c r="A130" s="396">
        <f t="shared" si="2"/>
        <v>125</v>
      </c>
      <c r="B130" s="603" t="s">
        <v>51</v>
      </c>
      <c r="C130" s="69" t="s">
        <v>133</v>
      </c>
      <c r="D130" s="69" t="s">
        <v>682</v>
      </c>
      <c r="E130" s="400"/>
      <c r="F130" s="396"/>
      <c r="G130" s="396"/>
      <c r="H130" s="396"/>
      <c r="I130" s="396"/>
      <c r="J130" s="70">
        <v>340.88</v>
      </c>
      <c r="K130" s="399"/>
      <c r="L130" s="396"/>
      <c r="M130" s="400" t="s">
        <v>29</v>
      </c>
      <c r="N130" s="400" t="s">
        <v>30</v>
      </c>
      <c r="O130" s="400" t="s">
        <v>29</v>
      </c>
      <c r="P130" s="400"/>
      <c r="Q130" s="400"/>
      <c r="R130" s="400"/>
      <c r="S130" s="70" t="s">
        <v>674</v>
      </c>
      <c r="T130" s="70"/>
    </row>
    <row r="131" spans="1:20">
      <c r="A131" s="396">
        <f t="shared" si="2"/>
        <v>126</v>
      </c>
      <c r="B131" s="69" t="s">
        <v>76</v>
      </c>
      <c r="C131" s="69" t="s">
        <v>344</v>
      </c>
      <c r="D131" s="69" t="s">
        <v>677</v>
      </c>
      <c r="E131" s="400"/>
      <c r="F131" s="396"/>
      <c r="G131" s="396"/>
      <c r="H131" s="396"/>
      <c r="I131" s="396"/>
      <c r="J131" s="70">
        <v>338.92599999999999</v>
      </c>
      <c r="K131" s="399"/>
      <c r="L131" s="396"/>
      <c r="M131" s="400" t="s">
        <v>29</v>
      </c>
      <c r="N131" s="400" t="s">
        <v>30</v>
      </c>
      <c r="O131" s="400"/>
      <c r="P131" s="400"/>
      <c r="Q131" s="400"/>
      <c r="R131" s="400"/>
      <c r="S131" s="70" t="s">
        <v>674</v>
      </c>
      <c r="T131" s="70"/>
    </row>
    <row r="132" spans="1:20">
      <c r="A132" s="396">
        <f t="shared" si="2"/>
        <v>127</v>
      </c>
      <c r="B132" s="69" t="s">
        <v>77</v>
      </c>
      <c r="C132" s="69" t="s">
        <v>344</v>
      </c>
      <c r="D132" s="69" t="s">
        <v>1877</v>
      </c>
      <c r="E132" s="400"/>
      <c r="F132" s="396"/>
      <c r="G132" s="396"/>
      <c r="H132" s="396"/>
      <c r="I132" s="396"/>
      <c r="J132" s="319">
        <v>299.95299999999997</v>
      </c>
      <c r="K132" s="788"/>
      <c r="L132" s="402"/>
      <c r="M132" s="400" t="s">
        <v>951</v>
      </c>
      <c r="N132" s="401"/>
      <c r="O132" s="401"/>
      <c r="P132" s="786"/>
      <c r="Q132" s="786"/>
      <c r="R132" s="786"/>
      <c r="S132" s="787"/>
      <c r="T132" s="787"/>
    </row>
    <row r="133" spans="1:20">
      <c r="A133" s="396">
        <f t="shared" si="2"/>
        <v>128</v>
      </c>
      <c r="B133" s="69" t="s">
        <v>78</v>
      </c>
      <c r="C133" s="69" t="s">
        <v>133</v>
      </c>
      <c r="D133" s="69" t="s">
        <v>1878</v>
      </c>
      <c r="E133" s="400"/>
      <c r="F133" s="396"/>
      <c r="G133" s="396"/>
      <c r="H133" s="396"/>
      <c r="I133" s="396"/>
      <c r="J133" s="70" t="s">
        <v>876</v>
      </c>
      <c r="K133" s="399"/>
      <c r="L133" s="402"/>
      <c r="M133" s="400" t="s">
        <v>951</v>
      </c>
      <c r="N133" s="401"/>
      <c r="O133" s="401"/>
      <c r="P133" s="786"/>
      <c r="Q133" s="786"/>
      <c r="R133" s="786"/>
      <c r="S133" s="787"/>
      <c r="T133" s="787"/>
    </row>
    <row r="134" spans="1:20">
      <c r="A134" s="408"/>
      <c r="B134" s="567"/>
      <c r="C134" s="567"/>
      <c r="D134" s="567"/>
      <c r="E134" s="786"/>
      <c r="F134" s="408"/>
      <c r="G134" s="408"/>
      <c r="H134" s="408"/>
      <c r="I134" s="408"/>
      <c r="J134" s="424">
        <f>SUM(J6:J132)/1000</f>
        <v>40.337674</v>
      </c>
      <c r="K134" s="788"/>
      <c r="L134" s="402"/>
      <c r="M134" s="401"/>
      <c r="N134" s="401"/>
      <c r="O134" s="401"/>
      <c r="P134" s="786"/>
      <c r="Q134" s="786"/>
      <c r="R134" s="786"/>
      <c r="S134" s="787"/>
      <c r="T134" s="787"/>
    </row>
    <row r="135" spans="1:20" s="410" customFormat="1">
      <c r="A135" s="405"/>
      <c r="B135" s="406"/>
      <c r="C135" s="406"/>
      <c r="D135" s="407"/>
      <c r="E135" s="407"/>
      <c r="F135" s="408"/>
      <c r="G135" s="408"/>
      <c r="H135" s="408"/>
      <c r="I135" s="408"/>
      <c r="K135" s="409"/>
      <c r="L135" s="1515" t="s">
        <v>979</v>
      </c>
      <c r="M135" s="1515"/>
      <c r="N135" s="1515" t="s">
        <v>980</v>
      </c>
      <c r="O135" s="1515"/>
      <c r="P135" s="405"/>
      <c r="Q135" s="407"/>
      <c r="R135" s="407"/>
      <c r="S135" s="405"/>
      <c r="T135" s="405"/>
    </row>
    <row r="136" spans="1:20" s="410" customFormat="1">
      <c r="F136" s="408"/>
      <c r="H136" s="411"/>
      <c r="J136" s="411"/>
      <c r="K136" s="411"/>
      <c r="L136" s="412" t="s">
        <v>1006</v>
      </c>
      <c r="M136" s="414">
        <f>COUNT(A6:A133)</f>
        <v>128</v>
      </c>
      <c r="N136" s="412" t="s">
        <v>1006</v>
      </c>
      <c r="O136" s="414">
        <f>COUNT(A6:A133)</f>
        <v>128</v>
      </c>
      <c r="P136" s="405"/>
      <c r="Q136" s="405"/>
      <c r="R136" s="405"/>
    </row>
    <row r="137" spans="1:20" s="410" customFormat="1">
      <c r="F137" s="408"/>
      <c r="L137" s="412" t="s">
        <v>29</v>
      </c>
      <c r="M137" s="414">
        <f>COUNTIF(M6:M133, "Completed")</f>
        <v>76</v>
      </c>
      <c r="N137" s="412" t="s">
        <v>29</v>
      </c>
      <c r="O137" s="413">
        <f>COUNTIF(P6:P133,"Completed")</f>
        <v>30</v>
      </c>
      <c r="P137" s="405"/>
      <c r="Q137" s="405"/>
      <c r="R137" s="405"/>
    </row>
    <row r="138" spans="1:20" s="410" customFormat="1">
      <c r="F138" s="408"/>
      <c r="L138" s="412" t="s">
        <v>978</v>
      </c>
      <c r="M138" s="414">
        <f>COUNTIF(M6:M133, "WIP")</f>
        <v>5</v>
      </c>
      <c r="N138" s="412" t="s">
        <v>978</v>
      </c>
      <c r="O138" s="414">
        <f>COUNTIF(P6:P133, "WIP")</f>
        <v>2</v>
      </c>
      <c r="P138" s="405"/>
      <c r="Q138" s="405"/>
      <c r="R138" s="405"/>
    </row>
    <row r="139" spans="1:20" s="410" customFormat="1">
      <c r="F139" s="408"/>
      <c r="L139" s="412" t="s">
        <v>1077</v>
      </c>
      <c r="M139" s="414">
        <f>COUNTBLANK(M6:M133)</f>
        <v>10</v>
      </c>
      <c r="N139" s="412" t="s">
        <v>1077</v>
      </c>
      <c r="O139" s="413">
        <f>COUNTBLANK(P6:P133)</f>
        <v>96</v>
      </c>
      <c r="P139" s="415"/>
      <c r="Q139" s="415"/>
      <c r="R139" s="415"/>
    </row>
    <row r="140" spans="1:20" s="410" customFormat="1">
      <c r="L140" s="412" t="s">
        <v>982</v>
      </c>
      <c r="M140" s="414">
        <f>COUNTIF(M6:M133, "HOLD")</f>
        <v>30</v>
      </c>
      <c r="N140" s="412" t="s">
        <v>982</v>
      </c>
      <c r="O140" s="413">
        <f>COUNTIF(P6:P133, "HOLD")</f>
        <v>0</v>
      </c>
      <c r="P140" s="415"/>
      <c r="Q140" s="415"/>
      <c r="R140" s="415"/>
    </row>
    <row r="141" spans="1:20">
      <c r="L141" s="412" t="s">
        <v>977</v>
      </c>
      <c r="M141" s="414">
        <f>COUNTIF(L6:L133, "ROW")</f>
        <v>9</v>
      </c>
      <c r="N141" s="412" t="s">
        <v>977</v>
      </c>
      <c r="O141" s="413">
        <f>COUNTIF(P6:P133, "ROW")</f>
        <v>0</v>
      </c>
    </row>
    <row r="142" spans="1:20" ht="30">
      <c r="L142" s="416" t="s">
        <v>983</v>
      </c>
      <c r="M142" s="414">
        <f>COUNTIF(O6:O133, "Completed")</f>
        <v>52</v>
      </c>
      <c r="N142" s="925" t="s">
        <v>984</v>
      </c>
      <c r="O142" s="413">
        <f>COUNTIF(R6:R133, "Completed")</f>
        <v>0</v>
      </c>
    </row>
    <row r="143" spans="1:20">
      <c r="L143" s="417"/>
      <c r="M143" s="417"/>
      <c r="N143" s="417"/>
    </row>
    <row r="144" spans="1:20">
      <c r="L144" s="417"/>
      <c r="M144" s="417"/>
      <c r="N144" s="417"/>
    </row>
    <row r="145" spans="12:14">
      <c r="L145" s="417"/>
      <c r="M145" s="417"/>
      <c r="N145" s="417"/>
    </row>
    <row r="146" spans="12:14">
      <c r="L146" s="417"/>
      <c r="M146" s="417"/>
      <c r="N146" s="417"/>
    </row>
    <row r="147" spans="12:14">
      <c r="L147" s="417"/>
      <c r="M147" s="417"/>
      <c r="N147" s="417"/>
    </row>
    <row r="148" spans="12:14">
      <c r="L148" s="417"/>
      <c r="M148" s="417"/>
      <c r="N148" s="417"/>
    </row>
    <row r="149" spans="12:14">
      <c r="L149" s="417"/>
      <c r="M149" s="417"/>
      <c r="N149" s="417"/>
    </row>
    <row r="150" spans="12:14">
      <c r="L150" s="417"/>
      <c r="M150" s="417"/>
      <c r="N150" s="417"/>
    </row>
    <row r="151" spans="12:14">
      <c r="L151" s="417"/>
      <c r="M151" s="417"/>
      <c r="N151" s="417"/>
    </row>
    <row r="152" spans="12:14">
      <c r="L152" s="417"/>
      <c r="M152" s="417"/>
      <c r="N152" s="417"/>
    </row>
    <row r="153" spans="12:14">
      <c r="L153" s="417"/>
      <c r="M153" s="417"/>
      <c r="N153" s="417"/>
    </row>
    <row r="154" spans="12:14">
      <c r="L154" s="417"/>
      <c r="M154" s="417"/>
      <c r="N154" s="417"/>
    </row>
    <row r="155" spans="12:14">
      <c r="L155" s="417"/>
      <c r="M155" s="417"/>
      <c r="N155" s="417"/>
    </row>
    <row r="156" spans="12:14">
      <c r="L156" s="417"/>
      <c r="M156" s="417"/>
      <c r="N156" s="417"/>
    </row>
    <row r="157" spans="12:14">
      <c r="L157" s="417"/>
      <c r="M157" s="417"/>
      <c r="N157" s="417"/>
    </row>
    <row r="158" spans="12:14">
      <c r="L158" s="417"/>
      <c r="M158" s="417"/>
      <c r="N158" s="417"/>
    </row>
    <row r="159" spans="12:14">
      <c r="L159" s="417"/>
      <c r="M159" s="417"/>
      <c r="N159" s="417"/>
    </row>
    <row r="160" spans="12:14">
      <c r="L160" s="417"/>
      <c r="M160" s="417"/>
      <c r="N160" s="417"/>
    </row>
    <row r="161" spans="12:14">
      <c r="L161" s="417"/>
      <c r="M161" s="417"/>
      <c r="N161" s="417"/>
    </row>
    <row r="162" spans="12:14">
      <c r="L162" s="417"/>
      <c r="M162" s="417"/>
      <c r="N162" s="417"/>
    </row>
    <row r="163" spans="12:14">
      <c r="L163" s="417"/>
      <c r="M163" s="417"/>
      <c r="N163" s="417"/>
    </row>
    <row r="164" spans="12:14">
      <c r="L164" s="417"/>
      <c r="M164" s="417"/>
      <c r="N164" s="417"/>
    </row>
    <row r="165" spans="12:14">
      <c r="L165" s="417"/>
      <c r="M165" s="417"/>
      <c r="N165" s="417"/>
    </row>
    <row r="166" spans="12:14">
      <c r="L166" s="417"/>
      <c r="M166" s="417"/>
      <c r="N166" s="417"/>
    </row>
    <row r="167" spans="12:14">
      <c r="L167" s="417"/>
      <c r="M167" s="417"/>
      <c r="N167" s="417"/>
    </row>
    <row r="168" spans="12:14">
      <c r="L168" s="417"/>
      <c r="M168" s="417"/>
      <c r="N168" s="417"/>
    </row>
    <row r="169" spans="12:14">
      <c r="L169" s="417"/>
      <c r="M169" s="417"/>
      <c r="N169" s="417"/>
    </row>
    <row r="170" spans="12:14">
      <c r="L170" s="417"/>
      <c r="M170" s="417"/>
      <c r="N170" s="417"/>
    </row>
    <row r="171" spans="12:14">
      <c r="L171" s="417"/>
      <c r="M171" s="417"/>
      <c r="N171" s="417"/>
    </row>
    <row r="172" spans="12:14">
      <c r="L172" s="417"/>
      <c r="M172" s="417"/>
      <c r="N172" s="417"/>
    </row>
    <row r="173" spans="12:14">
      <c r="L173" s="417"/>
      <c r="M173" s="417"/>
      <c r="N173" s="417"/>
    </row>
    <row r="174" spans="12:14">
      <c r="L174" s="417"/>
      <c r="M174" s="417"/>
      <c r="N174" s="417"/>
    </row>
    <row r="175" spans="12:14">
      <c r="L175" s="417"/>
      <c r="M175" s="417"/>
      <c r="N175" s="417"/>
    </row>
    <row r="176" spans="12:14">
      <c r="L176" s="417"/>
      <c r="M176" s="417"/>
      <c r="N176" s="417"/>
    </row>
    <row r="177" spans="12:14">
      <c r="L177" s="417"/>
      <c r="M177" s="417"/>
      <c r="N177" s="417"/>
    </row>
    <row r="178" spans="12:14">
      <c r="L178" s="417"/>
      <c r="M178" s="417"/>
      <c r="N178" s="417"/>
    </row>
    <row r="179" spans="12:14">
      <c r="L179" s="417"/>
      <c r="M179" s="417"/>
      <c r="N179" s="417"/>
    </row>
    <row r="180" spans="12:14">
      <c r="L180" s="417"/>
      <c r="M180" s="417"/>
      <c r="N180" s="417"/>
    </row>
    <row r="181" spans="12:14">
      <c r="L181" s="417"/>
      <c r="M181" s="417"/>
      <c r="N181" s="417"/>
    </row>
    <row r="182" spans="12:14">
      <c r="L182" s="417"/>
      <c r="M182" s="417"/>
      <c r="N182" s="417"/>
    </row>
    <row r="183" spans="12:14">
      <c r="L183" s="417"/>
      <c r="M183" s="417"/>
      <c r="N183" s="417"/>
    </row>
    <row r="184" spans="12:14">
      <c r="L184" s="417"/>
      <c r="M184" s="417"/>
      <c r="N184" s="417"/>
    </row>
    <row r="185" spans="12:14">
      <c r="L185" s="417"/>
      <c r="M185" s="417"/>
      <c r="N185" s="417"/>
    </row>
    <row r="186" spans="12:14">
      <c r="L186" s="417"/>
      <c r="M186" s="417"/>
      <c r="N186" s="417"/>
    </row>
    <row r="187" spans="12:14">
      <c r="L187" s="417"/>
      <c r="M187" s="417"/>
      <c r="N187" s="417"/>
    </row>
    <row r="188" spans="12:14">
      <c r="L188" s="417"/>
      <c r="M188" s="417"/>
      <c r="N188" s="417"/>
    </row>
    <row r="189" spans="12:14">
      <c r="L189" s="417"/>
      <c r="M189" s="417"/>
      <c r="N189" s="417"/>
    </row>
    <row r="190" spans="12:14">
      <c r="L190" s="417"/>
      <c r="M190" s="417"/>
      <c r="N190" s="417"/>
    </row>
    <row r="191" spans="12:14">
      <c r="L191" s="417"/>
      <c r="M191" s="417"/>
      <c r="N191" s="417"/>
    </row>
    <row r="192" spans="12:14">
      <c r="L192" s="417"/>
      <c r="M192" s="417"/>
      <c r="N192" s="417"/>
    </row>
    <row r="193" spans="12:14">
      <c r="L193" s="417"/>
      <c r="M193" s="417"/>
      <c r="N193" s="417"/>
    </row>
    <row r="194" spans="12:14">
      <c r="L194" s="417"/>
      <c r="M194" s="417"/>
      <c r="N194" s="417"/>
    </row>
    <row r="195" spans="12:14">
      <c r="L195" s="417"/>
      <c r="M195" s="417"/>
      <c r="N195" s="417"/>
    </row>
    <row r="196" spans="12:14">
      <c r="L196" s="417"/>
      <c r="M196" s="417"/>
      <c r="N196" s="417"/>
    </row>
    <row r="197" spans="12:14">
      <c r="L197" s="417"/>
      <c r="M197" s="417"/>
      <c r="N197" s="417"/>
    </row>
    <row r="198" spans="12:14">
      <c r="L198" s="417"/>
      <c r="M198" s="417"/>
      <c r="N198" s="417"/>
    </row>
    <row r="199" spans="12:14">
      <c r="L199" s="417"/>
      <c r="M199" s="417"/>
      <c r="N199" s="417"/>
    </row>
    <row r="200" spans="12:14">
      <c r="L200" s="417"/>
      <c r="M200" s="417"/>
      <c r="N200" s="417"/>
    </row>
    <row r="201" spans="12:14">
      <c r="L201" s="417"/>
      <c r="M201" s="417"/>
      <c r="N201" s="417"/>
    </row>
    <row r="202" spans="12:14">
      <c r="L202" s="417"/>
      <c r="M202" s="417"/>
      <c r="N202" s="417"/>
    </row>
    <row r="203" spans="12:14">
      <c r="L203" s="417"/>
      <c r="M203" s="417"/>
      <c r="N203" s="417"/>
    </row>
    <row r="204" spans="12:14">
      <c r="L204" s="417"/>
      <c r="M204" s="417"/>
      <c r="N204" s="417"/>
    </row>
    <row r="205" spans="12:14">
      <c r="L205" s="417"/>
      <c r="M205" s="417"/>
      <c r="N205" s="417"/>
    </row>
    <row r="206" spans="12:14">
      <c r="L206" s="417"/>
      <c r="M206" s="417"/>
      <c r="N206" s="417"/>
    </row>
    <row r="207" spans="12:14">
      <c r="L207" s="417"/>
      <c r="M207" s="417"/>
      <c r="N207" s="417"/>
    </row>
    <row r="208" spans="12:14">
      <c r="L208" s="417"/>
      <c r="M208" s="417"/>
      <c r="N208" s="417"/>
    </row>
    <row r="209" spans="12:14">
      <c r="L209" s="417"/>
      <c r="M209" s="417"/>
      <c r="N209" s="417"/>
    </row>
    <row r="210" spans="12:14">
      <c r="L210" s="417"/>
      <c r="M210" s="417"/>
      <c r="N210" s="417"/>
    </row>
    <row r="211" spans="12:14">
      <c r="L211" s="417"/>
      <c r="M211" s="417"/>
      <c r="N211" s="417"/>
    </row>
    <row r="212" spans="12:14">
      <c r="L212" s="417"/>
      <c r="M212" s="417"/>
      <c r="N212" s="417"/>
    </row>
    <row r="213" spans="12:14">
      <c r="L213" s="417"/>
      <c r="M213" s="417"/>
      <c r="N213" s="417"/>
    </row>
    <row r="214" spans="12:14">
      <c r="L214" s="417"/>
      <c r="M214" s="417"/>
      <c r="N214" s="417"/>
    </row>
    <row r="215" spans="12:14">
      <c r="L215" s="417"/>
      <c r="M215" s="417"/>
      <c r="N215" s="417"/>
    </row>
    <row r="216" spans="12:14">
      <c r="L216" s="417"/>
      <c r="M216" s="417"/>
      <c r="N216" s="417"/>
    </row>
    <row r="217" spans="12:14">
      <c r="L217" s="417"/>
      <c r="M217" s="417"/>
      <c r="N217" s="417"/>
    </row>
    <row r="218" spans="12:14">
      <c r="L218" s="417"/>
      <c r="M218" s="417"/>
      <c r="N218" s="417"/>
    </row>
    <row r="219" spans="12:14">
      <c r="L219" s="417"/>
      <c r="M219" s="417"/>
      <c r="N219" s="417"/>
    </row>
    <row r="220" spans="12:14">
      <c r="L220" s="417"/>
      <c r="M220" s="417"/>
      <c r="N220" s="417"/>
    </row>
    <row r="221" spans="12:14">
      <c r="L221" s="417"/>
      <c r="M221" s="417"/>
      <c r="N221" s="417"/>
    </row>
    <row r="222" spans="12:14">
      <c r="L222" s="417"/>
      <c r="M222" s="417"/>
      <c r="N222" s="417"/>
    </row>
    <row r="223" spans="12:14">
      <c r="L223" s="417"/>
      <c r="M223" s="417"/>
      <c r="N223" s="417"/>
    </row>
    <row r="224" spans="12:14">
      <c r="L224" s="417"/>
      <c r="M224" s="417"/>
      <c r="N224" s="417"/>
    </row>
    <row r="225" spans="12:14">
      <c r="L225" s="417"/>
      <c r="M225" s="417"/>
      <c r="N225" s="417"/>
    </row>
    <row r="226" spans="12:14">
      <c r="L226" s="417"/>
      <c r="M226" s="417"/>
      <c r="N226" s="417"/>
    </row>
    <row r="227" spans="12:14">
      <c r="L227" s="417"/>
      <c r="M227" s="417"/>
      <c r="N227" s="417"/>
    </row>
    <row r="228" spans="12:14">
      <c r="L228" s="417"/>
      <c r="M228" s="417"/>
      <c r="N228" s="417"/>
    </row>
    <row r="229" spans="12:14">
      <c r="L229" s="417"/>
      <c r="M229" s="417"/>
      <c r="N229" s="417"/>
    </row>
    <row r="230" spans="12:14">
      <c r="L230" s="417"/>
      <c r="M230" s="417"/>
      <c r="N230" s="417"/>
    </row>
    <row r="231" spans="12:14">
      <c r="L231" s="417"/>
      <c r="M231" s="417"/>
      <c r="N231" s="417"/>
    </row>
    <row r="232" spans="12:14">
      <c r="L232" s="417"/>
      <c r="M232" s="417"/>
      <c r="N232" s="417"/>
    </row>
    <row r="233" spans="12:14">
      <c r="L233" s="417"/>
      <c r="M233" s="417"/>
      <c r="N233" s="417"/>
    </row>
    <row r="234" spans="12:14">
      <c r="L234" s="417"/>
      <c r="M234" s="417"/>
      <c r="N234" s="417"/>
    </row>
    <row r="235" spans="12:14">
      <c r="L235" s="417"/>
      <c r="M235" s="417"/>
      <c r="N235" s="417"/>
    </row>
    <row r="236" spans="12:14">
      <c r="L236" s="417"/>
      <c r="M236" s="417"/>
      <c r="N236" s="417"/>
    </row>
    <row r="237" spans="12:14">
      <c r="L237" s="417"/>
      <c r="M237" s="417"/>
      <c r="N237" s="417"/>
    </row>
    <row r="238" spans="12:14">
      <c r="L238" s="417"/>
      <c r="M238" s="417"/>
      <c r="N238" s="417"/>
    </row>
    <row r="239" spans="12:14">
      <c r="L239" s="417"/>
      <c r="M239" s="417"/>
      <c r="N239" s="417"/>
    </row>
    <row r="240" spans="12:14">
      <c r="L240" s="417"/>
      <c r="M240" s="417"/>
      <c r="N240" s="417"/>
    </row>
    <row r="241" spans="12:14">
      <c r="L241" s="417"/>
      <c r="M241" s="417"/>
      <c r="N241" s="417"/>
    </row>
    <row r="242" spans="12:14">
      <c r="L242" s="417"/>
      <c r="M242" s="417"/>
      <c r="N242" s="417"/>
    </row>
    <row r="243" spans="12:14">
      <c r="L243" s="417"/>
      <c r="M243" s="417"/>
      <c r="N243" s="417"/>
    </row>
    <row r="244" spans="12:14">
      <c r="L244" s="417"/>
      <c r="M244" s="417"/>
      <c r="N244" s="417"/>
    </row>
    <row r="245" spans="12:14">
      <c r="L245" s="417"/>
      <c r="M245" s="417"/>
      <c r="N245" s="417"/>
    </row>
    <row r="246" spans="12:14">
      <c r="L246" s="417"/>
      <c r="M246" s="417"/>
      <c r="N246" s="417"/>
    </row>
    <row r="247" spans="12:14">
      <c r="L247" s="417"/>
      <c r="M247" s="417"/>
      <c r="N247" s="417"/>
    </row>
    <row r="248" spans="12:14">
      <c r="L248" s="417"/>
      <c r="M248" s="417"/>
      <c r="N248" s="417"/>
    </row>
    <row r="249" spans="12:14">
      <c r="L249" s="417"/>
      <c r="M249" s="417"/>
      <c r="N249" s="417"/>
    </row>
    <row r="250" spans="12:14">
      <c r="L250" s="417"/>
      <c r="M250" s="417"/>
      <c r="N250" s="417"/>
    </row>
    <row r="251" spans="12:14">
      <c r="L251" s="417"/>
      <c r="M251" s="417"/>
      <c r="N251" s="417"/>
    </row>
    <row r="252" spans="12:14">
      <c r="L252" s="417"/>
      <c r="M252" s="417"/>
      <c r="N252" s="417"/>
    </row>
    <row r="253" spans="12:14">
      <c r="L253" s="417"/>
      <c r="M253" s="417"/>
      <c r="N253" s="417"/>
    </row>
    <row r="254" spans="12:14">
      <c r="L254" s="417"/>
      <c r="M254" s="417"/>
      <c r="N254" s="417"/>
    </row>
    <row r="255" spans="12:14">
      <c r="L255" s="417"/>
      <c r="M255" s="417"/>
      <c r="N255" s="417"/>
    </row>
    <row r="256" spans="12:14">
      <c r="L256" s="417"/>
      <c r="M256" s="417"/>
      <c r="N256" s="417"/>
    </row>
    <row r="257" spans="12:14">
      <c r="L257" s="417"/>
      <c r="M257" s="417"/>
      <c r="N257" s="417"/>
    </row>
    <row r="258" spans="12:14">
      <c r="L258" s="417"/>
      <c r="M258" s="417"/>
      <c r="N258" s="417"/>
    </row>
    <row r="259" spans="12:14">
      <c r="L259" s="417"/>
      <c r="M259" s="417"/>
      <c r="N259" s="417"/>
    </row>
    <row r="260" spans="12:14">
      <c r="L260" s="417"/>
      <c r="M260" s="417"/>
      <c r="N260" s="417"/>
    </row>
    <row r="261" spans="12:14">
      <c r="L261" s="417"/>
      <c r="M261" s="417"/>
      <c r="N261" s="417"/>
    </row>
    <row r="262" spans="12:14">
      <c r="L262" s="417"/>
      <c r="M262" s="417"/>
      <c r="N262" s="417"/>
    </row>
    <row r="263" spans="12:14">
      <c r="L263" s="417"/>
      <c r="M263" s="417"/>
      <c r="N263" s="417"/>
    </row>
    <row r="264" spans="12:14">
      <c r="L264" s="417"/>
      <c r="M264" s="417"/>
      <c r="N264" s="417"/>
    </row>
    <row r="265" spans="12:14">
      <c r="L265" s="417"/>
      <c r="M265" s="417"/>
      <c r="N265" s="417"/>
    </row>
    <row r="266" spans="12:14">
      <c r="L266" s="417"/>
      <c r="M266" s="417"/>
      <c r="N266" s="417"/>
    </row>
    <row r="267" spans="12:14">
      <c r="L267" s="417"/>
      <c r="M267" s="417"/>
      <c r="N267" s="417"/>
    </row>
    <row r="268" spans="12:14">
      <c r="L268" s="417"/>
      <c r="M268" s="417"/>
      <c r="N268" s="417"/>
    </row>
    <row r="269" spans="12:14">
      <c r="L269" s="417"/>
      <c r="M269" s="417"/>
      <c r="N269" s="417"/>
    </row>
    <row r="270" spans="12:14">
      <c r="L270" s="417"/>
      <c r="M270" s="417"/>
      <c r="N270" s="417"/>
    </row>
    <row r="271" spans="12:14">
      <c r="L271" s="417"/>
      <c r="M271" s="417"/>
      <c r="N271" s="417"/>
    </row>
    <row r="272" spans="12:14">
      <c r="L272" s="417"/>
      <c r="M272" s="417"/>
      <c r="N272" s="417"/>
    </row>
    <row r="273" spans="12:14">
      <c r="L273" s="417"/>
      <c r="M273" s="417"/>
      <c r="N273" s="417"/>
    </row>
    <row r="274" spans="12:14">
      <c r="L274" s="417"/>
      <c r="M274" s="417"/>
      <c r="N274" s="417"/>
    </row>
    <row r="275" spans="12:14">
      <c r="L275" s="417"/>
      <c r="M275" s="417"/>
      <c r="N275" s="417"/>
    </row>
    <row r="276" spans="12:14">
      <c r="L276" s="417"/>
      <c r="M276" s="417"/>
      <c r="N276" s="417"/>
    </row>
    <row r="277" spans="12:14">
      <c r="L277" s="417"/>
      <c r="M277" s="417"/>
      <c r="N277" s="417"/>
    </row>
    <row r="278" spans="12:14">
      <c r="L278" s="417"/>
      <c r="M278" s="417"/>
      <c r="N278" s="417"/>
    </row>
    <row r="279" spans="12:14">
      <c r="L279" s="417"/>
      <c r="M279" s="417"/>
      <c r="N279" s="417"/>
    </row>
    <row r="280" spans="12:14">
      <c r="L280" s="417"/>
      <c r="M280" s="417"/>
      <c r="N280" s="417"/>
    </row>
    <row r="281" spans="12:14">
      <c r="L281" s="417"/>
      <c r="M281" s="417"/>
      <c r="N281" s="417"/>
    </row>
    <row r="282" spans="12:14">
      <c r="L282" s="417"/>
      <c r="M282" s="417"/>
      <c r="N282" s="417"/>
    </row>
    <row r="283" spans="12:14">
      <c r="L283" s="417"/>
      <c r="M283" s="417"/>
      <c r="N283" s="417"/>
    </row>
    <row r="284" spans="12:14">
      <c r="L284" s="417"/>
      <c r="M284" s="417"/>
      <c r="N284" s="417"/>
    </row>
    <row r="285" spans="12:14">
      <c r="L285" s="417"/>
      <c r="M285" s="417"/>
      <c r="N285" s="417"/>
    </row>
    <row r="286" spans="12:14">
      <c r="L286" s="417"/>
      <c r="M286" s="417"/>
      <c r="N286" s="417"/>
    </row>
    <row r="287" spans="12:14">
      <c r="L287" s="417"/>
      <c r="M287" s="417"/>
      <c r="N287" s="417"/>
    </row>
    <row r="288" spans="12:14">
      <c r="L288" s="417"/>
      <c r="M288" s="417"/>
      <c r="N288" s="417"/>
    </row>
    <row r="289" spans="12:14">
      <c r="L289" s="417"/>
      <c r="M289" s="417"/>
      <c r="N289" s="417"/>
    </row>
    <row r="290" spans="12:14">
      <c r="L290" s="417"/>
      <c r="M290" s="417"/>
      <c r="N290" s="417"/>
    </row>
    <row r="291" spans="12:14">
      <c r="L291" s="417"/>
      <c r="M291" s="417"/>
      <c r="N291" s="417"/>
    </row>
    <row r="292" spans="12:14">
      <c r="L292" s="417"/>
      <c r="M292" s="417"/>
      <c r="N292" s="417"/>
    </row>
    <row r="293" spans="12:14">
      <c r="L293" s="417"/>
      <c r="M293" s="417"/>
      <c r="N293" s="417"/>
    </row>
    <row r="294" spans="12:14">
      <c r="L294" s="417"/>
      <c r="M294" s="417"/>
      <c r="N294" s="417"/>
    </row>
    <row r="295" spans="12:14">
      <c r="L295" s="417"/>
      <c r="M295" s="417"/>
      <c r="N295" s="417"/>
    </row>
    <row r="296" spans="12:14">
      <c r="L296" s="417"/>
      <c r="M296" s="417"/>
      <c r="N296" s="417"/>
    </row>
    <row r="297" spans="12:14">
      <c r="L297" s="417"/>
      <c r="M297" s="417"/>
      <c r="N297" s="417"/>
    </row>
    <row r="298" spans="12:14">
      <c r="L298" s="417"/>
      <c r="M298" s="417"/>
      <c r="N298" s="417"/>
    </row>
    <row r="299" spans="12:14">
      <c r="L299" s="417"/>
      <c r="M299" s="417"/>
      <c r="N299" s="417"/>
    </row>
    <row r="300" spans="12:14">
      <c r="L300" s="417"/>
      <c r="M300" s="417"/>
      <c r="N300" s="417"/>
    </row>
    <row r="301" spans="12:14">
      <c r="L301" s="417"/>
      <c r="M301" s="417"/>
      <c r="N301" s="417"/>
    </row>
    <row r="302" spans="12:14">
      <c r="L302" s="417"/>
      <c r="M302" s="417"/>
      <c r="N302" s="417"/>
    </row>
    <row r="303" spans="12:14">
      <c r="L303" s="417"/>
      <c r="M303" s="417"/>
      <c r="N303" s="417"/>
    </row>
    <row r="304" spans="12:14">
      <c r="L304" s="417"/>
      <c r="M304" s="417"/>
      <c r="N304" s="417"/>
    </row>
    <row r="305" spans="12:14">
      <c r="L305" s="417"/>
      <c r="M305" s="417"/>
      <c r="N305" s="417"/>
    </row>
    <row r="306" spans="12:14">
      <c r="L306" s="417"/>
      <c r="M306" s="417"/>
      <c r="N306" s="417"/>
    </row>
    <row r="307" spans="12:14">
      <c r="L307" s="417"/>
      <c r="M307" s="417"/>
      <c r="N307" s="417"/>
    </row>
    <row r="308" spans="12:14">
      <c r="L308" s="417"/>
      <c r="M308" s="417"/>
      <c r="N308" s="417"/>
    </row>
    <row r="309" spans="12:14">
      <c r="L309" s="417"/>
      <c r="M309" s="417"/>
      <c r="N309" s="417"/>
    </row>
    <row r="310" spans="12:14">
      <c r="L310" s="417"/>
      <c r="M310" s="417"/>
      <c r="N310" s="417"/>
    </row>
    <row r="311" spans="12:14">
      <c r="L311" s="417"/>
      <c r="M311" s="417"/>
      <c r="N311" s="417"/>
    </row>
    <row r="312" spans="12:14">
      <c r="L312" s="417"/>
      <c r="M312" s="417"/>
      <c r="N312" s="417"/>
    </row>
    <row r="313" spans="12:14">
      <c r="L313" s="417"/>
      <c r="M313" s="417"/>
      <c r="N313" s="417"/>
    </row>
    <row r="314" spans="12:14">
      <c r="L314" s="417"/>
      <c r="M314" s="417"/>
      <c r="N314" s="417"/>
    </row>
    <row r="315" spans="12:14">
      <c r="L315" s="417"/>
      <c r="M315" s="417"/>
      <c r="N315" s="417"/>
    </row>
    <row r="316" spans="12:14">
      <c r="L316" s="417"/>
      <c r="M316" s="417"/>
      <c r="N316" s="417"/>
    </row>
    <row r="317" spans="12:14">
      <c r="L317" s="417"/>
      <c r="M317" s="417"/>
      <c r="N317" s="417"/>
    </row>
    <row r="318" spans="12:14">
      <c r="L318" s="417"/>
      <c r="M318" s="417"/>
      <c r="N318" s="417"/>
    </row>
    <row r="319" spans="12:14">
      <c r="L319" s="417"/>
      <c r="M319" s="417"/>
      <c r="N319" s="417"/>
    </row>
    <row r="320" spans="12:14">
      <c r="L320" s="417"/>
      <c r="M320" s="417"/>
      <c r="N320" s="417"/>
    </row>
    <row r="321" spans="12:14">
      <c r="L321" s="417"/>
      <c r="M321" s="417"/>
      <c r="N321" s="417"/>
    </row>
    <row r="322" spans="12:14">
      <c r="L322" s="417"/>
      <c r="M322" s="417"/>
      <c r="N322" s="417"/>
    </row>
    <row r="323" spans="12:14">
      <c r="L323" s="417"/>
      <c r="M323" s="417"/>
      <c r="N323" s="417"/>
    </row>
    <row r="324" spans="12:14">
      <c r="L324" s="417"/>
      <c r="M324" s="417"/>
      <c r="N324" s="417"/>
    </row>
    <row r="325" spans="12:14">
      <c r="L325" s="417"/>
      <c r="M325" s="417"/>
      <c r="N325" s="417"/>
    </row>
    <row r="326" spans="12:14">
      <c r="L326" s="417"/>
      <c r="M326" s="417"/>
      <c r="N326" s="417"/>
    </row>
    <row r="327" spans="12:14">
      <c r="L327" s="417"/>
      <c r="M327" s="417"/>
      <c r="N327" s="417"/>
    </row>
    <row r="328" spans="12:14">
      <c r="L328" s="417"/>
      <c r="M328" s="417"/>
      <c r="N328" s="417"/>
    </row>
    <row r="329" spans="12:14">
      <c r="L329" s="417"/>
      <c r="M329" s="417"/>
      <c r="N329" s="417"/>
    </row>
    <row r="330" spans="12:14">
      <c r="L330" s="417"/>
      <c r="M330" s="417"/>
      <c r="N330" s="417"/>
    </row>
    <row r="331" spans="12:14">
      <c r="L331" s="417"/>
      <c r="M331" s="417"/>
      <c r="N331" s="417"/>
    </row>
    <row r="332" spans="12:14">
      <c r="L332" s="417"/>
      <c r="M332" s="417"/>
      <c r="N332" s="417"/>
    </row>
    <row r="333" spans="12:14">
      <c r="L333" s="417"/>
      <c r="M333" s="417"/>
      <c r="N333" s="417"/>
    </row>
    <row r="334" spans="12:14">
      <c r="L334" s="417"/>
      <c r="M334" s="417"/>
      <c r="N334" s="417"/>
    </row>
    <row r="335" spans="12:14">
      <c r="L335" s="417"/>
      <c r="M335" s="417"/>
      <c r="N335" s="417"/>
    </row>
    <row r="336" spans="12:14">
      <c r="L336" s="417"/>
      <c r="M336" s="417"/>
      <c r="N336" s="417"/>
    </row>
    <row r="337" spans="12:14">
      <c r="L337" s="417"/>
      <c r="M337" s="417"/>
      <c r="N337" s="417"/>
    </row>
    <row r="338" spans="12:14">
      <c r="L338" s="417"/>
      <c r="M338" s="417"/>
      <c r="N338" s="417"/>
    </row>
    <row r="339" spans="12:14">
      <c r="L339" s="417"/>
      <c r="M339" s="417"/>
      <c r="N339" s="417"/>
    </row>
    <row r="340" spans="12:14">
      <c r="L340" s="417"/>
      <c r="M340" s="417"/>
      <c r="N340" s="417"/>
    </row>
    <row r="341" spans="12:14">
      <c r="L341" s="417"/>
      <c r="M341" s="417"/>
      <c r="N341" s="417"/>
    </row>
    <row r="342" spans="12:14">
      <c r="L342" s="417"/>
      <c r="M342" s="417"/>
      <c r="N342" s="417"/>
    </row>
    <row r="343" spans="12:14">
      <c r="L343" s="417"/>
      <c r="M343" s="417"/>
      <c r="N343" s="417"/>
    </row>
    <row r="344" spans="12:14">
      <c r="L344" s="417"/>
      <c r="M344" s="417"/>
      <c r="N344" s="417"/>
    </row>
    <row r="345" spans="12:14">
      <c r="L345" s="417"/>
      <c r="M345" s="417"/>
      <c r="N345" s="417"/>
    </row>
    <row r="346" spans="12:14">
      <c r="L346" s="417"/>
      <c r="M346" s="417"/>
      <c r="N346" s="417"/>
    </row>
    <row r="347" spans="12:14">
      <c r="L347" s="417"/>
      <c r="M347" s="417"/>
      <c r="N347" s="417"/>
    </row>
    <row r="348" spans="12:14">
      <c r="L348" s="417"/>
      <c r="M348" s="417"/>
      <c r="N348" s="417"/>
    </row>
    <row r="349" spans="12:14">
      <c r="L349" s="417"/>
      <c r="M349" s="417"/>
      <c r="N349" s="417"/>
    </row>
    <row r="350" spans="12:14">
      <c r="L350" s="417"/>
      <c r="M350" s="417"/>
      <c r="N350" s="417"/>
    </row>
    <row r="351" spans="12:14">
      <c r="L351" s="417"/>
      <c r="M351" s="417"/>
      <c r="N351" s="417"/>
    </row>
    <row r="352" spans="12:14">
      <c r="L352" s="417"/>
      <c r="M352" s="417"/>
      <c r="N352" s="417"/>
    </row>
    <row r="353" spans="12:14">
      <c r="L353" s="417"/>
      <c r="M353" s="417"/>
      <c r="N353" s="417"/>
    </row>
    <row r="354" spans="12:14">
      <c r="L354" s="417"/>
      <c r="M354" s="417"/>
      <c r="N354" s="417"/>
    </row>
    <row r="355" spans="12:14">
      <c r="L355" s="417"/>
      <c r="M355" s="417"/>
      <c r="N355" s="417"/>
    </row>
    <row r="356" spans="12:14">
      <c r="L356" s="417"/>
      <c r="M356" s="417"/>
      <c r="N356" s="417"/>
    </row>
    <row r="357" spans="12:14">
      <c r="L357" s="417"/>
      <c r="M357" s="417"/>
      <c r="N357" s="417"/>
    </row>
    <row r="358" spans="12:14">
      <c r="L358" s="417"/>
      <c r="M358" s="417"/>
      <c r="N358" s="417"/>
    </row>
    <row r="359" spans="12:14">
      <c r="L359" s="417"/>
      <c r="M359" s="417"/>
      <c r="N359" s="417"/>
    </row>
    <row r="360" spans="12:14">
      <c r="L360" s="417"/>
      <c r="M360" s="417"/>
      <c r="N360" s="417"/>
    </row>
    <row r="361" spans="12:14">
      <c r="L361" s="417"/>
      <c r="M361" s="417"/>
      <c r="N361" s="417"/>
    </row>
    <row r="362" spans="12:14">
      <c r="L362" s="417"/>
      <c r="M362" s="417"/>
      <c r="N362" s="417"/>
    </row>
    <row r="363" spans="12:14">
      <c r="L363" s="417"/>
      <c r="M363" s="417"/>
      <c r="N363" s="417"/>
    </row>
    <row r="364" spans="12:14">
      <c r="L364" s="417"/>
      <c r="M364" s="417"/>
      <c r="N364" s="417"/>
    </row>
    <row r="365" spans="12:14">
      <c r="L365" s="417"/>
      <c r="M365" s="417"/>
      <c r="N365" s="417"/>
    </row>
    <row r="366" spans="12:14">
      <c r="L366" s="417"/>
      <c r="M366" s="417"/>
      <c r="N366" s="417"/>
    </row>
    <row r="367" spans="12:14">
      <c r="L367" s="417"/>
      <c r="M367" s="417"/>
      <c r="N367" s="417"/>
    </row>
    <row r="368" spans="12:14">
      <c r="L368" s="417"/>
      <c r="M368" s="417"/>
      <c r="N368" s="417"/>
    </row>
    <row r="369" spans="12:14">
      <c r="L369" s="417"/>
      <c r="M369" s="417"/>
      <c r="N369" s="417"/>
    </row>
    <row r="370" spans="12:14">
      <c r="L370" s="417"/>
      <c r="M370" s="417"/>
      <c r="N370" s="417"/>
    </row>
    <row r="371" spans="12:14">
      <c r="L371" s="417"/>
      <c r="M371" s="417"/>
      <c r="N371" s="417"/>
    </row>
    <row r="372" spans="12:14">
      <c r="L372" s="417"/>
      <c r="M372" s="417"/>
      <c r="N372" s="417"/>
    </row>
    <row r="373" spans="12:14">
      <c r="L373" s="417"/>
      <c r="M373" s="417"/>
      <c r="N373" s="417"/>
    </row>
    <row r="374" spans="12:14">
      <c r="L374" s="417"/>
      <c r="M374" s="417"/>
      <c r="N374" s="417"/>
    </row>
    <row r="375" spans="12:14">
      <c r="L375" s="417"/>
      <c r="M375" s="417"/>
      <c r="N375" s="417"/>
    </row>
    <row r="376" spans="12:14">
      <c r="L376" s="417"/>
      <c r="M376" s="417"/>
      <c r="N376" s="417"/>
    </row>
    <row r="377" spans="12:14">
      <c r="L377" s="417"/>
      <c r="M377" s="417"/>
      <c r="N377" s="417"/>
    </row>
    <row r="378" spans="12:14">
      <c r="L378" s="417"/>
      <c r="M378" s="417"/>
      <c r="N378" s="417"/>
    </row>
    <row r="379" spans="12:14">
      <c r="L379" s="417"/>
      <c r="M379" s="417"/>
      <c r="N379" s="417"/>
    </row>
    <row r="380" spans="12:14">
      <c r="L380" s="417"/>
      <c r="M380" s="417"/>
      <c r="N380" s="417"/>
    </row>
    <row r="381" spans="12:14">
      <c r="L381" s="417"/>
      <c r="M381" s="417"/>
      <c r="N381" s="417"/>
    </row>
    <row r="382" spans="12:14">
      <c r="L382" s="417"/>
      <c r="M382" s="417"/>
      <c r="N382" s="417"/>
    </row>
    <row r="383" spans="12:14">
      <c r="L383" s="417"/>
      <c r="M383" s="417"/>
      <c r="N383" s="417"/>
    </row>
    <row r="384" spans="12:14">
      <c r="L384" s="417"/>
      <c r="M384" s="417"/>
      <c r="N384" s="417"/>
    </row>
    <row r="385" spans="12:14">
      <c r="L385" s="417"/>
      <c r="M385" s="417"/>
      <c r="N385" s="417"/>
    </row>
    <row r="386" spans="12:14">
      <c r="L386" s="417"/>
      <c r="M386" s="417"/>
      <c r="N386" s="417"/>
    </row>
    <row r="387" spans="12:14">
      <c r="L387" s="417"/>
      <c r="M387" s="417"/>
      <c r="N387" s="417"/>
    </row>
    <row r="388" spans="12:14">
      <c r="L388" s="417"/>
      <c r="M388" s="417"/>
      <c r="N388" s="417"/>
    </row>
    <row r="389" spans="12:14">
      <c r="L389" s="417"/>
      <c r="M389" s="417"/>
      <c r="N389" s="417"/>
    </row>
    <row r="390" spans="12:14">
      <c r="L390" s="417"/>
      <c r="M390" s="417"/>
      <c r="N390" s="417"/>
    </row>
    <row r="391" spans="12:14">
      <c r="L391" s="417"/>
      <c r="M391" s="417"/>
      <c r="N391" s="417"/>
    </row>
    <row r="392" spans="12:14">
      <c r="L392" s="417"/>
      <c r="M392" s="417"/>
      <c r="N392" s="417"/>
    </row>
    <row r="393" spans="12:14">
      <c r="L393" s="417"/>
      <c r="M393" s="417"/>
      <c r="N393" s="417"/>
    </row>
    <row r="394" spans="12:14">
      <c r="L394" s="417"/>
      <c r="M394" s="417"/>
      <c r="N394" s="417"/>
    </row>
    <row r="395" spans="12:14">
      <c r="L395" s="417"/>
      <c r="M395" s="417"/>
      <c r="N395" s="417"/>
    </row>
    <row r="396" spans="12:14">
      <c r="L396" s="417"/>
      <c r="M396" s="417"/>
      <c r="N396" s="417"/>
    </row>
    <row r="397" spans="12:14">
      <c r="L397" s="417"/>
      <c r="M397" s="417"/>
      <c r="N397" s="417"/>
    </row>
    <row r="398" spans="12:14">
      <c r="L398" s="417"/>
      <c r="M398" s="417"/>
      <c r="N398" s="417"/>
    </row>
    <row r="399" spans="12:14">
      <c r="L399" s="417"/>
      <c r="M399" s="417"/>
      <c r="N399" s="417"/>
    </row>
    <row r="400" spans="12:14">
      <c r="L400" s="417"/>
      <c r="M400" s="417"/>
      <c r="N400" s="417"/>
    </row>
    <row r="401" spans="12:14">
      <c r="L401" s="417"/>
      <c r="M401" s="417"/>
      <c r="N401" s="417"/>
    </row>
    <row r="402" spans="12:14">
      <c r="L402" s="417"/>
      <c r="M402" s="417"/>
      <c r="N402" s="417"/>
    </row>
    <row r="403" spans="12:14">
      <c r="L403" s="417"/>
      <c r="M403" s="417"/>
      <c r="N403" s="417"/>
    </row>
    <row r="404" spans="12:14">
      <c r="L404" s="417"/>
      <c r="M404" s="417"/>
      <c r="N404" s="417"/>
    </row>
    <row r="405" spans="12:14">
      <c r="L405" s="417"/>
      <c r="M405" s="417"/>
      <c r="N405" s="417"/>
    </row>
    <row r="406" spans="12:14">
      <c r="L406" s="417"/>
      <c r="M406" s="417"/>
      <c r="N406" s="417"/>
    </row>
    <row r="407" spans="12:14">
      <c r="L407" s="417"/>
      <c r="M407" s="417"/>
      <c r="N407" s="417"/>
    </row>
    <row r="408" spans="12:14">
      <c r="L408" s="417"/>
      <c r="M408" s="417"/>
      <c r="N408" s="417"/>
    </row>
    <row r="409" spans="12:14">
      <c r="L409" s="417"/>
      <c r="M409" s="417"/>
      <c r="N409" s="417"/>
    </row>
    <row r="410" spans="12:14">
      <c r="L410" s="417"/>
      <c r="M410" s="417"/>
      <c r="N410" s="417"/>
    </row>
    <row r="411" spans="12:14">
      <c r="L411" s="417"/>
      <c r="M411" s="417"/>
      <c r="N411" s="417"/>
    </row>
    <row r="412" spans="12:14">
      <c r="L412" s="417"/>
      <c r="M412" s="417"/>
      <c r="N412" s="417"/>
    </row>
    <row r="413" spans="12:14">
      <c r="L413" s="417"/>
      <c r="M413" s="417"/>
      <c r="N413" s="417"/>
    </row>
    <row r="414" spans="12:14">
      <c r="L414" s="417"/>
      <c r="M414" s="417"/>
      <c r="N414" s="417"/>
    </row>
    <row r="415" spans="12:14">
      <c r="L415" s="417"/>
      <c r="M415" s="417"/>
      <c r="N415" s="417"/>
    </row>
    <row r="416" spans="12:14">
      <c r="L416" s="417"/>
      <c r="M416" s="417"/>
      <c r="N416" s="417"/>
    </row>
    <row r="417" spans="12:14">
      <c r="L417" s="417"/>
      <c r="M417" s="417"/>
      <c r="N417" s="417"/>
    </row>
    <row r="418" spans="12:14">
      <c r="L418" s="417"/>
      <c r="M418" s="417"/>
      <c r="N418" s="417"/>
    </row>
    <row r="419" spans="12:14">
      <c r="L419" s="417"/>
      <c r="M419" s="417"/>
      <c r="N419" s="417"/>
    </row>
    <row r="420" spans="12:14">
      <c r="L420" s="417"/>
      <c r="M420" s="417"/>
      <c r="N420" s="417"/>
    </row>
    <row r="421" spans="12:14">
      <c r="L421" s="417"/>
      <c r="M421" s="417"/>
      <c r="N421" s="417"/>
    </row>
    <row r="422" spans="12:14">
      <c r="L422" s="417"/>
      <c r="M422" s="417"/>
      <c r="N422" s="417"/>
    </row>
    <row r="423" spans="12:14">
      <c r="L423" s="417"/>
      <c r="M423" s="417"/>
      <c r="N423" s="417"/>
    </row>
    <row r="424" spans="12:14">
      <c r="L424" s="417"/>
      <c r="M424" s="417"/>
      <c r="N424" s="417"/>
    </row>
    <row r="425" spans="12:14">
      <c r="L425" s="417"/>
      <c r="M425" s="417"/>
      <c r="N425" s="417"/>
    </row>
    <row r="426" spans="12:14">
      <c r="L426" s="417"/>
      <c r="M426" s="417"/>
      <c r="N426" s="417"/>
    </row>
    <row r="427" spans="12:14">
      <c r="L427" s="417"/>
      <c r="M427" s="417"/>
      <c r="N427" s="417"/>
    </row>
    <row r="428" spans="12:14">
      <c r="L428" s="417"/>
      <c r="M428" s="417"/>
      <c r="N428" s="417"/>
    </row>
    <row r="429" spans="12:14">
      <c r="L429" s="417"/>
      <c r="M429" s="417"/>
      <c r="N429" s="417"/>
    </row>
    <row r="430" spans="12:14">
      <c r="L430" s="417"/>
      <c r="M430" s="417"/>
      <c r="N430" s="417"/>
    </row>
    <row r="431" spans="12:14">
      <c r="L431" s="417"/>
      <c r="M431" s="417"/>
      <c r="N431" s="417"/>
    </row>
    <row r="432" spans="12:14">
      <c r="L432" s="417"/>
      <c r="M432" s="417"/>
      <c r="N432" s="417"/>
    </row>
    <row r="433" spans="12:14">
      <c r="L433" s="417"/>
      <c r="M433" s="417"/>
      <c r="N433" s="417"/>
    </row>
    <row r="434" spans="12:14">
      <c r="L434" s="417"/>
      <c r="M434" s="417"/>
      <c r="N434" s="417"/>
    </row>
    <row r="435" spans="12:14">
      <c r="L435" s="417"/>
      <c r="M435" s="417"/>
      <c r="N435" s="417"/>
    </row>
    <row r="436" spans="12:14">
      <c r="L436" s="417"/>
      <c r="M436" s="417"/>
      <c r="N436" s="417"/>
    </row>
    <row r="437" spans="12:14">
      <c r="L437" s="417"/>
      <c r="M437" s="417"/>
      <c r="N437" s="417"/>
    </row>
    <row r="438" spans="12:14">
      <c r="L438" s="417"/>
      <c r="M438" s="417"/>
      <c r="N438" s="417"/>
    </row>
    <row r="439" spans="12:14">
      <c r="L439" s="417"/>
      <c r="M439" s="417"/>
      <c r="N439" s="417"/>
    </row>
    <row r="440" spans="12:14">
      <c r="L440" s="417"/>
      <c r="M440" s="417"/>
      <c r="N440" s="417"/>
    </row>
    <row r="441" spans="12:14">
      <c r="L441" s="417"/>
      <c r="M441" s="417"/>
      <c r="N441" s="417"/>
    </row>
    <row r="442" spans="12:14">
      <c r="L442" s="417"/>
      <c r="M442" s="417"/>
      <c r="N442" s="417"/>
    </row>
    <row r="443" spans="12:14">
      <c r="L443" s="417"/>
      <c r="M443" s="417"/>
      <c r="N443" s="417"/>
    </row>
    <row r="444" spans="12:14">
      <c r="L444" s="417"/>
      <c r="M444" s="417"/>
      <c r="N444" s="417"/>
    </row>
    <row r="445" spans="12:14">
      <c r="L445" s="417"/>
      <c r="M445" s="417"/>
      <c r="N445" s="417"/>
    </row>
    <row r="446" spans="12:14">
      <c r="L446" s="417"/>
      <c r="M446" s="417"/>
      <c r="N446" s="417"/>
    </row>
    <row r="447" spans="12:14">
      <c r="L447" s="417"/>
      <c r="M447" s="417"/>
      <c r="N447" s="417"/>
    </row>
    <row r="448" spans="12:14">
      <c r="L448" s="417"/>
      <c r="M448" s="417"/>
      <c r="N448" s="417"/>
    </row>
    <row r="449" spans="12:18">
      <c r="L449" s="417"/>
      <c r="M449" s="417"/>
      <c r="N449" s="417"/>
    </row>
    <row r="450" spans="12:18">
      <c r="L450" s="417"/>
      <c r="M450" s="417"/>
      <c r="N450" s="417"/>
    </row>
    <row r="451" spans="12:18">
      <c r="L451" s="417"/>
      <c r="M451" s="417"/>
      <c r="N451" s="417"/>
    </row>
    <row r="452" spans="12:18">
      <c r="L452" s="417"/>
      <c r="M452" s="417"/>
      <c r="N452" s="417"/>
    </row>
    <row r="453" spans="12:18">
      <c r="L453" s="417"/>
      <c r="M453" s="417"/>
      <c r="N453" s="417"/>
    </row>
    <row r="454" spans="12:18">
      <c r="L454" s="417"/>
      <c r="M454" s="417"/>
      <c r="N454" s="417"/>
    </row>
    <row r="455" spans="12:18">
      <c r="L455" s="417"/>
      <c r="M455" s="417"/>
      <c r="N455" s="417"/>
    </row>
    <row r="456" spans="12:18">
      <c r="L456" s="417"/>
      <c r="M456" s="417"/>
      <c r="N456" s="417"/>
    </row>
    <row r="457" spans="12:18">
      <c r="L457" s="417"/>
      <c r="M457" s="417"/>
      <c r="N457" s="417"/>
    </row>
    <row r="458" spans="12:18">
      <c r="L458" s="417"/>
      <c r="M458" s="417"/>
      <c r="N458" s="417"/>
      <c r="O458" s="395"/>
      <c r="P458" s="395"/>
      <c r="Q458" s="395"/>
      <c r="R458" s="395"/>
    </row>
    <row r="459" spans="12:18">
      <c r="L459" s="417"/>
      <c r="M459" s="417"/>
      <c r="N459" s="417"/>
      <c r="O459" s="395"/>
      <c r="P459" s="395"/>
      <c r="Q459" s="395"/>
      <c r="R459" s="395"/>
    </row>
    <row r="460" spans="12:18">
      <c r="L460" s="417"/>
      <c r="M460" s="417"/>
      <c r="N460" s="417"/>
      <c r="O460" s="395"/>
      <c r="P460" s="395"/>
      <c r="Q460" s="395"/>
      <c r="R460" s="395"/>
    </row>
    <row r="461" spans="12:18">
      <c r="L461" s="417"/>
      <c r="M461" s="417"/>
      <c r="N461" s="417"/>
      <c r="O461" s="395"/>
      <c r="P461" s="395"/>
      <c r="Q461" s="395"/>
      <c r="R461" s="395"/>
    </row>
    <row r="462" spans="12:18">
      <c r="L462" s="417"/>
      <c r="M462" s="417"/>
      <c r="N462" s="417"/>
      <c r="O462" s="395"/>
      <c r="P462" s="395"/>
      <c r="Q462" s="395"/>
      <c r="R462" s="395"/>
    </row>
    <row r="463" spans="12:18">
      <c r="L463" s="417"/>
      <c r="M463" s="417"/>
      <c r="N463" s="417"/>
      <c r="O463" s="395"/>
      <c r="P463" s="395"/>
      <c r="Q463" s="395"/>
      <c r="R463" s="395"/>
    </row>
    <row r="464" spans="12:18">
      <c r="L464" s="417"/>
      <c r="M464" s="417"/>
      <c r="N464" s="417"/>
      <c r="O464" s="395"/>
      <c r="P464" s="395"/>
      <c r="Q464" s="395"/>
      <c r="R464" s="395"/>
    </row>
    <row r="465" spans="12:18">
      <c r="L465" s="417"/>
      <c r="M465" s="417"/>
      <c r="N465" s="417"/>
      <c r="O465" s="395"/>
      <c r="P465" s="395"/>
      <c r="Q465" s="395"/>
      <c r="R465" s="395"/>
    </row>
    <row r="466" spans="12:18">
      <c r="L466" s="417"/>
      <c r="M466" s="417"/>
      <c r="N466" s="417"/>
      <c r="O466" s="395"/>
      <c r="P466" s="395"/>
      <c r="Q466" s="395"/>
      <c r="R466" s="395"/>
    </row>
    <row r="467" spans="12:18">
      <c r="L467" s="417"/>
      <c r="M467" s="417"/>
      <c r="N467" s="417"/>
      <c r="O467" s="395"/>
      <c r="P467" s="395"/>
      <c r="Q467" s="395"/>
      <c r="R467" s="395"/>
    </row>
    <row r="468" spans="12:18">
      <c r="L468" s="417"/>
      <c r="M468" s="417"/>
      <c r="N468" s="417"/>
      <c r="O468" s="395"/>
      <c r="P468" s="395"/>
      <c r="Q468" s="395"/>
      <c r="R468" s="395"/>
    </row>
    <row r="469" spans="12:18">
      <c r="L469" s="417"/>
      <c r="M469" s="417"/>
      <c r="N469" s="417"/>
      <c r="O469" s="395"/>
      <c r="P469" s="395"/>
      <c r="Q469" s="395"/>
      <c r="R469" s="395"/>
    </row>
    <row r="470" spans="12:18">
      <c r="L470" s="417"/>
      <c r="M470" s="417"/>
      <c r="N470" s="417"/>
      <c r="O470" s="395"/>
      <c r="P470" s="395"/>
      <c r="Q470" s="395"/>
      <c r="R470" s="395"/>
    </row>
    <row r="471" spans="12:18">
      <c r="L471" s="417"/>
      <c r="M471" s="417"/>
      <c r="N471" s="417"/>
      <c r="O471" s="395"/>
      <c r="P471" s="395"/>
      <c r="Q471" s="395"/>
      <c r="R471" s="395"/>
    </row>
    <row r="472" spans="12:18">
      <c r="L472" s="417"/>
      <c r="M472" s="417"/>
      <c r="N472" s="417"/>
      <c r="O472" s="395"/>
      <c r="P472" s="395"/>
      <c r="Q472" s="395"/>
      <c r="R472" s="395"/>
    </row>
    <row r="473" spans="12:18">
      <c r="L473" s="417"/>
      <c r="M473" s="417"/>
      <c r="N473" s="417"/>
      <c r="O473" s="395"/>
      <c r="P473" s="395"/>
      <c r="Q473" s="395"/>
      <c r="R473" s="395"/>
    </row>
    <row r="474" spans="12:18">
      <c r="L474" s="417"/>
      <c r="M474" s="417"/>
      <c r="N474" s="417"/>
      <c r="O474" s="395"/>
      <c r="P474" s="395"/>
      <c r="Q474" s="395"/>
      <c r="R474" s="395"/>
    </row>
    <row r="475" spans="12:18">
      <c r="L475" s="417"/>
      <c r="M475" s="417"/>
      <c r="N475" s="417"/>
      <c r="O475" s="395"/>
      <c r="P475" s="395"/>
      <c r="Q475" s="395"/>
      <c r="R475" s="395"/>
    </row>
    <row r="476" spans="12:18">
      <c r="L476" s="417"/>
      <c r="M476" s="417"/>
      <c r="N476" s="417"/>
      <c r="O476" s="395"/>
      <c r="P476" s="395"/>
      <c r="Q476" s="395"/>
      <c r="R476" s="395"/>
    </row>
    <row r="477" spans="12:18">
      <c r="L477" s="417"/>
      <c r="M477" s="417"/>
      <c r="N477" s="417"/>
      <c r="O477" s="395"/>
      <c r="P477" s="395"/>
      <c r="Q477" s="395"/>
      <c r="R477" s="395"/>
    </row>
    <row r="478" spans="12:18">
      <c r="L478" s="417"/>
      <c r="M478" s="417"/>
      <c r="N478" s="417"/>
      <c r="O478" s="395"/>
      <c r="P478" s="395"/>
      <c r="Q478" s="395"/>
      <c r="R478" s="395"/>
    </row>
    <row r="479" spans="12:18">
      <c r="L479" s="417"/>
      <c r="M479" s="417"/>
      <c r="N479" s="417"/>
      <c r="O479" s="395"/>
      <c r="P479" s="395"/>
      <c r="Q479" s="395"/>
      <c r="R479" s="395"/>
    </row>
    <row r="480" spans="12:18">
      <c r="L480" s="417"/>
      <c r="M480" s="417"/>
      <c r="N480" s="417"/>
      <c r="O480" s="395"/>
      <c r="P480" s="395"/>
      <c r="Q480" s="395"/>
      <c r="R480" s="395"/>
    </row>
    <row r="481" spans="12:18">
      <c r="L481" s="417"/>
      <c r="M481" s="417"/>
      <c r="N481" s="417"/>
      <c r="O481" s="395"/>
      <c r="P481" s="395"/>
      <c r="Q481" s="395"/>
      <c r="R481" s="395"/>
    </row>
    <row r="482" spans="12:18">
      <c r="L482" s="417"/>
      <c r="M482" s="417"/>
      <c r="N482" s="417"/>
      <c r="O482" s="395"/>
      <c r="P482" s="395"/>
      <c r="Q482" s="395"/>
      <c r="R482" s="395"/>
    </row>
    <row r="483" spans="12:18">
      <c r="L483" s="417"/>
      <c r="M483" s="417"/>
      <c r="N483" s="417"/>
      <c r="O483" s="395"/>
      <c r="P483" s="395"/>
      <c r="Q483" s="395"/>
      <c r="R483" s="395"/>
    </row>
    <row r="484" spans="12:18">
      <c r="L484" s="417"/>
      <c r="M484" s="417"/>
      <c r="N484" s="417"/>
      <c r="O484" s="395"/>
      <c r="P484" s="395"/>
      <c r="Q484" s="395"/>
      <c r="R484" s="395"/>
    </row>
    <row r="485" spans="12:18">
      <c r="L485" s="417"/>
      <c r="M485" s="417"/>
      <c r="N485" s="417"/>
      <c r="O485" s="395"/>
      <c r="P485" s="395"/>
      <c r="Q485" s="395"/>
      <c r="R485" s="395"/>
    </row>
    <row r="486" spans="12:18">
      <c r="L486" s="417"/>
      <c r="M486" s="417"/>
      <c r="N486" s="417"/>
      <c r="O486" s="395"/>
      <c r="P486" s="395"/>
      <c r="Q486" s="395"/>
      <c r="R486" s="395"/>
    </row>
    <row r="487" spans="12:18">
      <c r="L487" s="417"/>
      <c r="M487" s="417"/>
      <c r="N487" s="417"/>
      <c r="O487" s="395"/>
      <c r="P487" s="395"/>
      <c r="Q487" s="395"/>
      <c r="R487" s="395"/>
    </row>
    <row r="488" spans="12:18">
      <c r="L488" s="417"/>
      <c r="M488" s="417"/>
      <c r="N488" s="417"/>
      <c r="O488" s="395"/>
      <c r="P488" s="395"/>
      <c r="Q488" s="395"/>
      <c r="R488" s="395"/>
    </row>
    <row r="489" spans="12:18">
      <c r="L489" s="417"/>
      <c r="M489" s="417"/>
      <c r="N489" s="417"/>
      <c r="O489" s="395"/>
      <c r="P489" s="395"/>
      <c r="Q489" s="395"/>
      <c r="R489" s="395"/>
    </row>
    <row r="490" spans="12:18">
      <c r="L490" s="417"/>
      <c r="M490" s="417"/>
      <c r="N490" s="417"/>
      <c r="O490" s="395"/>
      <c r="P490" s="395"/>
      <c r="Q490" s="395"/>
      <c r="R490" s="395"/>
    </row>
    <row r="491" spans="12:18">
      <c r="L491" s="417"/>
      <c r="M491" s="417"/>
      <c r="N491" s="417"/>
      <c r="O491" s="395"/>
      <c r="P491" s="395"/>
      <c r="Q491" s="395"/>
      <c r="R491" s="395"/>
    </row>
    <row r="492" spans="12:18">
      <c r="L492" s="417"/>
      <c r="M492" s="417"/>
      <c r="N492" s="417"/>
      <c r="O492" s="395"/>
      <c r="P492" s="395"/>
      <c r="Q492" s="395"/>
      <c r="R492" s="395"/>
    </row>
    <row r="493" spans="12:18">
      <c r="L493" s="417"/>
      <c r="M493" s="417"/>
      <c r="N493" s="417"/>
      <c r="O493" s="395"/>
      <c r="P493" s="395"/>
      <c r="Q493" s="395"/>
      <c r="R493" s="395"/>
    </row>
    <row r="494" spans="12:18">
      <c r="L494" s="417"/>
      <c r="M494" s="417"/>
      <c r="N494" s="417"/>
      <c r="O494" s="395"/>
      <c r="P494" s="395"/>
      <c r="Q494" s="395"/>
      <c r="R494" s="395"/>
    </row>
    <row r="495" spans="12:18">
      <c r="L495" s="417"/>
      <c r="M495" s="417"/>
      <c r="N495" s="417"/>
      <c r="O495" s="395"/>
      <c r="P495" s="395"/>
      <c r="Q495" s="395"/>
      <c r="R495" s="395"/>
    </row>
    <row r="496" spans="12:18">
      <c r="L496" s="417"/>
      <c r="M496" s="417"/>
      <c r="N496" s="417"/>
      <c r="O496" s="395"/>
      <c r="P496" s="395"/>
      <c r="Q496" s="395"/>
      <c r="R496" s="395"/>
    </row>
    <row r="497" spans="12:18">
      <c r="L497" s="417"/>
      <c r="M497" s="417"/>
      <c r="N497" s="417"/>
      <c r="O497" s="395"/>
      <c r="P497" s="395"/>
      <c r="Q497" s="395"/>
      <c r="R497" s="395"/>
    </row>
    <row r="498" spans="12:18">
      <c r="L498" s="417"/>
      <c r="M498" s="417"/>
      <c r="N498" s="417"/>
      <c r="O498" s="395"/>
      <c r="P498" s="395"/>
      <c r="Q498" s="395"/>
      <c r="R498" s="395"/>
    </row>
    <row r="499" spans="12:18">
      <c r="L499" s="417"/>
      <c r="M499" s="417"/>
      <c r="N499" s="417"/>
      <c r="O499" s="395"/>
      <c r="P499" s="395"/>
      <c r="Q499" s="395"/>
      <c r="R499" s="395"/>
    </row>
    <row r="500" spans="12:18">
      <c r="L500" s="417"/>
      <c r="M500" s="417"/>
      <c r="N500" s="417"/>
      <c r="O500" s="395"/>
      <c r="P500" s="395"/>
      <c r="Q500" s="395"/>
      <c r="R500" s="395"/>
    </row>
    <row r="501" spans="12:18">
      <c r="L501" s="417"/>
      <c r="M501" s="417"/>
      <c r="N501" s="417"/>
      <c r="O501" s="395"/>
      <c r="P501" s="395"/>
      <c r="Q501" s="395"/>
      <c r="R501" s="395"/>
    </row>
    <row r="502" spans="12:18">
      <c r="L502" s="417"/>
      <c r="M502" s="417"/>
      <c r="N502" s="417"/>
      <c r="O502" s="395"/>
      <c r="P502" s="395"/>
      <c r="Q502" s="395"/>
      <c r="R502" s="395"/>
    </row>
    <row r="503" spans="12:18">
      <c r="L503" s="417"/>
      <c r="M503" s="417"/>
      <c r="N503" s="417"/>
      <c r="O503" s="395"/>
      <c r="P503" s="395"/>
      <c r="Q503" s="395"/>
      <c r="R503" s="395"/>
    </row>
    <row r="504" spans="12:18">
      <c r="L504" s="417"/>
      <c r="M504" s="417"/>
      <c r="N504" s="417"/>
      <c r="O504" s="395"/>
      <c r="P504" s="395"/>
      <c r="Q504" s="395"/>
      <c r="R504" s="395"/>
    </row>
    <row r="505" spans="12:18">
      <c r="L505" s="417"/>
      <c r="M505" s="417"/>
      <c r="N505" s="417"/>
      <c r="O505" s="395"/>
      <c r="P505" s="395"/>
      <c r="Q505" s="395"/>
      <c r="R505" s="395"/>
    </row>
    <row r="506" spans="12:18">
      <c r="L506" s="417"/>
      <c r="M506" s="417"/>
      <c r="N506" s="417"/>
      <c r="O506" s="395"/>
      <c r="P506" s="395"/>
      <c r="Q506" s="395"/>
      <c r="R506" s="395"/>
    </row>
    <row r="507" spans="12:18">
      <c r="L507" s="417"/>
      <c r="M507" s="417"/>
      <c r="N507" s="417"/>
      <c r="O507" s="395"/>
      <c r="P507" s="395"/>
      <c r="Q507" s="395"/>
      <c r="R507" s="395"/>
    </row>
    <row r="508" spans="12:18">
      <c r="L508" s="417"/>
      <c r="M508" s="417"/>
      <c r="N508" s="417"/>
      <c r="O508" s="395"/>
      <c r="P508" s="395"/>
      <c r="Q508" s="395"/>
      <c r="R508" s="395"/>
    </row>
    <row r="509" spans="12:18">
      <c r="L509" s="417"/>
      <c r="M509" s="417"/>
      <c r="N509" s="417"/>
      <c r="O509" s="395"/>
      <c r="P509" s="395"/>
      <c r="Q509" s="395"/>
      <c r="R509" s="395"/>
    </row>
    <row r="510" spans="12:18">
      <c r="L510" s="417"/>
      <c r="M510" s="417"/>
      <c r="N510" s="417"/>
      <c r="O510" s="395"/>
      <c r="P510" s="395"/>
      <c r="Q510" s="395"/>
      <c r="R510" s="395"/>
    </row>
    <row r="511" spans="12:18">
      <c r="L511" s="417"/>
      <c r="M511" s="417"/>
      <c r="N511" s="417"/>
      <c r="O511" s="395"/>
      <c r="P511" s="395"/>
      <c r="Q511" s="395"/>
      <c r="R511" s="395"/>
    </row>
    <row r="512" spans="12:18">
      <c r="L512" s="417"/>
      <c r="M512" s="417"/>
      <c r="N512" s="417"/>
      <c r="O512" s="395"/>
      <c r="P512" s="395"/>
      <c r="Q512" s="395"/>
      <c r="R512" s="395"/>
    </row>
    <row r="513" spans="12:18">
      <c r="L513" s="417"/>
      <c r="M513" s="417"/>
      <c r="N513" s="417"/>
      <c r="O513" s="395"/>
      <c r="P513" s="395"/>
      <c r="Q513" s="395"/>
      <c r="R513" s="395"/>
    </row>
    <row r="514" spans="12:18">
      <c r="L514" s="417"/>
      <c r="M514" s="417"/>
      <c r="N514" s="417"/>
      <c r="O514" s="395"/>
      <c r="P514" s="395"/>
      <c r="Q514" s="395"/>
      <c r="R514" s="395"/>
    </row>
    <row r="515" spans="12:18">
      <c r="L515" s="417"/>
      <c r="M515" s="417"/>
      <c r="N515" s="417"/>
      <c r="O515" s="395"/>
      <c r="P515" s="395"/>
      <c r="Q515" s="395"/>
      <c r="R515" s="395"/>
    </row>
    <row r="516" spans="12:18">
      <c r="L516" s="417"/>
      <c r="M516" s="417"/>
      <c r="N516" s="417"/>
      <c r="O516" s="395"/>
      <c r="P516" s="395"/>
      <c r="Q516" s="395"/>
      <c r="R516" s="395"/>
    </row>
    <row r="517" spans="12:18">
      <c r="L517" s="417"/>
      <c r="M517" s="417"/>
      <c r="N517" s="417"/>
      <c r="O517" s="395"/>
      <c r="P517" s="395"/>
      <c r="Q517" s="395"/>
      <c r="R517" s="395"/>
    </row>
    <row r="518" spans="12:18">
      <c r="L518" s="417"/>
      <c r="M518" s="417"/>
      <c r="N518" s="417"/>
      <c r="O518" s="395"/>
      <c r="P518" s="395"/>
      <c r="Q518" s="395"/>
      <c r="R518" s="395"/>
    </row>
    <row r="519" spans="12:18">
      <c r="L519" s="417"/>
      <c r="M519" s="417"/>
      <c r="N519" s="417"/>
      <c r="O519" s="395"/>
      <c r="P519" s="395"/>
      <c r="Q519" s="395"/>
      <c r="R519" s="395"/>
    </row>
    <row r="520" spans="12:18">
      <c r="L520" s="417"/>
      <c r="M520" s="417"/>
      <c r="N520" s="417"/>
      <c r="O520" s="395"/>
      <c r="P520" s="395"/>
      <c r="Q520" s="395"/>
      <c r="R520" s="395"/>
    </row>
    <row r="521" spans="12:18">
      <c r="L521" s="417"/>
      <c r="M521" s="417"/>
      <c r="N521" s="417"/>
      <c r="O521" s="395"/>
      <c r="P521" s="395"/>
      <c r="Q521" s="395"/>
      <c r="R521" s="395"/>
    </row>
    <row r="522" spans="12:18">
      <c r="L522" s="417"/>
      <c r="M522" s="417"/>
      <c r="N522" s="417"/>
      <c r="O522" s="395"/>
      <c r="P522" s="395"/>
      <c r="Q522" s="395"/>
      <c r="R522" s="395"/>
    </row>
    <row r="523" spans="12:18">
      <c r="L523" s="417"/>
      <c r="M523" s="417"/>
      <c r="N523" s="417"/>
      <c r="O523" s="395"/>
      <c r="P523" s="395"/>
      <c r="Q523" s="395"/>
      <c r="R523" s="395"/>
    </row>
    <row r="524" spans="12:18">
      <c r="L524" s="417"/>
      <c r="M524" s="417"/>
      <c r="N524" s="417"/>
      <c r="O524" s="395"/>
      <c r="P524" s="395"/>
      <c r="Q524" s="395"/>
      <c r="R524" s="395"/>
    </row>
    <row r="525" spans="12:18">
      <c r="L525" s="417"/>
      <c r="M525" s="417"/>
      <c r="N525" s="417"/>
      <c r="O525" s="395"/>
      <c r="P525" s="395"/>
      <c r="Q525" s="395"/>
      <c r="R525" s="395"/>
    </row>
    <row r="526" spans="12:18">
      <c r="L526" s="417"/>
      <c r="M526" s="417"/>
      <c r="N526" s="417"/>
      <c r="O526" s="395"/>
      <c r="P526" s="395"/>
      <c r="Q526" s="395"/>
      <c r="R526" s="395"/>
    </row>
    <row r="527" spans="12:18">
      <c r="L527" s="417"/>
      <c r="M527" s="417"/>
      <c r="N527" s="417"/>
      <c r="O527" s="395"/>
      <c r="P527" s="395"/>
      <c r="Q527" s="395"/>
      <c r="R527" s="395"/>
    </row>
    <row r="528" spans="12:18">
      <c r="L528" s="417"/>
      <c r="M528" s="417"/>
      <c r="N528" s="417"/>
      <c r="O528" s="395"/>
      <c r="P528" s="395"/>
      <c r="Q528" s="395"/>
      <c r="R528" s="395"/>
    </row>
    <row r="529" spans="12:18">
      <c r="L529" s="417"/>
      <c r="M529" s="417"/>
      <c r="N529" s="417"/>
      <c r="O529" s="395"/>
      <c r="P529" s="395"/>
      <c r="Q529" s="395"/>
      <c r="R529" s="395"/>
    </row>
    <row r="530" spans="12:18">
      <c r="L530" s="417"/>
      <c r="M530" s="417"/>
      <c r="N530" s="417"/>
      <c r="O530" s="395"/>
      <c r="P530" s="395"/>
      <c r="Q530" s="395"/>
      <c r="R530" s="395"/>
    </row>
    <row r="531" spans="12:18">
      <c r="L531" s="417"/>
      <c r="M531" s="417"/>
      <c r="N531" s="417"/>
      <c r="O531" s="395"/>
      <c r="P531" s="395"/>
      <c r="Q531" s="395"/>
      <c r="R531" s="395"/>
    </row>
    <row r="532" spans="12:18">
      <c r="L532" s="417"/>
      <c r="M532" s="417"/>
      <c r="N532" s="417"/>
      <c r="O532" s="395"/>
      <c r="P532" s="395"/>
      <c r="Q532" s="395"/>
      <c r="R532" s="395"/>
    </row>
    <row r="533" spans="12:18">
      <c r="L533" s="417"/>
      <c r="M533" s="417"/>
      <c r="N533" s="417"/>
      <c r="O533" s="395"/>
      <c r="P533" s="395"/>
      <c r="Q533" s="395"/>
      <c r="R533" s="395"/>
    </row>
    <row r="534" spans="12:18">
      <c r="L534" s="417"/>
      <c r="M534" s="417"/>
      <c r="N534" s="417"/>
      <c r="O534" s="395"/>
      <c r="P534" s="395"/>
      <c r="Q534" s="395"/>
      <c r="R534" s="395"/>
    </row>
    <row r="535" spans="12:18">
      <c r="L535" s="417"/>
      <c r="M535" s="417"/>
      <c r="N535" s="417"/>
      <c r="O535" s="395"/>
      <c r="P535" s="395"/>
      <c r="Q535" s="395"/>
      <c r="R535" s="395"/>
    </row>
    <row r="536" spans="12:18">
      <c r="L536" s="417"/>
      <c r="M536" s="417"/>
      <c r="N536" s="417"/>
      <c r="O536" s="395"/>
      <c r="P536" s="395"/>
      <c r="Q536" s="395"/>
      <c r="R536" s="395"/>
    </row>
    <row r="537" spans="12:18">
      <c r="L537" s="417"/>
      <c r="M537" s="417"/>
      <c r="N537" s="417"/>
      <c r="O537" s="395"/>
      <c r="P537" s="395"/>
      <c r="Q537" s="395"/>
      <c r="R537" s="395"/>
    </row>
    <row r="538" spans="12:18">
      <c r="L538" s="417"/>
      <c r="M538" s="417"/>
      <c r="N538" s="417"/>
      <c r="O538" s="395"/>
      <c r="P538" s="395"/>
      <c r="Q538" s="395"/>
      <c r="R538" s="395"/>
    </row>
    <row r="539" spans="12:18">
      <c r="L539" s="417"/>
      <c r="M539" s="417"/>
      <c r="N539" s="417"/>
      <c r="O539" s="395"/>
      <c r="P539" s="395"/>
      <c r="Q539" s="395"/>
      <c r="R539" s="395"/>
    </row>
    <row r="540" spans="12:18">
      <c r="L540" s="417"/>
      <c r="M540" s="417"/>
      <c r="N540" s="417"/>
      <c r="O540" s="395"/>
      <c r="P540" s="395"/>
      <c r="Q540" s="395"/>
      <c r="R540" s="395"/>
    </row>
    <row r="541" spans="12:18">
      <c r="L541" s="417"/>
      <c r="M541" s="417"/>
      <c r="N541" s="417"/>
      <c r="O541" s="395"/>
      <c r="P541" s="395"/>
      <c r="Q541" s="395"/>
      <c r="R541" s="395"/>
    </row>
    <row r="542" spans="12:18">
      <c r="L542" s="417"/>
      <c r="M542" s="417"/>
      <c r="N542" s="417"/>
      <c r="O542" s="395"/>
      <c r="P542" s="395"/>
      <c r="Q542" s="395"/>
      <c r="R542" s="395"/>
    </row>
    <row r="543" spans="12:18">
      <c r="L543" s="417"/>
      <c r="M543" s="417"/>
      <c r="N543" s="417"/>
      <c r="O543" s="395"/>
      <c r="P543" s="395"/>
      <c r="Q543" s="395"/>
      <c r="R543" s="395"/>
    </row>
    <row r="544" spans="12:18">
      <c r="L544" s="417"/>
      <c r="M544" s="417"/>
      <c r="N544" s="417"/>
      <c r="O544" s="395"/>
      <c r="P544" s="395"/>
      <c r="Q544" s="395"/>
      <c r="R544" s="395"/>
    </row>
    <row r="545" spans="12:18">
      <c r="L545" s="417"/>
      <c r="M545" s="417"/>
      <c r="N545" s="417"/>
      <c r="O545" s="395"/>
      <c r="P545" s="395"/>
      <c r="Q545" s="395"/>
      <c r="R545" s="395"/>
    </row>
    <row r="546" spans="12:18">
      <c r="L546" s="417"/>
      <c r="M546" s="417"/>
      <c r="N546" s="417"/>
      <c r="O546" s="395"/>
      <c r="P546" s="395"/>
      <c r="Q546" s="395"/>
      <c r="R546" s="395"/>
    </row>
    <row r="547" spans="12:18">
      <c r="L547" s="417"/>
      <c r="M547" s="417"/>
      <c r="N547" s="417"/>
      <c r="O547" s="395"/>
      <c r="P547" s="395"/>
      <c r="Q547" s="395"/>
      <c r="R547" s="395"/>
    </row>
    <row r="548" spans="12:18">
      <c r="L548" s="417"/>
      <c r="M548" s="417"/>
      <c r="N548" s="417"/>
      <c r="O548" s="395"/>
      <c r="P548" s="395"/>
      <c r="Q548" s="395"/>
      <c r="R548" s="395"/>
    </row>
    <row r="549" spans="12:18">
      <c r="L549" s="417"/>
      <c r="M549" s="417"/>
      <c r="N549" s="417"/>
      <c r="O549" s="395"/>
      <c r="P549" s="395"/>
      <c r="Q549" s="395"/>
      <c r="R549" s="395"/>
    </row>
    <row r="550" spans="12:18">
      <c r="L550" s="417"/>
      <c r="M550" s="417"/>
      <c r="N550" s="417"/>
      <c r="O550" s="395"/>
      <c r="P550" s="395"/>
      <c r="Q550" s="395"/>
      <c r="R550" s="395"/>
    </row>
    <row r="551" spans="12:18">
      <c r="L551" s="417"/>
      <c r="M551" s="417"/>
      <c r="N551" s="417"/>
      <c r="O551" s="395"/>
      <c r="P551" s="395"/>
      <c r="Q551" s="395"/>
      <c r="R551" s="395"/>
    </row>
    <row r="552" spans="12:18">
      <c r="L552" s="417"/>
      <c r="M552" s="417"/>
      <c r="N552" s="417"/>
      <c r="O552" s="395"/>
      <c r="P552" s="395"/>
      <c r="Q552" s="395"/>
      <c r="R552" s="395"/>
    </row>
    <row r="553" spans="12:18">
      <c r="L553" s="417"/>
      <c r="M553" s="417"/>
      <c r="N553" s="417"/>
      <c r="O553" s="395"/>
      <c r="P553" s="395"/>
      <c r="Q553" s="395"/>
      <c r="R553" s="395"/>
    </row>
    <row r="554" spans="12:18">
      <c r="L554" s="417"/>
      <c r="M554" s="417"/>
      <c r="N554" s="417"/>
      <c r="O554" s="395"/>
      <c r="P554" s="395"/>
      <c r="Q554" s="395"/>
      <c r="R554" s="395"/>
    </row>
    <row r="555" spans="12:18">
      <c r="L555" s="417"/>
      <c r="M555" s="417"/>
      <c r="N555" s="417"/>
      <c r="O555" s="395"/>
      <c r="P555" s="395"/>
      <c r="Q555" s="395"/>
      <c r="R555" s="395"/>
    </row>
    <row r="556" spans="12:18">
      <c r="L556" s="417"/>
      <c r="M556" s="417"/>
      <c r="N556" s="417"/>
      <c r="O556" s="395"/>
      <c r="P556" s="395"/>
      <c r="Q556" s="395"/>
      <c r="R556" s="395"/>
    </row>
    <row r="557" spans="12:18">
      <c r="L557" s="417"/>
      <c r="M557" s="417"/>
      <c r="N557" s="417"/>
      <c r="O557" s="395"/>
      <c r="P557" s="395"/>
      <c r="Q557" s="395"/>
      <c r="R557" s="395"/>
    </row>
    <row r="558" spans="12:18">
      <c r="L558" s="417"/>
      <c r="M558" s="417"/>
      <c r="N558" s="417"/>
      <c r="O558" s="395"/>
      <c r="P558" s="395"/>
      <c r="Q558" s="395"/>
      <c r="R558" s="395"/>
    </row>
    <row r="559" spans="12:18">
      <c r="L559" s="417"/>
      <c r="M559" s="417"/>
      <c r="N559" s="417"/>
      <c r="O559" s="395"/>
      <c r="P559" s="395"/>
      <c r="Q559" s="395"/>
      <c r="R559" s="395"/>
    </row>
    <row r="560" spans="12:18">
      <c r="L560" s="417"/>
      <c r="M560" s="417"/>
      <c r="N560" s="417"/>
      <c r="O560" s="395"/>
      <c r="P560" s="395"/>
      <c r="Q560" s="395"/>
      <c r="R560" s="395"/>
    </row>
    <row r="561" spans="12:18">
      <c r="L561" s="417"/>
      <c r="M561" s="417"/>
      <c r="N561" s="417"/>
      <c r="O561" s="395"/>
      <c r="P561" s="395"/>
      <c r="Q561" s="395"/>
      <c r="R561" s="395"/>
    </row>
    <row r="562" spans="12:18">
      <c r="L562" s="417"/>
      <c r="M562" s="417"/>
      <c r="N562" s="417"/>
      <c r="O562" s="395"/>
      <c r="P562" s="395"/>
      <c r="Q562" s="395"/>
      <c r="R562" s="395"/>
    </row>
    <row r="563" spans="12:18">
      <c r="L563" s="417"/>
      <c r="M563" s="417"/>
      <c r="N563" s="417"/>
      <c r="O563" s="395"/>
      <c r="P563" s="395"/>
      <c r="Q563" s="395"/>
      <c r="R563" s="395"/>
    </row>
    <row r="564" spans="12:18">
      <c r="L564" s="417"/>
      <c r="M564" s="417"/>
      <c r="N564" s="417"/>
      <c r="O564" s="395"/>
      <c r="P564" s="395"/>
      <c r="Q564" s="395"/>
      <c r="R564" s="395"/>
    </row>
    <row r="565" spans="12:18">
      <c r="L565" s="417"/>
      <c r="M565" s="417"/>
      <c r="N565" s="417"/>
      <c r="O565" s="395"/>
      <c r="P565" s="395"/>
      <c r="Q565" s="395"/>
      <c r="R565" s="395"/>
    </row>
    <row r="566" spans="12:18">
      <c r="L566" s="417"/>
      <c r="M566" s="417"/>
      <c r="N566" s="417"/>
      <c r="O566" s="395"/>
      <c r="P566" s="395"/>
      <c r="Q566" s="395"/>
      <c r="R566" s="395"/>
    </row>
    <row r="567" spans="12:18">
      <c r="L567" s="417"/>
      <c r="M567" s="417"/>
      <c r="N567" s="417"/>
      <c r="O567" s="395"/>
      <c r="P567" s="395"/>
      <c r="Q567" s="395"/>
      <c r="R567" s="395"/>
    </row>
    <row r="568" spans="12:18">
      <c r="L568" s="417"/>
      <c r="M568" s="417"/>
      <c r="N568" s="417"/>
      <c r="O568" s="395"/>
      <c r="P568" s="395"/>
      <c r="Q568" s="395"/>
      <c r="R568" s="395"/>
    </row>
    <row r="569" spans="12:18">
      <c r="L569" s="417"/>
      <c r="M569" s="417"/>
      <c r="N569" s="417"/>
      <c r="O569" s="395"/>
      <c r="P569" s="395"/>
      <c r="Q569" s="395"/>
      <c r="R569" s="395"/>
    </row>
    <row r="570" spans="12:18">
      <c r="L570" s="417"/>
      <c r="M570" s="417"/>
      <c r="N570" s="417"/>
      <c r="O570" s="395"/>
      <c r="P570" s="395"/>
      <c r="Q570" s="395"/>
      <c r="R570" s="395"/>
    </row>
    <row r="571" spans="12:18">
      <c r="L571" s="417"/>
      <c r="M571" s="417"/>
      <c r="N571" s="417"/>
      <c r="O571" s="395"/>
      <c r="P571" s="395"/>
      <c r="Q571" s="395"/>
      <c r="R571" s="395"/>
    </row>
    <row r="572" spans="12:18">
      <c r="L572" s="417"/>
      <c r="M572" s="417"/>
      <c r="N572" s="417"/>
      <c r="O572" s="395"/>
      <c r="P572" s="395"/>
      <c r="Q572" s="395"/>
      <c r="R572" s="395"/>
    </row>
    <row r="573" spans="12:18">
      <c r="L573" s="417"/>
      <c r="M573" s="417"/>
      <c r="N573" s="417"/>
      <c r="O573" s="395"/>
      <c r="P573" s="395"/>
      <c r="Q573" s="395"/>
      <c r="R573" s="395"/>
    </row>
    <row r="574" spans="12:18">
      <c r="L574" s="417"/>
      <c r="M574" s="417"/>
      <c r="N574" s="417"/>
      <c r="O574" s="395"/>
      <c r="P574" s="395"/>
      <c r="Q574" s="395"/>
      <c r="R574" s="395"/>
    </row>
    <row r="575" spans="12:18">
      <c r="L575" s="417"/>
      <c r="M575" s="417"/>
      <c r="N575" s="417"/>
      <c r="O575" s="395"/>
      <c r="P575" s="395"/>
      <c r="Q575" s="395"/>
      <c r="R575" s="395"/>
    </row>
    <row r="576" spans="12:18">
      <c r="L576" s="417"/>
      <c r="M576" s="417"/>
      <c r="N576" s="417"/>
      <c r="O576" s="395"/>
      <c r="P576" s="395"/>
      <c r="Q576" s="395"/>
      <c r="R576" s="395"/>
    </row>
    <row r="577" spans="12:18">
      <c r="L577" s="417"/>
      <c r="M577" s="417"/>
      <c r="N577" s="417"/>
      <c r="O577" s="395"/>
      <c r="P577" s="395"/>
      <c r="Q577" s="395"/>
      <c r="R577" s="395"/>
    </row>
    <row r="578" spans="12:18">
      <c r="L578" s="417"/>
      <c r="M578" s="417"/>
      <c r="N578" s="417"/>
      <c r="O578" s="395"/>
      <c r="P578" s="395"/>
      <c r="Q578" s="395"/>
      <c r="R578" s="395"/>
    </row>
    <row r="579" spans="12:18">
      <c r="L579" s="417"/>
      <c r="M579" s="417"/>
      <c r="N579" s="417"/>
      <c r="O579" s="395"/>
      <c r="P579" s="395"/>
      <c r="Q579" s="395"/>
      <c r="R579" s="395"/>
    </row>
    <row r="580" spans="12:18">
      <c r="L580" s="417"/>
      <c r="M580" s="417"/>
      <c r="N580" s="417"/>
      <c r="O580" s="395"/>
      <c r="P580" s="395"/>
      <c r="Q580" s="395"/>
      <c r="R580" s="395"/>
    </row>
    <row r="581" spans="12:18">
      <c r="L581" s="417"/>
      <c r="M581" s="417"/>
      <c r="N581" s="417"/>
      <c r="O581" s="395"/>
      <c r="P581" s="395"/>
      <c r="Q581" s="395"/>
      <c r="R581" s="395"/>
    </row>
    <row r="582" spans="12:18">
      <c r="L582" s="417"/>
      <c r="M582" s="417"/>
      <c r="N582" s="417"/>
      <c r="O582" s="395"/>
      <c r="P582" s="395"/>
      <c r="Q582" s="395"/>
      <c r="R582" s="395"/>
    </row>
    <row r="583" spans="12:18">
      <c r="L583" s="417"/>
      <c r="M583" s="417"/>
      <c r="N583" s="417"/>
      <c r="O583" s="395"/>
      <c r="P583" s="395"/>
      <c r="Q583" s="395"/>
      <c r="R583" s="395"/>
    </row>
    <row r="584" spans="12:18">
      <c r="L584" s="417"/>
      <c r="M584" s="417"/>
      <c r="N584" s="417"/>
      <c r="O584" s="395"/>
      <c r="P584" s="395"/>
      <c r="Q584" s="395"/>
      <c r="R584" s="395"/>
    </row>
    <row r="585" spans="12:18">
      <c r="L585" s="417"/>
      <c r="M585" s="417"/>
      <c r="N585" s="417"/>
      <c r="O585" s="395"/>
      <c r="P585" s="395"/>
      <c r="Q585" s="395"/>
      <c r="R585" s="395"/>
    </row>
    <row r="586" spans="12:18">
      <c r="L586" s="417"/>
      <c r="M586" s="417"/>
      <c r="N586" s="417"/>
      <c r="O586" s="395"/>
      <c r="P586" s="395"/>
      <c r="Q586" s="395"/>
      <c r="R586" s="395"/>
    </row>
    <row r="587" spans="12:18">
      <c r="L587" s="417"/>
      <c r="M587" s="417"/>
      <c r="N587" s="417"/>
      <c r="O587" s="395"/>
      <c r="P587" s="395"/>
      <c r="Q587" s="395"/>
      <c r="R587" s="395"/>
    </row>
    <row r="588" spans="12:18">
      <c r="L588" s="417"/>
      <c r="M588" s="417"/>
      <c r="N588" s="417"/>
      <c r="O588" s="395"/>
      <c r="P588" s="395"/>
      <c r="Q588" s="395"/>
      <c r="R588" s="395"/>
    </row>
    <row r="589" spans="12:18">
      <c r="L589" s="417"/>
      <c r="M589" s="417"/>
      <c r="N589" s="417"/>
      <c r="O589" s="395"/>
      <c r="P589" s="395"/>
      <c r="Q589" s="395"/>
      <c r="R589" s="395"/>
    </row>
    <row r="590" spans="12:18">
      <c r="L590" s="417"/>
      <c r="M590" s="417"/>
      <c r="N590" s="417"/>
      <c r="O590" s="395"/>
      <c r="P590" s="395"/>
      <c r="Q590" s="395"/>
      <c r="R590" s="395"/>
    </row>
    <row r="591" spans="12:18">
      <c r="L591" s="417"/>
      <c r="M591" s="417"/>
      <c r="N591" s="417"/>
      <c r="O591" s="395"/>
      <c r="P591" s="395"/>
      <c r="Q591" s="395"/>
      <c r="R591" s="395"/>
    </row>
    <row r="592" spans="12:18">
      <c r="L592" s="417"/>
      <c r="M592" s="417"/>
      <c r="N592" s="417"/>
      <c r="O592" s="395"/>
      <c r="P592" s="395"/>
      <c r="Q592" s="395"/>
      <c r="R592" s="395"/>
    </row>
    <row r="593" spans="1:20">
      <c r="L593" s="417"/>
      <c r="M593" s="417"/>
      <c r="N593" s="417"/>
      <c r="O593" s="395"/>
      <c r="P593" s="395"/>
      <c r="Q593" s="395"/>
      <c r="R593" s="395"/>
    </row>
    <row r="594" spans="1:20">
      <c r="L594" s="417"/>
      <c r="M594" s="417"/>
      <c r="N594" s="417"/>
      <c r="O594" s="395"/>
      <c r="P594" s="395"/>
      <c r="Q594" s="395"/>
      <c r="R594" s="395"/>
    </row>
    <row r="595" spans="1:20" s="419" customFormat="1">
      <c r="A595" s="395"/>
      <c r="B595" s="395"/>
      <c r="C595" s="395"/>
      <c r="D595" s="410"/>
      <c r="E595" s="410"/>
      <c r="F595" s="395"/>
      <c r="G595" s="395"/>
      <c r="H595" s="395"/>
      <c r="I595" s="395"/>
      <c r="J595" s="418"/>
      <c r="K595" s="395"/>
      <c r="L595" s="417"/>
      <c r="M595" s="417"/>
      <c r="N595" s="417"/>
      <c r="O595" s="395"/>
      <c r="P595" s="395"/>
      <c r="Q595" s="395"/>
      <c r="R595" s="395"/>
      <c r="S595" s="395"/>
      <c r="T595" s="395"/>
    </row>
    <row r="596" spans="1:20">
      <c r="L596" s="417"/>
      <c r="M596" s="417"/>
      <c r="N596" s="417"/>
      <c r="O596" s="395"/>
      <c r="P596" s="395"/>
      <c r="Q596" s="395"/>
      <c r="R596" s="395"/>
    </row>
    <row r="597" spans="1:20">
      <c r="L597" s="417"/>
      <c r="M597" s="417"/>
      <c r="N597" s="417"/>
      <c r="O597" s="395"/>
      <c r="P597" s="395"/>
      <c r="Q597" s="395"/>
      <c r="R597" s="395"/>
    </row>
    <row r="598" spans="1:20">
      <c r="L598" s="417"/>
      <c r="M598" s="417"/>
      <c r="N598" s="417"/>
      <c r="O598" s="395"/>
      <c r="P598" s="395"/>
      <c r="Q598" s="395"/>
      <c r="R598" s="395"/>
    </row>
    <row r="599" spans="1:20">
      <c r="L599" s="417"/>
      <c r="M599" s="417"/>
      <c r="N599" s="417"/>
      <c r="O599" s="395"/>
      <c r="P599" s="395"/>
      <c r="Q599" s="395"/>
      <c r="R599" s="395"/>
    </row>
    <row r="600" spans="1:20">
      <c r="L600" s="417"/>
      <c r="M600" s="417"/>
      <c r="N600" s="417"/>
      <c r="O600" s="395"/>
      <c r="P600" s="395"/>
      <c r="Q600" s="395"/>
      <c r="R600" s="395"/>
    </row>
    <row r="601" spans="1:20">
      <c r="L601" s="417"/>
      <c r="M601" s="417"/>
      <c r="N601" s="417"/>
      <c r="O601" s="395"/>
      <c r="P601" s="395"/>
      <c r="Q601" s="395"/>
      <c r="R601" s="395"/>
    </row>
    <row r="602" spans="1:20" s="419" customFormat="1">
      <c r="A602" s="395"/>
      <c r="B602" s="395"/>
      <c r="C602" s="395"/>
      <c r="D602" s="410"/>
      <c r="E602" s="410"/>
      <c r="F602" s="395"/>
      <c r="G602" s="395"/>
      <c r="H602" s="395"/>
      <c r="I602" s="395"/>
      <c r="J602" s="395"/>
      <c r="K602" s="395"/>
      <c r="L602" s="417"/>
      <c r="M602" s="417"/>
      <c r="N602" s="417"/>
      <c r="O602" s="395"/>
      <c r="P602" s="395"/>
      <c r="Q602" s="395"/>
      <c r="R602" s="395"/>
      <c r="S602" s="395"/>
      <c r="T602" s="395"/>
    </row>
    <row r="603" spans="1:20" s="419" customFormat="1">
      <c r="A603" s="395"/>
      <c r="B603" s="395"/>
      <c r="C603" s="395"/>
      <c r="D603" s="410"/>
      <c r="E603" s="410"/>
      <c r="F603" s="395"/>
      <c r="G603" s="395"/>
      <c r="H603" s="395"/>
      <c r="I603" s="395"/>
      <c r="J603" s="395"/>
      <c r="K603" s="395"/>
      <c r="L603" s="417"/>
      <c r="M603" s="417"/>
      <c r="N603" s="417"/>
      <c r="O603" s="395"/>
      <c r="P603" s="395"/>
      <c r="S603" s="395"/>
      <c r="T603" s="395"/>
    </row>
    <row r="604" spans="1:20" s="419" customFormat="1">
      <c r="A604" s="395"/>
      <c r="B604" s="395"/>
      <c r="C604" s="395"/>
      <c r="D604" s="410"/>
      <c r="E604" s="410"/>
      <c r="F604" s="395"/>
      <c r="G604" s="395"/>
      <c r="H604" s="395"/>
      <c r="I604" s="395"/>
      <c r="J604" s="395"/>
      <c r="K604" s="395"/>
      <c r="L604" s="417"/>
      <c r="M604" s="417"/>
      <c r="N604" s="417"/>
      <c r="O604" s="395"/>
      <c r="P604" s="395"/>
      <c r="Q604" s="395"/>
      <c r="R604" s="395"/>
      <c r="S604" s="395"/>
      <c r="T604" s="395"/>
    </row>
    <row r="605" spans="1:20">
      <c r="L605" s="417"/>
      <c r="M605" s="417"/>
      <c r="N605" s="417"/>
      <c r="O605" s="395"/>
      <c r="P605" s="395"/>
      <c r="Q605" s="395"/>
      <c r="R605" s="395"/>
    </row>
    <row r="606" spans="1:20">
      <c r="L606" s="417"/>
      <c r="M606" s="417"/>
      <c r="N606" s="417"/>
      <c r="O606" s="395"/>
      <c r="P606" s="395"/>
      <c r="Q606" s="395"/>
      <c r="R606" s="395"/>
    </row>
    <row r="607" spans="1:20">
      <c r="L607" s="417"/>
      <c r="M607" s="417"/>
      <c r="N607" s="417"/>
      <c r="O607" s="395"/>
      <c r="P607" s="395"/>
      <c r="Q607" s="395"/>
      <c r="R607" s="395"/>
    </row>
    <row r="608" spans="1:20">
      <c r="L608" s="417"/>
      <c r="M608" s="417"/>
      <c r="N608" s="417"/>
      <c r="O608" s="395"/>
      <c r="P608" s="395"/>
      <c r="Q608" s="395"/>
      <c r="R608" s="395"/>
    </row>
    <row r="609" spans="12:18">
      <c r="L609" s="417"/>
      <c r="M609" s="417"/>
      <c r="N609" s="417"/>
      <c r="O609" s="395"/>
      <c r="P609" s="395"/>
      <c r="Q609" s="395"/>
      <c r="R609" s="395"/>
    </row>
    <row r="610" spans="12:18">
      <c r="L610" s="417"/>
      <c r="M610" s="417"/>
      <c r="N610" s="417"/>
      <c r="O610" s="395"/>
      <c r="P610" s="395"/>
      <c r="Q610" s="419"/>
      <c r="R610" s="419"/>
    </row>
    <row r="611" spans="12:18">
      <c r="L611" s="417"/>
      <c r="M611" s="417"/>
      <c r="N611" s="417"/>
      <c r="O611" s="395"/>
      <c r="P611" s="395"/>
      <c r="Q611" s="419"/>
      <c r="R611" s="419"/>
    </row>
    <row r="612" spans="12:18">
      <c r="L612" s="417"/>
      <c r="M612" s="417"/>
      <c r="N612" s="417"/>
      <c r="O612" s="395"/>
      <c r="P612" s="395"/>
      <c r="Q612" s="419"/>
      <c r="R612" s="419"/>
    </row>
    <row r="613" spans="12:18">
      <c r="L613" s="417"/>
      <c r="M613" s="417"/>
      <c r="N613" s="417"/>
      <c r="O613" s="395"/>
      <c r="P613" s="395"/>
      <c r="Q613" s="395"/>
      <c r="R613" s="395"/>
    </row>
    <row r="614" spans="12:18">
      <c r="L614" s="417"/>
      <c r="M614" s="417"/>
      <c r="N614" s="417"/>
      <c r="O614" s="395"/>
      <c r="P614" s="395"/>
      <c r="Q614" s="395"/>
      <c r="R614" s="395"/>
    </row>
  </sheetData>
  <autoFilter ref="A5:FK142"/>
  <mergeCells count="32">
    <mergeCell ref="K32:K33"/>
    <mergeCell ref="K17:K18"/>
    <mergeCell ref="K19:K20"/>
    <mergeCell ref="S4:S5"/>
    <mergeCell ref="K9:K10"/>
    <mergeCell ref="K12:K13"/>
    <mergeCell ref="Q4:Q5"/>
    <mergeCell ref="R4:R5"/>
    <mergeCell ref="O4:O5"/>
    <mergeCell ref="T1:T3"/>
    <mergeCell ref="T4:T5"/>
    <mergeCell ref="M4:M5"/>
    <mergeCell ref="N4:N5"/>
    <mergeCell ref="L135:M135"/>
    <mergeCell ref="N135:O135"/>
    <mergeCell ref="P4:P5"/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</mergeCells>
  <conditionalFormatting sqref="K1:K9 K34:K135">
    <cfRule type="cellIs" dxfId="537" priority="445" operator="equal">
      <formula>#REF!</formula>
    </cfRule>
  </conditionalFormatting>
  <conditionalFormatting sqref="K11:K12">
    <cfRule type="cellIs" dxfId="536" priority="511" operator="equal">
      <formula>#REF!</formula>
    </cfRule>
  </conditionalFormatting>
  <conditionalFormatting sqref="K16:K17">
    <cfRule type="cellIs" dxfId="535" priority="468" operator="equal">
      <formula>#REF!</formula>
    </cfRule>
  </conditionalFormatting>
  <conditionalFormatting sqref="K19">
    <cfRule type="cellIs" dxfId="534" priority="508" operator="equal">
      <formula>#REF!</formula>
    </cfRule>
  </conditionalFormatting>
  <conditionalFormatting sqref="K21">
    <cfRule type="cellIs" dxfId="533" priority="509" operator="equal">
      <formula>#REF!</formula>
    </cfRule>
  </conditionalFormatting>
  <conditionalFormatting sqref="K23:K32">
    <cfRule type="cellIs" dxfId="532" priority="429" operator="equal">
      <formula>#REF!</formula>
    </cfRule>
  </conditionalFormatting>
  <conditionalFormatting sqref="L6:L135">
    <cfRule type="cellIs" dxfId="531" priority="451" operator="equal">
      <formula>$L$23</formula>
    </cfRule>
    <cfRule type="cellIs" dxfId="530" priority="452" operator="equal">
      <formula>#REF!</formula>
    </cfRule>
  </conditionalFormatting>
  <conditionalFormatting sqref="L141:L142">
    <cfRule type="cellIs" dxfId="529" priority="559" operator="equal">
      <formula>#REF!</formula>
    </cfRule>
  </conditionalFormatting>
  <conditionalFormatting sqref="L136:N141 M142:N142 M465:N1048576 K14 K141:K1048576 O136:O142">
    <cfRule type="cellIs" dxfId="528" priority="586" operator="equal">
      <formula>#REF!</formula>
    </cfRule>
  </conditionalFormatting>
  <conditionalFormatting sqref="L143:N614">
    <cfRule type="cellIs" dxfId="527" priority="525" operator="equal">
      <formula>"Under Progress"</formula>
    </cfRule>
    <cfRule type="cellIs" dxfId="526" priority="526" operator="equal">
      <formula>"Completed"</formula>
    </cfRule>
  </conditionalFormatting>
  <conditionalFormatting sqref="M28:M31">
    <cfRule type="cellIs" dxfId="525" priority="395" operator="equal">
      <formula>$L$23</formula>
    </cfRule>
    <cfRule type="cellIs" dxfId="524" priority="396" operator="equal">
      <formula>#REF!</formula>
    </cfRule>
  </conditionalFormatting>
  <conditionalFormatting sqref="M51">
    <cfRule type="cellIs" dxfId="523" priority="393" operator="equal">
      <formula>$L$23</formula>
    </cfRule>
    <cfRule type="cellIs" dxfId="522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21" priority="514" operator="equal">
      <formula>$N$7</formula>
    </cfRule>
    <cfRule type="cellIs" dxfId="520" priority="515" operator="equal">
      <formula>"Planning"</formula>
    </cfRule>
    <cfRule type="cellIs" dxfId="519" priority="516" operator="equal">
      <formula>$N$8</formula>
    </cfRule>
    <cfRule type="cellIs" dxfId="518" priority="517" operator="equal">
      <formula>"Under Progress"</formula>
    </cfRule>
    <cfRule type="cellIs" dxfId="517" priority="518" operator="equal">
      <formula>#REF!</formula>
    </cfRule>
  </conditionalFormatting>
  <conditionalFormatting sqref="M79:M83">
    <cfRule type="cellIs" dxfId="516" priority="334" operator="equal">
      <formula>$N$7</formula>
    </cfRule>
    <cfRule type="cellIs" dxfId="515" priority="335" operator="equal">
      <formula>"Planning"</formula>
    </cfRule>
    <cfRule type="cellIs" dxfId="514" priority="336" operator="equal">
      <formula>$N$8</formula>
    </cfRule>
    <cfRule type="cellIs" dxfId="513" priority="337" operator="equal">
      <formula>"Under Progress"</formula>
    </cfRule>
    <cfRule type="cellIs" dxfId="512" priority="338" operator="equal">
      <formula>#REF!</formula>
    </cfRule>
  </conditionalFormatting>
  <conditionalFormatting sqref="M95:M97">
    <cfRule type="cellIs" dxfId="511" priority="329" operator="equal">
      <formula>$N$7</formula>
    </cfRule>
    <cfRule type="cellIs" dxfId="510" priority="330" operator="equal">
      <formula>"Planning"</formula>
    </cfRule>
    <cfRule type="cellIs" dxfId="509" priority="331" operator="equal">
      <formula>$N$8</formula>
    </cfRule>
    <cfRule type="cellIs" dxfId="508" priority="332" operator="equal">
      <formula>"Under Progress"</formula>
    </cfRule>
    <cfRule type="cellIs" dxfId="507" priority="333" operator="equal">
      <formula>#REF!</formula>
    </cfRule>
  </conditionalFormatting>
  <conditionalFormatting sqref="M103:M108">
    <cfRule type="cellIs" dxfId="506" priority="269" operator="equal">
      <formula>$N$7</formula>
    </cfRule>
    <cfRule type="cellIs" dxfId="505" priority="270" operator="equal">
      <formula>"Planning"</formula>
    </cfRule>
    <cfRule type="cellIs" dxfId="504" priority="271" operator="equal">
      <formula>$N$8</formula>
    </cfRule>
    <cfRule type="cellIs" dxfId="503" priority="272" operator="equal">
      <formula>"Under Progress"</formula>
    </cfRule>
    <cfRule type="cellIs" dxfId="502" priority="273" operator="equal">
      <formula>#REF!</formula>
    </cfRule>
  </conditionalFormatting>
  <conditionalFormatting sqref="M113">
    <cfRule type="cellIs" dxfId="501" priority="274" operator="equal">
      <formula>$N$7</formula>
    </cfRule>
    <cfRule type="cellIs" dxfId="500" priority="275" operator="equal">
      <formula>"Planning"</formula>
    </cfRule>
    <cfRule type="cellIs" dxfId="499" priority="276" operator="equal">
      <formula>$N$8</formula>
    </cfRule>
    <cfRule type="cellIs" dxfId="498" priority="277" operator="equal">
      <formula>"Under Progress"</formula>
    </cfRule>
    <cfRule type="cellIs" dxfId="497" priority="278" operator="equal">
      <formula>#REF!</formula>
    </cfRule>
  </conditionalFormatting>
  <conditionalFormatting sqref="M125:M128">
    <cfRule type="cellIs" dxfId="496" priority="264" operator="equal">
      <formula>$N$7</formula>
    </cfRule>
    <cfRule type="cellIs" dxfId="495" priority="265" operator="equal">
      <formula>"Planning"</formula>
    </cfRule>
    <cfRule type="cellIs" dxfId="494" priority="266" operator="equal">
      <formula>$N$8</formula>
    </cfRule>
    <cfRule type="cellIs" dxfId="493" priority="267" operator="equal">
      <formula>"Under Progress"</formula>
    </cfRule>
    <cfRule type="cellIs" dxfId="492" priority="268" operator="equal">
      <formula>#REF!</formula>
    </cfRule>
  </conditionalFormatting>
  <conditionalFormatting sqref="M1:N3 M136:M141 M142:N142 M465:N1048576">
    <cfRule type="cellIs" dxfId="491" priority="574" operator="equal">
      <formula>"Planning"</formula>
    </cfRule>
    <cfRule type="cellIs" dxfId="490" priority="575" operator="equal">
      <formula>$N$8</formula>
    </cfRule>
    <cfRule type="cellIs" dxfId="489" priority="576" operator="equal">
      <formula>"Under Progress"</formula>
    </cfRule>
  </conditionalFormatting>
  <conditionalFormatting sqref="M1:N3">
    <cfRule type="cellIs" dxfId="488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87" priority="430" operator="equal">
      <formula>$N$7</formula>
    </cfRule>
    <cfRule type="cellIs" dxfId="486" priority="431" operator="equal">
      <formula>"Planning"</formula>
    </cfRule>
    <cfRule type="cellIs" dxfId="485" priority="432" operator="equal">
      <formula>$N$8</formula>
    </cfRule>
    <cfRule type="cellIs" dxfId="484" priority="433" operator="equal">
      <formula>"Under Progress"</formula>
    </cfRule>
    <cfRule type="cellIs" dxfId="483" priority="434" operator="equal">
      <formula>#REF!</formula>
    </cfRule>
  </conditionalFormatting>
  <conditionalFormatting sqref="M32:N33 M40:N40 N34:N40 N31">
    <cfRule type="cellIs" dxfId="482" priority="414" operator="equal">
      <formula>$N$7</formula>
    </cfRule>
    <cfRule type="cellIs" dxfId="481" priority="415" operator="equal">
      <formula>"Planning"</formula>
    </cfRule>
    <cfRule type="cellIs" dxfId="480" priority="416" operator="equal">
      <formula>$N$8</formula>
    </cfRule>
    <cfRule type="cellIs" dxfId="479" priority="417" operator="equal">
      <formula>"Under Progress"</formula>
    </cfRule>
    <cfRule type="cellIs" dxfId="478" priority="418" operator="equal">
      <formula>#REF!</formula>
    </cfRule>
  </conditionalFormatting>
  <conditionalFormatting sqref="M94 M91:N91 N83 M84:N89">
    <cfRule type="cellIs" dxfId="477" priority="284" operator="equal">
      <formula>$N$7</formula>
    </cfRule>
    <cfRule type="cellIs" dxfId="476" priority="285" operator="equal">
      <formula>"Planning"</formula>
    </cfRule>
    <cfRule type="cellIs" dxfId="475" priority="286" operator="equal">
      <formula>$N$8</formula>
    </cfRule>
    <cfRule type="cellIs" dxfId="474" priority="287" operator="equal">
      <formula>"Under Progress"</formula>
    </cfRule>
    <cfRule type="cellIs" dxfId="473" priority="288" operator="equal">
      <formula>#REF!</formula>
    </cfRule>
  </conditionalFormatting>
  <conditionalFormatting sqref="M129:N130 N128 M132:N134 M131">
    <cfRule type="cellIs" dxfId="472" priority="314" operator="equal">
      <formula>$N$7</formula>
    </cfRule>
    <cfRule type="cellIs" dxfId="471" priority="315" operator="equal">
      <formula>"Planning"</formula>
    </cfRule>
    <cfRule type="cellIs" dxfId="470" priority="316" operator="equal">
      <formula>$N$8</formula>
    </cfRule>
    <cfRule type="cellIs" dxfId="469" priority="317" operator="equal">
      <formula>"Under Progress"</formula>
    </cfRule>
    <cfRule type="cellIs" dxfId="468" priority="318" operator="equal">
      <formula>#REF!</formula>
    </cfRule>
  </conditionalFormatting>
  <conditionalFormatting sqref="M465:N1048576 M1:N3 M136:M141 M142:N142">
    <cfRule type="cellIs" dxfId="467" priority="573" operator="equal">
      <formula>$N$7</formula>
    </cfRule>
  </conditionalFormatting>
  <conditionalFormatting sqref="N19">
    <cfRule type="cellIs" dxfId="466" priority="453" operator="equal">
      <formula>$N$7</formula>
    </cfRule>
    <cfRule type="cellIs" dxfId="465" priority="454" operator="equal">
      <formula>"Planning"</formula>
    </cfRule>
    <cfRule type="cellIs" dxfId="464" priority="455" operator="equal">
      <formula>$N$8</formula>
    </cfRule>
    <cfRule type="cellIs" dxfId="463" priority="456" operator="equal">
      <formula>"Under Progress"</formula>
    </cfRule>
    <cfRule type="cellIs" dxfId="462" priority="457" operator="equal">
      <formula>#REF!</formula>
    </cfRule>
  </conditionalFormatting>
  <conditionalFormatting sqref="N135">
    <cfRule type="cellIs" dxfId="461" priority="571" operator="equal">
      <formula>$L$23</formula>
    </cfRule>
    <cfRule type="cellIs" dxfId="460" priority="572" operator="equal">
      <formula>#REF!</formula>
    </cfRule>
  </conditionalFormatting>
  <conditionalFormatting sqref="N141:N142">
    <cfRule type="cellIs" dxfId="459" priority="558" operator="equal">
      <formula>#REF!</formula>
    </cfRule>
  </conditionalFormatting>
  <conditionalFormatting sqref="N6:R17">
    <cfRule type="cellIs" dxfId="458" priority="469" operator="equal">
      <formula>$N$7</formula>
    </cfRule>
    <cfRule type="cellIs" dxfId="457" priority="470" operator="equal">
      <formula>"Planning"</formula>
    </cfRule>
    <cfRule type="cellIs" dxfId="456" priority="471" operator="equal">
      <formula>$N$8</formula>
    </cfRule>
    <cfRule type="cellIs" dxfId="455" priority="472" operator="equal">
      <formula>"Under Progress"</formula>
    </cfRule>
    <cfRule type="cellIs" dxfId="454" priority="473" operator="equal">
      <formula>#REF!</formula>
    </cfRule>
  </conditionalFormatting>
  <conditionalFormatting sqref="O136:O142">
    <cfRule type="cellIs" dxfId="453" priority="567" operator="equal">
      <formula>$N$7</formula>
    </cfRule>
    <cfRule type="cellIs" dxfId="452" priority="568" operator="equal">
      <formula>"Planning"</formula>
    </cfRule>
    <cfRule type="cellIs" dxfId="451" priority="569" operator="equal">
      <formula>$N$8</formula>
    </cfRule>
    <cfRule type="cellIs" dxfId="450" priority="570" operator="equal">
      <formula>"Under Progress"</formula>
    </cfRule>
  </conditionalFormatting>
  <conditionalFormatting sqref="O137:O138">
    <cfRule type="cellIs" dxfId="449" priority="554" operator="equal">
      <formula>$N$7</formula>
    </cfRule>
    <cfRule type="cellIs" dxfId="448" priority="555" operator="equal">
      <formula>"Planning"</formula>
    </cfRule>
    <cfRule type="cellIs" dxfId="447" priority="556" operator="equal">
      <formula>$N$8</formula>
    </cfRule>
    <cfRule type="cellIs" dxfId="446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45" priority="343" operator="equal">
      <formula>$N$7</formula>
    </cfRule>
    <cfRule type="cellIs" dxfId="444" priority="344" operator="equal">
      <formula>"Planning"</formula>
    </cfRule>
    <cfRule type="cellIs" dxfId="443" priority="345" operator="equal">
      <formula>$N$8</formula>
    </cfRule>
    <cfRule type="cellIs" dxfId="442" priority="346" operator="equal">
      <formula>"Under Progress"</formula>
    </cfRule>
    <cfRule type="cellIs" dxfId="441" priority="347" operator="equal">
      <formula>#REF!</formula>
    </cfRule>
  </conditionalFormatting>
  <conditionalFormatting sqref="P1:R3 P139:R1048576">
    <cfRule type="cellIs" dxfId="440" priority="584" operator="equal">
      <formula>"Under Progress"</formula>
    </cfRule>
    <cfRule type="cellIs" dxfId="439" priority="585" operator="equal">
      <formula>"Completed"</formula>
    </cfRule>
  </conditionalFormatting>
  <conditionalFormatting sqref="Q135:R135">
    <cfRule type="cellIs" dxfId="438" priority="583" operator="equal">
      <formula>"Completed"</formula>
    </cfRule>
  </conditionalFormatting>
  <conditionalFormatting sqref="O136">
    <cfRule type="cellIs" dxfId="437" priority="261" operator="equal">
      <formula>"Planning"</formula>
    </cfRule>
    <cfRule type="cellIs" dxfId="436" priority="262" operator="equal">
      <formula>$N$8</formula>
    </cfRule>
    <cfRule type="cellIs" dxfId="435" priority="263" operator="equal">
      <formula>"Under Progress"</formula>
    </cfRule>
  </conditionalFormatting>
  <conditionalFormatting sqref="O136">
    <cfRule type="cellIs" dxfId="434" priority="260" operator="equal">
      <formula>$N$7</formula>
    </cfRule>
  </conditionalFormatting>
  <conditionalFormatting sqref="M112">
    <cfRule type="cellIs" dxfId="433" priority="255" operator="equal">
      <formula>$N$7</formula>
    </cfRule>
    <cfRule type="cellIs" dxfId="432" priority="256" operator="equal">
      <formula>"Planning"</formula>
    </cfRule>
    <cfRule type="cellIs" dxfId="431" priority="257" operator="equal">
      <formula>$N$8</formula>
    </cfRule>
    <cfRule type="cellIs" dxfId="430" priority="258" operator="equal">
      <formula>"Under Progress"</formula>
    </cfRule>
    <cfRule type="cellIs" dxfId="429" priority="259" operator="equal">
      <formula>#REF!</formula>
    </cfRule>
  </conditionalFormatting>
  <conditionalFormatting sqref="M20:M22">
    <cfRule type="cellIs" dxfId="428" priority="250" operator="equal">
      <formula>$N$7</formula>
    </cfRule>
    <cfRule type="cellIs" dxfId="427" priority="251" operator="equal">
      <formula>"Planning"</formula>
    </cfRule>
    <cfRule type="cellIs" dxfId="426" priority="252" operator="equal">
      <formula>$N$8</formula>
    </cfRule>
    <cfRule type="cellIs" dxfId="425" priority="253" operator="equal">
      <formula>"Under Progress"</formula>
    </cfRule>
    <cfRule type="cellIs" dxfId="424" priority="254" operator="equal">
      <formula>#REF!</formula>
    </cfRule>
  </conditionalFormatting>
  <conditionalFormatting sqref="M54 M48:M49 M41 M34:M39 M24 M58:M67">
    <cfRule type="cellIs" dxfId="423" priority="245" operator="equal">
      <formula>$N$7</formula>
    </cfRule>
    <cfRule type="cellIs" dxfId="422" priority="246" operator="equal">
      <formula>"Planning"</formula>
    </cfRule>
    <cfRule type="cellIs" dxfId="421" priority="247" operator="equal">
      <formula>$N$8</formula>
    </cfRule>
    <cfRule type="cellIs" dxfId="420" priority="248" operator="equal">
      <formula>"Under Progress"</formula>
    </cfRule>
    <cfRule type="cellIs" dxfId="419" priority="249" operator="equal">
      <formula>#REF!</formula>
    </cfRule>
  </conditionalFormatting>
  <conditionalFormatting sqref="O34:O36 O38:O39">
    <cfRule type="cellIs" dxfId="418" priority="235" operator="equal">
      <formula>$N$7</formula>
    </cfRule>
    <cfRule type="cellIs" dxfId="417" priority="236" operator="equal">
      <formula>"Planning"</formula>
    </cfRule>
    <cfRule type="cellIs" dxfId="416" priority="237" operator="equal">
      <formula>$N$8</formula>
    </cfRule>
    <cfRule type="cellIs" dxfId="415" priority="238" operator="equal">
      <formula>"Under Progress"</formula>
    </cfRule>
    <cfRule type="cellIs" dxfId="414" priority="239" operator="equal">
      <formula>#REF!</formula>
    </cfRule>
  </conditionalFormatting>
  <conditionalFormatting sqref="O60 O54 O49 O62:O65">
    <cfRule type="cellIs" dxfId="413" priority="230" operator="equal">
      <formula>$N$7</formula>
    </cfRule>
    <cfRule type="cellIs" dxfId="412" priority="231" operator="equal">
      <formula>"Planning"</formula>
    </cfRule>
    <cfRule type="cellIs" dxfId="411" priority="232" operator="equal">
      <formula>$N$8</formula>
    </cfRule>
    <cfRule type="cellIs" dxfId="410" priority="233" operator="equal">
      <formula>"Under Progress"</formula>
    </cfRule>
    <cfRule type="cellIs" dxfId="409" priority="234" operator="equal">
      <formula>#REF!</formula>
    </cfRule>
  </conditionalFormatting>
  <conditionalFormatting sqref="M44">
    <cfRule type="cellIs" dxfId="408" priority="225" operator="equal">
      <formula>$N$7</formula>
    </cfRule>
    <cfRule type="cellIs" dxfId="407" priority="226" operator="equal">
      <formula>"Planning"</formula>
    </cfRule>
    <cfRule type="cellIs" dxfId="406" priority="227" operator="equal">
      <formula>$N$8</formula>
    </cfRule>
    <cfRule type="cellIs" dxfId="405" priority="228" operator="equal">
      <formula>"Under Progress"</formula>
    </cfRule>
    <cfRule type="cellIs" dxfId="404" priority="229" operator="equal">
      <formula>#REF!</formula>
    </cfRule>
  </conditionalFormatting>
  <conditionalFormatting sqref="M45">
    <cfRule type="cellIs" dxfId="403" priority="220" operator="equal">
      <formula>$N$7</formula>
    </cfRule>
    <cfRule type="cellIs" dxfId="402" priority="221" operator="equal">
      <formula>"Planning"</formula>
    </cfRule>
    <cfRule type="cellIs" dxfId="401" priority="222" operator="equal">
      <formula>$N$8</formula>
    </cfRule>
    <cfRule type="cellIs" dxfId="400" priority="223" operator="equal">
      <formula>"Under Progress"</formula>
    </cfRule>
    <cfRule type="cellIs" dxfId="399" priority="224" operator="equal">
      <formula>#REF!</formula>
    </cfRule>
  </conditionalFormatting>
  <conditionalFormatting sqref="O128">
    <cfRule type="cellIs" dxfId="398" priority="195" operator="equal">
      <formula>$N$7</formula>
    </cfRule>
    <cfRule type="cellIs" dxfId="397" priority="196" operator="equal">
      <formula>"Planning"</formula>
    </cfRule>
    <cfRule type="cellIs" dxfId="396" priority="197" operator="equal">
      <formula>$N$8</formula>
    </cfRule>
    <cfRule type="cellIs" dxfId="395" priority="198" operator="equal">
      <formula>"Under Progress"</formula>
    </cfRule>
    <cfRule type="cellIs" dxfId="394" priority="199" operator="equal">
      <formula>#REF!</formula>
    </cfRule>
  </conditionalFormatting>
  <conditionalFormatting sqref="N93:N94">
    <cfRule type="cellIs" dxfId="393" priority="210" operator="equal">
      <formula>$N$7</formula>
    </cfRule>
    <cfRule type="cellIs" dxfId="392" priority="211" operator="equal">
      <formula>"Planning"</formula>
    </cfRule>
    <cfRule type="cellIs" dxfId="391" priority="212" operator="equal">
      <formula>$N$8</formula>
    </cfRule>
    <cfRule type="cellIs" dxfId="390" priority="213" operator="equal">
      <formula>"Under Progress"</formula>
    </cfRule>
    <cfRule type="cellIs" dxfId="389" priority="214" operator="equal">
      <formula>#REF!</formula>
    </cfRule>
  </conditionalFormatting>
  <conditionalFormatting sqref="O20">
    <cfRule type="cellIs" dxfId="388" priority="205" operator="equal">
      <formula>$N$7</formula>
    </cfRule>
    <cfRule type="cellIs" dxfId="387" priority="206" operator="equal">
      <formula>"Planning"</formula>
    </cfRule>
    <cfRule type="cellIs" dxfId="386" priority="207" operator="equal">
      <formula>$N$8</formula>
    </cfRule>
    <cfRule type="cellIs" dxfId="385" priority="208" operator="equal">
      <formula>"Under Progress"</formula>
    </cfRule>
    <cfRule type="cellIs" dxfId="384" priority="209" operator="equal">
      <formula>#REF!</formula>
    </cfRule>
  </conditionalFormatting>
  <conditionalFormatting sqref="O21">
    <cfRule type="cellIs" dxfId="383" priority="200" operator="equal">
      <formula>$N$7</formula>
    </cfRule>
    <cfRule type="cellIs" dxfId="382" priority="201" operator="equal">
      <formula>"Planning"</formula>
    </cfRule>
    <cfRule type="cellIs" dxfId="381" priority="202" operator="equal">
      <formula>$N$8</formula>
    </cfRule>
    <cfRule type="cellIs" dxfId="380" priority="203" operator="equal">
      <formula>"Under Progress"</formula>
    </cfRule>
    <cfRule type="cellIs" dxfId="379" priority="204" operator="equal">
      <formula>#REF!</formula>
    </cfRule>
  </conditionalFormatting>
  <conditionalFormatting sqref="P34">
    <cfRule type="cellIs" dxfId="378" priority="190" operator="equal">
      <formula>$N$7</formula>
    </cfRule>
    <cfRule type="cellIs" dxfId="377" priority="191" operator="equal">
      <formula>"Planning"</formula>
    </cfRule>
    <cfRule type="cellIs" dxfId="376" priority="192" operator="equal">
      <formula>$N$8</formula>
    </cfRule>
    <cfRule type="cellIs" dxfId="375" priority="193" operator="equal">
      <formula>"Under Progress"</formula>
    </cfRule>
    <cfRule type="cellIs" dxfId="374" priority="194" operator="equal">
      <formula>#REF!</formula>
    </cfRule>
  </conditionalFormatting>
  <conditionalFormatting sqref="O37">
    <cfRule type="cellIs" dxfId="373" priority="185" operator="equal">
      <formula>$N$7</formula>
    </cfRule>
    <cfRule type="cellIs" dxfId="372" priority="186" operator="equal">
      <formula>"Planning"</formula>
    </cfRule>
    <cfRule type="cellIs" dxfId="371" priority="187" operator="equal">
      <formula>$N$8</formula>
    </cfRule>
    <cfRule type="cellIs" dxfId="370" priority="188" operator="equal">
      <formula>"Under Progress"</formula>
    </cfRule>
    <cfRule type="cellIs" dxfId="369" priority="189" operator="equal">
      <formula>#REF!</formula>
    </cfRule>
  </conditionalFormatting>
  <conditionalFormatting sqref="P37">
    <cfRule type="cellIs" dxfId="368" priority="180" operator="equal">
      <formula>$N$7</formula>
    </cfRule>
    <cfRule type="cellIs" dxfId="367" priority="181" operator="equal">
      <formula>"Planning"</formula>
    </cfRule>
    <cfRule type="cellIs" dxfId="366" priority="182" operator="equal">
      <formula>$N$8</formula>
    </cfRule>
    <cfRule type="cellIs" dxfId="365" priority="183" operator="equal">
      <formula>"Under Progress"</formula>
    </cfRule>
    <cfRule type="cellIs" dxfId="364" priority="184" operator="equal">
      <formula>#REF!</formula>
    </cfRule>
  </conditionalFormatting>
  <conditionalFormatting sqref="O48">
    <cfRule type="cellIs" dxfId="363" priority="175" operator="equal">
      <formula>$N$7</formula>
    </cfRule>
    <cfRule type="cellIs" dxfId="362" priority="176" operator="equal">
      <formula>"Planning"</formula>
    </cfRule>
    <cfRule type="cellIs" dxfId="361" priority="177" operator="equal">
      <formula>$N$8</formula>
    </cfRule>
    <cfRule type="cellIs" dxfId="360" priority="178" operator="equal">
      <formula>"Under Progress"</formula>
    </cfRule>
    <cfRule type="cellIs" dxfId="359" priority="179" operator="equal">
      <formula>#REF!</formula>
    </cfRule>
  </conditionalFormatting>
  <conditionalFormatting sqref="P48">
    <cfRule type="cellIs" dxfId="358" priority="170" operator="equal">
      <formula>$N$7</formula>
    </cfRule>
    <cfRule type="cellIs" dxfId="357" priority="171" operator="equal">
      <formula>"Planning"</formula>
    </cfRule>
    <cfRule type="cellIs" dxfId="356" priority="172" operator="equal">
      <formula>$N$8</formula>
    </cfRule>
    <cfRule type="cellIs" dxfId="355" priority="173" operator="equal">
      <formula>"Under Progress"</formula>
    </cfRule>
    <cfRule type="cellIs" dxfId="354" priority="174" operator="equal">
      <formula>#REF!</formula>
    </cfRule>
  </conditionalFormatting>
  <conditionalFormatting sqref="O58">
    <cfRule type="cellIs" dxfId="353" priority="165" operator="equal">
      <formula>$N$7</formula>
    </cfRule>
    <cfRule type="cellIs" dxfId="352" priority="166" operator="equal">
      <formula>"Planning"</formula>
    </cfRule>
    <cfRule type="cellIs" dxfId="351" priority="167" operator="equal">
      <formula>$N$8</formula>
    </cfRule>
    <cfRule type="cellIs" dxfId="350" priority="168" operator="equal">
      <formula>"Under Progress"</formula>
    </cfRule>
    <cfRule type="cellIs" dxfId="349" priority="169" operator="equal">
      <formula>#REF!</formula>
    </cfRule>
  </conditionalFormatting>
  <conditionalFormatting sqref="P58">
    <cfRule type="cellIs" dxfId="348" priority="160" operator="equal">
      <formula>$N$7</formula>
    </cfRule>
    <cfRule type="cellIs" dxfId="347" priority="161" operator="equal">
      <formula>"Planning"</formula>
    </cfRule>
    <cfRule type="cellIs" dxfId="346" priority="162" operator="equal">
      <formula>$N$8</formula>
    </cfRule>
    <cfRule type="cellIs" dxfId="345" priority="163" operator="equal">
      <formula>"Under Progress"</formula>
    </cfRule>
    <cfRule type="cellIs" dxfId="344" priority="164" operator="equal">
      <formula>#REF!</formula>
    </cfRule>
  </conditionalFormatting>
  <conditionalFormatting sqref="O59">
    <cfRule type="cellIs" dxfId="343" priority="155" operator="equal">
      <formula>$N$7</formula>
    </cfRule>
    <cfRule type="cellIs" dxfId="342" priority="156" operator="equal">
      <formula>"Planning"</formula>
    </cfRule>
    <cfRule type="cellIs" dxfId="341" priority="157" operator="equal">
      <formula>$N$8</formula>
    </cfRule>
    <cfRule type="cellIs" dxfId="340" priority="158" operator="equal">
      <formula>"Under Progress"</formula>
    </cfRule>
    <cfRule type="cellIs" dxfId="339" priority="159" operator="equal">
      <formula>#REF!</formula>
    </cfRule>
  </conditionalFormatting>
  <conditionalFormatting sqref="P59">
    <cfRule type="cellIs" dxfId="338" priority="150" operator="equal">
      <formula>$N$7</formula>
    </cfRule>
    <cfRule type="cellIs" dxfId="337" priority="151" operator="equal">
      <formula>"Planning"</formula>
    </cfRule>
    <cfRule type="cellIs" dxfId="336" priority="152" operator="equal">
      <formula>$N$8</formula>
    </cfRule>
    <cfRule type="cellIs" dxfId="335" priority="153" operator="equal">
      <formula>"Under Progress"</formula>
    </cfRule>
    <cfRule type="cellIs" dxfId="334" priority="154" operator="equal">
      <formula>#REF!</formula>
    </cfRule>
  </conditionalFormatting>
  <conditionalFormatting sqref="O61">
    <cfRule type="cellIs" dxfId="333" priority="145" operator="equal">
      <formula>$N$7</formula>
    </cfRule>
    <cfRule type="cellIs" dxfId="332" priority="146" operator="equal">
      <formula>"Planning"</formula>
    </cfRule>
    <cfRule type="cellIs" dxfId="331" priority="147" operator="equal">
      <formula>$N$8</formula>
    </cfRule>
    <cfRule type="cellIs" dxfId="330" priority="148" operator="equal">
      <formula>"Under Progress"</formula>
    </cfRule>
    <cfRule type="cellIs" dxfId="329" priority="149" operator="equal">
      <formula>#REF!</formula>
    </cfRule>
  </conditionalFormatting>
  <conditionalFormatting sqref="P61">
    <cfRule type="cellIs" dxfId="328" priority="140" operator="equal">
      <formula>$N$7</formula>
    </cfRule>
    <cfRule type="cellIs" dxfId="327" priority="141" operator="equal">
      <formula>"Planning"</formula>
    </cfRule>
    <cfRule type="cellIs" dxfId="326" priority="142" operator="equal">
      <formula>$N$8</formula>
    </cfRule>
    <cfRule type="cellIs" dxfId="325" priority="143" operator="equal">
      <formula>"Under Progress"</formula>
    </cfRule>
    <cfRule type="cellIs" dxfId="324" priority="144" operator="equal">
      <formula>#REF!</formula>
    </cfRule>
  </conditionalFormatting>
  <conditionalFormatting sqref="O66">
    <cfRule type="cellIs" dxfId="323" priority="135" operator="equal">
      <formula>$N$7</formula>
    </cfRule>
    <cfRule type="cellIs" dxfId="322" priority="136" operator="equal">
      <formula>"Planning"</formula>
    </cfRule>
    <cfRule type="cellIs" dxfId="321" priority="137" operator="equal">
      <formula>$N$8</formula>
    </cfRule>
    <cfRule type="cellIs" dxfId="320" priority="138" operator="equal">
      <formula>"Under Progress"</formula>
    </cfRule>
    <cfRule type="cellIs" dxfId="319" priority="139" operator="equal">
      <formula>#REF!</formula>
    </cfRule>
  </conditionalFormatting>
  <conditionalFormatting sqref="P66">
    <cfRule type="cellIs" dxfId="318" priority="130" operator="equal">
      <formula>$N$7</formula>
    </cfRule>
    <cfRule type="cellIs" dxfId="317" priority="131" operator="equal">
      <formula>"Planning"</formula>
    </cfRule>
    <cfRule type="cellIs" dxfId="316" priority="132" operator="equal">
      <formula>$N$8</formula>
    </cfRule>
    <cfRule type="cellIs" dxfId="315" priority="133" operator="equal">
      <formula>"Under Progress"</formula>
    </cfRule>
    <cfRule type="cellIs" dxfId="314" priority="134" operator="equal">
      <formula>#REF!</formula>
    </cfRule>
  </conditionalFormatting>
  <conditionalFormatting sqref="O96">
    <cfRule type="cellIs" dxfId="313" priority="125" operator="equal">
      <formula>$N$7</formula>
    </cfRule>
    <cfRule type="cellIs" dxfId="312" priority="126" operator="equal">
      <formula>"Planning"</formula>
    </cfRule>
    <cfRule type="cellIs" dxfId="311" priority="127" operator="equal">
      <formula>$N$8</formula>
    </cfRule>
    <cfRule type="cellIs" dxfId="310" priority="128" operator="equal">
      <formula>"Under Progress"</formula>
    </cfRule>
    <cfRule type="cellIs" dxfId="309" priority="129" operator="equal">
      <formula>#REF!</formula>
    </cfRule>
  </conditionalFormatting>
  <conditionalFormatting sqref="P96">
    <cfRule type="cellIs" dxfId="308" priority="120" operator="equal">
      <formula>$N$7</formula>
    </cfRule>
    <cfRule type="cellIs" dxfId="307" priority="121" operator="equal">
      <formula>"Planning"</formula>
    </cfRule>
    <cfRule type="cellIs" dxfId="306" priority="122" operator="equal">
      <formula>$N$8</formula>
    </cfRule>
    <cfRule type="cellIs" dxfId="305" priority="123" operator="equal">
      <formula>"Under Progress"</formula>
    </cfRule>
    <cfRule type="cellIs" dxfId="304" priority="124" operator="equal">
      <formula>#REF!</formula>
    </cfRule>
  </conditionalFormatting>
  <conditionalFormatting sqref="O97">
    <cfRule type="cellIs" dxfId="303" priority="115" operator="equal">
      <formula>$N$7</formula>
    </cfRule>
    <cfRule type="cellIs" dxfId="302" priority="116" operator="equal">
      <formula>"Planning"</formula>
    </cfRule>
    <cfRule type="cellIs" dxfId="301" priority="117" operator="equal">
      <formula>$N$8</formula>
    </cfRule>
    <cfRule type="cellIs" dxfId="300" priority="118" operator="equal">
      <formula>"Under Progress"</formula>
    </cfRule>
    <cfRule type="cellIs" dxfId="299" priority="119" operator="equal">
      <formula>#REF!</formula>
    </cfRule>
  </conditionalFormatting>
  <conditionalFormatting sqref="P97">
    <cfRule type="cellIs" dxfId="298" priority="110" operator="equal">
      <formula>$N$7</formula>
    </cfRule>
    <cfRule type="cellIs" dxfId="297" priority="111" operator="equal">
      <formula>"Planning"</formula>
    </cfRule>
    <cfRule type="cellIs" dxfId="296" priority="112" operator="equal">
      <formula>$N$8</formula>
    </cfRule>
    <cfRule type="cellIs" dxfId="295" priority="113" operator="equal">
      <formula>"Under Progress"</formula>
    </cfRule>
    <cfRule type="cellIs" dxfId="294" priority="114" operator="equal">
      <formula>#REF!</formula>
    </cfRule>
  </conditionalFormatting>
  <conditionalFormatting sqref="O112">
    <cfRule type="cellIs" dxfId="293" priority="105" operator="equal">
      <formula>$N$7</formula>
    </cfRule>
    <cfRule type="cellIs" dxfId="292" priority="106" operator="equal">
      <formula>"Planning"</formula>
    </cfRule>
    <cfRule type="cellIs" dxfId="291" priority="107" operator="equal">
      <formula>$N$8</formula>
    </cfRule>
    <cfRule type="cellIs" dxfId="290" priority="108" operator="equal">
      <formula>"Under Progress"</formula>
    </cfRule>
    <cfRule type="cellIs" dxfId="289" priority="109" operator="equal">
      <formula>#REF!</formula>
    </cfRule>
  </conditionalFormatting>
  <conditionalFormatting sqref="P112">
    <cfRule type="cellIs" dxfId="288" priority="100" operator="equal">
      <formula>$N$7</formula>
    </cfRule>
    <cfRule type="cellIs" dxfId="287" priority="101" operator="equal">
      <formula>"Planning"</formula>
    </cfRule>
    <cfRule type="cellIs" dxfId="286" priority="102" operator="equal">
      <formula>$N$8</formula>
    </cfRule>
    <cfRule type="cellIs" dxfId="285" priority="103" operator="equal">
      <formula>"Under Progress"</formula>
    </cfRule>
    <cfRule type="cellIs" dxfId="284" priority="104" operator="equal">
      <formula>#REF!</formula>
    </cfRule>
  </conditionalFormatting>
  <conditionalFormatting sqref="O113">
    <cfRule type="cellIs" dxfId="283" priority="95" operator="equal">
      <formula>$N$7</formula>
    </cfRule>
    <cfRule type="cellIs" dxfId="282" priority="96" operator="equal">
      <formula>"Planning"</formula>
    </cfRule>
    <cfRule type="cellIs" dxfId="281" priority="97" operator="equal">
      <formula>$N$8</formula>
    </cfRule>
    <cfRule type="cellIs" dxfId="280" priority="98" operator="equal">
      <formula>"Under Progress"</formula>
    </cfRule>
    <cfRule type="cellIs" dxfId="279" priority="99" operator="equal">
      <formula>#REF!</formula>
    </cfRule>
  </conditionalFormatting>
  <conditionalFormatting sqref="P113">
    <cfRule type="cellIs" dxfId="278" priority="90" operator="equal">
      <formula>$N$7</formula>
    </cfRule>
    <cfRule type="cellIs" dxfId="277" priority="91" operator="equal">
      <formula>"Planning"</formula>
    </cfRule>
    <cfRule type="cellIs" dxfId="276" priority="92" operator="equal">
      <formula>$N$8</formula>
    </cfRule>
    <cfRule type="cellIs" dxfId="275" priority="93" operator="equal">
      <formula>"Under Progress"</formula>
    </cfRule>
    <cfRule type="cellIs" dxfId="274" priority="94" operator="equal">
      <formula>#REF!</formula>
    </cfRule>
  </conditionalFormatting>
  <conditionalFormatting sqref="O44">
    <cfRule type="cellIs" dxfId="273" priority="85" operator="equal">
      <formula>$N$7</formula>
    </cfRule>
    <cfRule type="cellIs" dxfId="272" priority="86" operator="equal">
      <formula>"Planning"</formula>
    </cfRule>
    <cfRule type="cellIs" dxfId="271" priority="87" operator="equal">
      <formula>$N$8</formula>
    </cfRule>
    <cfRule type="cellIs" dxfId="270" priority="88" operator="equal">
      <formula>"Under Progress"</formula>
    </cfRule>
    <cfRule type="cellIs" dxfId="269" priority="89" operator="equal">
      <formula>#REF!</formula>
    </cfRule>
  </conditionalFormatting>
  <conditionalFormatting sqref="O45">
    <cfRule type="cellIs" dxfId="268" priority="80" operator="equal">
      <formula>$N$7</formula>
    </cfRule>
    <cfRule type="cellIs" dxfId="267" priority="81" operator="equal">
      <formula>"Planning"</formula>
    </cfRule>
    <cfRule type="cellIs" dxfId="266" priority="82" operator="equal">
      <formula>$N$8</formula>
    </cfRule>
    <cfRule type="cellIs" dxfId="265" priority="83" operator="equal">
      <formula>"Under Progress"</formula>
    </cfRule>
    <cfRule type="cellIs" dxfId="264" priority="84" operator="equal">
      <formula>#REF!</formula>
    </cfRule>
  </conditionalFormatting>
  <conditionalFormatting sqref="N90">
    <cfRule type="cellIs" dxfId="263" priority="75" operator="equal">
      <formula>$N$7</formula>
    </cfRule>
    <cfRule type="cellIs" dxfId="262" priority="76" operator="equal">
      <formula>"Planning"</formula>
    </cfRule>
    <cfRule type="cellIs" dxfId="261" priority="77" operator="equal">
      <formula>$N$8</formula>
    </cfRule>
    <cfRule type="cellIs" dxfId="260" priority="78" operator="equal">
      <formula>"Under Progress"</formula>
    </cfRule>
    <cfRule type="cellIs" dxfId="259" priority="79" operator="equal">
      <formula>#REF!</formula>
    </cfRule>
  </conditionalFormatting>
  <conditionalFormatting sqref="M93">
    <cfRule type="cellIs" dxfId="258" priority="70" operator="equal">
      <formula>$N$7</formula>
    </cfRule>
    <cfRule type="cellIs" dxfId="257" priority="71" operator="equal">
      <formula>"Planning"</formula>
    </cfRule>
    <cfRule type="cellIs" dxfId="256" priority="72" operator="equal">
      <formula>$N$8</formula>
    </cfRule>
    <cfRule type="cellIs" dxfId="255" priority="73" operator="equal">
      <formula>"Under Progress"</formula>
    </cfRule>
    <cfRule type="cellIs" dxfId="254" priority="74" operator="equal">
      <formula>#REF!</formula>
    </cfRule>
  </conditionalFormatting>
  <conditionalFormatting sqref="N92">
    <cfRule type="cellIs" dxfId="253" priority="65" operator="equal">
      <formula>$N$7</formula>
    </cfRule>
    <cfRule type="cellIs" dxfId="252" priority="66" operator="equal">
      <formula>"Planning"</formula>
    </cfRule>
    <cfRule type="cellIs" dxfId="251" priority="67" operator="equal">
      <formula>$N$8</formula>
    </cfRule>
    <cfRule type="cellIs" dxfId="250" priority="68" operator="equal">
      <formula>"Under Progress"</formula>
    </cfRule>
    <cfRule type="cellIs" dxfId="249" priority="69" operator="equal">
      <formula>#REF!</formula>
    </cfRule>
  </conditionalFormatting>
  <conditionalFormatting sqref="M92">
    <cfRule type="cellIs" dxfId="248" priority="55" operator="equal">
      <formula>$N$7</formula>
    </cfRule>
    <cfRule type="cellIs" dxfId="247" priority="56" operator="equal">
      <formula>"Planning"</formula>
    </cfRule>
    <cfRule type="cellIs" dxfId="246" priority="57" operator="equal">
      <formula>$N$8</formula>
    </cfRule>
    <cfRule type="cellIs" dxfId="245" priority="58" operator="equal">
      <formula>"Under Progress"</formula>
    </cfRule>
    <cfRule type="cellIs" dxfId="244" priority="59" operator="equal">
      <formula>#REF!</formula>
    </cfRule>
  </conditionalFormatting>
  <conditionalFormatting sqref="O110">
    <cfRule type="cellIs" dxfId="243" priority="35" operator="equal">
      <formula>$N$7</formula>
    </cfRule>
    <cfRule type="cellIs" dxfId="242" priority="36" operator="equal">
      <formula>"Planning"</formula>
    </cfRule>
    <cfRule type="cellIs" dxfId="241" priority="37" operator="equal">
      <formula>$N$8</formula>
    </cfRule>
    <cfRule type="cellIs" dxfId="240" priority="38" operator="equal">
      <formula>"Under Progress"</formula>
    </cfRule>
    <cfRule type="cellIs" dxfId="239" priority="39" operator="equal">
      <formula>#REF!</formula>
    </cfRule>
  </conditionalFormatting>
  <conditionalFormatting sqref="M90">
    <cfRule type="cellIs" dxfId="238" priority="45" operator="equal">
      <formula>$N$7</formula>
    </cfRule>
    <cfRule type="cellIs" dxfId="237" priority="46" operator="equal">
      <formula>"Planning"</formula>
    </cfRule>
    <cfRule type="cellIs" dxfId="236" priority="47" operator="equal">
      <formula>$N$8</formula>
    </cfRule>
    <cfRule type="cellIs" dxfId="235" priority="48" operator="equal">
      <formula>"Under Progress"</formula>
    </cfRule>
    <cfRule type="cellIs" dxfId="234" priority="49" operator="equal">
      <formula>#REF!</formula>
    </cfRule>
  </conditionalFormatting>
  <conditionalFormatting sqref="M111">
    <cfRule type="cellIs" dxfId="233" priority="40" operator="equal">
      <formula>$N$7</formula>
    </cfRule>
    <cfRule type="cellIs" dxfId="232" priority="41" operator="equal">
      <formula>"Planning"</formula>
    </cfRule>
    <cfRule type="cellIs" dxfId="231" priority="42" operator="equal">
      <formula>$N$8</formula>
    </cfRule>
    <cfRule type="cellIs" dxfId="230" priority="43" operator="equal">
      <formula>"Under Progress"</formula>
    </cfRule>
    <cfRule type="cellIs" dxfId="229" priority="44" operator="equal">
      <formula>#REF!</formula>
    </cfRule>
  </conditionalFormatting>
  <conditionalFormatting sqref="M110">
    <cfRule type="cellIs" dxfId="228" priority="30" operator="equal">
      <formula>$N$7</formula>
    </cfRule>
    <cfRule type="cellIs" dxfId="227" priority="31" operator="equal">
      <formula>"Planning"</formula>
    </cfRule>
    <cfRule type="cellIs" dxfId="226" priority="32" operator="equal">
      <formula>$N$8</formula>
    </cfRule>
    <cfRule type="cellIs" dxfId="225" priority="33" operator="equal">
      <formula>"Under Progress"</formula>
    </cfRule>
    <cfRule type="cellIs" dxfId="224" priority="34" operator="equal">
      <formula>#REF!</formula>
    </cfRule>
  </conditionalFormatting>
  <conditionalFormatting sqref="N67">
    <cfRule type="cellIs" dxfId="223" priority="25" operator="equal">
      <formula>$N$7</formula>
    </cfRule>
    <cfRule type="cellIs" dxfId="222" priority="26" operator="equal">
      <formula>"Planning"</formula>
    </cfRule>
    <cfRule type="cellIs" dxfId="221" priority="27" operator="equal">
      <formula>$N$8</formula>
    </cfRule>
    <cfRule type="cellIs" dxfId="220" priority="28" operator="equal">
      <formula>"Under Progress"</formula>
    </cfRule>
    <cfRule type="cellIs" dxfId="219" priority="29" operator="equal">
      <formula>#REF!</formula>
    </cfRule>
  </conditionalFormatting>
  <conditionalFormatting sqref="M26">
    <cfRule type="cellIs" dxfId="218" priority="23" operator="equal">
      <formula>$L$23</formula>
    </cfRule>
    <cfRule type="cellIs" dxfId="217" priority="24" operator="equal">
      <formula>#REF!</formula>
    </cfRule>
  </conditionalFormatting>
  <conditionalFormatting sqref="M42">
    <cfRule type="cellIs" dxfId="216" priority="21" operator="equal">
      <formula>$L$23</formula>
    </cfRule>
    <cfRule type="cellIs" dxfId="215" priority="22" operator="equal">
      <formula>#REF!</formula>
    </cfRule>
  </conditionalFormatting>
  <conditionalFormatting sqref="N131">
    <cfRule type="cellIs" dxfId="214" priority="16" operator="equal">
      <formula>$N$7</formula>
    </cfRule>
    <cfRule type="cellIs" dxfId="213" priority="17" operator="equal">
      <formula>"Planning"</formula>
    </cfRule>
    <cfRule type="cellIs" dxfId="212" priority="18" operator="equal">
      <formula>$N$8</formula>
    </cfRule>
    <cfRule type="cellIs" dxfId="211" priority="19" operator="equal">
      <formula>"Under Progress"</formula>
    </cfRule>
    <cfRule type="cellIs" dxfId="210" priority="20" operator="equal">
      <formula>#REF!</formula>
    </cfRule>
  </conditionalFormatting>
  <conditionalFormatting sqref="M73">
    <cfRule type="cellIs" dxfId="209" priority="11" operator="equal">
      <formula>$N$7</formula>
    </cfRule>
    <cfRule type="cellIs" dxfId="208" priority="12" operator="equal">
      <formula>"Planning"</formula>
    </cfRule>
    <cfRule type="cellIs" dxfId="207" priority="13" operator="equal">
      <formula>$N$8</formula>
    </cfRule>
    <cfRule type="cellIs" dxfId="206" priority="14" operator="equal">
      <formula>"Under Progress"</formula>
    </cfRule>
    <cfRule type="cellIs" dxfId="205" priority="15" operator="equal">
      <formula>#REF!</formula>
    </cfRule>
  </conditionalFormatting>
  <conditionalFormatting sqref="N73">
    <cfRule type="cellIs" dxfId="204" priority="6" operator="equal">
      <formula>$N$7</formula>
    </cfRule>
    <cfRule type="cellIs" dxfId="203" priority="7" operator="equal">
      <formula>"Planning"</formula>
    </cfRule>
    <cfRule type="cellIs" dxfId="202" priority="8" operator="equal">
      <formula>$N$8</formula>
    </cfRule>
    <cfRule type="cellIs" dxfId="201" priority="9" operator="equal">
      <formula>"Under Progress"</formula>
    </cfRule>
    <cfRule type="cellIs" dxfId="200" priority="10" operator="equal">
      <formula>#REF!</formula>
    </cfRule>
  </conditionalFormatting>
  <conditionalFormatting sqref="N18">
    <cfRule type="cellIs" dxfId="199" priority="1" operator="equal">
      <formula>$N$7</formula>
    </cfRule>
    <cfRule type="cellIs" dxfId="198" priority="2" operator="equal">
      <formula>"Planning"</formula>
    </cfRule>
    <cfRule type="cellIs" dxfId="197" priority="3" operator="equal">
      <formula>$N$8</formula>
    </cfRule>
    <cfRule type="cellIs" dxfId="196" priority="4" operator="equal">
      <formula>"Under Progress"</formula>
    </cfRule>
    <cfRule type="cellIs" dxfId="195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4"/>
  <sheetViews>
    <sheetView view="pageBreakPreview" zoomScale="63" zoomScaleNormal="55" zoomScaleSheetLayoutView="55" workbookViewId="0">
      <selection activeCell="L142" activeCellId="1" sqref="J142 L142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2" customFormat="1" ht="18">
      <c r="A1" s="334"/>
      <c r="B1" s="391"/>
      <c r="C1" s="1521">
        <v>46212</v>
      </c>
      <c r="D1" s="1522"/>
      <c r="E1" s="1522"/>
      <c r="F1" s="1522"/>
      <c r="G1" s="1522"/>
      <c r="H1" s="1522"/>
      <c r="I1" s="1522"/>
      <c r="J1" s="1522"/>
      <c r="K1" s="1522"/>
      <c r="L1" s="1522"/>
      <c r="M1" s="1522"/>
      <c r="N1" s="1522"/>
      <c r="O1" s="1522"/>
      <c r="P1" s="1522"/>
      <c r="Q1" s="1522"/>
      <c r="R1" s="1522"/>
      <c r="S1" s="1522"/>
      <c r="T1" s="1522"/>
      <c r="U1" s="1522"/>
      <c r="V1" s="1522"/>
      <c r="W1" s="1522"/>
      <c r="X1" s="1522"/>
      <c r="Y1" s="1522"/>
      <c r="Z1" s="1522"/>
      <c r="AA1" s="1523"/>
    </row>
    <row r="2" spans="1:27" s="332" customFormat="1" ht="18">
      <c r="A2" s="1524" t="s">
        <v>1003</v>
      </c>
      <c r="B2" s="1525"/>
      <c r="C2" s="1525"/>
      <c r="D2" s="1525"/>
      <c r="E2" s="1525"/>
      <c r="F2" s="1525"/>
      <c r="G2" s="1525"/>
      <c r="H2" s="1525"/>
      <c r="I2" s="1525"/>
      <c r="J2" s="1525"/>
      <c r="K2" s="1525"/>
      <c r="L2" s="1525"/>
      <c r="M2" s="1525"/>
      <c r="N2" s="1525"/>
      <c r="O2" s="1525"/>
      <c r="P2" s="1525"/>
      <c r="Q2" s="1525"/>
      <c r="R2" s="1525"/>
      <c r="S2" s="1525"/>
      <c r="T2" s="1525"/>
      <c r="U2" s="1525"/>
      <c r="V2" s="1525"/>
      <c r="W2" s="1525"/>
      <c r="X2" s="1525"/>
      <c r="Y2" s="1525"/>
      <c r="Z2" s="1525"/>
      <c r="AA2" s="1526"/>
    </row>
    <row r="3" spans="1:27" s="332" customFormat="1" ht="18">
      <c r="A3" s="1524" t="s">
        <v>956</v>
      </c>
      <c r="B3" s="1525"/>
      <c r="C3" s="1525"/>
      <c r="D3" s="1525"/>
      <c r="E3" s="1525"/>
      <c r="F3" s="1525"/>
      <c r="G3" s="1525"/>
      <c r="H3" s="1525"/>
      <c r="I3" s="1525"/>
      <c r="J3" s="1525"/>
      <c r="K3" s="1525"/>
      <c r="L3" s="1525"/>
      <c r="M3" s="1525"/>
      <c r="N3" s="1525"/>
      <c r="O3" s="1525"/>
      <c r="P3" s="1525"/>
      <c r="Q3" s="1525"/>
      <c r="R3" s="1525"/>
      <c r="S3" s="1525"/>
      <c r="T3" s="1525"/>
      <c r="U3" s="1525"/>
      <c r="V3" s="1525"/>
      <c r="W3" s="1525"/>
      <c r="X3" s="1525"/>
      <c r="Y3" s="1525"/>
      <c r="Z3" s="1525"/>
      <c r="AA3" s="1526"/>
    </row>
    <row r="4" spans="1:27" s="332" customFormat="1" ht="18" customHeight="1">
      <c r="A4" s="1527" t="s">
        <v>916</v>
      </c>
      <c r="B4" s="1528"/>
      <c r="C4" s="1528"/>
      <c r="D4" s="1528"/>
      <c r="E4" s="1528"/>
      <c r="F4" s="1528"/>
      <c r="G4" s="1528"/>
      <c r="H4" s="1528"/>
      <c r="I4" s="1528"/>
      <c r="J4" s="1528"/>
      <c r="K4" s="1528"/>
      <c r="L4" s="1528"/>
      <c r="M4" s="1528"/>
      <c r="N4" s="1528"/>
      <c r="O4" s="1528"/>
      <c r="P4" s="1528"/>
      <c r="Q4" s="1528"/>
      <c r="R4" s="1528"/>
      <c r="S4" s="1528"/>
      <c r="T4" s="1528"/>
      <c r="U4" s="1528"/>
      <c r="V4" s="1528"/>
      <c r="W4" s="1528"/>
      <c r="X4" s="1528"/>
      <c r="Y4" s="1528"/>
      <c r="Z4" s="1528"/>
      <c r="AA4" s="1529"/>
    </row>
    <row r="5" spans="1:27" s="332" customFormat="1" ht="18.75" thickBot="1">
      <c r="A5" s="336"/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9"/>
    </row>
    <row r="6" spans="1:27" ht="15.75" thickBot="1">
      <c r="A6" s="251"/>
      <c r="B6" s="841"/>
      <c r="C6" s="841"/>
      <c r="D6" s="841"/>
      <c r="E6" s="841"/>
      <c r="F6" s="841"/>
      <c r="G6" s="841"/>
      <c r="H6" s="841"/>
      <c r="I6" s="841"/>
      <c r="J6" s="841"/>
      <c r="K6" s="841"/>
      <c r="L6" s="841"/>
      <c r="M6" s="841"/>
      <c r="N6" s="841"/>
      <c r="O6" s="841"/>
      <c r="P6" s="584" t="s">
        <v>951</v>
      </c>
      <c r="Q6" s="584"/>
      <c r="R6" s="841"/>
      <c r="S6" s="841"/>
      <c r="T6" s="841"/>
      <c r="U6" s="841"/>
      <c r="V6" s="841"/>
      <c r="W6" s="841"/>
      <c r="X6" s="841"/>
      <c r="Y6" s="841"/>
      <c r="Z6" s="841"/>
      <c r="AA6" s="113"/>
    </row>
    <row r="7" spans="1:27" ht="20.25">
      <c r="A7" s="251"/>
      <c r="B7" s="1530" t="s">
        <v>924</v>
      </c>
      <c r="C7" s="1531"/>
      <c r="D7" s="1531"/>
      <c r="E7" s="1531"/>
      <c r="F7" s="1531"/>
      <c r="G7" s="1532" t="s">
        <v>873</v>
      </c>
      <c r="H7" s="1532"/>
      <c r="I7" s="1533" t="s">
        <v>2217</v>
      </c>
      <c r="J7" s="1532"/>
      <c r="K7" s="1534"/>
      <c r="L7" s="841"/>
      <c r="M7" s="841"/>
      <c r="N7" s="841"/>
      <c r="O7" s="841"/>
      <c r="P7" s="1081"/>
      <c r="Q7" s="1082" t="s">
        <v>2021</v>
      </c>
      <c r="R7" s="841"/>
      <c r="S7" s="841"/>
      <c r="T7" s="841"/>
      <c r="U7" s="841"/>
      <c r="V7" s="841"/>
      <c r="W7" s="841"/>
      <c r="X7" s="841"/>
      <c r="Y7" s="841"/>
      <c r="Z7" s="841"/>
      <c r="AA7" s="113"/>
    </row>
    <row r="8" spans="1:27" ht="20.25">
      <c r="A8" s="251"/>
      <c r="B8" s="1536" t="s">
        <v>927</v>
      </c>
      <c r="C8" s="1537"/>
      <c r="D8" s="1537"/>
      <c r="E8" s="1537"/>
      <c r="F8" s="1537"/>
      <c r="G8" s="1538" t="s">
        <v>873</v>
      </c>
      <c r="H8" s="1538"/>
      <c r="I8" s="1543" t="s">
        <v>2189</v>
      </c>
      <c r="J8" s="1538"/>
      <c r="K8" s="1539"/>
      <c r="L8" s="841"/>
      <c r="M8" s="841"/>
      <c r="N8" s="841"/>
      <c r="O8" s="841"/>
      <c r="P8" s="1083"/>
      <c r="Q8" s="1082" t="s">
        <v>977</v>
      </c>
      <c r="R8" s="841"/>
      <c r="S8" s="841"/>
      <c r="T8" s="841"/>
      <c r="U8" s="841"/>
      <c r="V8" s="841"/>
      <c r="W8" s="841"/>
      <c r="X8" s="841"/>
      <c r="Y8" s="841"/>
      <c r="Z8" s="841"/>
      <c r="AA8" s="113"/>
    </row>
    <row r="9" spans="1:27" ht="20.25">
      <c r="A9" s="251"/>
      <c r="B9" s="1536" t="s">
        <v>929</v>
      </c>
      <c r="C9" s="1537"/>
      <c r="D9" s="1537"/>
      <c r="E9" s="1537"/>
      <c r="F9" s="1537"/>
      <c r="G9" s="1538" t="s">
        <v>873</v>
      </c>
      <c r="H9" s="1538"/>
      <c r="I9" s="1543" t="s">
        <v>2218</v>
      </c>
      <c r="J9" s="1538"/>
      <c r="K9" s="1539"/>
      <c r="L9" s="841"/>
      <c r="M9" s="841"/>
      <c r="N9" s="841"/>
      <c r="O9" s="841"/>
      <c r="P9" s="1535" t="s">
        <v>2022</v>
      </c>
      <c r="Q9" s="1079" t="s">
        <v>2023</v>
      </c>
      <c r="R9" s="841"/>
      <c r="S9" s="841"/>
      <c r="T9" s="841"/>
      <c r="U9" s="841"/>
      <c r="V9" s="841"/>
      <c r="W9" s="841"/>
      <c r="X9" s="841"/>
      <c r="Y9" s="841"/>
      <c r="Z9" s="841"/>
      <c r="AA9" s="113"/>
    </row>
    <row r="10" spans="1:27" ht="20.25">
      <c r="A10" s="251"/>
      <c r="B10" s="1536" t="s">
        <v>932</v>
      </c>
      <c r="C10" s="1537"/>
      <c r="D10" s="1537"/>
      <c r="E10" s="1537"/>
      <c r="F10" s="1537"/>
      <c r="G10" s="1538" t="s">
        <v>933</v>
      </c>
      <c r="H10" s="1538"/>
      <c r="I10" s="1538" t="s">
        <v>2142</v>
      </c>
      <c r="J10" s="1538"/>
      <c r="K10" s="1539"/>
      <c r="L10" s="841"/>
      <c r="M10" s="841"/>
      <c r="N10" s="841"/>
      <c r="O10" s="841"/>
      <c r="P10" s="1535"/>
      <c r="Q10" s="1079" t="s">
        <v>2024</v>
      </c>
      <c r="R10" s="841"/>
      <c r="S10" s="841"/>
      <c r="T10" s="841"/>
      <c r="U10" s="841"/>
      <c r="V10" s="841"/>
      <c r="W10" s="841"/>
      <c r="X10" s="841"/>
      <c r="Y10" s="841"/>
      <c r="Z10" s="841"/>
      <c r="AA10" s="113"/>
    </row>
    <row r="11" spans="1:27" ht="21" thickBot="1">
      <c r="A11" s="251"/>
      <c r="B11" s="1540" t="s">
        <v>936</v>
      </c>
      <c r="C11" s="1541"/>
      <c r="D11" s="1541"/>
      <c r="E11" s="1541"/>
      <c r="F11" s="1541"/>
      <c r="G11" s="1542" t="s">
        <v>933</v>
      </c>
      <c r="H11" s="1542"/>
      <c r="I11" s="1538" t="s">
        <v>2142</v>
      </c>
      <c r="J11" s="1538"/>
      <c r="K11" s="1539"/>
      <c r="L11" s="841"/>
      <c r="M11" s="841"/>
      <c r="N11" s="841"/>
      <c r="O11" s="841"/>
      <c r="P11" s="1535"/>
      <c r="Q11" s="1079" t="s">
        <v>2025</v>
      </c>
      <c r="R11" s="841"/>
      <c r="S11" s="841"/>
      <c r="T11" s="841"/>
      <c r="U11" s="841"/>
      <c r="V11" s="841"/>
      <c r="W11" s="841"/>
      <c r="X11" s="841"/>
      <c r="Y11" s="841"/>
      <c r="Z11" s="841"/>
      <c r="AA11" s="113"/>
    </row>
    <row r="12" spans="1:27" ht="15.75" thickBot="1">
      <c r="A12" s="251"/>
      <c r="B12" s="841"/>
      <c r="C12" s="841"/>
      <c r="D12" s="841"/>
      <c r="E12" s="841"/>
      <c r="F12" s="841"/>
      <c r="G12" s="841"/>
      <c r="H12" s="841"/>
      <c r="I12" s="841"/>
      <c r="J12" s="841"/>
      <c r="K12" s="841"/>
      <c r="L12" s="841"/>
      <c r="M12" s="841"/>
      <c r="N12" s="841"/>
      <c r="O12" s="841"/>
      <c r="P12" s="1535"/>
      <c r="Q12" s="1079" t="s">
        <v>2026</v>
      </c>
      <c r="R12" s="841"/>
      <c r="S12" s="841"/>
      <c r="T12" s="841"/>
      <c r="U12" s="841"/>
      <c r="V12" s="841"/>
      <c r="W12" s="841"/>
      <c r="X12" s="841"/>
      <c r="Y12" s="841"/>
      <c r="Z12" s="841"/>
      <c r="AA12" s="113"/>
    </row>
    <row r="13" spans="1:27" s="332" customFormat="1" ht="18">
      <c r="A13" s="334"/>
      <c r="B13" s="391"/>
      <c r="C13" s="1521">
        <f>C1</f>
        <v>46212</v>
      </c>
      <c r="D13" s="1522"/>
      <c r="E13" s="1522"/>
      <c r="F13" s="1522"/>
      <c r="G13" s="1522"/>
      <c r="H13" s="1522"/>
      <c r="I13" s="1522"/>
      <c r="J13" s="1522"/>
      <c r="K13" s="1522"/>
      <c r="L13" s="1522"/>
      <c r="M13" s="1522"/>
      <c r="N13" s="1522"/>
      <c r="O13" s="1522"/>
      <c r="P13" s="1522"/>
      <c r="Q13" s="1522"/>
      <c r="R13" s="1522"/>
      <c r="S13" s="1522"/>
      <c r="T13" s="1522"/>
      <c r="U13" s="1522"/>
      <c r="V13" s="1522"/>
      <c r="W13" s="1522"/>
      <c r="X13" s="1522"/>
      <c r="Y13" s="1522"/>
      <c r="Z13" s="1522"/>
      <c r="AA13" s="1523"/>
    </row>
    <row r="14" spans="1:27" s="332" customFormat="1" ht="18" customHeight="1">
      <c r="A14" s="1524" t="s">
        <v>961</v>
      </c>
      <c r="B14" s="1525"/>
      <c r="C14" s="1525"/>
      <c r="D14" s="1525"/>
      <c r="E14" s="1525"/>
      <c r="F14" s="1525"/>
      <c r="G14" s="1525"/>
      <c r="H14" s="1525"/>
      <c r="I14" s="1525"/>
      <c r="J14" s="1525"/>
      <c r="K14" s="1525"/>
      <c r="L14" s="1525"/>
      <c r="M14" s="1525"/>
      <c r="N14" s="1525"/>
      <c r="O14" s="1525"/>
      <c r="P14" s="1525"/>
      <c r="Q14" s="1525"/>
      <c r="R14" s="1525"/>
      <c r="S14" s="1525"/>
      <c r="T14" s="1525"/>
      <c r="U14" s="1525"/>
      <c r="V14" s="1525"/>
      <c r="W14" s="1525"/>
      <c r="X14" s="1525"/>
      <c r="Y14" s="1525"/>
      <c r="Z14" s="1525"/>
      <c r="AA14" s="1526"/>
    </row>
    <row r="15" spans="1:27" s="332" customFormat="1" ht="18">
      <c r="A15" s="1524" t="s">
        <v>956</v>
      </c>
      <c r="B15" s="1525"/>
      <c r="C15" s="1525"/>
      <c r="D15" s="1525"/>
      <c r="E15" s="1525"/>
      <c r="F15" s="1525"/>
      <c r="G15" s="1525"/>
      <c r="H15" s="1525"/>
      <c r="I15" s="1525"/>
      <c r="J15" s="1525"/>
      <c r="K15" s="1525"/>
      <c r="L15" s="1525"/>
      <c r="M15" s="1525"/>
      <c r="N15" s="1525"/>
      <c r="O15" s="1525"/>
      <c r="P15" s="1525"/>
      <c r="Q15" s="1525"/>
      <c r="R15" s="1525"/>
      <c r="S15" s="1525"/>
      <c r="T15" s="1525"/>
      <c r="U15" s="1525"/>
      <c r="V15" s="1525"/>
      <c r="W15" s="1525"/>
      <c r="X15" s="1525"/>
      <c r="Y15" s="1525"/>
      <c r="Z15" s="1525"/>
      <c r="AA15" s="1526"/>
    </row>
    <row r="16" spans="1:27" s="332" customFormat="1" ht="18" customHeight="1">
      <c r="A16" s="1527" t="s">
        <v>916</v>
      </c>
      <c r="B16" s="1528"/>
      <c r="C16" s="1528"/>
      <c r="D16" s="1528"/>
      <c r="E16" s="1528"/>
      <c r="F16" s="1528"/>
      <c r="G16" s="1528"/>
      <c r="H16" s="1528"/>
      <c r="I16" s="1528"/>
      <c r="J16" s="1528"/>
      <c r="K16" s="1528"/>
      <c r="L16" s="1528"/>
      <c r="M16" s="1528"/>
      <c r="N16" s="1528"/>
      <c r="O16" s="1528"/>
      <c r="P16" s="1528"/>
      <c r="Q16" s="1528"/>
      <c r="R16" s="1528"/>
      <c r="S16" s="1528"/>
      <c r="T16" s="1528"/>
      <c r="U16" s="1528"/>
      <c r="V16" s="1528"/>
      <c r="W16" s="1528"/>
      <c r="X16" s="1528"/>
      <c r="Y16" s="1528"/>
      <c r="Z16" s="1528"/>
      <c r="AA16" s="1529"/>
    </row>
    <row r="17" spans="1:28" s="332" customFormat="1" ht="18.75" thickBot="1">
      <c r="A17" s="336"/>
      <c r="B17" s="337"/>
      <c r="C17" s="337"/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8"/>
      <c r="O17" s="338"/>
      <c r="P17" s="338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9"/>
    </row>
    <row r="18" spans="1:28" s="332" customFormat="1" ht="18">
      <c r="A18" s="335"/>
      <c r="B18" s="869"/>
      <c r="C18" s="1544"/>
      <c r="D18" s="1544"/>
      <c r="E18" s="1544"/>
      <c r="F18" s="1544"/>
      <c r="G18" s="1544"/>
      <c r="H18" s="1545"/>
      <c r="I18" s="1545"/>
      <c r="J18" s="1525"/>
      <c r="K18" s="1525"/>
      <c r="L18" s="1525"/>
      <c r="M18" s="1072"/>
      <c r="N18" s="1546" t="s">
        <v>917</v>
      </c>
      <c r="O18" s="1547"/>
      <c r="P18" s="1547"/>
      <c r="Q18" s="1547"/>
      <c r="R18" s="1547"/>
      <c r="S18" s="1547"/>
      <c r="T18" s="1547"/>
      <c r="U18" s="1547"/>
      <c r="V18" s="1547"/>
      <c r="W18" s="1547"/>
      <c r="X18" s="1547"/>
      <c r="Y18" s="1547"/>
      <c r="Z18" s="1547"/>
      <c r="AA18" s="1548"/>
    </row>
    <row r="19" spans="1:28" s="332" customFormat="1" ht="18" customHeight="1">
      <c r="A19" s="335"/>
      <c r="B19" s="869"/>
      <c r="C19" s="1544"/>
      <c r="D19" s="1544"/>
      <c r="E19" s="1544"/>
      <c r="F19" s="1544"/>
      <c r="G19" s="1544"/>
      <c r="H19" s="1545"/>
      <c r="I19" s="1545"/>
      <c r="J19" s="1525"/>
      <c r="K19" s="1525"/>
      <c r="L19" s="1525"/>
      <c r="M19" s="1059"/>
      <c r="N19" s="1060"/>
      <c r="O19" s="340" t="s">
        <v>918</v>
      </c>
      <c r="P19" s="1559" t="s">
        <v>919</v>
      </c>
      <c r="Q19" s="1545"/>
      <c r="R19" s="341"/>
      <c r="S19" s="870"/>
      <c r="T19" s="1560" t="s">
        <v>920</v>
      </c>
      <c r="U19" s="1561"/>
      <c r="V19" s="871"/>
      <c r="W19" s="1562" t="s">
        <v>921</v>
      </c>
      <c r="X19" s="872"/>
      <c r="Y19" s="1555" t="s">
        <v>922</v>
      </c>
      <c r="Z19" s="873"/>
      <c r="AA19" s="1556" t="s">
        <v>923</v>
      </c>
    </row>
    <row r="20" spans="1:28" s="332" customFormat="1" ht="18">
      <c r="A20" s="335"/>
      <c r="B20" s="869"/>
      <c r="C20" s="1551" t="s">
        <v>924</v>
      </c>
      <c r="D20" s="1551"/>
      <c r="E20" s="1551"/>
      <c r="F20" s="1551"/>
      <c r="G20" s="1551"/>
      <c r="H20" s="1552" t="s">
        <v>873</v>
      </c>
      <c r="I20" s="1552"/>
      <c r="J20" s="1557" t="s">
        <v>2190</v>
      </c>
      <c r="K20" s="1553"/>
      <c r="L20" s="1554"/>
      <c r="M20" s="346"/>
      <c r="N20" s="1060"/>
      <c r="O20" s="1060"/>
      <c r="P20" s="1558" t="s">
        <v>925</v>
      </c>
      <c r="Q20" s="1558"/>
      <c r="R20" s="1060"/>
      <c r="S20" s="874" t="s">
        <v>926</v>
      </c>
      <c r="T20" s="1560"/>
      <c r="U20" s="1561"/>
      <c r="V20" s="871"/>
      <c r="W20" s="1562"/>
      <c r="X20" s="872"/>
      <c r="Y20" s="1555"/>
      <c r="Z20" s="873"/>
      <c r="AA20" s="1556"/>
    </row>
    <row r="21" spans="1:28" s="332" customFormat="1" ht="18.75" customHeight="1" thickBot="1">
      <c r="A21" s="335"/>
      <c r="B21" s="869"/>
      <c r="C21" s="1551" t="s">
        <v>927</v>
      </c>
      <c r="D21" s="1551"/>
      <c r="E21" s="1551"/>
      <c r="F21" s="1551"/>
      <c r="G21" s="1551"/>
      <c r="H21" s="1552" t="s">
        <v>873</v>
      </c>
      <c r="I21" s="1552"/>
      <c r="J21" s="1557" t="s">
        <v>2161</v>
      </c>
      <c r="K21" s="1553"/>
      <c r="L21" s="1554"/>
      <c r="M21" s="348" t="s">
        <v>928</v>
      </c>
      <c r="N21" s="870"/>
      <c r="O21" s="1054"/>
      <c r="P21" s="875"/>
      <c r="Q21" s="876"/>
      <c r="R21" s="877"/>
      <c r="S21" s="877"/>
      <c r="T21" s="1560"/>
      <c r="U21" s="1561"/>
      <c r="V21" s="878"/>
      <c r="W21" s="1562"/>
      <c r="X21" s="872"/>
      <c r="Y21" s="1555"/>
      <c r="Z21" s="870"/>
      <c r="AA21" s="1556"/>
    </row>
    <row r="22" spans="1:28" s="359" customFormat="1" ht="18.75" thickTop="1">
      <c r="A22" s="353"/>
      <c r="B22" s="879"/>
      <c r="C22" s="1551" t="s">
        <v>929</v>
      </c>
      <c r="D22" s="1551"/>
      <c r="E22" s="1551"/>
      <c r="F22" s="1551"/>
      <c r="G22" s="1551"/>
      <c r="H22" s="1552" t="s">
        <v>873</v>
      </c>
      <c r="I22" s="1552"/>
      <c r="J22" s="1557" t="s">
        <v>2216</v>
      </c>
      <c r="K22" s="1553"/>
      <c r="L22" s="1554"/>
      <c r="M22" s="354"/>
      <c r="N22" s="876"/>
      <c r="O22" s="355" t="s">
        <v>930</v>
      </c>
      <c r="P22" s="1563" t="s">
        <v>931</v>
      </c>
      <c r="Q22" s="1564"/>
      <c r="R22" s="1549"/>
      <c r="S22" s="870"/>
      <c r="T22" s="1560"/>
      <c r="U22" s="1561"/>
      <c r="V22" s="878"/>
      <c r="W22" s="356"/>
      <c r="X22" s="872"/>
      <c r="Y22" s="357"/>
      <c r="Z22" s="877"/>
      <c r="AA22" s="358"/>
    </row>
    <row r="23" spans="1:28" s="359" customFormat="1" ht="18.75" thickBot="1">
      <c r="A23" s="353"/>
      <c r="B23" s="879"/>
      <c r="C23" s="1551" t="s">
        <v>932</v>
      </c>
      <c r="D23" s="1551"/>
      <c r="E23" s="1551"/>
      <c r="F23" s="1551"/>
      <c r="G23" s="1551"/>
      <c r="H23" s="1552" t="s">
        <v>933</v>
      </c>
      <c r="I23" s="1552"/>
      <c r="J23" s="1553" t="s">
        <v>2143</v>
      </c>
      <c r="K23" s="1553"/>
      <c r="L23" s="1554"/>
      <c r="M23" s="348" t="s">
        <v>934</v>
      </c>
      <c r="N23" s="877"/>
      <c r="O23" s="360" t="s">
        <v>935</v>
      </c>
      <c r="P23" s="877"/>
      <c r="Q23" s="361"/>
      <c r="R23" s="1550"/>
      <c r="S23" s="877"/>
      <c r="T23" s="1560"/>
      <c r="U23" s="1561"/>
      <c r="V23" s="878"/>
      <c r="W23" s="356"/>
      <c r="X23" s="872"/>
      <c r="Y23" s="357"/>
      <c r="Z23" s="877"/>
      <c r="AA23" s="358"/>
    </row>
    <row r="24" spans="1:28" s="359" customFormat="1" ht="18">
      <c r="A24" s="353"/>
      <c r="B24" s="879"/>
      <c r="C24" s="1551" t="s">
        <v>936</v>
      </c>
      <c r="D24" s="1551"/>
      <c r="E24" s="1551"/>
      <c r="F24" s="1551"/>
      <c r="G24" s="1551"/>
      <c r="H24" s="1552" t="s">
        <v>933</v>
      </c>
      <c r="I24" s="1552"/>
      <c r="J24" s="1553" t="s">
        <v>2143</v>
      </c>
      <c r="K24" s="1553"/>
      <c r="L24" s="1554"/>
      <c r="M24" s="354"/>
      <c r="N24" s="877"/>
      <c r="O24" s="877"/>
      <c r="P24" s="877"/>
      <c r="Q24" s="880"/>
      <c r="R24" s="1054"/>
      <c r="S24" s="877"/>
      <c r="T24" s="1560"/>
      <c r="U24" s="1561"/>
      <c r="V24" s="878"/>
      <c r="W24" s="356"/>
      <c r="X24" s="872"/>
      <c r="Y24" s="363"/>
      <c r="Z24" s="877"/>
      <c r="AA24" s="358"/>
    </row>
    <row r="25" spans="1:28" s="359" customFormat="1" ht="15.75">
      <c r="A25" s="353"/>
      <c r="B25" s="879"/>
      <c r="C25" s="879"/>
      <c r="D25" s="879"/>
      <c r="E25" s="879"/>
      <c r="F25" s="879"/>
      <c r="G25" s="879"/>
      <c r="H25" s="879"/>
      <c r="I25" s="879" t="s">
        <v>937</v>
      </c>
      <c r="J25" s="879"/>
      <c r="K25" s="879"/>
      <c r="L25" s="879"/>
      <c r="M25" s="364" t="s">
        <v>938</v>
      </c>
      <c r="N25" s="877"/>
      <c r="O25" s="1054" t="s">
        <v>939</v>
      </c>
      <c r="P25" s="1054"/>
      <c r="Q25" s="880" t="s">
        <v>940</v>
      </c>
      <c r="R25" s="877"/>
      <c r="S25" s="1572" t="s">
        <v>941</v>
      </c>
      <c r="T25" s="1560"/>
      <c r="U25" s="1561"/>
      <c r="V25" s="878"/>
      <c r="W25" s="356"/>
      <c r="X25" s="872"/>
      <c r="Y25" s="363"/>
      <c r="Z25" s="877"/>
      <c r="AA25" s="358"/>
    </row>
    <row r="26" spans="1:28" s="359" customFormat="1" ht="15.75">
      <c r="A26" s="353"/>
      <c r="B26" s="879"/>
      <c r="C26" s="879"/>
      <c r="D26" s="879"/>
      <c r="E26" s="879"/>
      <c r="F26" s="879"/>
      <c r="G26" s="879"/>
      <c r="H26" s="879"/>
      <c r="I26" s="879"/>
      <c r="J26" s="879"/>
      <c r="K26" s="879"/>
      <c r="L26" s="879"/>
      <c r="M26" s="354"/>
      <c r="N26" s="877"/>
      <c r="O26" s="1054"/>
      <c r="P26" s="1573" t="s">
        <v>942</v>
      </c>
      <c r="Q26" s="1573" t="s">
        <v>943</v>
      </c>
      <c r="R26" s="877"/>
      <c r="S26" s="1572"/>
      <c r="T26" s="1560"/>
      <c r="U26" s="1561"/>
      <c r="V26" s="878"/>
      <c r="W26" s="356"/>
      <c r="X26" s="872"/>
      <c r="Y26" s="363"/>
      <c r="Z26" s="877"/>
      <c r="AA26" s="358"/>
    </row>
    <row r="27" spans="1:28" s="359" customFormat="1" ht="17.45" customHeight="1">
      <c r="A27" s="354"/>
      <c r="B27" s="877"/>
      <c r="C27" s="879"/>
      <c r="D27" s="1545"/>
      <c r="E27" s="1545"/>
      <c r="F27" s="1545"/>
      <c r="G27" s="1545"/>
      <c r="H27" s="879"/>
      <c r="I27" s="877"/>
      <c r="J27" s="877"/>
      <c r="K27" s="877"/>
      <c r="L27" s="877"/>
      <c r="M27" s="364" t="s">
        <v>944</v>
      </c>
      <c r="N27" s="877"/>
      <c r="O27" s="1054" t="s">
        <v>945</v>
      </c>
      <c r="P27" s="1573"/>
      <c r="Q27" s="1574"/>
      <c r="R27" s="877"/>
      <c r="S27" s="877"/>
      <c r="T27" s="1560"/>
      <c r="U27" s="1561"/>
      <c r="V27" s="877"/>
      <c r="W27" s="356"/>
      <c r="X27" s="872"/>
      <c r="Y27" s="357"/>
      <c r="Z27" s="877"/>
      <c r="AA27" s="358"/>
    </row>
    <row r="28" spans="1:28" s="359" customFormat="1" ht="16.5" thickBot="1">
      <c r="A28" s="353"/>
      <c r="B28" s="879"/>
      <c r="C28" s="879"/>
      <c r="D28" s="879"/>
      <c r="E28" s="879"/>
      <c r="F28" s="879"/>
      <c r="G28" s="879"/>
      <c r="H28" s="879"/>
      <c r="I28" s="879"/>
      <c r="J28" s="879"/>
      <c r="K28" s="879"/>
      <c r="L28" s="879"/>
      <c r="M28" s="365"/>
      <c r="N28" s="338"/>
      <c r="O28" s="338"/>
      <c r="P28" s="366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9"/>
    </row>
    <row r="29" spans="1:28" s="359" customFormat="1" ht="15.75" customHeight="1">
      <c r="A29" s="367"/>
      <c r="B29" s="881"/>
      <c r="C29" s="882"/>
      <c r="D29" s="882"/>
      <c r="E29" s="882"/>
      <c r="F29" s="882"/>
      <c r="G29" s="882"/>
      <c r="H29" s="882"/>
      <c r="I29" s="882"/>
      <c r="J29" s="882"/>
      <c r="K29" s="882"/>
      <c r="L29" s="882"/>
      <c r="M29" s="882"/>
      <c r="N29" s="882"/>
      <c r="O29" s="882"/>
      <c r="P29" s="882"/>
      <c r="Q29" s="883"/>
      <c r="R29" s="883"/>
      <c r="S29" s="882"/>
      <c r="T29" s="882"/>
      <c r="U29" s="882"/>
      <c r="V29" s="879"/>
      <c r="W29" s="1580" t="s">
        <v>946</v>
      </c>
      <c r="X29" s="1577" t="s">
        <v>947</v>
      </c>
      <c r="Y29" s="1577" t="s">
        <v>948</v>
      </c>
      <c r="Z29" s="1578" t="s">
        <v>949</v>
      </c>
      <c r="AA29" s="1579" t="s">
        <v>950</v>
      </c>
    </row>
    <row r="30" spans="1:28" s="359" customFormat="1">
      <c r="A30" s="367"/>
      <c r="B30" s="881"/>
      <c r="C30" s="884"/>
      <c r="D30" s="882"/>
      <c r="E30" s="884"/>
      <c r="F30" s="882"/>
      <c r="G30" s="885"/>
      <c r="H30" s="882"/>
      <c r="I30" s="882"/>
      <c r="J30" s="882"/>
      <c r="K30" s="882"/>
      <c r="L30" s="882"/>
      <c r="M30" s="884"/>
      <c r="N30" s="884"/>
      <c r="O30" s="885"/>
      <c r="P30" s="884"/>
      <c r="Q30" s="885"/>
      <c r="R30" s="884"/>
      <c r="S30" s="885"/>
      <c r="T30" s="884"/>
      <c r="U30" s="884"/>
      <c r="V30" s="879"/>
      <c r="W30" s="1580"/>
      <c r="X30" s="1577"/>
      <c r="Y30" s="1577"/>
      <c r="Z30" s="1578"/>
      <c r="AA30" s="1579"/>
    </row>
    <row r="31" spans="1:28" s="359" customFormat="1" ht="15.75">
      <c r="A31" s="367"/>
      <c r="B31" s="881"/>
      <c r="C31" s="882"/>
      <c r="D31" s="882"/>
      <c r="E31" s="882"/>
      <c r="F31" s="882"/>
      <c r="G31" s="882"/>
      <c r="H31" s="882"/>
      <c r="I31" s="882"/>
      <c r="J31" s="882"/>
      <c r="K31" s="882"/>
      <c r="L31" s="882"/>
      <c r="M31" s="882"/>
      <c r="N31" s="882"/>
      <c r="O31" s="882"/>
      <c r="P31" s="886"/>
      <c r="Q31" s="886"/>
      <c r="R31" s="886"/>
      <c r="S31" s="886"/>
      <c r="T31" s="886"/>
      <c r="U31" s="886"/>
      <c r="V31" s="879"/>
      <c r="W31" s="357"/>
      <c r="X31" s="357"/>
      <c r="Y31" s="357"/>
      <c r="Z31" s="357"/>
      <c r="AA31" s="358"/>
    </row>
    <row r="32" spans="1:28" s="359" customFormat="1">
      <c r="A32" s="367"/>
      <c r="B32" s="881"/>
      <c r="C32" s="882"/>
      <c r="D32" s="882"/>
      <c r="E32" s="882"/>
      <c r="F32" s="882"/>
      <c r="G32" s="882"/>
      <c r="H32" s="882"/>
      <c r="I32" s="882"/>
      <c r="J32" s="882"/>
      <c r="K32" s="882"/>
      <c r="L32" s="882"/>
      <c r="M32" s="882"/>
      <c r="N32" s="882"/>
      <c r="O32" s="882"/>
      <c r="P32" s="886"/>
      <c r="Q32" s="886"/>
      <c r="R32" s="886"/>
      <c r="S32" s="886"/>
      <c r="T32" s="886"/>
      <c r="U32" s="886"/>
      <c r="V32" s="879"/>
      <c r="W32" s="372"/>
      <c r="X32" s="372"/>
      <c r="Y32" s="372"/>
      <c r="Z32" s="372"/>
      <c r="AA32" s="373"/>
      <c r="AB32" s="1160"/>
    </row>
    <row r="33" spans="1:27" s="375" customFormat="1" ht="16.5" customHeight="1">
      <c r="A33" s="1565"/>
      <c r="B33" s="374">
        <v>146.26</v>
      </c>
      <c r="C33" s="1566"/>
      <c r="D33" s="374">
        <v>112.78</v>
      </c>
      <c r="E33" s="1566"/>
      <c r="F33" s="374">
        <v>158.66</v>
      </c>
      <c r="G33" s="1566"/>
      <c r="H33" s="374">
        <v>296</v>
      </c>
      <c r="I33" s="1568"/>
      <c r="J33" s="374">
        <v>332</v>
      </c>
      <c r="K33" s="1570"/>
      <c r="L33" s="374">
        <v>277</v>
      </c>
      <c r="M33" s="1568"/>
      <c r="N33" s="374">
        <v>340.68</v>
      </c>
      <c r="O33" s="1566"/>
      <c r="P33" s="421">
        <v>229.84</v>
      </c>
      <c r="Q33" s="1585"/>
      <c r="R33" s="374">
        <v>276.93</v>
      </c>
      <c r="S33" s="1585"/>
      <c r="T33" s="374">
        <v>357</v>
      </c>
      <c r="U33" s="1566"/>
      <c r="V33" s="1575" t="s">
        <v>1948</v>
      </c>
      <c r="W33" s="376">
        <f>SUM(A33:V33)</f>
        <v>2527.1499999999996</v>
      </c>
      <c r="X33" s="376">
        <v>1</v>
      </c>
      <c r="Y33" s="376">
        <v>0</v>
      </c>
      <c r="Z33" s="376">
        <v>0</v>
      </c>
      <c r="AA33" s="377">
        <v>0</v>
      </c>
    </row>
    <row r="34" spans="1:27" s="359" customFormat="1" ht="16.149999999999999" customHeight="1">
      <c r="A34" s="1565"/>
      <c r="B34" s="881"/>
      <c r="C34" s="1567"/>
      <c r="D34" s="884"/>
      <c r="E34" s="1567"/>
      <c r="F34" s="884"/>
      <c r="G34" s="1567"/>
      <c r="H34" s="884"/>
      <c r="I34" s="1569"/>
      <c r="J34" s="884"/>
      <c r="K34" s="1571"/>
      <c r="L34" s="884"/>
      <c r="M34" s="1569"/>
      <c r="N34" s="884"/>
      <c r="O34" s="1567"/>
      <c r="P34" s="886"/>
      <c r="Q34" s="1585"/>
      <c r="R34" s="888"/>
      <c r="S34" s="1585"/>
      <c r="T34" s="380"/>
      <c r="U34" s="1567"/>
      <c r="V34" s="1575"/>
      <c r="W34" s="381"/>
      <c r="X34" s="376"/>
      <c r="Y34" s="376"/>
      <c r="Z34" s="376"/>
      <c r="AA34" s="382"/>
    </row>
    <row r="35" spans="1:27" s="359" customFormat="1">
      <c r="A35" s="394" t="s">
        <v>962</v>
      </c>
      <c r="B35" s="881"/>
      <c r="C35" s="886" t="s">
        <v>132</v>
      </c>
      <c r="D35" s="886"/>
      <c r="E35" s="886" t="s">
        <v>141</v>
      </c>
      <c r="F35" s="886"/>
      <c r="G35" s="886" t="s">
        <v>147</v>
      </c>
      <c r="H35" s="886"/>
      <c r="I35" s="889" t="s">
        <v>152</v>
      </c>
      <c r="J35" s="886"/>
      <c r="K35" s="889" t="s">
        <v>156</v>
      </c>
      <c r="L35" s="886"/>
      <c r="M35" s="889" t="s">
        <v>160</v>
      </c>
      <c r="N35" s="886"/>
      <c r="O35" s="889" t="s">
        <v>166</v>
      </c>
      <c r="P35" s="886"/>
      <c r="Q35" s="889" t="s">
        <v>174</v>
      </c>
      <c r="R35" s="886"/>
      <c r="S35" s="889" t="s">
        <v>181</v>
      </c>
      <c r="T35" s="886"/>
      <c r="U35" s="889" t="s">
        <v>186</v>
      </c>
      <c r="V35" s="1575"/>
      <c r="W35" s="381"/>
      <c r="X35" s="376"/>
      <c r="Y35" s="376"/>
      <c r="Z35" s="376"/>
      <c r="AA35" s="382"/>
    </row>
    <row r="36" spans="1:27" s="359" customFormat="1">
      <c r="A36" s="367"/>
      <c r="B36" s="881"/>
      <c r="C36" s="893" t="s">
        <v>133</v>
      </c>
      <c r="D36" s="893"/>
      <c r="E36" s="893" t="s">
        <v>133</v>
      </c>
      <c r="F36" s="893"/>
      <c r="G36" s="893" t="s">
        <v>133</v>
      </c>
      <c r="H36" s="893"/>
      <c r="I36" s="893" t="s">
        <v>153</v>
      </c>
      <c r="J36" s="893"/>
      <c r="K36" s="893" t="s">
        <v>153</v>
      </c>
      <c r="L36" s="886"/>
      <c r="M36" s="886" t="s">
        <v>153</v>
      </c>
      <c r="N36" s="886"/>
      <c r="O36" s="423" t="s">
        <v>257</v>
      </c>
      <c r="P36" s="890" t="s">
        <v>999</v>
      </c>
      <c r="Q36" s="423" t="s">
        <v>257</v>
      </c>
      <c r="R36" s="886"/>
      <c r="S36" s="886" t="s">
        <v>133</v>
      </c>
      <c r="T36" s="886"/>
      <c r="U36" s="893" t="s">
        <v>357</v>
      </c>
      <c r="V36" s="891"/>
      <c r="W36" s="381"/>
      <c r="X36" s="376"/>
      <c r="Y36" s="376"/>
      <c r="Z36" s="376"/>
      <c r="AA36" s="382"/>
    </row>
    <row r="37" spans="1:27" s="795" customFormat="1" ht="30">
      <c r="A37" s="789"/>
      <c r="B37" s="892"/>
      <c r="C37" s="1081" t="s">
        <v>1879</v>
      </c>
      <c r="D37" s="893"/>
      <c r="E37" s="1081" t="s">
        <v>1879</v>
      </c>
      <c r="F37" s="893"/>
      <c r="G37" s="1081" t="s">
        <v>1879</v>
      </c>
      <c r="H37" s="893"/>
      <c r="I37" s="1081" t="s">
        <v>1879</v>
      </c>
      <c r="J37" s="893"/>
      <c r="K37" s="893"/>
      <c r="L37" s="893"/>
      <c r="M37" s="1084" t="s">
        <v>2027</v>
      </c>
      <c r="N37" s="1085"/>
      <c r="O37" s="1084" t="s">
        <v>2027</v>
      </c>
      <c r="P37" s="1085"/>
      <c r="Q37" s="1084" t="s">
        <v>2027</v>
      </c>
      <c r="R37" s="1085"/>
      <c r="S37" s="1084" t="s">
        <v>2027</v>
      </c>
      <c r="T37" s="1085"/>
      <c r="U37" s="886"/>
      <c r="V37" s="894"/>
      <c r="W37" s="792"/>
      <c r="X37" s="793"/>
      <c r="Y37" s="793"/>
      <c r="Z37" s="793"/>
      <c r="AA37" s="794"/>
    </row>
    <row r="38" spans="1:27" s="359" customFormat="1">
      <c r="A38" s="385"/>
      <c r="B38" s="886"/>
      <c r="C38" s="886"/>
      <c r="D38" s="886"/>
      <c r="E38" s="886"/>
      <c r="F38" s="886"/>
      <c r="G38" s="886"/>
      <c r="H38" s="886"/>
      <c r="I38" s="886"/>
      <c r="J38" s="886"/>
      <c r="K38" s="886"/>
      <c r="L38" s="886"/>
      <c r="M38" s="886"/>
      <c r="N38" s="886"/>
      <c r="O38" s="886"/>
      <c r="P38" s="886"/>
      <c r="Q38" s="886"/>
      <c r="R38" s="886"/>
      <c r="S38" s="886"/>
      <c r="T38" s="886"/>
      <c r="U38" s="886"/>
      <c r="V38" s="891"/>
      <c r="W38" s="381"/>
      <c r="X38" s="376"/>
      <c r="Y38" s="376"/>
      <c r="Z38" s="376"/>
      <c r="AA38" s="382"/>
    </row>
    <row r="39" spans="1:27" s="359" customFormat="1" ht="15.75">
      <c r="A39" s="367"/>
      <c r="B39" s="881"/>
      <c r="C39" s="882"/>
      <c r="D39" s="882"/>
      <c r="E39" s="882"/>
      <c r="F39" s="882"/>
      <c r="G39" s="882"/>
      <c r="H39" s="882"/>
      <c r="I39" s="882"/>
      <c r="J39" s="882"/>
      <c r="K39" s="882"/>
      <c r="L39" s="882"/>
      <c r="M39" s="882"/>
      <c r="N39" s="882"/>
      <c r="O39" s="882"/>
      <c r="P39" s="886"/>
      <c r="Q39" s="886"/>
      <c r="R39" s="886" t="s">
        <v>937</v>
      </c>
      <c r="S39" s="886"/>
      <c r="T39" s="886"/>
      <c r="U39" s="886"/>
      <c r="V39" s="879"/>
      <c r="W39" s="357"/>
      <c r="X39" s="357"/>
      <c r="Y39" s="357"/>
      <c r="Z39" s="357"/>
      <c r="AA39" s="358"/>
    </row>
    <row r="40" spans="1:27" s="359" customFormat="1">
      <c r="A40" s="367"/>
      <c r="B40" s="881"/>
      <c r="C40" s="882"/>
      <c r="D40" s="882"/>
      <c r="E40" s="882"/>
      <c r="F40" s="882"/>
      <c r="G40" s="882"/>
      <c r="H40" s="882"/>
      <c r="I40" s="882"/>
      <c r="J40" s="882"/>
      <c r="K40" s="882"/>
      <c r="L40" s="882"/>
      <c r="M40" s="882"/>
      <c r="N40" s="882"/>
      <c r="O40" s="882"/>
      <c r="P40" s="886"/>
      <c r="Q40" s="886"/>
      <c r="R40" s="886"/>
      <c r="S40" s="886"/>
      <c r="T40" s="886"/>
      <c r="U40" s="886"/>
      <c r="V40" s="879"/>
      <c r="W40" s="372"/>
      <c r="X40" s="372"/>
      <c r="Y40" s="372"/>
      <c r="Z40" s="372"/>
      <c r="AA40" s="373"/>
    </row>
    <row r="41" spans="1:27" s="375" customFormat="1" ht="13.9" customHeight="1">
      <c r="A41" s="385"/>
      <c r="B41" s="885">
        <v>243.77</v>
      </c>
      <c r="C41" s="1566"/>
      <c r="D41" s="374">
        <v>338</v>
      </c>
      <c r="E41" s="1570"/>
      <c r="F41" s="374">
        <v>309</v>
      </c>
      <c r="G41" s="1570"/>
      <c r="H41" s="374">
        <v>381.53</v>
      </c>
      <c r="I41" s="1576"/>
      <c r="J41" s="374">
        <v>331.87</v>
      </c>
      <c r="K41" s="1520"/>
      <c r="L41" s="374">
        <v>341.21</v>
      </c>
      <c r="M41" s="1590"/>
      <c r="N41" s="374">
        <v>243.5</v>
      </c>
      <c r="O41" s="1576"/>
      <c r="P41" s="374">
        <v>316</v>
      </c>
      <c r="Q41" s="1570"/>
      <c r="R41" s="374">
        <v>325</v>
      </c>
      <c r="S41" s="1586" t="s">
        <v>1642</v>
      </c>
      <c r="T41" s="374">
        <v>269</v>
      </c>
      <c r="U41" s="1591"/>
      <c r="V41" s="887"/>
      <c r="W41" s="376">
        <f>SUM(A41:V41)</f>
        <v>3098.88</v>
      </c>
      <c r="X41" s="376">
        <v>9</v>
      </c>
      <c r="Y41" s="376">
        <v>8</v>
      </c>
      <c r="Z41" s="376">
        <v>3</v>
      </c>
      <c r="AA41" s="377">
        <v>0</v>
      </c>
    </row>
    <row r="42" spans="1:27" s="359" customFormat="1" ht="16.149999999999999" customHeight="1">
      <c r="A42" s="367"/>
      <c r="B42" s="881"/>
      <c r="C42" s="1567"/>
      <c r="D42" s="884"/>
      <c r="E42" s="1571"/>
      <c r="F42" s="884"/>
      <c r="G42" s="1571"/>
      <c r="H42" s="884"/>
      <c r="I42" s="1576"/>
      <c r="J42" s="884"/>
      <c r="K42" s="1520"/>
      <c r="L42" s="884"/>
      <c r="M42" s="1590"/>
      <c r="N42" s="884"/>
      <c r="O42" s="1576"/>
      <c r="P42" s="886"/>
      <c r="Q42" s="1571"/>
      <c r="R42" s="888"/>
      <c r="S42" s="1587"/>
      <c r="T42" s="380"/>
      <c r="U42" s="1592"/>
      <c r="V42" s="869"/>
      <c r="W42" s="381"/>
      <c r="X42" s="376"/>
      <c r="Y42" s="376"/>
      <c r="Z42" s="376"/>
      <c r="AA42" s="382"/>
    </row>
    <row r="43" spans="1:27" s="359" customFormat="1">
      <c r="A43" s="367"/>
      <c r="B43" s="881"/>
      <c r="C43" s="889" t="s">
        <v>64</v>
      </c>
      <c r="D43" s="886"/>
      <c r="E43" s="889" t="s">
        <v>198</v>
      </c>
      <c r="F43" s="886"/>
      <c r="G43" s="889" t="s">
        <v>203</v>
      </c>
      <c r="H43" s="886"/>
      <c r="I43" s="889" t="s">
        <v>65</v>
      </c>
      <c r="J43" s="886"/>
      <c r="K43" s="889" t="s">
        <v>213</v>
      </c>
      <c r="L43" s="886"/>
      <c r="M43" s="889" t="s">
        <v>66</v>
      </c>
      <c r="N43" s="886"/>
      <c r="O43" s="889" t="s">
        <v>224</v>
      </c>
      <c r="P43" s="886"/>
      <c r="Q43" s="889" t="s">
        <v>230</v>
      </c>
      <c r="R43" s="886"/>
      <c r="S43" s="889" t="s">
        <v>234</v>
      </c>
      <c r="T43" s="886"/>
      <c r="U43" s="889" t="s">
        <v>239</v>
      </c>
      <c r="V43" s="869"/>
      <c r="W43" s="381"/>
      <c r="X43" s="376"/>
      <c r="Y43" s="376"/>
      <c r="Z43" s="376"/>
      <c r="AA43" s="382"/>
    </row>
    <row r="44" spans="1:27" s="359" customFormat="1">
      <c r="A44" s="367"/>
      <c r="B44" s="881"/>
      <c r="C44" s="893" t="s">
        <v>357</v>
      </c>
      <c r="D44" s="886"/>
      <c r="E44" s="886" t="s">
        <v>153</v>
      </c>
      <c r="F44" s="886"/>
      <c r="G44" s="886" t="s">
        <v>153</v>
      </c>
      <c r="H44" s="886"/>
      <c r="I44" s="886" t="s">
        <v>193</v>
      </c>
      <c r="J44" s="886"/>
      <c r="K44" s="886" t="s">
        <v>167</v>
      </c>
      <c r="L44" s="886"/>
      <c r="M44" s="886" t="s">
        <v>193</v>
      </c>
      <c r="N44" s="886"/>
      <c r="O44" s="886" t="s">
        <v>133</v>
      </c>
      <c r="P44" s="886"/>
      <c r="Q44" s="886" t="s">
        <v>153</v>
      </c>
      <c r="R44" s="886"/>
      <c r="S44" s="886" t="s">
        <v>153</v>
      </c>
      <c r="T44" s="886"/>
      <c r="U44" s="886" t="s">
        <v>153</v>
      </c>
      <c r="V44" s="891"/>
      <c r="W44" s="381"/>
      <c r="X44" s="376"/>
      <c r="Y44" s="376"/>
      <c r="Z44" s="376"/>
      <c r="AA44" s="382"/>
    </row>
    <row r="45" spans="1:27" s="359" customFormat="1">
      <c r="A45" s="367"/>
      <c r="B45" s="881"/>
      <c r="C45" s="1089" t="s">
        <v>977</v>
      </c>
      <c r="D45" s="1086"/>
      <c r="E45" s="886"/>
      <c r="F45" s="886"/>
      <c r="G45" s="893"/>
      <c r="H45" s="886"/>
      <c r="I45" s="893"/>
      <c r="J45" s="886"/>
      <c r="K45" s="886"/>
      <c r="L45" s="886"/>
      <c r="M45" s="886"/>
      <c r="N45" s="886"/>
      <c r="O45" s="886"/>
      <c r="P45" s="886"/>
      <c r="Q45" s="886"/>
      <c r="R45" s="886"/>
      <c r="S45" s="886"/>
      <c r="T45" s="886"/>
      <c r="U45" s="886"/>
      <c r="V45" s="891"/>
      <c r="W45" s="381"/>
      <c r="X45" s="376"/>
      <c r="Y45" s="376"/>
      <c r="Z45" s="376"/>
      <c r="AA45" s="382"/>
    </row>
    <row r="46" spans="1:27" s="359" customFormat="1">
      <c r="A46" s="367"/>
      <c r="B46" s="881"/>
      <c r="C46" s="886"/>
      <c r="D46" s="886"/>
      <c r="E46" s="886"/>
      <c r="F46" s="886"/>
      <c r="G46" s="886"/>
      <c r="H46" s="886"/>
      <c r="I46" s="886"/>
      <c r="J46" s="886"/>
      <c r="K46" s="886"/>
      <c r="L46" s="886"/>
      <c r="M46" s="886"/>
      <c r="N46" s="886"/>
      <c r="O46" s="886"/>
      <c r="P46" s="886"/>
      <c r="Q46" s="886"/>
      <c r="R46" s="886"/>
      <c r="S46" s="886"/>
      <c r="T46" s="886"/>
      <c r="U46" s="886"/>
      <c r="V46" s="891"/>
      <c r="W46" s="381"/>
      <c r="X46" s="376"/>
      <c r="Y46" s="376"/>
      <c r="Z46" s="376"/>
      <c r="AA46" s="382"/>
    </row>
    <row r="47" spans="1:27" s="359" customFormat="1" ht="15.75">
      <c r="A47" s="367"/>
      <c r="B47" s="881"/>
      <c r="C47" s="882"/>
      <c r="D47" s="882"/>
      <c r="E47" s="882"/>
      <c r="F47" s="882"/>
      <c r="G47" s="882"/>
      <c r="H47" s="882"/>
      <c r="I47" s="882"/>
      <c r="J47" s="882"/>
      <c r="K47" s="882"/>
      <c r="L47" s="882"/>
      <c r="M47" s="882"/>
      <c r="N47" s="882"/>
      <c r="O47" s="882"/>
      <c r="P47" s="886"/>
      <c r="Q47" s="886"/>
      <c r="R47" s="886" t="s">
        <v>937</v>
      </c>
      <c r="S47" s="886"/>
      <c r="T47" s="886"/>
      <c r="U47" s="886"/>
      <c r="V47" s="879"/>
      <c r="W47" s="357"/>
      <c r="X47" s="357"/>
      <c r="Y47" s="357"/>
      <c r="Z47" s="357"/>
      <c r="AA47" s="358"/>
    </row>
    <row r="48" spans="1:27" s="359" customFormat="1">
      <c r="A48" s="367"/>
      <c r="B48" s="881"/>
      <c r="C48" s="882"/>
      <c r="D48" s="882"/>
      <c r="E48" s="882"/>
      <c r="F48" s="882"/>
      <c r="G48" s="882"/>
      <c r="H48" s="882"/>
      <c r="I48" s="882"/>
      <c r="J48" s="882"/>
      <c r="K48" s="882"/>
      <c r="L48" s="882"/>
      <c r="M48" s="882"/>
      <c r="N48" s="882"/>
      <c r="O48" s="882"/>
      <c r="P48" s="886"/>
      <c r="Q48" s="886"/>
      <c r="R48" s="886"/>
      <c r="S48" s="886"/>
      <c r="T48" s="886"/>
      <c r="U48" s="886"/>
      <c r="V48" s="879"/>
      <c r="W48" s="372"/>
      <c r="X48" s="372"/>
      <c r="Y48" s="372"/>
      <c r="Z48" s="372"/>
      <c r="AA48" s="373"/>
    </row>
    <row r="49" spans="1:27" s="375" customFormat="1" ht="13.9" customHeight="1">
      <c r="A49" s="385"/>
      <c r="B49" s="885">
        <v>281.83</v>
      </c>
      <c r="C49" s="1581"/>
      <c r="D49" s="374">
        <v>423</v>
      </c>
      <c r="E49" s="1583"/>
      <c r="F49" s="374">
        <v>376.1</v>
      </c>
      <c r="G49" s="1566"/>
      <c r="H49" s="374">
        <v>439.08</v>
      </c>
      <c r="I49" s="1585"/>
      <c r="J49" s="374">
        <v>317.99</v>
      </c>
      <c r="K49" s="1585"/>
      <c r="L49" s="374">
        <v>350</v>
      </c>
      <c r="M49" s="1568"/>
      <c r="N49" s="374">
        <v>434.14</v>
      </c>
      <c r="O49" s="1585"/>
      <c r="P49" s="374">
        <v>271</v>
      </c>
      <c r="Q49" s="1585"/>
      <c r="R49" s="374">
        <v>190.91</v>
      </c>
      <c r="S49" s="1520"/>
      <c r="T49" s="374">
        <v>411</v>
      </c>
      <c r="U49" s="1586" t="s">
        <v>1643</v>
      </c>
      <c r="V49" s="887"/>
      <c r="W49" s="376">
        <f>SUM(A49:V49)</f>
        <v>3495.0499999999997</v>
      </c>
      <c r="X49" s="376">
        <v>4</v>
      </c>
      <c r="Y49" s="376">
        <v>2</v>
      </c>
      <c r="Z49" s="376">
        <v>2</v>
      </c>
      <c r="AA49" s="377">
        <v>0</v>
      </c>
    </row>
    <row r="50" spans="1:27" s="359" customFormat="1" ht="16.149999999999999" customHeight="1">
      <c r="A50" s="367"/>
      <c r="B50" s="881"/>
      <c r="C50" s="1582"/>
      <c r="D50" s="884"/>
      <c r="E50" s="1584"/>
      <c r="F50" s="884"/>
      <c r="G50" s="1567"/>
      <c r="H50" s="884"/>
      <c r="I50" s="1585"/>
      <c r="J50" s="884"/>
      <c r="K50" s="1585"/>
      <c r="L50" s="884"/>
      <c r="M50" s="1569"/>
      <c r="N50" s="884"/>
      <c r="O50" s="1585"/>
      <c r="P50" s="1588" t="s">
        <v>1000</v>
      </c>
      <c r="Q50" s="1585"/>
      <c r="R50" s="888"/>
      <c r="S50" s="1520"/>
      <c r="T50" s="380"/>
      <c r="U50" s="1587"/>
      <c r="V50" s="869"/>
      <c r="W50" s="381"/>
      <c r="X50" s="376"/>
      <c r="Y50" s="376"/>
      <c r="Z50" s="376"/>
      <c r="AA50" s="382"/>
    </row>
    <row r="51" spans="1:27" s="359" customFormat="1">
      <c r="A51" s="367"/>
      <c r="B51" s="881"/>
      <c r="C51" s="889" t="s">
        <v>67</v>
      </c>
      <c r="D51" s="886"/>
      <c r="E51" s="889" t="s">
        <v>250</v>
      </c>
      <c r="F51" s="886"/>
      <c r="G51" s="889" t="s">
        <v>68</v>
      </c>
      <c r="H51" s="886"/>
      <c r="I51" s="889" t="s">
        <v>56</v>
      </c>
      <c r="J51" s="886"/>
      <c r="K51" s="889" t="s">
        <v>60</v>
      </c>
      <c r="L51" s="886"/>
      <c r="M51" s="889" t="s">
        <v>275</v>
      </c>
      <c r="N51" s="886"/>
      <c r="O51" s="889" t="s">
        <v>55</v>
      </c>
      <c r="P51" s="1589"/>
      <c r="Q51" s="889" t="s">
        <v>59</v>
      </c>
      <c r="R51" s="886"/>
      <c r="S51" s="889" t="s">
        <v>58</v>
      </c>
      <c r="T51" s="886"/>
      <c r="U51" s="889" t="s">
        <v>296</v>
      </c>
      <c r="V51" s="869"/>
      <c r="W51" s="381"/>
      <c r="X51" s="376"/>
      <c r="Y51" s="376"/>
      <c r="Z51" s="376"/>
      <c r="AA51" s="382"/>
    </row>
    <row r="52" spans="1:27" s="359" customFormat="1">
      <c r="A52" s="367"/>
      <c r="B52" s="881"/>
      <c r="C52" s="886" t="s">
        <v>245</v>
      </c>
      <c r="D52" s="886"/>
      <c r="E52" s="886" t="s">
        <v>251</v>
      </c>
      <c r="F52" s="886"/>
      <c r="G52" s="886" t="s">
        <v>257</v>
      </c>
      <c r="H52" s="886"/>
      <c r="I52" s="886" t="s">
        <v>264</v>
      </c>
      <c r="J52" s="886"/>
      <c r="K52" s="886" t="s">
        <v>167</v>
      </c>
      <c r="L52" s="886"/>
      <c r="M52" s="886" t="s">
        <v>187</v>
      </c>
      <c r="N52" s="886"/>
      <c r="O52" s="886" t="s">
        <v>281</v>
      </c>
      <c r="P52" s="1589"/>
      <c r="Q52" s="886" t="s">
        <v>287</v>
      </c>
      <c r="R52" s="886"/>
      <c r="S52" s="886" t="s">
        <v>264</v>
      </c>
      <c r="T52" s="886"/>
      <c r="U52" s="886" t="s">
        <v>187</v>
      </c>
      <c r="V52" s="891"/>
      <c r="W52" s="381"/>
      <c r="X52" s="376"/>
      <c r="Y52" s="376"/>
      <c r="Z52" s="376"/>
      <c r="AA52" s="382"/>
    </row>
    <row r="53" spans="1:27" s="1093" customFormat="1" ht="25.5">
      <c r="A53" s="1087"/>
      <c r="B53" s="1088"/>
      <c r="C53" s="888"/>
      <c r="D53" s="888"/>
      <c r="E53" s="1090"/>
      <c r="F53" s="888"/>
      <c r="G53" s="1089" t="s">
        <v>977</v>
      </c>
      <c r="H53" s="888"/>
      <c r="I53" s="1089" t="s">
        <v>977</v>
      </c>
      <c r="J53" s="888"/>
      <c r="K53" s="1089" t="s">
        <v>977</v>
      </c>
      <c r="L53" s="888"/>
      <c r="M53" s="1089" t="s">
        <v>977</v>
      </c>
      <c r="N53" s="888"/>
      <c r="O53" s="1091" t="s">
        <v>2028</v>
      </c>
      <c r="P53" s="1589"/>
      <c r="Q53" s="1091" t="s">
        <v>2028</v>
      </c>
      <c r="R53" s="888"/>
      <c r="S53" s="1090"/>
      <c r="T53" s="888"/>
      <c r="U53" s="888"/>
      <c r="V53" s="1092"/>
      <c r="W53" s="381"/>
      <c r="X53" s="376"/>
      <c r="Y53" s="376"/>
      <c r="Z53" s="376"/>
      <c r="AA53" s="382"/>
    </row>
    <row r="54" spans="1:27" s="359" customFormat="1">
      <c r="A54" s="367"/>
      <c r="B54" s="881"/>
      <c r="C54" s="886"/>
      <c r="D54" s="886"/>
      <c r="E54" s="886"/>
      <c r="F54" s="886"/>
      <c r="G54" s="886"/>
      <c r="H54" s="886"/>
      <c r="I54" s="886"/>
      <c r="J54" s="886"/>
      <c r="K54" s="886"/>
      <c r="L54" s="886"/>
      <c r="M54" s="886"/>
      <c r="N54" s="886"/>
      <c r="O54" s="886"/>
      <c r="P54" s="1589"/>
      <c r="Q54" s="886"/>
      <c r="R54" s="886"/>
      <c r="S54" s="890"/>
      <c r="T54" s="886"/>
      <c r="U54" s="886"/>
      <c r="V54" s="891"/>
      <c r="W54" s="381"/>
      <c r="X54" s="376"/>
      <c r="Y54" s="376"/>
      <c r="Z54" s="376"/>
      <c r="AA54" s="382"/>
    </row>
    <row r="55" spans="1:27" s="359" customFormat="1" ht="15.75">
      <c r="A55" s="367"/>
      <c r="B55" s="881"/>
      <c r="C55" s="882"/>
      <c r="D55" s="882"/>
      <c r="E55" s="882"/>
      <c r="F55" s="882"/>
      <c r="G55" s="882"/>
      <c r="H55" s="882"/>
      <c r="I55" s="882"/>
      <c r="J55" s="882"/>
      <c r="K55" s="882"/>
      <c r="L55" s="882"/>
      <c r="M55" s="882"/>
      <c r="N55" s="882"/>
      <c r="O55" s="882"/>
      <c r="P55" s="1589"/>
      <c r="Q55" s="886"/>
      <c r="R55" s="886" t="s">
        <v>937</v>
      </c>
      <c r="S55" s="886"/>
      <c r="T55" s="886"/>
      <c r="U55" s="886"/>
      <c r="V55" s="879"/>
      <c r="W55" s="357"/>
      <c r="X55" s="357"/>
      <c r="Y55" s="357"/>
      <c r="Z55" s="357"/>
      <c r="AA55" s="358"/>
    </row>
    <row r="56" spans="1:27" s="359" customFormat="1">
      <c r="A56" s="367"/>
      <c r="B56" s="881"/>
      <c r="C56" s="882"/>
      <c r="D56" s="882"/>
      <c r="E56" s="882"/>
      <c r="F56" s="882"/>
      <c r="G56" s="882"/>
      <c r="H56" s="882"/>
      <c r="I56" s="882"/>
      <c r="J56" s="882"/>
      <c r="K56" s="882"/>
      <c r="L56" s="882"/>
      <c r="M56" s="882"/>
      <c r="N56" s="882"/>
      <c r="O56" s="882"/>
      <c r="P56" s="886"/>
      <c r="Q56" s="886"/>
      <c r="R56" s="886"/>
      <c r="S56" s="886"/>
      <c r="T56" s="886"/>
      <c r="U56" s="886"/>
      <c r="V56" s="879"/>
      <c r="W56" s="372"/>
      <c r="X56" s="372"/>
      <c r="Y56" s="372"/>
      <c r="Z56" s="372"/>
      <c r="AA56" s="373"/>
    </row>
    <row r="57" spans="1:27" s="375" customFormat="1" ht="13.9" customHeight="1">
      <c r="A57" s="385"/>
      <c r="B57" s="885">
        <v>387</v>
      </c>
      <c r="C57" s="1052" t="s">
        <v>42</v>
      </c>
      <c r="D57" s="374">
        <v>377.35</v>
      </c>
      <c r="E57" s="1593" t="s">
        <v>1641</v>
      </c>
      <c r="F57" s="374">
        <v>392</v>
      </c>
      <c r="G57" s="1595" t="s">
        <v>1644</v>
      </c>
      <c r="H57" s="374">
        <v>313</v>
      </c>
      <c r="I57" s="1597" t="s">
        <v>1588</v>
      </c>
      <c r="J57" s="374">
        <v>318</v>
      </c>
      <c r="K57" s="1570"/>
      <c r="L57" s="374">
        <v>347</v>
      </c>
      <c r="M57" s="1597" t="s">
        <v>1604</v>
      </c>
      <c r="N57" s="374">
        <v>387.52</v>
      </c>
      <c r="O57" s="1520"/>
      <c r="P57" s="374">
        <v>345</v>
      </c>
      <c r="Q57" s="1570"/>
      <c r="R57" s="374">
        <v>410.29</v>
      </c>
      <c r="S57" s="1520"/>
      <c r="T57" s="374">
        <v>391.73</v>
      </c>
      <c r="U57" s="1520"/>
      <c r="V57" s="887"/>
      <c r="W57" s="376">
        <f>SUM(A57:V57)</f>
        <v>3668.89</v>
      </c>
      <c r="X57" s="376">
        <v>10</v>
      </c>
      <c r="Y57" s="376">
        <v>6</v>
      </c>
      <c r="Z57" s="376">
        <v>8</v>
      </c>
      <c r="AA57" s="377">
        <v>0</v>
      </c>
    </row>
    <row r="58" spans="1:27" s="359" customFormat="1" ht="16.149999999999999" customHeight="1">
      <c r="A58" s="367"/>
      <c r="B58" s="881"/>
      <c r="C58" s="1053" t="s">
        <v>1429</v>
      </c>
      <c r="D58" s="884"/>
      <c r="E58" s="1593"/>
      <c r="F58" s="884"/>
      <c r="G58" s="1596"/>
      <c r="H58" s="884"/>
      <c r="I58" s="1598"/>
      <c r="J58" s="884"/>
      <c r="K58" s="1571"/>
      <c r="L58" s="884"/>
      <c r="M58" s="1598"/>
      <c r="N58" s="884"/>
      <c r="O58" s="1520"/>
      <c r="P58" s="886"/>
      <c r="Q58" s="1571"/>
      <c r="R58" s="888"/>
      <c r="S58" s="1520"/>
      <c r="T58" s="380"/>
      <c r="U58" s="1520"/>
      <c r="V58" s="869"/>
      <c r="W58" s="381"/>
      <c r="X58" s="376"/>
      <c r="Y58" s="376"/>
      <c r="Z58" s="376"/>
      <c r="AA58" s="382"/>
    </row>
    <row r="59" spans="1:27" s="359" customFormat="1">
      <c r="A59" s="367"/>
      <c r="B59" s="881"/>
      <c r="C59" s="889" t="s">
        <v>300</v>
      </c>
      <c r="D59" s="886"/>
      <c r="E59" s="889" t="s">
        <v>46</v>
      </c>
      <c r="F59" s="886"/>
      <c r="G59" s="889" t="s">
        <v>310</v>
      </c>
      <c r="H59" s="886"/>
      <c r="I59" s="889" t="s">
        <v>314</v>
      </c>
      <c r="J59" s="886"/>
      <c r="K59" s="889" t="s">
        <v>318</v>
      </c>
      <c r="L59" s="886"/>
      <c r="M59" s="889" t="s">
        <v>322</v>
      </c>
      <c r="N59" s="886"/>
      <c r="O59" s="889" t="s">
        <v>326</v>
      </c>
      <c r="P59" s="886"/>
      <c r="Q59" s="889" t="s">
        <v>332</v>
      </c>
      <c r="R59" s="886"/>
      <c r="S59" s="889" t="s">
        <v>47</v>
      </c>
      <c r="T59" s="886"/>
      <c r="U59" s="889" t="s">
        <v>69</v>
      </c>
      <c r="V59" s="869"/>
      <c r="W59" s="381"/>
      <c r="X59" s="376"/>
      <c r="Y59" s="376"/>
      <c r="Z59" s="376"/>
      <c r="AA59" s="382"/>
    </row>
    <row r="60" spans="1:27" s="359" customFormat="1">
      <c r="A60" s="367"/>
      <c r="B60" s="881"/>
      <c r="C60" s="886" t="s">
        <v>301</v>
      </c>
      <c r="D60" s="886"/>
      <c r="E60" s="886" t="s">
        <v>245</v>
      </c>
      <c r="F60" s="886"/>
      <c r="G60" s="886" t="s">
        <v>153</v>
      </c>
      <c r="H60" s="886"/>
      <c r="I60" s="886" t="s">
        <v>153</v>
      </c>
      <c r="J60" s="886"/>
      <c r="K60" s="886" t="s">
        <v>153</v>
      </c>
      <c r="L60" s="886"/>
      <c r="M60" s="886" t="s">
        <v>153</v>
      </c>
      <c r="N60" s="886"/>
      <c r="O60" s="886" t="s">
        <v>167</v>
      </c>
      <c r="P60" s="886"/>
      <c r="Q60" s="886" t="s">
        <v>301</v>
      </c>
      <c r="R60" s="886"/>
      <c r="S60" s="886" t="s">
        <v>337</v>
      </c>
      <c r="T60" s="886"/>
      <c r="U60" s="886" t="s">
        <v>344</v>
      </c>
      <c r="V60" s="891"/>
      <c r="W60" s="381"/>
      <c r="X60" s="376"/>
      <c r="Y60" s="376"/>
      <c r="Z60" s="376"/>
      <c r="AA60" s="382"/>
    </row>
    <row r="61" spans="1:27" s="359" customFormat="1" ht="15.75" thickBot="1">
      <c r="A61" s="895"/>
      <c r="B61" s="896"/>
      <c r="C61" s="897"/>
      <c r="D61" s="897"/>
      <c r="E61" s="897"/>
      <c r="F61" s="897"/>
      <c r="G61" s="897"/>
      <c r="H61" s="897"/>
      <c r="I61" s="897"/>
      <c r="J61" s="897"/>
      <c r="K61" s="897"/>
      <c r="L61" s="897"/>
      <c r="M61" s="897"/>
      <c r="N61" s="897"/>
      <c r="O61" s="897"/>
      <c r="P61" s="897"/>
      <c r="Q61" s="897"/>
      <c r="R61" s="897"/>
      <c r="S61" s="897"/>
      <c r="T61" s="897"/>
      <c r="U61" s="897"/>
      <c r="V61" s="898"/>
      <c r="W61" s="899"/>
      <c r="X61" s="900"/>
      <c r="Y61" s="900"/>
      <c r="Z61" s="900"/>
      <c r="AA61" s="901"/>
    </row>
    <row r="62" spans="1:27" s="359" customFormat="1">
      <c r="A62" s="367"/>
      <c r="B62" s="392"/>
      <c r="C62" s="1070"/>
      <c r="D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84"/>
      <c r="W62" s="381"/>
      <c r="X62" s="376"/>
      <c r="Y62" s="376"/>
      <c r="Z62" s="376"/>
      <c r="AA62" s="382"/>
    </row>
    <row r="63" spans="1:27" s="359" customFormat="1" ht="15.75">
      <c r="A63" s="367"/>
      <c r="B63" s="392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71"/>
      <c r="Q63" s="371"/>
      <c r="R63" s="371" t="s">
        <v>937</v>
      </c>
      <c r="S63" s="371"/>
      <c r="T63" s="371"/>
      <c r="U63" s="371"/>
      <c r="W63" s="357"/>
      <c r="X63" s="357"/>
      <c r="Y63" s="357"/>
      <c r="Z63" s="357"/>
      <c r="AA63" s="358"/>
    </row>
    <row r="64" spans="1:27" s="359" customFormat="1">
      <c r="A64" s="367"/>
      <c r="B64" s="392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8"/>
      <c r="P64" s="371"/>
      <c r="Q64" s="371"/>
      <c r="R64" s="371"/>
      <c r="S64" s="371"/>
      <c r="T64" s="371"/>
      <c r="U64" s="371"/>
      <c r="W64" s="372"/>
      <c r="X64" s="372"/>
      <c r="Y64" s="372"/>
      <c r="Z64" s="372"/>
      <c r="AA64" s="373"/>
    </row>
    <row r="65" spans="1:27" s="375" customFormat="1" ht="13.9" customHeight="1">
      <c r="A65" s="385"/>
      <c r="B65" s="370">
        <v>300</v>
      </c>
      <c r="C65" s="1585"/>
      <c r="D65" s="374">
        <v>458.62</v>
      </c>
      <c r="E65" s="1520"/>
      <c r="F65" s="374">
        <v>306.18</v>
      </c>
      <c r="G65" s="1593" t="s">
        <v>1826</v>
      </c>
      <c r="H65" s="374">
        <v>385.74</v>
      </c>
      <c r="I65" s="1593" t="s">
        <v>1732</v>
      </c>
      <c r="J65" s="374">
        <v>340</v>
      </c>
      <c r="K65" s="1570"/>
      <c r="L65" s="374">
        <v>407.57</v>
      </c>
      <c r="M65" s="1594"/>
      <c r="N65" s="374">
        <v>324</v>
      </c>
      <c r="O65" s="1570"/>
      <c r="P65" s="374">
        <v>381</v>
      </c>
      <c r="Q65" s="1570"/>
      <c r="R65" s="374">
        <v>369.15</v>
      </c>
      <c r="S65" s="1586" t="s">
        <v>1642</v>
      </c>
      <c r="T65" s="374">
        <v>414</v>
      </c>
      <c r="U65" s="1570"/>
      <c r="W65" s="376">
        <f>SUM(A65:V65)</f>
        <v>3686.26</v>
      </c>
      <c r="X65" s="376">
        <v>8</v>
      </c>
      <c r="Y65" s="376">
        <v>5</v>
      </c>
      <c r="Z65" s="376">
        <v>6</v>
      </c>
      <c r="AA65" s="377">
        <v>0</v>
      </c>
    </row>
    <row r="66" spans="1:27" s="359" customFormat="1" ht="16.149999999999999" customHeight="1">
      <c r="A66" s="367"/>
      <c r="B66" s="392"/>
      <c r="C66" s="1585"/>
      <c r="D66" s="333"/>
      <c r="E66" s="1520"/>
      <c r="F66" s="333"/>
      <c r="G66" s="1593"/>
      <c r="H66" s="333"/>
      <c r="I66" s="1593"/>
      <c r="J66" s="333"/>
      <c r="K66" s="1571"/>
      <c r="L66" s="333"/>
      <c r="M66" s="1594"/>
      <c r="N66" s="333"/>
      <c r="O66" s="1571"/>
      <c r="P66" s="371"/>
      <c r="Q66" s="1571"/>
      <c r="R66" s="379"/>
      <c r="S66" s="1587"/>
      <c r="T66" s="380"/>
      <c r="U66" s="1571"/>
      <c r="V66" s="332"/>
      <c r="W66" s="381"/>
      <c r="X66" s="376"/>
      <c r="Y66" s="376"/>
      <c r="Z66" s="376"/>
      <c r="AA66" s="382"/>
    </row>
    <row r="67" spans="1:27" s="359" customFormat="1">
      <c r="A67" s="367"/>
      <c r="B67" s="392"/>
      <c r="C67" s="383" t="s">
        <v>349</v>
      </c>
      <c r="D67" s="371"/>
      <c r="E67" s="383" t="s">
        <v>356</v>
      </c>
      <c r="F67" s="371"/>
      <c r="G67" s="383" t="s">
        <v>364</v>
      </c>
      <c r="H67" s="371"/>
      <c r="I67" s="383" t="s">
        <v>371</v>
      </c>
      <c r="J67" s="371"/>
      <c r="K67" s="383" t="s">
        <v>376</v>
      </c>
      <c r="L67" s="371"/>
      <c r="M67" s="383" t="s">
        <v>70</v>
      </c>
      <c r="N67" s="371"/>
      <c r="O67" s="383" t="s">
        <v>384</v>
      </c>
      <c r="P67" s="371"/>
      <c r="Q67" s="383" t="s">
        <v>388</v>
      </c>
      <c r="R67" s="371"/>
      <c r="S67" s="383" t="s">
        <v>393</v>
      </c>
      <c r="T67" s="371"/>
      <c r="U67" s="383" t="s">
        <v>399</v>
      </c>
      <c r="V67" s="332"/>
      <c r="W67" s="381"/>
      <c r="X67" s="376"/>
      <c r="Y67" s="376"/>
      <c r="Z67" s="376"/>
      <c r="AA67" s="382"/>
    </row>
    <row r="68" spans="1:27" s="359" customFormat="1">
      <c r="A68" s="367"/>
      <c r="B68" s="392"/>
      <c r="C68" s="371" t="s">
        <v>997</v>
      </c>
      <c r="D68" s="371"/>
      <c r="E68" s="371" t="s">
        <v>357</v>
      </c>
      <c r="F68" s="371"/>
      <c r="G68" s="371" t="s">
        <v>344</v>
      </c>
      <c r="H68" s="371"/>
      <c r="I68" s="371" t="s">
        <v>133</v>
      </c>
      <c r="J68" s="371"/>
      <c r="K68" s="371" t="s">
        <v>187</v>
      </c>
      <c r="L68" s="371"/>
      <c r="M68" s="371" t="s">
        <v>133</v>
      </c>
      <c r="N68" s="371"/>
      <c r="O68" s="371" t="s">
        <v>187</v>
      </c>
      <c r="P68" s="371"/>
      <c r="Q68" s="371" t="s">
        <v>301</v>
      </c>
      <c r="R68" s="371"/>
      <c r="S68" s="371" t="s">
        <v>245</v>
      </c>
      <c r="T68" s="371"/>
      <c r="U68" s="371" t="s">
        <v>301</v>
      </c>
      <c r="V68" s="384"/>
      <c r="W68" s="381"/>
      <c r="X68" s="376"/>
      <c r="Y68" s="376"/>
      <c r="Z68" s="376"/>
      <c r="AA68" s="382"/>
    </row>
    <row r="69" spans="1:27" s="359" customFormat="1" ht="25.5">
      <c r="A69" s="385"/>
      <c r="B69" s="371"/>
      <c r="C69" s="1091" t="s">
        <v>2028</v>
      </c>
      <c r="D69" s="371"/>
      <c r="E69" s="1094" t="s">
        <v>998</v>
      </c>
      <c r="F69" s="371"/>
      <c r="G69" s="371"/>
      <c r="H69" s="371"/>
      <c r="I69" s="371"/>
      <c r="J69" s="371"/>
      <c r="K69" s="371"/>
      <c r="L69" s="371"/>
      <c r="M69" s="1599" t="s">
        <v>2029</v>
      </c>
      <c r="N69" s="371"/>
      <c r="O69" s="371"/>
      <c r="P69" s="371"/>
      <c r="Q69" s="371"/>
      <c r="R69" s="371"/>
      <c r="S69" s="371"/>
      <c r="T69" s="371"/>
      <c r="U69" s="371"/>
      <c r="V69" s="384"/>
      <c r="W69" s="381"/>
      <c r="X69" s="376"/>
      <c r="Y69" s="376"/>
      <c r="Z69" s="376"/>
      <c r="AA69" s="382"/>
    </row>
    <row r="70" spans="1:27" s="359" customFormat="1">
      <c r="A70" s="385"/>
      <c r="B70" s="371"/>
      <c r="C70" s="371"/>
      <c r="D70" s="371"/>
      <c r="E70" s="371"/>
      <c r="F70" s="371"/>
      <c r="G70" s="371"/>
      <c r="H70" s="371"/>
      <c r="I70" s="371"/>
      <c r="J70" s="371"/>
      <c r="K70" s="371"/>
      <c r="L70" s="371"/>
      <c r="M70" s="1599"/>
      <c r="N70" s="371"/>
      <c r="O70" s="371"/>
      <c r="P70" s="371"/>
      <c r="Q70" s="371"/>
      <c r="R70" s="371"/>
      <c r="S70" s="371"/>
      <c r="T70" s="371"/>
      <c r="U70" s="371"/>
      <c r="V70" s="384"/>
      <c r="W70" s="381"/>
      <c r="X70" s="376"/>
      <c r="Y70" s="376"/>
      <c r="Z70" s="376"/>
      <c r="AA70" s="382"/>
    </row>
    <row r="71" spans="1:27" s="359" customFormat="1">
      <c r="A71" s="385"/>
      <c r="B71" s="371"/>
      <c r="C71" s="371"/>
      <c r="D71" s="371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71"/>
      <c r="V71" s="384"/>
      <c r="W71" s="381"/>
      <c r="X71" s="376"/>
      <c r="Y71" s="376"/>
      <c r="Z71" s="376"/>
      <c r="AA71" s="382"/>
    </row>
    <row r="72" spans="1:27" s="359" customFormat="1" ht="15.75">
      <c r="A72" s="367"/>
      <c r="B72" s="392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71"/>
      <c r="Q72" s="371"/>
      <c r="R72" s="371"/>
      <c r="S72" s="371"/>
      <c r="T72" s="371"/>
      <c r="U72" s="371"/>
      <c r="W72" s="357"/>
      <c r="X72" s="357"/>
      <c r="Y72" s="357"/>
      <c r="Z72" s="357"/>
      <c r="AA72" s="358"/>
    </row>
    <row r="73" spans="1:27" s="359" customFormat="1">
      <c r="A73" s="385"/>
      <c r="B73" s="371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8"/>
      <c r="P73" s="371"/>
      <c r="Q73" s="371"/>
      <c r="R73" s="371"/>
      <c r="S73" s="371"/>
      <c r="T73" s="371"/>
      <c r="U73" s="371"/>
      <c r="W73" s="372"/>
      <c r="X73" s="372"/>
      <c r="Y73" s="372"/>
      <c r="Z73" s="372"/>
      <c r="AA73" s="373"/>
    </row>
    <row r="74" spans="1:27" s="375" customFormat="1" ht="13.9" customHeight="1">
      <c r="A74" s="385"/>
      <c r="B74" s="371">
        <v>370</v>
      </c>
      <c r="C74" s="1570"/>
      <c r="D74" s="374">
        <v>307</v>
      </c>
      <c r="E74" s="1570"/>
      <c r="F74" s="374">
        <v>291</v>
      </c>
      <c r="G74" s="1600" t="s">
        <v>1587</v>
      </c>
      <c r="H74" s="374">
        <v>334.03</v>
      </c>
      <c r="I74" s="1602" t="s">
        <v>1645</v>
      </c>
      <c r="J74" s="386">
        <v>266</v>
      </c>
      <c r="K74" s="1586" t="s">
        <v>1641</v>
      </c>
      <c r="L74" s="386">
        <v>255.45</v>
      </c>
      <c r="M74" s="1602" t="s">
        <v>1646</v>
      </c>
      <c r="N74" s="374">
        <v>351</v>
      </c>
      <c r="O74" s="1600" t="s">
        <v>1603</v>
      </c>
      <c r="P74" s="374">
        <v>422.03</v>
      </c>
      <c r="Q74" s="1606" t="s">
        <v>1640</v>
      </c>
      <c r="R74" s="374">
        <v>384.09</v>
      </c>
      <c r="S74" s="1606" t="s">
        <v>1430</v>
      </c>
      <c r="T74" s="374">
        <v>366.15</v>
      </c>
      <c r="U74" s="1602" t="s">
        <v>1648</v>
      </c>
      <c r="W74" s="376">
        <f>SUM(A74:V74)</f>
        <v>3346.7500000000005</v>
      </c>
      <c r="X74" s="376">
        <v>10</v>
      </c>
      <c r="Y74" s="376">
        <v>9</v>
      </c>
      <c r="Z74" s="376">
        <v>4</v>
      </c>
      <c r="AA74" s="377">
        <v>0</v>
      </c>
    </row>
    <row r="75" spans="1:27" s="359" customFormat="1" ht="26.25" customHeight="1">
      <c r="A75" s="367"/>
      <c r="B75" s="392"/>
      <c r="C75" s="1571"/>
      <c r="D75" s="333"/>
      <c r="E75" s="1571"/>
      <c r="F75" s="333"/>
      <c r="G75" s="1601"/>
      <c r="H75" s="333"/>
      <c r="I75" s="1602"/>
      <c r="J75" s="1608"/>
      <c r="K75" s="1587"/>
      <c r="L75" s="1608"/>
      <c r="M75" s="1602"/>
      <c r="N75" s="333"/>
      <c r="O75" s="1601"/>
      <c r="P75" s="371"/>
      <c r="Q75" s="1607"/>
      <c r="R75" s="379"/>
      <c r="S75" s="1607"/>
      <c r="T75" s="380"/>
      <c r="U75" s="1602"/>
      <c r="V75" s="332"/>
      <c r="W75" s="381"/>
      <c r="X75" s="376"/>
      <c r="Y75" s="376"/>
      <c r="Z75" s="376"/>
      <c r="AA75" s="382"/>
    </row>
    <row r="76" spans="1:27" s="359" customFormat="1" ht="18.75" customHeight="1">
      <c r="A76" s="367"/>
      <c r="B76" s="392"/>
      <c r="C76" s="383" t="s">
        <v>403</v>
      </c>
      <c r="D76" s="371"/>
      <c r="E76" s="383" t="s">
        <v>407</v>
      </c>
      <c r="F76" s="371"/>
      <c r="G76" s="383" t="s">
        <v>411</v>
      </c>
      <c r="H76" s="371"/>
      <c r="I76" s="383" t="s">
        <v>416</v>
      </c>
      <c r="J76" s="1609"/>
      <c r="K76" s="383" t="s">
        <v>421</v>
      </c>
      <c r="L76" s="1609"/>
      <c r="M76" s="383" t="s">
        <v>71</v>
      </c>
      <c r="N76" s="371"/>
      <c r="O76" s="383" t="s">
        <v>430</v>
      </c>
      <c r="P76" s="371"/>
      <c r="Q76" s="383" t="s">
        <v>436</v>
      </c>
      <c r="R76" s="371"/>
      <c r="S76" s="383" t="s">
        <v>443</v>
      </c>
      <c r="T76" s="371"/>
      <c r="U76" s="383" t="s">
        <v>72</v>
      </c>
      <c r="V76" s="332"/>
      <c r="W76" s="381"/>
      <c r="X76" s="376"/>
      <c r="Y76" s="376"/>
      <c r="Z76" s="376"/>
      <c r="AA76" s="382"/>
    </row>
    <row r="77" spans="1:27" s="359" customFormat="1" ht="18.75" customHeight="1">
      <c r="A77" s="367"/>
      <c r="B77" s="392"/>
      <c r="C77" s="371" t="s">
        <v>153</v>
      </c>
      <c r="D77" s="371"/>
      <c r="E77" s="371" t="s">
        <v>153</v>
      </c>
      <c r="F77" s="371"/>
      <c r="G77" s="371" t="s">
        <v>153</v>
      </c>
      <c r="H77" s="371"/>
      <c r="I77" s="371" t="s">
        <v>344</v>
      </c>
      <c r="J77" s="1609"/>
      <c r="K77" s="371" t="s">
        <v>153</v>
      </c>
      <c r="L77" s="1609"/>
      <c r="M77" s="371" t="s">
        <v>133</v>
      </c>
      <c r="N77" s="371"/>
      <c r="O77" s="371" t="s">
        <v>301</v>
      </c>
      <c r="P77" s="371"/>
      <c r="Q77" s="371" t="s">
        <v>437</v>
      </c>
      <c r="R77" s="371"/>
      <c r="S77" s="371" t="s">
        <v>133</v>
      </c>
      <c r="T77" s="371"/>
      <c r="U77" s="371" t="s">
        <v>337</v>
      </c>
      <c r="V77" s="384"/>
      <c r="W77" s="381"/>
      <c r="X77" s="376"/>
      <c r="Y77" s="376"/>
      <c r="Z77" s="376"/>
      <c r="AA77" s="382"/>
    </row>
    <row r="78" spans="1:27" s="359" customFormat="1" ht="18.75" customHeight="1">
      <c r="B78" s="968"/>
      <c r="C78" s="371"/>
      <c r="D78" s="371"/>
      <c r="E78" s="371"/>
      <c r="F78" s="371"/>
      <c r="G78" s="371"/>
      <c r="H78" s="371"/>
      <c r="I78" s="371"/>
      <c r="J78" s="1609"/>
      <c r="K78" s="371"/>
      <c r="L78" s="1609"/>
      <c r="M78" s="371"/>
      <c r="N78" s="371"/>
      <c r="O78" s="371"/>
      <c r="P78" s="371"/>
      <c r="Q78" s="423"/>
      <c r="R78" s="371"/>
      <c r="S78" s="371"/>
      <c r="T78" s="371"/>
      <c r="U78" s="1070"/>
      <c r="V78" s="384"/>
      <c r="W78" s="381"/>
      <c r="X78" s="376"/>
      <c r="Y78" s="376"/>
      <c r="Z78" s="376"/>
      <c r="AA78" s="382"/>
    </row>
    <row r="79" spans="1:27" s="359" customFormat="1">
      <c r="A79" s="385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84"/>
      <c r="W79" s="381"/>
      <c r="X79" s="376"/>
      <c r="Y79" s="376"/>
      <c r="Z79" s="376"/>
      <c r="AA79" s="382"/>
    </row>
    <row r="80" spans="1:27" s="359" customFormat="1" ht="15.75">
      <c r="A80" s="367"/>
      <c r="B80" s="392"/>
      <c r="C80" s="368"/>
      <c r="D80" s="368"/>
      <c r="E80" s="368"/>
      <c r="F80" s="368"/>
      <c r="G80" s="368"/>
      <c r="H80" s="368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W80" s="357"/>
      <c r="X80" s="357"/>
      <c r="Y80" s="357"/>
      <c r="Z80" s="357"/>
      <c r="AA80" s="358"/>
    </row>
    <row r="81" spans="1:27" s="359" customFormat="1">
      <c r="A81" s="385"/>
      <c r="B81" s="371"/>
      <c r="C81" s="368"/>
      <c r="D81" s="368"/>
      <c r="E81" s="368"/>
      <c r="F81" s="368"/>
      <c r="G81" s="368"/>
      <c r="H81" s="368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W81" s="372"/>
      <c r="X81" s="372"/>
      <c r="Y81" s="372"/>
      <c r="Z81" s="372"/>
      <c r="AA81" s="373"/>
    </row>
    <row r="82" spans="1:27" s="375" customFormat="1" ht="13.9" customHeight="1">
      <c r="A82" s="385"/>
      <c r="B82" s="371">
        <v>358</v>
      </c>
      <c r="C82" s="1586" t="s">
        <v>1649</v>
      </c>
      <c r="D82" s="374">
        <v>404.5</v>
      </c>
      <c r="E82" s="1594"/>
      <c r="F82" s="374">
        <v>339.16</v>
      </c>
      <c r="G82" s="1585"/>
      <c r="H82" s="374">
        <v>354</v>
      </c>
      <c r="I82" s="1585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W82" s="376">
        <f>SUM(A82:V82)</f>
        <v>1455.66</v>
      </c>
      <c r="X82" s="376">
        <v>1</v>
      </c>
      <c r="Y82" s="376">
        <v>1</v>
      </c>
      <c r="Z82" s="376">
        <v>1</v>
      </c>
      <c r="AA82" s="377">
        <v>0</v>
      </c>
    </row>
    <row r="83" spans="1:27" s="359" customFormat="1" ht="26.25" customHeight="1">
      <c r="A83" s="367"/>
      <c r="B83" s="392"/>
      <c r="C83" s="1587"/>
      <c r="D83" s="333"/>
      <c r="E83" s="1594"/>
      <c r="F83" s="333"/>
      <c r="G83" s="1585"/>
      <c r="H83" s="371"/>
      <c r="I83" s="1585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V83" s="332"/>
      <c r="W83" s="381"/>
      <c r="X83" s="376"/>
      <c r="Y83" s="376"/>
      <c r="Z83" s="376"/>
      <c r="AA83" s="382"/>
    </row>
    <row r="84" spans="1:27" s="359" customFormat="1" ht="18.75" customHeight="1">
      <c r="A84" s="367"/>
      <c r="B84" s="392"/>
      <c r="C84" s="383" t="s">
        <v>452</v>
      </c>
      <c r="D84" s="371"/>
      <c r="E84" s="383" t="s">
        <v>457</v>
      </c>
      <c r="F84" s="371"/>
      <c r="G84" s="383" t="s">
        <v>73</v>
      </c>
      <c r="H84" s="371"/>
      <c r="I84" s="371" t="s">
        <v>996</v>
      </c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V84" s="332"/>
      <c r="W84" s="381"/>
      <c r="X84" s="376"/>
      <c r="Y84" s="376"/>
      <c r="Z84" s="376"/>
      <c r="AA84" s="382"/>
    </row>
    <row r="85" spans="1:27" s="359" customFormat="1" ht="18.75" customHeight="1">
      <c r="A85" s="367"/>
      <c r="B85" s="392"/>
      <c r="C85" s="371" t="s">
        <v>301</v>
      </c>
      <c r="D85" s="371"/>
      <c r="E85" s="371" t="s">
        <v>344</v>
      </c>
      <c r="F85" s="371"/>
      <c r="G85" s="371" t="s">
        <v>133</v>
      </c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84"/>
      <c r="W85" s="381"/>
      <c r="X85" s="376"/>
      <c r="Y85" s="376"/>
      <c r="Z85" s="376"/>
      <c r="AA85" s="382"/>
    </row>
    <row r="86" spans="1:27" s="332" customFormat="1" ht="26.25" thickBot="1">
      <c r="A86" s="335"/>
      <c r="G86" s="1091" t="s">
        <v>2030</v>
      </c>
      <c r="P86" s="387" t="s">
        <v>954</v>
      </c>
      <c r="W86" s="388">
        <f>SUM(W32:W85)/1000</f>
        <v>21.278639999999999</v>
      </c>
      <c r="X86" s="389">
        <f>SUM(X32:X85)</f>
        <v>43</v>
      </c>
      <c r="Y86" s="389">
        <f>SUM(Y32:Y85)</f>
        <v>31</v>
      </c>
      <c r="Z86" s="389">
        <f>SUM(Z32:Z85)</f>
        <v>24</v>
      </c>
      <c r="AA86" s="390">
        <f>SUM(AA32:AA85)/1000</f>
        <v>0</v>
      </c>
    </row>
    <row r="87" spans="1:27" s="332" customFormat="1" ht="13.5" thickBot="1">
      <c r="A87" s="1603"/>
      <c r="B87" s="1604"/>
      <c r="C87" s="1604"/>
      <c r="D87" s="1604"/>
      <c r="E87" s="1604"/>
      <c r="F87" s="1604"/>
      <c r="G87" s="1604"/>
      <c r="H87" s="1604"/>
      <c r="I87" s="1604"/>
      <c r="J87" s="1604"/>
      <c r="K87" s="1604"/>
      <c r="L87" s="1604"/>
      <c r="M87" s="1604"/>
      <c r="N87" s="1604"/>
      <c r="O87" s="1604"/>
      <c r="P87" s="1604"/>
      <c r="Q87" s="1604"/>
      <c r="R87" s="1604"/>
      <c r="S87" s="1604"/>
      <c r="T87" s="1604"/>
      <c r="U87" s="1604"/>
      <c r="V87" s="1604"/>
      <c r="W87" s="1604"/>
      <c r="X87" s="1604"/>
      <c r="Y87" s="1604"/>
      <c r="Z87" s="1604"/>
      <c r="AA87" s="1605"/>
    </row>
    <row r="88" spans="1:27" s="332" customFormat="1" ht="13.5" thickBot="1">
      <c r="M88" s="333"/>
      <c r="N88" s="333"/>
    </row>
    <row r="89" spans="1:27" s="332" customFormat="1" ht="13.5" hidden="1" thickBot="1">
      <c r="M89" s="333"/>
      <c r="N89" s="333"/>
    </row>
    <row r="90" spans="1:27" s="332" customFormat="1" ht="18">
      <c r="A90" s="334"/>
      <c r="B90" s="391"/>
      <c r="C90" s="1521">
        <f>C13</f>
        <v>46212</v>
      </c>
      <c r="D90" s="1522"/>
      <c r="E90" s="1522"/>
      <c r="F90" s="1522"/>
      <c r="G90" s="1522"/>
      <c r="H90" s="1522"/>
      <c r="I90" s="1522"/>
      <c r="J90" s="1522"/>
      <c r="K90" s="1522"/>
      <c r="L90" s="1522"/>
      <c r="M90" s="1522"/>
      <c r="N90" s="1522"/>
      <c r="O90" s="1522"/>
      <c r="P90" s="1522"/>
      <c r="Q90" s="1522"/>
      <c r="R90" s="1522"/>
      <c r="S90" s="1522"/>
      <c r="T90" s="1522"/>
      <c r="U90" s="1522"/>
      <c r="V90" s="1522"/>
      <c r="W90" s="1522"/>
      <c r="X90" s="1522"/>
      <c r="Y90" s="1522"/>
      <c r="Z90" s="1522"/>
      <c r="AA90" s="1523"/>
    </row>
    <row r="91" spans="1:27" s="332" customFormat="1" ht="18">
      <c r="A91" s="1524" t="s">
        <v>1001</v>
      </c>
      <c r="B91" s="1610"/>
      <c r="C91" s="1610"/>
      <c r="D91" s="1610"/>
      <c r="E91" s="1610"/>
      <c r="F91" s="1610"/>
      <c r="G91" s="1610"/>
      <c r="H91" s="1610"/>
      <c r="I91" s="1610"/>
      <c r="J91" s="1610"/>
      <c r="K91" s="1610"/>
      <c r="L91" s="1610"/>
      <c r="M91" s="1610"/>
      <c r="N91" s="1610"/>
      <c r="O91" s="1610"/>
      <c r="P91" s="1610"/>
      <c r="Q91" s="1610"/>
      <c r="R91" s="1610"/>
      <c r="S91" s="1610"/>
      <c r="T91" s="1610"/>
      <c r="U91" s="1610"/>
      <c r="V91" s="1610"/>
      <c r="W91" s="1610"/>
      <c r="X91" s="1610"/>
      <c r="Y91" s="1610"/>
      <c r="Z91" s="1610"/>
      <c r="AA91" s="1526"/>
    </row>
    <row r="92" spans="1:27" s="332" customFormat="1" ht="18">
      <c r="A92" s="1524" t="s">
        <v>956</v>
      </c>
      <c r="B92" s="1610"/>
      <c r="C92" s="1610"/>
      <c r="D92" s="1610"/>
      <c r="E92" s="1610"/>
      <c r="F92" s="1610"/>
      <c r="G92" s="1610"/>
      <c r="H92" s="1610"/>
      <c r="I92" s="1610"/>
      <c r="J92" s="1610"/>
      <c r="K92" s="1610"/>
      <c r="L92" s="1610"/>
      <c r="M92" s="1610"/>
      <c r="N92" s="1610"/>
      <c r="O92" s="1610"/>
      <c r="P92" s="1610"/>
      <c r="Q92" s="1610"/>
      <c r="R92" s="1610"/>
      <c r="S92" s="1610"/>
      <c r="T92" s="1610"/>
      <c r="U92" s="1610"/>
      <c r="V92" s="1610"/>
      <c r="W92" s="1610"/>
      <c r="X92" s="1610"/>
      <c r="Y92" s="1610"/>
      <c r="Z92" s="1610"/>
      <c r="AA92" s="1526"/>
    </row>
    <row r="93" spans="1:27" s="332" customFormat="1" ht="18" customHeight="1">
      <c r="A93" s="1527" t="s">
        <v>916</v>
      </c>
      <c r="B93" s="1611"/>
      <c r="C93" s="1611"/>
      <c r="D93" s="1611"/>
      <c r="E93" s="1611"/>
      <c r="F93" s="1611"/>
      <c r="G93" s="1611"/>
      <c r="H93" s="1611"/>
      <c r="I93" s="1611"/>
      <c r="J93" s="1611"/>
      <c r="K93" s="1611"/>
      <c r="L93" s="1611"/>
      <c r="M93" s="1611"/>
      <c r="N93" s="1611"/>
      <c r="O93" s="1611"/>
      <c r="P93" s="1611"/>
      <c r="Q93" s="1611"/>
      <c r="R93" s="1611"/>
      <c r="S93" s="1611"/>
      <c r="T93" s="1611"/>
      <c r="U93" s="1611"/>
      <c r="V93" s="1611"/>
      <c r="W93" s="1611"/>
      <c r="X93" s="1611"/>
      <c r="Y93" s="1611"/>
      <c r="Z93" s="1611"/>
      <c r="AA93" s="1529"/>
    </row>
    <row r="94" spans="1:27" s="332" customFormat="1" ht="18.75" thickBot="1">
      <c r="A94" s="336"/>
      <c r="B94" s="337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8"/>
      <c r="O94" s="338"/>
      <c r="P94" s="338"/>
      <c r="Q94" s="338"/>
      <c r="R94" s="338"/>
      <c r="S94" s="338"/>
      <c r="T94" s="338"/>
      <c r="U94" s="338"/>
      <c r="V94" s="338"/>
      <c r="W94" s="338"/>
      <c r="X94" s="338"/>
      <c r="Y94" s="338"/>
      <c r="Z94" s="338"/>
      <c r="AA94" s="339"/>
    </row>
    <row r="95" spans="1:27" s="332" customFormat="1" ht="18">
      <c r="A95" s="335"/>
      <c r="C95" s="1612"/>
      <c r="D95" s="1612"/>
      <c r="E95" s="1612"/>
      <c r="F95" s="1612"/>
      <c r="G95" s="1612"/>
      <c r="H95" s="1613"/>
      <c r="I95" s="1613"/>
      <c r="J95" s="1610"/>
      <c r="K95" s="1610"/>
      <c r="L95" s="1610"/>
      <c r="M95" s="1072"/>
      <c r="N95" s="1546" t="s">
        <v>917</v>
      </c>
      <c r="O95" s="1547"/>
      <c r="P95" s="1547"/>
      <c r="Q95" s="1547"/>
      <c r="R95" s="1547"/>
      <c r="S95" s="1547"/>
      <c r="T95" s="1547"/>
      <c r="U95" s="1547"/>
      <c r="V95" s="1547"/>
      <c r="W95" s="1547"/>
      <c r="X95" s="1547"/>
      <c r="Y95" s="1547"/>
      <c r="Z95" s="1547"/>
      <c r="AA95" s="1548"/>
    </row>
    <row r="96" spans="1:27" s="332" customFormat="1" ht="18" customHeight="1">
      <c r="A96" s="335"/>
      <c r="C96" s="1612"/>
      <c r="D96" s="1612"/>
      <c r="E96" s="1612"/>
      <c r="F96" s="1612"/>
      <c r="G96" s="1612"/>
      <c r="H96" s="1613"/>
      <c r="I96" s="1613"/>
      <c r="J96" s="1610"/>
      <c r="K96" s="1610"/>
      <c r="L96" s="1610"/>
      <c r="M96" s="1059"/>
      <c r="N96" s="1064"/>
      <c r="O96" s="340" t="s">
        <v>918</v>
      </c>
      <c r="P96" s="1559" t="s">
        <v>919</v>
      </c>
      <c r="Q96" s="1613"/>
      <c r="R96" s="341"/>
      <c r="S96" s="342"/>
      <c r="T96" s="1560" t="s">
        <v>920</v>
      </c>
      <c r="U96" s="1561"/>
      <c r="V96" s="343"/>
      <c r="W96" s="1562" t="s">
        <v>921</v>
      </c>
      <c r="X96" s="344"/>
      <c r="Y96" s="1555" t="s">
        <v>922</v>
      </c>
      <c r="Z96" s="345"/>
      <c r="AA96" s="1556" t="s">
        <v>923</v>
      </c>
    </row>
    <row r="97" spans="1:27" s="332" customFormat="1" ht="18">
      <c r="A97" s="335"/>
      <c r="C97" s="1551" t="s">
        <v>924</v>
      </c>
      <c r="D97" s="1551"/>
      <c r="E97" s="1551"/>
      <c r="F97" s="1551"/>
      <c r="G97" s="1551"/>
      <c r="H97" s="1552" t="s">
        <v>873</v>
      </c>
      <c r="I97" s="1552"/>
      <c r="J97" s="1557" t="s">
        <v>2215</v>
      </c>
      <c r="K97" s="1553"/>
      <c r="L97" s="1554"/>
      <c r="M97" s="346"/>
      <c r="N97" s="1064"/>
      <c r="O97" s="1064"/>
      <c r="P97" s="1614" t="s">
        <v>925</v>
      </c>
      <c r="Q97" s="1614"/>
      <c r="R97" s="1064"/>
      <c r="S97" s="347" t="s">
        <v>926</v>
      </c>
      <c r="T97" s="1560"/>
      <c r="U97" s="1561"/>
      <c r="V97" s="343"/>
      <c r="W97" s="1562"/>
      <c r="X97" s="344"/>
      <c r="Y97" s="1555"/>
      <c r="Z97" s="345"/>
      <c r="AA97" s="1556"/>
    </row>
    <row r="98" spans="1:27" s="332" customFormat="1" ht="18.75" customHeight="1" thickBot="1">
      <c r="A98" s="335"/>
      <c r="C98" s="1551" t="s">
        <v>927</v>
      </c>
      <c r="D98" s="1551"/>
      <c r="E98" s="1551"/>
      <c r="F98" s="1551"/>
      <c r="G98" s="1551"/>
      <c r="H98" s="1552" t="s">
        <v>873</v>
      </c>
      <c r="I98" s="1552"/>
      <c r="J98" s="1557" t="s">
        <v>2162</v>
      </c>
      <c r="K98" s="1553"/>
      <c r="L98" s="1554"/>
      <c r="M98" s="348" t="s">
        <v>928</v>
      </c>
      <c r="N98" s="342"/>
      <c r="O98" s="1063"/>
      <c r="P98" s="349"/>
      <c r="Q98" s="350"/>
      <c r="R98" s="351"/>
      <c r="S98" s="351"/>
      <c r="T98" s="1560"/>
      <c r="U98" s="1561"/>
      <c r="V98" s="352"/>
      <c r="W98" s="1562"/>
      <c r="X98" s="344"/>
      <c r="Y98" s="1555"/>
      <c r="Z98" s="342"/>
      <c r="AA98" s="1556"/>
    </row>
    <row r="99" spans="1:27" s="359" customFormat="1" ht="18.75" thickTop="1">
      <c r="A99" s="353"/>
      <c r="C99" s="1551" t="s">
        <v>929</v>
      </c>
      <c r="D99" s="1551"/>
      <c r="E99" s="1551"/>
      <c r="F99" s="1551"/>
      <c r="G99" s="1551"/>
      <c r="H99" s="1552" t="s">
        <v>873</v>
      </c>
      <c r="I99" s="1552"/>
      <c r="J99" s="1557" t="s">
        <v>2208</v>
      </c>
      <c r="K99" s="1553"/>
      <c r="L99" s="1554"/>
      <c r="M99" s="354"/>
      <c r="N99" s="350"/>
      <c r="O99" s="355" t="s">
        <v>930</v>
      </c>
      <c r="P99" s="1563" t="s">
        <v>931</v>
      </c>
      <c r="Q99" s="1564"/>
      <c r="R99" s="1549"/>
      <c r="S99" s="342"/>
      <c r="T99" s="1560"/>
      <c r="U99" s="1561"/>
      <c r="V99" s="352"/>
      <c r="W99" s="356"/>
      <c r="X99" s="344"/>
      <c r="Y99" s="357"/>
      <c r="Z99" s="351"/>
      <c r="AA99" s="358"/>
    </row>
    <row r="100" spans="1:27" s="359" customFormat="1" ht="18.75" thickBot="1">
      <c r="A100" s="353"/>
      <c r="C100" s="1551" t="s">
        <v>932</v>
      </c>
      <c r="D100" s="1551"/>
      <c r="E100" s="1551"/>
      <c r="F100" s="1551"/>
      <c r="G100" s="1551"/>
      <c r="H100" s="1552" t="s">
        <v>933</v>
      </c>
      <c r="I100" s="1552"/>
      <c r="J100" s="1553" t="s">
        <v>2144</v>
      </c>
      <c r="K100" s="1553"/>
      <c r="L100" s="1554"/>
      <c r="M100" s="348" t="s">
        <v>934</v>
      </c>
      <c r="N100" s="351"/>
      <c r="O100" s="360" t="s">
        <v>935</v>
      </c>
      <c r="P100" s="351"/>
      <c r="Q100" s="361"/>
      <c r="R100" s="1550"/>
      <c r="S100" s="351"/>
      <c r="T100" s="1560"/>
      <c r="U100" s="1561"/>
      <c r="V100" s="352"/>
      <c r="W100" s="356"/>
      <c r="X100" s="344"/>
      <c r="Y100" s="357"/>
      <c r="Z100" s="351"/>
      <c r="AA100" s="358"/>
    </row>
    <row r="101" spans="1:27" s="359" customFormat="1" ht="18">
      <c r="A101" s="353"/>
      <c r="C101" s="1551" t="s">
        <v>936</v>
      </c>
      <c r="D101" s="1551"/>
      <c r="E101" s="1551"/>
      <c r="F101" s="1551"/>
      <c r="G101" s="1551"/>
      <c r="H101" s="1552" t="s">
        <v>933</v>
      </c>
      <c r="I101" s="1552"/>
      <c r="J101" s="1553" t="s">
        <v>2144</v>
      </c>
      <c r="K101" s="1553"/>
      <c r="L101" s="1554"/>
      <c r="M101" s="354"/>
      <c r="N101" s="351"/>
      <c r="O101" s="351"/>
      <c r="P101" s="351"/>
      <c r="Q101" s="362"/>
      <c r="R101" s="1063"/>
      <c r="S101" s="351"/>
      <c r="T101" s="1560"/>
      <c r="U101" s="1561"/>
      <c r="V101" s="352"/>
      <c r="W101" s="356"/>
      <c r="X101" s="344"/>
      <c r="Y101" s="363"/>
      <c r="Z101" s="351"/>
      <c r="AA101" s="358"/>
    </row>
    <row r="102" spans="1:27" s="359" customFormat="1" ht="15.75">
      <c r="A102" s="353"/>
      <c r="I102" s="359" t="s">
        <v>937</v>
      </c>
      <c r="M102" s="364" t="s">
        <v>938</v>
      </c>
      <c r="N102" s="351"/>
      <c r="O102" s="1063" t="s">
        <v>939</v>
      </c>
      <c r="P102" s="1063"/>
      <c r="Q102" s="362" t="s">
        <v>940</v>
      </c>
      <c r="R102" s="351"/>
      <c r="S102" s="1572" t="s">
        <v>941</v>
      </c>
      <c r="T102" s="1560"/>
      <c r="U102" s="1561"/>
      <c r="V102" s="352"/>
      <c r="W102" s="356"/>
      <c r="X102" s="344"/>
      <c r="Y102" s="363"/>
      <c r="Z102" s="351"/>
      <c r="AA102" s="358"/>
    </row>
    <row r="103" spans="1:27" s="359" customFormat="1" ht="15.75">
      <c r="A103" s="353"/>
      <c r="M103" s="354"/>
      <c r="N103" s="351"/>
      <c r="O103" s="1063"/>
      <c r="P103" s="1573" t="s">
        <v>942</v>
      </c>
      <c r="Q103" s="1573" t="s">
        <v>943</v>
      </c>
      <c r="R103" s="351"/>
      <c r="S103" s="1572"/>
      <c r="T103" s="1560"/>
      <c r="U103" s="1561"/>
      <c r="V103" s="352"/>
      <c r="W103" s="356"/>
      <c r="X103" s="344"/>
      <c r="Y103" s="363"/>
      <c r="Z103" s="351"/>
      <c r="AA103" s="358"/>
    </row>
    <row r="104" spans="1:27" s="359" customFormat="1" ht="17.45" customHeight="1">
      <c r="A104" s="354"/>
      <c r="B104" s="351"/>
      <c r="D104" s="1613"/>
      <c r="E104" s="1613"/>
      <c r="F104" s="1613"/>
      <c r="G104" s="1613"/>
      <c r="I104" s="351"/>
      <c r="J104" s="351"/>
      <c r="K104" s="351"/>
      <c r="L104" s="351"/>
      <c r="M104" s="364" t="s">
        <v>944</v>
      </c>
      <c r="N104" s="351"/>
      <c r="O104" s="1063" t="s">
        <v>945</v>
      </c>
      <c r="P104" s="1573"/>
      <c r="Q104" s="1574"/>
      <c r="R104" s="351"/>
      <c r="S104" s="351"/>
      <c r="T104" s="1560"/>
      <c r="U104" s="1561"/>
      <c r="V104" s="351"/>
      <c r="W104" s="356"/>
      <c r="X104" s="344"/>
      <c r="Y104" s="357"/>
      <c r="Z104" s="351"/>
      <c r="AA104" s="358"/>
    </row>
    <row r="105" spans="1:27" s="359" customFormat="1" ht="16.5" thickBot="1">
      <c r="A105" s="353"/>
      <c r="M105" s="365"/>
      <c r="N105" s="338"/>
      <c r="O105" s="338"/>
      <c r="P105" s="366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  <c r="AA105" s="339"/>
    </row>
    <row r="106" spans="1:27" s="359" customFormat="1" ht="15.75" customHeight="1">
      <c r="A106" s="367"/>
      <c r="B106" s="392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9"/>
      <c r="R106" s="369"/>
      <c r="S106" s="368"/>
      <c r="T106" s="368"/>
      <c r="U106" s="368"/>
      <c r="W106" s="1580" t="s">
        <v>946</v>
      </c>
      <c r="X106" s="1577" t="s">
        <v>947</v>
      </c>
      <c r="Y106" s="1577" t="s">
        <v>948</v>
      </c>
      <c r="Z106" s="1578" t="s">
        <v>949</v>
      </c>
      <c r="AA106" s="1579" t="s">
        <v>950</v>
      </c>
    </row>
    <row r="107" spans="1:27" s="359" customFormat="1">
      <c r="A107" s="367"/>
      <c r="B107" s="392"/>
      <c r="C107" s="333"/>
      <c r="D107" s="368"/>
      <c r="E107" s="333"/>
      <c r="F107" s="368"/>
      <c r="G107" s="370"/>
      <c r="H107" s="368"/>
      <c r="I107" s="368"/>
      <c r="J107" s="368"/>
      <c r="K107" s="368"/>
      <c r="L107" s="368"/>
      <c r="M107" s="333"/>
      <c r="N107" s="333"/>
      <c r="O107" s="370"/>
      <c r="P107" s="333"/>
      <c r="Q107" s="370"/>
      <c r="R107" s="333"/>
      <c r="S107" s="370"/>
      <c r="T107" s="333"/>
      <c r="U107" s="333"/>
      <c r="W107" s="1580"/>
      <c r="X107" s="1577"/>
      <c r="Y107" s="1577"/>
      <c r="Z107" s="1578"/>
      <c r="AA107" s="1579"/>
    </row>
    <row r="108" spans="1:27" s="359" customFormat="1" ht="17.25" customHeight="1">
      <c r="A108" s="385"/>
      <c r="B108" s="371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84"/>
      <c r="W108" s="381"/>
      <c r="X108" s="376"/>
      <c r="Y108" s="376"/>
      <c r="Z108" s="376"/>
      <c r="AA108" s="382"/>
    </row>
    <row r="109" spans="1:27" s="359" customFormat="1" ht="15.75">
      <c r="A109" s="367"/>
      <c r="B109" s="392"/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71"/>
      <c r="Q109" s="371"/>
      <c r="R109" s="371" t="s">
        <v>937</v>
      </c>
      <c r="S109" s="371"/>
      <c r="T109" s="371"/>
      <c r="U109" s="371"/>
      <c r="W109" s="357"/>
      <c r="X109" s="357"/>
      <c r="Y109" s="357"/>
      <c r="Z109" s="357"/>
      <c r="AA109" s="358"/>
    </row>
    <row r="110" spans="1:27" s="359" customFormat="1">
      <c r="A110" s="367"/>
      <c r="B110" s="392"/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71"/>
      <c r="Q110" s="371"/>
      <c r="R110" s="371"/>
      <c r="S110" s="371"/>
      <c r="T110" s="371"/>
      <c r="U110" s="371"/>
      <c r="W110" s="372"/>
      <c r="X110" s="372"/>
      <c r="Y110" s="372"/>
      <c r="Z110" s="372"/>
      <c r="AA110" s="373"/>
    </row>
    <row r="111" spans="1:27" s="375" customFormat="1" ht="13.9" customHeight="1">
      <c r="A111" s="1585"/>
      <c r="B111" s="374">
        <v>105.77</v>
      </c>
      <c r="C111" s="1566"/>
      <c r="D111" s="374">
        <v>106.18</v>
      </c>
      <c r="E111" s="1566"/>
      <c r="F111" s="374">
        <v>224.28800000000001</v>
      </c>
      <c r="G111" s="1566"/>
      <c r="H111" s="374">
        <v>422</v>
      </c>
      <c r="I111" s="1568"/>
      <c r="J111" s="374">
        <v>364.19499999999999</v>
      </c>
      <c r="K111" s="1581"/>
      <c r="L111" s="374">
        <v>397.75</v>
      </c>
      <c r="M111" s="1581"/>
      <c r="N111" s="374">
        <v>253</v>
      </c>
      <c r="O111" s="1581"/>
      <c r="P111" s="374">
        <v>97.98</v>
      </c>
      <c r="Q111" s="1520"/>
      <c r="R111" s="374">
        <v>184.71</v>
      </c>
      <c r="S111" s="1594"/>
      <c r="T111" s="374">
        <v>165.68</v>
      </c>
      <c r="U111" s="1520"/>
      <c r="W111" s="376">
        <f>SUM(A111:V111)</f>
        <v>2321.5529999999999</v>
      </c>
      <c r="X111" s="376">
        <v>5</v>
      </c>
      <c r="Y111" s="376">
        <v>3</v>
      </c>
      <c r="Z111" s="376">
        <v>0</v>
      </c>
      <c r="AA111" s="377">
        <v>0</v>
      </c>
    </row>
    <row r="112" spans="1:27" s="359" customFormat="1" ht="16.149999999999999" customHeight="1">
      <c r="A112" s="1585"/>
      <c r="B112" s="392"/>
      <c r="C112" s="1567"/>
      <c r="D112" s="333"/>
      <c r="E112" s="1567"/>
      <c r="F112" s="333"/>
      <c r="G112" s="1567"/>
      <c r="H112" s="333"/>
      <c r="I112" s="1569"/>
      <c r="J112" s="333"/>
      <c r="K112" s="1582"/>
      <c r="L112" s="333"/>
      <c r="M112" s="1582"/>
      <c r="N112" s="333"/>
      <c r="O112" s="1582"/>
      <c r="P112" s="371"/>
      <c r="Q112" s="1520"/>
      <c r="R112" s="379"/>
      <c r="S112" s="1594"/>
      <c r="T112" s="380"/>
      <c r="U112" s="1520"/>
      <c r="V112" s="332"/>
      <c r="W112" s="381"/>
      <c r="X112" s="376"/>
      <c r="Y112" s="376"/>
      <c r="Z112" s="376"/>
      <c r="AA112" s="382"/>
    </row>
    <row r="113" spans="1:27" s="359" customFormat="1">
      <c r="A113" s="394" t="s">
        <v>962</v>
      </c>
      <c r="B113" s="392"/>
      <c r="C113" s="383" t="s">
        <v>132</v>
      </c>
      <c r="D113" s="371"/>
      <c r="E113" s="383" t="s">
        <v>141</v>
      </c>
      <c r="F113" s="371"/>
      <c r="G113" s="383" t="s">
        <v>147</v>
      </c>
      <c r="H113" s="371"/>
      <c r="I113" s="383" t="s">
        <v>152</v>
      </c>
      <c r="J113" s="371"/>
      <c r="K113" s="383" t="s">
        <v>166</v>
      </c>
      <c r="L113" s="371"/>
      <c r="M113" s="383" t="s">
        <v>174</v>
      </c>
      <c r="N113" s="371"/>
      <c r="O113" s="383" t="s">
        <v>1858</v>
      </c>
      <c r="P113" s="371"/>
      <c r="Q113" s="383" t="s">
        <v>181</v>
      </c>
      <c r="R113" s="371"/>
      <c r="S113" s="383" t="s">
        <v>64</v>
      </c>
      <c r="T113" s="371"/>
      <c r="U113" s="383" t="s">
        <v>65</v>
      </c>
      <c r="V113" s="332"/>
      <c r="W113" s="381"/>
      <c r="X113" s="376"/>
      <c r="Y113" s="376"/>
      <c r="Z113" s="376"/>
      <c r="AA113" s="382"/>
    </row>
    <row r="114" spans="1:27" s="359" customFormat="1">
      <c r="A114" s="367"/>
      <c r="B114" s="392"/>
      <c r="C114" s="371" t="s">
        <v>1181</v>
      </c>
      <c r="D114" s="371"/>
      <c r="E114" s="371" t="s">
        <v>1181</v>
      </c>
      <c r="F114" s="371"/>
      <c r="G114" s="371" t="s">
        <v>1175</v>
      </c>
      <c r="H114" s="371"/>
      <c r="I114" s="371" t="s">
        <v>49</v>
      </c>
      <c r="J114" s="371"/>
      <c r="K114" s="371" t="s">
        <v>1175</v>
      </c>
      <c r="L114" s="371"/>
      <c r="M114" s="371" t="s">
        <v>1181</v>
      </c>
      <c r="N114" s="371"/>
      <c r="O114" s="371" t="s">
        <v>1181</v>
      </c>
      <c r="P114" s="371"/>
      <c r="Q114" s="423" t="s">
        <v>1859</v>
      </c>
      <c r="R114" s="371"/>
      <c r="S114" s="371" t="s">
        <v>193</v>
      </c>
      <c r="T114" s="371"/>
      <c r="U114" s="371" t="s">
        <v>133</v>
      </c>
      <c r="V114" s="384"/>
      <c r="W114" s="381"/>
      <c r="X114" s="376"/>
      <c r="Y114" s="376"/>
      <c r="Z114" s="376"/>
      <c r="AA114" s="382"/>
    </row>
    <row r="115" spans="1:27" s="795" customFormat="1" ht="30">
      <c r="A115" s="789"/>
      <c r="B115" s="790"/>
      <c r="C115" s="1081" t="s">
        <v>1879</v>
      </c>
      <c r="D115" s="423"/>
      <c r="E115" s="1081" t="s">
        <v>1879</v>
      </c>
      <c r="F115" s="423"/>
      <c r="G115" s="1081" t="s">
        <v>1879</v>
      </c>
      <c r="H115" s="423"/>
      <c r="I115" s="1081" t="s">
        <v>1879</v>
      </c>
      <c r="J115" s="423"/>
      <c r="K115" s="423"/>
      <c r="L115" s="423"/>
      <c r="M115" s="423"/>
      <c r="N115" s="423"/>
      <c r="O115" s="423"/>
      <c r="P115" s="423"/>
      <c r="Q115" s="423"/>
      <c r="R115" s="423"/>
      <c r="S115" s="423"/>
      <c r="T115" s="423"/>
      <c r="U115" s="423"/>
      <c r="V115" s="791"/>
      <c r="W115" s="792"/>
      <c r="X115" s="793"/>
      <c r="Y115" s="793"/>
      <c r="Z115" s="793"/>
      <c r="AA115" s="794"/>
    </row>
    <row r="116" spans="1:27" s="359" customFormat="1">
      <c r="A116" s="367"/>
      <c r="B116" s="392"/>
      <c r="C116" s="371"/>
      <c r="D116" s="371"/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84"/>
      <c r="W116" s="381"/>
      <c r="X116" s="376"/>
      <c r="Y116" s="376"/>
      <c r="Z116" s="376"/>
      <c r="AA116" s="382"/>
    </row>
    <row r="117" spans="1:27" s="359" customFormat="1" ht="15.75">
      <c r="A117" s="367"/>
      <c r="B117" s="371"/>
      <c r="C117" s="368"/>
      <c r="D117" s="368"/>
      <c r="E117" s="368"/>
      <c r="F117" s="368"/>
      <c r="G117" s="368"/>
      <c r="H117" s="368"/>
      <c r="I117" s="368"/>
      <c r="J117" s="368"/>
      <c r="K117" s="368"/>
      <c r="L117" s="368"/>
      <c r="M117" s="368"/>
      <c r="N117" s="371"/>
      <c r="O117" s="371"/>
      <c r="P117" s="371"/>
      <c r="Q117" s="371"/>
      <c r="R117" s="371" t="s">
        <v>937</v>
      </c>
      <c r="S117" s="371"/>
      <c r="T117" s="371"/>
      <c r="U117" s="371"/>
      <c r="W117" s="357"/>
      <c r="X117" s="357"/>
      <c r="Y117" s="357"/>
      <c r="Z117" s="357"/>
      <c r="AA117" s="358"/>
    </row>
    <row r="118" spans="1:27" s="359" customFormat="1" ht="15" customHeight="1">
      <c r="A118" s="367"/>
      <c r="B118" s="371"/>
      <c r="C118" s="368"/>
      <c r="D118" s="368"/>
      <c r="E118" s="368"/>
      <c r="F118" s="368"/>
      <c r="G118" s="368"/>
      <c r="H118" s="368"/>
      <c r="I118" s="368"/>
      <c r="J118" s="368"/>
      <c r="K118" s="368"/>
      <c r="L118" s="368"/>
      <c r="M118" s="368"/>
      <c r="N118" s="371"/>
      <c r="O118" s="371"/>
      <c r="P118" s="371"/>
      <c r="Q118" s="371"/>
      <c r="R118" s="371"/>
      <c r="S118" s="371"/>
      <c r="T118" s="371"/>
      <c r="U118" s="371"/>
      <c r="W118" s="372"/>
      <c r="X118" s="372"/>
      <c r="Y118" s="372"/>
      <c r="Z118" s="372"/>
      <c r="AA118" s="373"/>
    </row>
    <row r="119" spans="1:27" s="375" customFormat="1" ht="16.5" customHeight="1">
      <c r="A119" s="367"/>
      <c r="B119" s="374">
        <v>181.22</v>
      </c>
      <c r="C119" s="1615"/>
      <c r="D119" s="374">
        <v>205.95</v>
      </c>
      <c r="E119" s="1617"/>
      <c r="F119" s="374">
        <v>311.52</v>
      </c>
      <c r="G119" s="1619"/>
      <c r="H119" s="374">
        <v>218.54</v>
      </c>
      <c r="I119" s="1619"/>
      <c r="J119" s="386">
        <v>153.03</v>
      </c>
      <c r="K119" s="1619"/>
      <c r="L119" s="374">
        <v>364.73</v>
      </c>
      <c r="M119" s="1619"/>
      <c r="N119" s="374">
        <v>224.22</v>
      </c>
      <c r="O119" s="1621"/>
      <c r="P119" s="374">
        <v>210.619</v>
      </c>
      <c r="Q119" s="1623"/>
      <c r="R119" s="374">
        <v>176.79</v>
      </c>
      <c r="S119" s="1585"/>
      <c r="T119" s="374">
        <v>190.21</v>
      </c>
      <c r="U119" s="1585"/>
      <c r="V119" s="375">
        <v>146.15</v>
      </c>
      <c r="W119" s="376">
        <f>SUM(A119:V119)</f>
        <v>2382.9789999999998</v>
      </c>
      <c r="X119" s="376">
        <v>3</v>
      </c>
      <c r="Y119" s="376">
        <v>2</v>
      </c>
      <c r="Z119" s="376">
        <v>0</v>
      </c>
      <c r="AA119" s="377">
        <v>0</v>
      </c>
    </row>
    <row r="120" spans="1:27" s="359" customFormat="1" ht="16.149999999999999" customHeight="1">
      <c r="A120" s="367"/>
      <c r="B120" s="371"/>
      <c r="C120" s="1616"/>
      <c r="D120" s="333"/>
      <c r="E120" s="1618"/>
      <c r="F120" s="333"/>
      <c r="G120" s="1620"/>
      <c r="H120" s="333"/>
      <c r="I120" s="1620"/>
      <c r="J120" s="333"/>
      <c r="K120" s="1620"/>
      <c r="L120" s="333"/>
      <c r="M120" s="1620"/>
      <c r="N120" s="371"/>
      <c r="O120" s="1622"/>
      <c r="P120" s="379"/>
      <c r="Q120" s="1624"/>
      <c r="R120" s="379"/>
      <c r="S120" s="1585"/>
      <c r="T120" s="1588" t="s">
        <v>1000</v>
      </c>
      <c r="U120" s="1585"/>
      <c r="V120" s="332"/>
      <c r="W120" s="381"/>
      <c r="X120" s="376"/>
      <c r="Y120" s="376"/>
      <c r="Z120" s="376"/>
      <c r="AA120" s="382"/>
    </row>
    <row r="121" spans="1:27" s="359" customFormat="1">
      <c r="A121" s="367"/>
      <c r="B121" s="371"/>
      <c r="C121" s="371" t="s">
        <v>213</v>
      </c>
      <c r="D121" s="371"/>
      <c r="E121" s="371" t="s">
        <v>66</v>
      </c>
      <c r="F121" s="371"/>
      <c r="G121" s="383" t="s">
        <v>224</v>
      </c>
      <c r="H121" s="371"/>
      <c r="I121" s="383" t="s">
        <v>67</v>
      </c>
      <c r="J121" s="371"/>
      <c r="K121" s="383" t="s">
        <v>68</v>
      </c>
      <c r="L121" s="371"/>
      <c r="M121" s="383" t="s">
        <v>56</v>
      </c>
      <c r="N121" s="1626" t="s">
        <v>1948</v>
      </c>
      <c r="O121" s="383" t="s">
        <v>60</v>
      </c>
      <c r="P121" s="371"/>
      <c r="Q121" s="383" t="s">
        <v>55</v>
      </c>
      <c r="R121" s="371"/>
      <c r="S121" s="383" t="s">
        <v>59</v>
      </c>
      <c r="T121" s="1625"/>
      <c r="U121" s="383" t="s">
        <v>58</v>
      </c>
      <c r="V121" s="332"/>
      <c r="W121" s="381"/>
      <c r="X121" s="376"/>
      <c r="Y121" s="376"/>
      <c r="Z121" s="376"/>
      <c r="AA121" s="382"/>
    </row>
    <row r="122" spans="1:27" s="359" customFormat="1">
      <c r="A122" s="367"/>
      <c r="B122" s="371"/>
      <c r="C122" s="371" t="s">
        <v>193</v>
      </c>
      <c r="D122" s="371"/>
      <c r="E122" s="371" t="s">
        <v>133</v>
      </c>
      <c r="F122" s="371"/>
      <c r="G122" s="371" t="s">
        <v>133</v>
      </c>
      <c r="H122" s="371"/>
      <c r="I122" s="423" t="s">
        <v>344</v>
      </c>
      <c r="J122" s="625" t="s">
        <v>1025</v>
      </c>
      <c r="K122" s="423" t="s">
        <v>344</v>
      </c>
      <c r="L122" s="371"/>
      <c r="M122" s="423" t="s">
        <v>357</v>
      </c>
      <c r="N122" s="1626"/>
      <c r="O122" s="423" t="s">
        <v>357</v>
      </c>
      <c r="P122" s="371"/>
      <c r="Q122" s="423" t="s">
        <v>357</v>
      </c>
      <c r="R122" s="371"/>
      <c r="S122" s="371" t="s">
        <v>1426</v>
      </c>
      <c r="T122" s="1625"/>
      <c r="U122" s="371" t="s">
        <v>1426</v>
      </c>
      <c r="V122" s="384"/>
      <c r="W122" s="381"/>
      <c r="X122" s="376"/>
      <c r="Y122" s="376"/>
      <c r="Z122" s="376"/>
      <c r="AA122" s="382"/>
    </row>
    <row r="123" spans="1:27" s="359" customFormat="1" ht="38.25" customHeight="1">
      <c r="A123" s="367"/>
      <c r="B123" s="371"/>
      <c r="C123" s="371"/>
      <c r="D123" s="371"/>
      <c r="E123" s="371"/>
      <c r="F123" s="371"/>
      <c r="G123" s="1084" t="s">
        <v>2027</v>
      </c>
      <c r="H123" s="1095"/>
      <c r="I123" s="1084" t="s">
        <v>2027</v>
      </c>
      <c r="J123" s="1096"/>
      <c r="K123" s="1084" t="s">
        <v>2027</v>
      </c>
      <c r="L123" s="1095"/>
      <c r="M123" s="1097" t="s">
        <v>2031</v>
      </c>
      <c r="N123" s="1626"/>
      <c r="O123" s="1097" t="s">
        <v>2032</v>
      </c>
      <c r="P123" s="371"/>
      <c r="Q123" s="371"/>
      <c r="S123" s="1091" t="s">
        <v>2028</v>
      </c>
      <c r="T123" s="1625"/>
      <c r="U123" s="1091" t="s">
        <v>2028</v>
      </c>
      <c r="V123" s="384"/>
      <c r="W123" s="381"/>
      <c r="X123" s="376"/>
      <c r="Y123" s="376"/>
      <c r="Z123" s="376"/>
      <c r="AA123" s="382"/>
    </row>
    <row r="124" spans="1:27" s="359" customFormat="1">
      <c r="A124" s="371"/>
      <c r="B124" s="371" t="s">
        <v>937</v>
      </c>
      <c r="C124" s="371"/>
      <c r="D124" s="371"/>
      <c r="E124" s="371"/>
      <c r="F124" s="371"/>
      <c r="G124" s="371"/>
      <c r="H124" s="371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1625"/>
      <c r="U124" s="368"/>
      <c r="V124" s="371"/>
      <c r="W124" s="381"/>
      <c r="X124" s="376"/>
      <c r="Y124" s="376"/>
      <c r="Z124" s="376"/>
      <c r="AA124" s="382"/>
    </row>
    <row r="125" spans="1:27" s="359" customFormat="1">
      <c r="A125" s="371"/>
      <c r="B125" s="371"/>
      <c r="C125" s="371"/>
      <c r="D125" s="371"/>
      <c r="E125" s="371"/>
      <c r="F125" s="371"/>
      <c r="G125" s="371"/>
      <c r="H125" s="392"/>
      <c r="I125" s="368"/>
      <c r="J125" s="368"/>
      <c r="K125" s="368"/>
      <c r="L125" s="368"/>
      <c r="M125" s="368"/>
      <c r="N125" s="368"/>
      <c r="O125" s="368"/>
      <c r="P125" s="368"/>
      <c r="Q125" s="368"/>
      <c r="R125" s="368"/>
      <c r="S125" s="368"/>
      <c r="T125" s="1625"/>
      <c r="U125" s="368"/>
      <c r="V125" s="371"/>
      <c r="W125" s="381"/>
      <c r="X125" s="376"/>
      <c r="Y125" s="376"/>
      <c r="Z125" s="376"/>
      <c r="AA125" s="382"/>
    </row>
    <row r="126" spans="1:27" s="359" customFormat="1">
      <c r="A126" s="1520"/>
      <c r="B126" s="374">
        <v>79.03</v>
      </c>
      <c r="C126" s="1520"/>
      <c r="D126" s="374">
        <v>255.14</v>
      </c>
      <c r="E126" s="1520"/>
      <c r="F126" s="374">
        <v>322.94</v>
      </c>
      <c r="G126" s="1520"/>
      <c r="H126" s="374">
        <v>360.98</v>
      </c>
      <c r="I126" s="1581"/>
      <c r="J126" s="374">
        <v>253.41</v>
      </c>
      <c r="K126" s="1581"/>
      <c r="L126" s="374">
        <v>315</v>
      </c>
      <c r="M126" s="1570"/>
      <c r="N126" s="374">
        <v>297.88</v>
      </c>
      <c r="O126" s="1520"/>
      <c r="P126" s="374">
        <v>420</v>
      </c>
      <c r="Q126" s="1570"/>
      <c r="R126" s="374">
        <v>356</v>
      </c>
      <c r="S126" s="1627" t="s">
        <v>1829</v>
      </c>
      <c r="T126" s="374">
        <v>358</v>
      </c>
      <c r="U126" s="1570"/>
      <c r="W126" s="376">
        <f>SUM(A126:V126)</f>
        <v>3018.38</v>
      </c>
      <c r="X126" s="376">
        <v>11</v>
      </c>
      <c r="Y126" s="376">
        <v>6</v>
      </c>
      <c r="Z126" s="376">
        <v>5</v>
      </c>
      <c r="AA126" s="377">
        <v>0</v>
      </c>
    </row>
    <row r="127" spans="1:27" s="359" customFormat="1" ht="18">
      <c r="A127" s="1520"/>
      <c r="B127" s="379"/>
      <c r="C127" s="1520"/>
      <c r="D127" s="380"/>
      <c r="E127" s="1520"/>
      <c r="F127" s="380"/>
      <c r="G127" s="1520"/>
      <c r="H127" s="392"/>
      <c r="I127" s="1582"/>
      <c r="J127" s="333"/>
      <c r="K127" s="1582"/>
      <c r="L127" s="333"/>
      <c r="M127" s="1571"/>
      <c r="N127" s="333"/>
      <c r="O127" s="1520"/>
      <c r="P127" s="333"/>
      <c r="Q127" s="1571"/>
      <c r="R127" s="333"/>
      <c r="S127" s="1628"/>
      <c r="T127" s="333"/>
      <c r="U127" s="1571"/>
      <c r="V127" s="371"/>
      <c r="W127" s="381"/>
      <c r="X127" s="376"/>
      <c r="Y127" s="376"/>
      <c r="Z127" s="376"/>
      <c r="AA127" s="382"/>
    </row>
    <row r="128" spans="1:27" s="359" customFormat="1">
      <c r="A128" s="423" t="s">
        <v>2064</v>
      </c>
      <c r="B128" s="371"/>
      <c r="C128" s="383" t="s">
        <v>46</v>
      </c>
      <c r="D128" s="371"/>
      <c r="E128" s="383" t="s">
        <v>326</v>
      </c>
      <c r="F128" s="371"/>
      <c r="G128" s="383" t="s">
        <v>47</v>
      </c>
      <c r="H128" s="392"/>
      <c r="I128" s="383" t="s">
        <v>69</v>
      </c>
      <c r="J128" s="371"/>
      <c r="K128" s="383" t="s">
        <v>356</v>
      </c>
      <c r="L128" s="371"/>
      <c r="M128" s="383" t="s">
        <v>811</v>
      </c>
      <c r="N128" s="371"/>
      <c r="O128" s="383" t="s">
        <v>364</v>
      </c>
      <c r="P128" s="371"/>
      <c r="Q128" s="383" t="s">
        <v>803</v>
      </c>
      <c r="R128" s="371"/>
      <c r="S128" s="383" t="s">
        <v>799</v>
      </c>
      <c r="T128" s="371"/>
      <c r="U128" s="383" t="s">
        <v>795</v>
      </c>
      <c r="V128" s="371"/>
      <c r="W128" s="381"/>
      <c r="X128" s="376"/>
      <c r="Y128" s="376"/>
      <c r="Z128" s="376"/>
      <c r="AA128" s="382"/>
    </row>
    <row r="129" spans="1:27" s="359" customFormat="1">
      <c r="A129" s="423" t="s">
        <v>357</v>
      </c>
      <c r="B129" s="371"/>
      <c r="C129" s="371" t="s">
        <v>53</v>
      </c>
      <c r="D129" s="371"/>
      <c r="E129" s="371" t="s">
        <v>133</v>
      </c>
      <c r="F129" s="371"/>
      <c r="G129" s="371" t="s">
        <v>1425</v>
      </c>
      <c r="H129" s="392"/>
      <c r="I129" s="371" t="s">
        <v>337</v>
      </c>
      <c r="J129" s="371"/>
      <c r="K129" s="371" t="s">
        <v>193</v>
      </c>
      <c r="L129" s="371"/>
      <c r="M129" s="371" t="s">
        <v>153</v>
      </c>
      <c r="N129" s="371"/>
      <c r="O129" s="371" t="s">
        <v>133</v>
      </c>
      <c r="P129" s="371"/>
      <c r="Q129" s="371" t="s">
        <v>301</v>
      </c>
      <c r="R129" s="371"/>
      <c r="S129" s="371" t="s">
        <v>153</v>
      </c>
      <c r="T129" s="371"/>
      <c r="U129" s="371" t="s">
        <v>153</v>
      </c>
      <c r="V129" s="371"/>
      <c r="W129" s="381"/>
      <c r="X129" s="376"/>
      <c r="Y129" s="376"/>
      <c r="Z129" s="376"/>
      <c r="AA129" s="382"/>
    </row>
    <row r="130" spans="1:27" s="359" customFormat="1">
      <c r="A130" s="367"/>
      <c r="B130" s="371"/>
      <c r="C130" s="423"/>
      <c r="D130" s="371"/>
      <c r="E130" s="371"/>
      <c r="F130" s="371"/>
      <c r="G130" s="371"/>
      <c r="H130" s="371"/>
      <c r="I130" s="371"/>
      <c r="J130" s="625"/>
      <c r="K130" s="371"/>
      <c r="L130" s="371"/>
      <c r="M130" s="371"/>
      <c r="N130" s="371"/>
      <c r="O130" s="371"/>
      <c r="P130" s="371"/>
      <c r="Q130" s="371"/>
      <c r="T130" s="371"/>
      <c r="U130" s="371"/>
      <c r="V130" s="384"/>
      <c r="W130" s="381"/>
      <c r="X130" s="376"/>
      <c r="Y130" s="376"/>
      <c r="Z130" s="376"/>
      <c r="AA130" s="382"/>
    </row>
    <row r="131" spans="1:27" s="359" customFormat="1" ht="17.25" customHeight="1">
      <c r="A131" s="385"/>
      <c r="B131" s="371"/>
      <c r="C131" s="371"/>
      <c r="D131" s="371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V131" s="384"/>
      <c r="W131" s="381"/>
      <c r="X131" s="376"/>
      <c r="Y131" s="376"/>
      <c r="Z131" s="376"/>
      <c r="AA131" s="382"/>
    </row>
    <row r="132" spans="1:27" s="359" customFormat="1" ht="15.75">
      <c r="A132" s="367"/>
      <c r="C132" s="371"/>
      <c r="D132" s="371" t="s">
        <v>937</v>
      </c>
      <c r="E132" s="371"/>
      <c r="F132" s="371"/>
      <c r="G132" s="371"/>
      <c r="H132" s="392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71"/>
      <c r="W132" s="357"/>
      <c r="X132" s="357"/>
      <c r="Y132" s="357"/>
      <c r="Z132" s="357"/>
      <c r="AA132" s="358"/>
    </row>
    <row r="133" spans="1:27" s="359" customFormat="1">
      <c r="A133" s="367"/>
      <c r="C133" s="371"/>
      <c r="D133" s="371"/>
      <c r="E133" s="371"/>
      <c r="F133" s="371"/>
      <c r="G133" s="371"/>
      <c r="H133" s="392"/>
      <c r="I133" s="368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71"/>
      <c r="W133" s="372"/>
      <c r="X133" s="372"/>
      <c r="Y133" s="372"/>
      <c r="Z133" s="372"/>
      <c r="AA133" s="373"/>
    </row>
    <row r="134" spans="1:27" s="375" customFormat="1" ht="13.9" customHeight="1">
      <c r="A134" s="385"/>
      <c r="B134" s="374">
        <v>317.52</v>
      </c>
      <c r="C134" s="1520"/>
      <c r="D134" s="374">
        <v>269</v>
      </c>
      <c r="E134" s="1570"/>
      <c r="F134" s="374">
        <v>240.13</v>
      </c>
      <c r="G134" s="1520"/>
      <c r="H134" s="370">
        <v>351</v>
      </c>
      <c r="I134" s="1570"/>
      <c r="J134" s="374">
        <v>357.01</v>
      </c>
      <c r="K134" s="1520"/>
      <c r="L134" s="374">
        <v>397.81</v>
      </c>
      <c r="M134" s="1520"/>
      <c r="N134" s="374">
        <v>299</v>
      </c>
      <c r="O134" s="1627" t="s">
        <v>1656</v>
      </c>
      <c r="P134" s="374">
        <v>382.3</v>
      </c>
      <c r="Q134" s="1593" t="s">
        <v>1826</v>
      </c>
      <c r="R134" s="374">
        <v>348.04</v>
      </c>
      <c r="S134" s="1520"/>
      <c r="T134" s="374">
        <v>278.55</v>
      </c>
      <c r="U134" s="1520"/>
      <c r="W134" s="376">
        <f>SUM(A134:V134)</f>
        <v>3240.3600000000006</v>
      </c>
      <c r="X134" s="376">
        <v>10</v>
      </c>
      <c r="Y134" s="376">
        <v>9</v>
      </c>
      <c r="Z134" s="376">
        <v>7</v>
      </c>
      <c r="AA134" s="377">
        <v>0</v>
      </c>
    </row>
    <row r="135" spans="1:27" s="359" customFormat="1" ht="16.149999999999999" customHeight="1">
      <c r="A135" s="367"/>
      <c r="C135" s="1520"/>
      <c r="D135" s="379"/>
      <c r="E135" s="1571"/>
      <c r="F135" s="380"/>
      <c r="G135" s="1520"/>
      <c r="H135" s="392"/>
      <c r="I135" s="1571"/>
      <c r="J135" s="333"/>
      <c r="K135" s="1520"/>
      <c r="L135" s="333"/>
      <c r="M135" s="1520"/>
      <c r="N135" s="333"/>
      <c r="O135" s="1628"/>
      <c r="P135" s="333"/>
      <c r="Q135" s="1593"/>
      <c r="R135" s="333"/>
      <c r="S135" s="1520"/>
      <c r="T135" s="333"/>
      <c r="U135" s="1520"/>
      <c r="V135" s="1588"/>
      <c r="W135" s="381"/>
      <c r="X135" s="376"/>
      <c r="Y135" s="376"/>
      <c r="Z135" s="376"/>
      <c r="AA135" s="382"/>
    </row>
    <row r="136" spans="1:27" s="359" customFormat="1">
      <c r="A136" s="367"/>
      <c r="C136" s="383" t="s">
        <v>371</v>
      </c>
      <c r="D136" s="371"/>
      <c r="E136" s="383" t="s">
        <v>376</v>
      </c>
      <c r="F136" s="371"/>
      <c r="G136" s="383" t="s">
        <v>70</v>
      </c>
      <c r="H136" s="392"/>
      <c r="I136" s="383" t="s">
        <v>384</v>
      </c>
      <c r="J136" s="371"/>
      <c r="K136" s="383" t="s">
        <v>393</v>
      </c>
      <c r="L136" s="371"/>
      <c r="M136" s="383" t="s">
        <v>416</v>
      </c>
      <c r="N136" s="371"/>
      <c r="O136" s="383" t="s">
        <v>421</v>
      </c>
      <c r="P136" s="371"/>
      <c r="Q136" s="383" t="s">
        <v>71</v>
      </c>
      <c r="R136" s="371"/>
      <c r="S136" s="383" t="s">
        <v>436</v>
      </c>
      <c r="T136" s="371"/>
      <c r="U136" s="383" t="s">
        <v>443</v>
      </c>
      <c r="V136" s="1625"/>
      <c r="W136" s="381"/>
      <c r="X136" s="376"/>
      <c r="Y136" s="376"/>
      <c r="Z136" s="376"/>
      <c r="AA136" s="382"/>
    </row>
    <row r="137" spans="1:27" s="359" customFormat="1">
      <c r="A137" s="367"/>
      <c r="C137" s="371" t="s">
        <v>133</v>
      </c>
      <c r="D137" s="371"/>
      <c r="E137" s="371" t="s">
        <v>153</v>
      </c>
      <c r="F137" s="371"/>
      <c r="G137" s="371" t="s">
        <v>167</v>
      </c>
      <c r="H137" s="392"/>
      <c r="I137" s="371" t="s">
        <v>153</v>
      </c>
      <c r="J137" s="371"/>
      <c r="K137" s="371" t="s">
        <v>245</v>
      </c>
      <c r="L137" s="371"/>
      <c r="M137" s="371" t="s">
        <v>133</v>
      </c>
      <c r="N137" s="371"/>
      <c r="O137" s="371" t="s">
        <v>301</v>
      </c>
      <c r="P137" s="371"/>
      <c r="Q137" s="371" t="s">
        <v>344</v>
      </c>
      <c r="R137" s="371"/>
      <c r="S137" s="371" t="s">
        <v>133</v>
      </c>
      <c r="T137" s="371"/>
      <c r="U137" s="371" t="s">
        <v>133</v>
      </c>
      <c r="V137" s="1625"/>
      <c r="W137" s="381"/>
      <c r="X137" s="376"/>
      <c r="Y137" s="376"/>
      <c r="Z137" s="376"/>
      <c r="AA137" s="382"/>
    </row>
    <row r="138" spans="1:27" s="359" customFormat="1" ht="17.25" customHeight="1">
      <c r="A138" s="385"/>
      <c r="B138" s="371"/>
      <c r="C138" s="371"/>
      <c r="D138" s="371"/>
      <c r="E138" s="371"/>
      <c r="F138" s="371"/>
      <c r="G138" s="371"/>
      <c r="H138" s="392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1625"/>
      <c r="W138" s="381"/>
      <c r="X138" s="376"/>
      <c r="Y138" s="376"/>
      <c r="Z138" s="376"/>
      <c r="AA138" s="382"/>
    </row>
    <row r="139" spans="1:27" s="359" customFormat="1">
      <c r="A139" s="367"/>
      <c r="B139" s="392"/>
      <c r="C139" s="371"/>
      <c r="D139" s="371"/>
      <c r="E139" s="371"/>
      <c r="F139" s="371"/>
      <c r="G139" s="371"/>
      <c r="H139" s="371"/>
      <c r="I139" s="371"/>
      <c r="V139" s="384"/>
      <c r="W139" s="381"/>
      <c r="X139" s="376"/>
      <c r="Y139" s="376"/>
      <c r="Z139" s="376"/>
      <c r="AA139" s="382"/>
    </row>
    <row r="140" spans="1:27" s="359" customFormat="1" ht="15.75">
      <c r="A140" s="367"/>
      <c r="C140" s="371"/>
      <c r="D140" s="371" t="s">
        <v>937</v>
      </c>
      <c r="E140" s="371"/>
      <c r="F140" s="371"/>
      <c r="G140" s="371"/>
      <c r="I140" s="368"/>
      <c r="J140" s="368"/>
      <c r="K140" s="368"/>
      <c r="L140" s="368"/>
      <c r="M140" s="368"/>
      <c r="N140" s="368"/>
      <c r="O140" s="368"/>
      <c r="P140" s="368"/>
      <c r="Q140" s="368"/>
      <c r="R140" s="392"/>
      <c r="S140" s="368"/>
      <c r="T140" s="368"/>
      <c r="U140" s="368"/>
      <c r="V140" s="368"/>
      <c r="W140" s="357"/>
      <c r="X140" s="357"/>
      <c r="Y140" s="357"/>
      <c r="Z140" s="357"/>
      <c r="AA140" s="358"/>
    </row>
    <row r="141" spans="1:27" s="359" customFormat="1">
      <c r="A141" s="367"/>
      <c r="C141" s="371"/>
      <c r="D141" s="371"/>
      <c r="E141" s="371"/>
      <c r="F141" s="371"/>
      <c r="G141" s="371"/>
      <c r="I141" s="368"/>
      <c r="J141" s="368"/>
      <c r="K141" s="368"/>
      <c r="L141" s="368"/>
      <c r="M141" s="368"/>
      <c r="N141" s="368"/>
      <c r="O141" s="368"/>
      <c r="P141" s="368"/>
      <c r="Q141" s="368"/>
      <c r="R141" s="392"/>
      <c r="S141" s="368"/>
      <c r="T141" s="368"/>
      <c r="U141" s="368"/>
      <c r="V141" s="368"/>
      <c r="W141" s="372"/>
      <c r="X141" s="372"/>
      <c r="Y141" s="372"/>
      <c r="Z141" s="372"/>
      <c r="AA141" s="373"/>
    </row>
    <row r="142" spans="1:27" s="375" customFormat="1" ht="13.9" customHeight="1">
      <c r="A142" s="385"/>
      <c r="B142" s="374">
        <v>213.96</v>
      </c>
      <c r="C142" s="1585"/>
      <c r="D142" s="374">
        <v>243.72</v>
      </c>
      <c r="E142" s="1520"/>
      <c r="F142" s="374">
        <v>330</v>
      </c>
      <c r="G142" s="1570"/>
      <c r="H142" s="374">
        <v>283.11</v>
      </c>
      <c r="I142" s="1629"/>
      <c r="J142" s="374">
        <v>375</v>
      </c>
      <c r="K142" s="1570"/>
      <c r="L142" s="374">
        <v>406.01</v>
      </c>
      <c r="M142" s="1629"/>
      <c r="N142" s="374">
        <v>398</v>
      </c>
      <c r="O142" s="1629"/>
      <c r="P142" s="374">
        <v>335</v>
      </c>
      <c r="Q142" s="1568"/>
      <c r="R142" s="374">
        <v>402.9</v>
      </c>
      <c r="S142" s="1629"/>
      <c r="T142" s="374">
        <v>385.2</v>
      </c>
      <c r="U142" s="1629"/>
      <c r="W142" s="376">
        <f>SUM(A142:V142)</f>
        <v>3372.9</v>
      </c>
      <c r="X142" s="376">
        <v>8</v>
      </c>
      <c r="Y142" s="376">
        <v>7</v>
      </c>
      <c r="Z142" s="376">
        <v>7</v>
      </c>
      <c r="AA142" s="377">
        <v>0</v>
      </c>
    </row>
    <row r="143" spans="1:27" s="359" customFormat="1" ht="16.149999999999999" customHeight="1">
      <c r="A143" s="367"/>
      <c r="C143" s="1585"/>
      <c r="D143" s="379"/>
      <c r="E143" s="1520"/>
      <c r="F143" s="380"/>
      <c r="G143" s="1571"/>
      <c r="I143" s="1629"/>
      <c r="J143" s="333"/>
      <c r="K143" s="1571"/>
      <c r="L143" s="333"/>
      <c r="M143" s="1629"/>
      <c r="N143" s="333"/>
      <c r="O143" s="1629"/>
      <c r="P143" s="333"/>
      <c r="Q143" s="1569"/>
      <c r="R143" s="392"/>
      <c r="S143" s="1629"/>
      <c r="T143" s="333"/>
      <c r="U143" s="1629"/>
      <c r="V143" s="333"/>
      <c r="W143" s="381"/>
      <c r="X143" s="376"/>
      <c r="Y143" s="376"/>
      <c r="Z143" s="376"/>
      <c r="AA143" s="382"/>
    </row>
    <row r="144" spans="1:27" s="359" customFormat="1">
      <c r="A144" s="367"/>
      <c r="C144" s="383" t="s">
        <v>72</v>
      </c>
      <c r="D144" s="371"/>
      <c r="E144" s="383" t="s">
        <v>457</v>
      </c>
      <c r="F144" s="371"/>
      <c r="G144" s="383" t="s">
        <v>1872</v>
      </c>
      <c r="I144" s="383" t="s">
        <v>73</v>
      </c>
      <c r="J144" s="371"/>
      <c r="K144" s="383" t="s">
        <v>1852</v>
      </c>
      <c r="L144" s="371"/>
      <c r="M144" s="383" t="s">
        <v>1168</v>
      </c>
      <c r="N144" s="371"/>
      <c r="O144" s="383" t="s">
        <v>1206</v>
      </c>
      <c r="P144" s="371"/>
      <c r="Q144" s="383" t="s">
        <v>1873</v>
      </c>
      <c r="R144" s="392"/>
      <c r="S144" s="383" t="s">
        <v>44</v>
      </c>
      <c r="T144" s="371"/>
      <c r="U144" s="383" t="s">
        <v>40</v>
      </c>
      <c r="V144" s="371"/>
      <c r="W144" s="381"/>
      <c r="X144" s="376"/>
      <c r="Y144" s="376"/>
      <c r="Z144" s="376"/>
      <c r="AA144" s="382"/>
    </row>
    <row r="145" spans="1:27" s="359" customFormat="1">
      <c r="A145" s="367"/>
      <c r="C145" s="371" t="s">
        <v>133</v>
      </c>
      <c r="D145" s="371"/>
      <c r="E145" s="371" t="s">
        <v>133</v>
      </c>
      <c r="F145" s="371"/>
      <c r="G145" s="371" t="s">
        <v>34</v>
      </c>
      <c r="I145" s="371" t="s">
        <v>50</v>
      </c>
      <c r="J145" s="371"/>
      <c r="K145" s="371" t="s">
        <v>251</v>
      </c>
      <c r="L145" s="371"/>
      <c r="M145" s="371" t="s">
        <v>344</v>
      </c>
      <c r="N145" s="371"/>
      <c r="O145" s="371" t="s">
        <v>1181</v>
      </c>
      <c r="P145" s="371"/>
      <c r="Q145" s="371" t="s">
        <v>187</v>
      </c>
      <c r="R145" s="392"/>
      <c r="S145" s="371" t="s">
        <v>357</v>
      </c>
      <c r="T145" s="371"/>
      <c r="U145" s="371" t="s">
        <v>257</v>
      </c>
      <c r="V145" s="371"/>
      <c r="W145" s="381"/>
      <c r="X145" s="376"/>
      <c r="Y145" s="376"/>
      <c r="Z145" s="376"/>
      <c r="AA145" s="382"/>
    </row>
    <row r="146" spans="1:27" s="359" customFormat="1" ht="23.25" customHeight="1">
      <c r="A146" s="367"/>
      <c r="C146" s="1094" t="s">
        <v>1949</v>
      </c>
      <c r="D146" s="371"/>
      <c r="E146" s="371"/>
      <c r="F146" s="371"/>
      <c r="G146" s="371"/>
      <c r="Q146" s="423" t="s">
        <v>977</v>
      </c>
      <c r="V146" s="384"/>
      <c r="W146" s="381"/>
      <c r="X146" s="376"/>
      <c r="Y146" s="376"/>
      <c r="Z146" s="376"/>
      <c r="AA146" s="382"/>
    </row>
    <row r="147" spans="1:27" s="1093" customFormat="1" ht="38.25" customHeight="1">
      <c r="A147" s="1087"/>
      <c r="C147" s="1091" t="s">
        <v>2028</v>
      </c>
      <c r="D147" s="379"/>
      <c r="E147" s="379"/>
      <c r="F147" s="379"/>
      <c r="G147" s="379"/>
      <c r="V147" s="1098"/>
      <c r="W147" s="381"/>
      <c r="X147" s="376"/>
      <c r="Y147" s="376"/>
      <c r="Z147" s="376"/>
      <c r="AA147" s="382"/>
    </row>
    <row r="148" spans="1:27" s="359" customFormat="1" ht="15.75">
      <c r="A148" s="367"/>
      <c r="C148" s="368"/>
      <c r="D148" s="368"/>
      <c r="E148" s="368"/>
      <c r="F148" s="368"/>
      <c r="G148" s="368"/>
      <c r="H148" s="368"/>
      <c r="I148" s="368"/>
      <c r="J148" s="368"/>
      <c r="K148" s="368"/>
      <c r="L148" s="371"/>
      <c r="M148" s="371"/>
      <c r="N148" s="371" t="s">
        <v>937</v>
      </c>
      <c r="O148" s="371"/>
      <c r="P148" s="371"/>
      <c r="Q148" s="371"/>
      <c r="R148" s="392"/>
      <c r="S148" s="368"/>
      <c r="T148" s="368"/>
      <c r="U148" s="368"/>
      <c r="W148" s="357"/>
      <c r="X148" s="357"/>
      <c r="Y148" s="357"/>
      <c r="Z148" s="357"/>
      <c r="AA148" s="358"/>
    </row>
    <row r="149" spans="1:27" s="359" customFormat="1">
      <c r="A149" s="367"/>
      <c r="C149" s="368"/>
      <c r="D149" s="368"/>
      <c r="E149" s="368"/>
      <c r="F149" s="368"/>
      <c r="G149" s="368"/>
      <c r="H149" s="368"/>
      <c r="I149" s="368"/>
      <c r="J149" s="368"/>
      <c r="K149" s="368"/>
      <c r="L149" s="371"/>
      <c r="M149" s="371"/>
      <c r="N149" s="371"/>
      <c r="O149" s="371"/>
      <c r="P149" s="371"/>
      <c r="Q149" s="371"/>
      <c r="R149" s="392"/>
      <c r="S149" s="368"/>
      <c r="T149" s="368"/>
      <c r="U149" s="368"/>
      <c r="W149" s="372"/>
      <c r="X149" s="372"/>
      <c r="Y149" s="372"/>
      <c r="Z149" s="372"/>
      <c r="AA149" s="373"/>
    </row>
    <row r="150" spans="1:27" s="375" customFormat="1" ht="13.9" customHeight="1">
      <c r="A150" s="385"/>
      <c r="B150" s="374">
        <v>378.47</v>
      </c>
      <c r="C150" s="1632"/>
      <c r="D150" s="374">
        <v>413</v>
      </c>
      <c r="E150" s="1066"/>
      <c r="F150" s="374">
        <v>386</v>
      </c>
      <c r="G150" s="1052"/>
      <c r="H150" s="374">
        <v>398</v>
      </c>
      <c r="I150" s="1052"/>
      <c r="J150" s="374">
        <v>401</v>
      </c>
      <c r="K150" s="1066"/>
      <c r="L150" s="374">
        <v>367</v>
      </c>
      <c r="M150" s="1052"/>
      <c r="N150" s="374">
        <v>432.74</v>
      </c>
      <c r="O150" s="1606" t="s">
        <v>1656</v>
      </c>
      <c r="P150" s="374">
        <v>337.08</v>
      </c>
      <c r="Q150" s="1520"/>
      <c r="R150" s="374">
        <v>315</v>
      </c>
      <c r="S150" s="1570"/>
      <c r="T150" s="374">
        <v>316.64999999999998</v>
      </c>
      <c r="U150" s="1520"/>
      <c r="W150" s="376">
        <f>SUM(A150:V150)</f>
        <v>3744.94</v>
      </c>
      <c r="X150" s="376">
        <v>9</v>
      </c>
      <c r="Y150" s="376">
        <v>5</v>
      </c>
      <c r="Z150" s="376">
        <v>5</v>
      </c>
      <c r="AA150" s="377">
        <v>0</v>
      </c>
    </row>
    <row r="151" spans="1:27" s="359" customFormat="1" ht="16.149999999999999" customHeight="1">
      <c r="A151" s="367"/>
      <c r="C151" s="1633"/>
      <c r="D151" s="333"/>
      <c r="E151" s="1067"/>
      <c r="F151" s="333"/>
      <c r="G151" s="1053"/>
      <c r="H151" s="333"/>
      <c r="I151" s="1053"/>
      <c r="J151" s="333"/>
      <c r="K151" s="1067"/>
      <c r="L151" s="371"/>
      <c r="M151" s="1053"/>
      <c r="N151" s="379"/>
      <c r="O151" s="1607"/>
      <c r="P151" s="380"/>
      <c r="Q151" s="1520"/>
      <c r="R151" s="392"/>
      <c r="S151" s="1571"/>
      <c r="T151" s="333"/>
      <c r="U151" s="1520"/>
      <c r="V151" s="332"/>
      <c r="W151" s="381"/>
      <c r="X151" s="376"/>
      <c r="Y151" s="376"/>
      <c r="Z151" s="376"/>
      <c r="AA151" s="382"/>
    </row>
    <row r="152" spans="1:27" s="359" customFormat="1">
      <c r="A152" s="367"/>
      <c r="C152" s="383" t="s">
        <v>74</v>
      </c>
      <c r="D152" s="371"/>
      <c r="E152" s="383" t="s">
        <v>729</v>
      </c>
      <c r="F152" s="371"/>
      <c r="G152" s="383" t="s">
        <v>726</v>
      </c>
      <c r="H152" s="371"/>
      <c r="I152" s="383" t="s">
        <v>722</v>
      </c>
      <c r="J152" s="371"/>
      <c r="K152" s="383" t="s">
        <v>718</v>
      </c>
      <c r="L152" s="371"/>
      <c r="M152" s="383" t="s">
        <v>713</v>
      </c>
      <c r="N152" s="371"/>
      <c r="O152" s="383" t="s">
        <v>54</v>
      </c>
      <c r="P152" s="371"/>
      <c r="Q152" s="383" t="s">
        <v>704</v>
      </c>
      <c r="R152" s="392"/>
      <c r="S152" s="383" t="s">
        <v>699</v>
      </c>
      <c r="T152" s="371"/>
      <c r="U152" s="383" t="s">
        <v>75</v>
      </c>
      <c r="V152" s="332"/>
      <c r="W152" s="381"/>
      <c r="X152" s="376"/>
      <c r="Y152" s="376"/>
      <c r="Z152" s="376"/>
      <c r="AA152" s="382"/>
    </row>
    <row r="153" spans="1:27" s="359" customFormat="1">
      <c r="A153" s="367"/>
      <c r="C153" s="371" t="s">
        <v>193</v>
      </c>
      <c r="D153" s="371"/>
      <c r="E153" s="371" t="s">
        <v>301</v>
      </c>
      <c r="F153" s="371"/>
      <c r="G153" s="371" t="s">
        <v>187</v>
      </c>
      <c r="H153" s="371"/>
      <c r="I153" s="371" t="s">
        <v>153</v>
      </c>
      <c r="J153" s="371"/>
      <c r="K153" s="371" t="s">
        <v>187</v>
      </c>
      <c r="L153" s="371"/>
      <c r="M153" s="371" t="s">
        <v>187</v>
      </c>
      <c r="N153" s="371"/>
      <c r="O153" s="371" t="s">
        <v>337</v>
      </c>
      <c r="P153" s="371"/>
      <c r="Q153" s="371" t="s">
        <v>167</v>
      </c>
      <c r="R153" s="392"/>
      <c r="S153" s="371" t="s">
        <v>153</v>
      </c>
      <c r="T153" s="371"/>
      <c r="U153" s="371" t="s">
        <v>133</v>
      </c>
      <c r="V153" s="384"/>
      <c r="W153" s="381"/>
      <c r="X153" s="376"/>
      <c r="Y153" s="376"/>
      <c r="Z153" s="376"/>
      <c r="AA153" s="382"/>
    </row>
    <row r="154" spans="1:27" s="359" customFormat="1">
      <c r="A154" s="367"/>
      <c r="B154" s="392"/>
      <c r="C154" s="423" t="s">
        <v>977</v>
      </c>
      <c r="D154" s="371"/>
      <c r="F154" s="371"/>
      <c r="G154" s="371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384"/>
      <c r="W154" s="381"/>
      <c r="X154" s="376"/>
      <c r="Y154" s="376"/>
      <c r="Z154" s="376"/>
      <c r="AA154" s="382"/>
    </row>
    <row r="155" spans="1:27" s="359" customFormat="1" ht="15.75">
      <c r="A155" s="367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71"/>
      <c r="M155" s="371"/>
      <c r="N155" s="371"/>
      <c r="O155" s="371"/>
      <c r="P155" s="371"/>
      <c r="Q155" s="371"/>
      <c r="W155" s="357"/>
      <c r="X155" s="357"/>
      <c r="Y155" s="357"/>
      <c r="Z155" s="357"/>
      <c r="AA155" s="358"/>
    </row>
    <row r="156" spans="1:27" s="359" customFormat="1">
      <c r="A156" s="367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71"/>
      <c r="M156" s="371"/>
      <c r="N156" s="371"/>
      <c r="O156" s="371"/>
      <c r="P156" s="371"/>
      <c r="Q156" s="371"/>
      <c r="W156" s="372"/>
      <c r="X156" s="372"/>
      <c r="Y156" s="372"/>
      <c r="Z156" s="372"/>
      <c r="AA156" s="373"/>
    </row>
    <row r="157" spans="1:27" s="375" customFormat="1" ht="13.9" customHeight="1">
      <c r="A157" s="385"/>
      <c r="B157" s="374">
        <v>377.05</v>
      </c>
      <c r="C157" s="1623"/>
      <c r="D157" s="374">
        <v>346.1</v>
      </c>
      <c r="E157" s="1623"/>
      <c r="F157" s="374">
        <v>340.88</v>
      </c>
      <c r="G157" s="1623"/>
      <c r="H157" s="374">
        <v>338.93</v>
      </c>
      <c r="I157" s="1630"/>
      <c r="J157" s="374">
        <v>299.95</v>
      </c>
      <c r="K157" s="1621"/>
      <c r="L157" s="374">
        <v>318</v>
      </c>
      <c r="M157" s="1585"/>
      <c r="N157" s="371"/>
      <c r="O157" s="371"/>
      <c r="P157" s="371"/>
      <c r="Q157" s="371"/>
      <c r="W157" s="376">
        <f>SUM(A157:V157)</f>
        <v>2020.9100000000003</v>
      </c>
      <c r="X157" s="376">
        <v>3</v>
      </c>
      <c r="Y157" s="376">
        <v>2</v>
      </c>
      <c r="Z157" s="376">
        <v>1</v>
      </c>
      <c r="AA157" s="377">
        <v>0</v>
      </c>
    </row>
    <row r="158" spans="1:27" s="359" customFormat="1" ht="16.149999999999999" customHeight="1">
      <c r="A158" s="367"/>
      <c r="B158" s="333"/>
      <c r="C158" s="1624"/>
      <c r="D158" s="333"/>
      <c r="E158" s="1624"/>
      <c r="F158" s="333"/>
      <c r="G158" s="1624"/>
      <c r="H158" s="333"/>
      <c r="I158" s="1631"/>
      <c r="J158" s="333"/>
      <c r="K158" s="1622"/>
      <c r="L158" s="371"/>
      <c r="M158" s="1585"/>
      <c r="N158" s="371"/>
      <c r="O158" s="371"/>
      <c r="P158" s="371"/>
      <c r="Q158" s="371"/>
      <c r="V158" s="332"/>
      <c r="W158" s="381"/>
      <c r="X158" s="376"/>
      <c r="Y158" s="376"/>
      <c r="Z158" s="376"/>
      <c r="AA158" s="382"/>
    </row>
    <row r="159" spans="1:27" s="359" customFormat="1">
      <c r="A159" s="367"/>
      <c r="B159" s="371"/>
      <c r="C159" s="383" t="s">
        <v>689</v>
      </c>
      <c r="D159" s="371"/>
      <c r="E159" s="383" t="s">
        <v>51</v>
      </c>
      <c r="F159" s="371"/>
      <c r="G159" s="383" t="s">
        <v>76</v>
      </c>
      <c r="H159" s="371"/>
      <c r="I159" s="383" t="s">
        <v>77</v>
      </c>
      <c r="J159" s="371"/>
      <c r="K159" s="383" t="s">
        <v>78</v>
      </c>
      <c r="L159" s="371"/>
      <c r="M159" s="371" t="s">
        <v>996</v>
      </c>
      <c r="N159" s="371"/>
      <c r="O159" s="371"/>
      <c r="P159" s="371"/>
      <c r="Q159" s="371"/>
      <c r="V159" s="332"/>
      <c r="W159" s="381"/>
      <c r="X159" s="376"/>
      <c r="Y159" s="376"/>
      <c r="Z159" s="376"/>
      <c r="AA159" s="382"/>
    </row>
    <row r="160" spans="1:27" s="359" customFormat="1">
      <c r="A160" s="367"/>
      <c r="B160" s="371"/>
      <c r="C160" s="371" t="s">
        <v>344</v>
      </c>
      <c r="D160" s="371"/>
      <c r="E160" s="371" t="s">
        <v>133</v>
      </c>
      <c r="F160" s="371"/>
      <c r="G160" s="371" t="s">
        <v>344</v>
      </c>
      <c r="H160" s="371"/>
      <c r="I160" s="371" t="s">
        <v>344</v>
      </c>
      <c r="J160" s="371"/>
      <c r="K160" s="371" t="s">
        <v>344</v>
      </c>
      <c r="L160" s="371"/>
      <c r="M160" s="371"/>
      <c r="N160" s="371"/>
      <c r="O160" s="371"/>
      <c r="P160" s="371"/>
      <c r="Q160" s="371"/>
      <c r="R160" s="375"/>
      <c r="V160" s="384"/>
      <c r="W160" s="381"/>
      <c r="X160" s="376"/>
      <c r="Y160" s="376"/>
      <c r="Z160" s="376"/>
      <c r="AA160" s="382"/>
    </row>
    <row r="161" spans="1:27" s="359" customFormat="1" ht="46.5" customHeight="1">
      <c r="A161" s="385"/>
      <c r="B161" s="371"/>
      <c r="C161" s="371"/>
      <c r="D161" s="371"/>
      <c r="E161" s="423"/>
      <c r="F161" s="371"/>
      <c r="G161" s="371"/>
      <c r="H161" s="371"/>
      <c r="I161" s="371"/>
      <c r="J161" s="423"/>
      <c r="K161" s="1091" t="s">
        <v>2030</v>
      </c>
      <c r="L161" s="371"/>
      <c r="M161" s="371"/>
      <c r="N161" s="371"/>
      <c r="O161" s="371"/>
      <c r="P161" s="371"/>
      <c r="Q161" s="371"/>
      <c r="R161" s="371"/>
      <c r="S161" s="371"/>
      <c r="T161" s="371"/>
      <c r="U161" s="371"/>
      <c r="V161" s="384"/>
      <c r="W161" s="381"/>
      <c r="X161" s="376"/>
      <c r="Y161" s="376"/>
      <c r="Z161" s="376"/>
      <c r="AA161" s="382"/>
    </row>
    <row r="162" spans="1:27" s="332" customFormat="1" ht="24" thickBot="1">
      <c r="A162" s="335"/>
      <c r="P162" s="387" t="s">
        <v>954</v>
      </c>
      <c r="W162" s="388">
        <f>SUM(W109:W161)/1000</f>
        <v>20.102022000000002</v>
      </c>
      <c r="X162" s="389">
        <f>SUM(X110:X161)</f>
        <v>49</v>
      </c>
      <c r="Y162" s="389">
        <f>SUM(Y110:Y161)</f>
        <v>34</v>
      </c>
      <c r="Z162" s="389">
        <f>SUM(Z110:Z161)</f>
        <v>25</v>
      </c>
      <c r="AA162" s="389">
        <f>SUM(AA110:AA161)</f>
        <v>0</v>
      </c>
    </row>
    <row r="163" spans="1:27" s="332" customFormat="1" ht="6.75" customHeight="1" thickBot="1">
      <c r="A163" s="1603"/>
      <c r="B163" s="1604"/>
      <c r="C163" s="1604"/>
      <c r="D163" s="1604"/>
      <c r="E163" s="1604"/>
      <c r="F163" s="1604"/>
      <c r="G163" s="1604"/>
      <c r="H163" s="1604"/>
      <c r="I163" s="1604"/>
      <c r="J163" s="1604"/>
      <c r="K163" s="1604"/>
      <c r="L163" s="1604"/>
      <c r="M163" s="1604"/>
      <c r="N163" s="1604"/>
      <c r="O163" s="1604"/>
      <c r="P163" s="1604"/>
      <c r="Q163" s="1604"/>
      <c r="R163" s="1604"/>
      <c r="S163" s="1604"/>
      <c r="T163" s="1604"/>
      <c r="U163" s="1604"/>
      <c r="V163" s="1604"/>
      <c r="W163" s="1604"/>
      <c r="X163" s="1604"/>
      <c r="Y163" s="1604"/>
      <c r="Z163" s="1604"/>
      <c r="AA163" s="1605"/>
    </row>
    <row r="164" spans="1:27" s="332" customFormat="1" ht="12.75">
      <c r="M164" s="333"/>
      <c r="N164" s="333"/>
    </row>
  </sheetData>
  <mergeCells count="243">
    <mergeCell ref="A163:AA163"/>
    <mergeCell ref="M142:M143"/>
    <mergeCell ref="O142:O143"/>
    <mergeCell ref="Q142:Q143"/>
    <mergeCell ref="S142:S143"/>
    <mergeCell ref="U142:U143"/>
    <mergeCell ref="C150:C151"/>
    <mergeCell ref="O150:O151"/>
    <mergeCell ref="Q150:Q151"/>
    <mergeCell ref="S150:S151"/>
    <mergeCell ref="U150:U151"/>
    <mergeCell ref="M157:M158"/>
    <mergeCell ref="V135:V138"/>
    <mergeCell ref="C142:C143"/>
    <mergeCell ref="E142:E143"/>
    <mergeCell ref="G142:G143"/>
    <mergeCell ref="I142:I143"/>
    <mergeCell ref="K142:K143"/>
    <mergeCell ref="C157:C158"/>
    <mergeCell ref="E157:E158"/>
    <mergeCell ref="G157:G158"/>
    <mergeCell ref="I157:I158"/>
    <mergeCell ref="K157:K158"/>
    <mergeCell ref="O126:O127"/>
    <mergeCell ref="Q126:Q127"/>
    <mergeCell ref="S126:S127"/>
    <mergeCell ref="U126:U127"/>
    <mergeCell ref="C134:C135"/>
    <mergeCell ref="E134:E135"/>
    <mergeCell ref="G134:G135"/>
    <mergeCell ref="I134:I135"/>
    <mergeCell ref="K134:K135"/>
    <mergeCell ref="M134:M135"/>
    <mergeCell ref="C126:C127"/>
    <mergeCell ref="E126:E127"/>
    <mergeCell ref="G126:G127"/>
    <mergeCell ref="I126:I127"/>
    <mergeCell ref="K126:K127"/>
    <mergeCell ref="M126:M127"/>
    <mergeCell ref="O134:O135"/>
    <mergeCell ref="Q134:Q135"/>
    <mergeCell ref="S134:S135"/>
    <mergeCell ref="U134:U135"/>
    <mergeCell ref="C119:C120"/>
    <mergeCell ref="E119:E120"/>
    <mergeCell ref="G119:G120"/>
    <mergeCell ref="I119:I120"/>
    <mergeCell ref="K119:K120"/>
    <mergeCell ref="M119:M120"/>
    <mergeCell ref="Y106:Y107"/>
    <mergeCell ref="Z106:Z107"/>
    <mergeCell ref="AA106:AA107"/>
    <mergeCell ref="W106:W107"/>
    <mergeCell ref="X106:X107"/>
    <mergeCell ref="O119:O120"/>
    <mergeCell ref="Q119:Q120"/>
    <mergeCell ref="S119:S120"/>
    <mergeCell ref="U119:U120"/>
    <mergeCell ref="T120:T125"/>
    <mergeCell ref="N121:N123"/>
    <mergeCell ref="O111:O112"/>
    <mergeCell ref="Q111:Q112"/>
    <mergeCell ref="S111:S112"/>
    <mergeCell ref="U111:U112"/>
    <mergeCell ref="A111:A112"/>
    <mergeCell ref="C111:C112"/>
    <mergeCell ref="E111:E112"/>
    <mergeCell ref="G111:G112"/>
    <mergeCell ref="I111:I112"/>
    <mergeCell ref="K111:K112"/>
    <mergeCell ref="M111:M112"/>
    <mergeCell ref="S102:S103"/>
    <mergeCell ref="P103:P104"/>
    <mergeCell ref="Q103:Q104"/>
    <mergeCell ref="D104:G104"/>
    <mergeCell ref="C101:G101"/>
    <mergeCell ref="H101:I101"/>
    <mergeCell ref="J101:L101"/>
    <mergeCell ref="Y96:Y98"/>
    <mergeCell ref="AA96:AA98"/>
    <mergeCell ref="C97:G97"/>
    <mergeCell ref="H97:I97"/>
    <mergeCell ref="J97:L97"/>
    <mergeCell ref="P97:Q97"/>
    <mergeCell ref="C98:G98"/>
    <mergeCell ref="H98:I98"/>
    <mergeCell ref="J98:L98"/>
    <mergeCell ref="C96:G96"/>
    <mergeCell ref="H96:I96"/>
    <mergeCell ref="J96:L96"/>
    <mergeCell ref="P96:Q96"/>
    <mergeCell ref="T96:U104"/>
    <mergeCell ref="W96:W98"/>
    <mergeCell ref="C99:G99"/>
    <mergeCell ref="H99:I99"/>
    <mergeCell ref="A87:AA87"/>
    <mergeCell ref="C90:AA90"/>
    <mergeCell ref="O74:O75"/>
    <mergeCell ref="Q74:Q75"/>
    <mergeCell ref="S74:S75"/>
    <mergeCell ref="U74:U75"/>
    <mergeCell ref="J75:J78"/>
    <mergeCell ref="L75:L78"/>
    <mergeCell ref="J99:L99"/>
    <mergeCell ref="P99:Q99"/>
    <mergeCell ref="A91:AA91"/>
    <mergeCell ref="A92:AA92"/>
    <mergeCell ref="A93:AA93"/>
    <mergeCell ref="C95:G95"/>
    <mergeCell ref="H95:I95"/>
    <mergeCell ref="J95:L95"/>
    <mergeCell ref="N95:AA95"/>
    <mergeCell ref="R99:R100"/>
    <mergeCell ref="C100:G100"/>
    <mergeCell ref="H100:I100"/>
    <mergeCell ref="J100:L100"/>
    <mergeCell ref="M69:M70"/>
    <mergeCell ref="C74:C75"/>
    <mergeCell ref="E74:E75"/>
    <mergeCell ref="G74:G75"/>
    <mergeCell ref="I74:I75"/>
    <mergeCell ref="K74:K75"/>
    <mergeCell ref="M74:M75"/>
    <mergeCell ref="C82:C83"/>
    <mergeCell ref="E82:E83"/>
    <mergeCell ref="G82:G83"/>
    <mergeCell ref="I82:I83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A126:A127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70" max="16383" man="1"/>
    <brk id="13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N15" activePane="bottomRight" state="frozen"/>
      <selection pane="topRight" activeCell="J1" sqref="J1"/>
      <selection pane="bottomLeft" activeCell="A8" sqref="A8"/>
      <selection pane="bottomRight" activeCell="O21" sqref="O21"/>
    </sheetView>
  </sheetViews>
  <sheetFormatPr defaultColWidth="10.140625" defaultRowHeight="15"/>
  <cols>
    <col min="1" max="1" width="9.140625" style="395" customWidth="1"/>
    <col min="2" max="2" width="12.42578125" style="395" bestFit="1" customWidth="1"/>
    <col min="3" max="3" width="21.7109375" style="395" bestFit="1" customWidth="1"/>
    <col min="4" max="4" width="16.7109375" style="410" customWidth="1"/>
    <col min="5" max="5" width="13.140625" style="410" customWidth="1"/>
    <col min="6" max="9" width="7.85546875" style="395" customWidth="1"/>
    <col min="10" max="10" width="9.140625" style="395" customWidth="1"/>
    <col min="11" max="11" width="31.7109375" style="395" customWidth="1"/>
    <col min="12" max="12" width="26.42578125" style="395" customWidth="1"/>
    <col min="13" max="13" width="18.5703125" style="419" bestFit="1" customWidth="1"/>
    <col min="14" max="14" width="23.5703125" style="419" bestFit="1" customWidth="1"/>
    <col min="15" max="15" width="15.42578125" style="420" customWidth="1"/>
    <col min="16" max="16" width="9.5703125" style="417" bestFit="1" customWidth="1"/>
    <col min="17" max="17" width="17.5703125" style="417" bestFit="1" customWidth="1"/>
    <col min="18" max="18" width="12.85546875" style="417" bestFit="1" customWidth="1"/>
    <col min="19" max="19" width="31.42578125" style="395" customWidth="1"/>
    <col min="20" max="16384" width="10.140625" style="395"/>
  </cols>
  <sheetData>
    <row r="1" spans="1:19" ht="15.75">
      <c r="A1" s="1638" t="s">
        <v>963</v>
      </c>
      <c r="B1" s="1639"/>
      <c r="C1" s="1477" t="s">
        <v>985</v>
      </c>
      <c r="D1" s="1478"/>
      <c r="E1" s="1479"/>
      <c r="F1" s="1480"/>
      <c r="G1" s="1480"/>
      <c r="H1" s="1480"/>
      <c r="I1" s="1480"/>
      <c r="J1" s="1480"/>
      <c r="K1" s="1480"/>
      <c r="L1" s="1480"/>
      <c r="M1" s="1480"/>
      <c r="N1" s="1480"/>
      <c r="O1" s="1481"/>
      <c r="P1" s="1482"/>
      <c r="Q1" s="1483"/>
      <c r="R1" s="440"/>
      <c r="S1" s="1484"/>
    </row>
    <row r="2" spans="1:19" ht="15.75">
      <c r="A2" s="1641" t="s">
        <v>986</v>
      </c>
      <c r="B2" s="1642"/>
      <c r="C2" s="1488" t="s">
        <v>1008</v>
      </c>
      <c r="D2" s="1489"/>
      <c r="E2" s="1490"/>
      <c r="F2" s="1491"/>
      <c r="G2" s="1491"/>
      <c r="H2" s="1491"/>
      <c r="I2" s="1491"/>
      <c r="J2" s="1491"/>
      <c r="K2" s="1491"/>
      <c r="L2" s="1491"/>
      <c r="M2" s="1491"/>
      <c r="N2" s="1491"/>
      <c r="O2" s="1492"/>
      <c r="P2" s="1493"/>
      <c r="Q2" s="1494"/>
      <c r="R2" s="441"/>
      <c r="S2" s="1484"/>
    </row>
    <row r="3" spans="1:19" ht="19.5" customHeight="1">
      <c r="A3" s="1643" t="s">
        <v>988</v>
      </c>
      <c r="B3" s="1644"/>
      <c r="C3" s="1645" t="s">
        <v>987</v>
      </c>
      <c r="D3" s="1646"/>
      <c r="E3" s="1647"/>
      <c r="F3" s="1648"/>
      <c r="G3" s="1648"/>
      <c r="H3" s="1648"/>
      <c r="I3" s="1648"/>
      <c r="J3" s="1648"/>
      <c r="K3" s="1648"/>
      <c r="L3" s="1648"/>
      <c r="M3" s="1648"/>
      <c r="N3" s="1648"/>
      <c r="O3" s="1649"/>
      <c r="P3" s="1650"/>
      <c r="Q3" s="1651"/>
      <c r="R3" s="442"/>
      <c r="S3" s="1485"/>
    </row>
    <row r="4" spans="1:19" ht="14.45" customHeight="1">
      <c r="A4" s="1640" t="s">
        <v>964</v>
      </c>
      <c r="B4" s="1640" t="s">
        <v>965</v>
      </c>
      <c r="C4" s="1640" t="s">
        <v>966</v>
      </c>
      <c r="D4" s="1637" t="s">
        <v>967</v>
      </c>
      <c r="E4" s="1640" t="s">
        <v>106</v>
      </c>
      <c r="F4" s="1637" t="s">
        <v>106</v>
      </c>
      <c r="G4" s="1637"/>
      <c r="H4" s="1637"/>
      <c r="I4" s="1637"/>
      <c r="J4" s="1637" t="s">
        <v>931</v>
      </c>
      <c r="K4" s="1637" t="s">
        <v>968</v>
      </c>
      <c r="L4" s="1637" t="s">
        <v>969</v>
      </c>
      <c r="M4" s="1637" t="s">
        <v>970</v>
      </c>
      <c r="N4" s="1637" t="s">
        <v>971</v>
      </c>
      <c r="O4" s="1637" t="s">
        <v>972</v>
      </c>
      <c r="P4" s="1637" t="s">
        <v>973</v>
      </c>
      <c r="Q4" s="1637" t="s">
        <v>971</v>
      </c>
      <c r="R4" s="1637" t="s">
        <v>974</v>
      </c>
      <c r="S4" s="1637" t="s">
        <v>975</v>
      </c>
    </row>
    <row r="5" spans="1:19">
      <c r="A5" s="1640"/>
      <c r="B5" s="1640"/>
      <c r="C5" s="1640"/>
      <c r="D5" s="1637"/>
      <c r="E5" s="1640"/>
      <c r="F5" s="745" t="s">
        <v>123</v>
      </c>
      <c r="G5" s="745" t="s">
        <v>124</v>
      </c>
      <c r="H5" s="745" t="s">
        <v>125</v>
      </c>
      <c r="I5" s="746" t="s">
        <v>976</v>
      </c>
      <c r="J5" s="1637"/>
      <c r="K5" s="1637"/>
      <c r="L5" s="1637"/>
      <c r="M5" s="1637"/>
      <c r="N5" s="1637"/>
      <c r="O5" s="1637"/>
      <c r="P5" s="1637"/>
      <c r="Q5" s="1637"/>
      <c r="R5" s="1637"/>
      <c r="S5" s="1637"/>
    </row>
    <row r="6" spans="1:19">
      <c r="A6" s="402">
        <v>1</v>
      </c>
      <c r="B6" s="434" t="s">
        <v>132</v>
      </c>
      <c r="C6" s="434" t="s">
        <v>1583</v>
      </c>
      <c r="D6" s="434" t="s">
        <v>891</v>
      </c>
      <c r="E6" s="435"/>
      <c r="F6" s="402">
        <v>0</v>
      </c>
      <c r="G6" s="402">
        <v>0</v>
      </c>
      <c r="H6" s="402">
        <v>0</v>
      </c>
      <c r="I6" s="402">
        <v>0</v>
      </c>
      <c r="J6" s="436">
        <v>102.49</v>
      </c>
      <c r="K6" s="437"/>
      <c r="L6" s="402"/>
      <c r="M6" s="401" t="s">
        <v>951</v>
      </c>
      <c r="N6" s="401"/>
      <c r="O6" s="401"/>
      <c r="P6" s="401"/>
      <c r="Q6" s="401"/>
      <c r="R6" s="401"/>
      <c r="S6" s="400" t="s">
        <v>577</v>
      </c>
    </row>
    <row r="7" spans="1:19">
      <c r="A7" s="396">
        <f t="shared" ref="A7:A33" si="0">A6+1</f>
        <v>2</v>
      </c>
      <c r="B7" s="69" t="s">
        <v>141</v>
      </c>
      <c r="C7" s="69" t="s">
        <v>1583</v>
      </c>
      <c r="D7" s="69" t="s">
        <v>895</v>
      </c>
      <c r="E7" s="397"/>
      <c r="F7" s="396">
        <v>0</v>
      </c>
      <c r="G7" s="396">
        <v>0</v>
      </c>
      <c r="H7" s="396">
        <v>0</v>
      </c>
      <c r="I7" s="396">
        <v>0</v>
      </c>
      <c r="J7" s="70">
        <v>217.2</v>
      </c>
      <c r="K7" s="399"/>
      <c r="L7" s="396"/>
      <c r="M7" s="400" t="s">
        <v>1007</v>
      </c>
      <c r="N7" s="400" t="s">
        <v>30</v>
      </c>
      <c r="O7" s="400" t="s">
        <v>1007</v>
      </c>
      <c r="P7" s="400"/>
      <c r="Q7" s="400"/>
      <c r="R7" s="400"/>
      <c r="S7" s="400" t="s">
        <v>577</v>
      </c>
    </row>
    <row r="8" spans="1:19">
      <c r="A8" s="396">
        <f t="shared" si="0"/>
        <v>3</v>
      </c>
      <c r="B8" s="69" t="s">
        <v>147</v>
      </c>
      <c r="C8" s="69" t="s">
        <v>1583</v>
      </c>
      <c r="D8" s="69" t="s">
        <v>898</v>
      </c>
      <c r="E8" s="397"/>
      <c r="F8" s="396">
        <v>0</v>
      </c>
      <c r="G8" s="396">
        <v>0</v>
      </c>
      <c r="H8" s="396">
        <v>0</v>
      </c>
      <c r="I8" s="396">
        <v>0</v>
      </c>
      <c r="J8" s="248">
        <v>331.42200000000003</v>
      </c>
      <c r="K8" s="399"/>
      <c r="L8" s="396"/>
      <c r="M8" s="400" t="s">
        <v>1007</v>
      </c>
      <c r="N8" s="15" t="s">
        <v>30</v>
      </c>
      <c r="O8" s="400" t="s">
        <v>1007</v>
      </c>
      <c r="P8" s="400"/>
      <c r="Q8" s="400"/>
      <c r="R8" s="400"/>
      <c r="S8" s="400" t="s">
        <v>577</v>
      </c>
    </row>
    <row r="9" spans="1:19">
      <c r="A9" s="396">
        <f t="shared" si="0"/>
        <v>4</v>
      </c>
      <c r="B9" s="69" t="s">
        <v>152</v>
      </c>
      <c r="C9" s="69" t="s">
        <v>658</v>
      </c>
      <c r="D9" s="69" t="s">
        <v>902</v>
      </c>
      <c r="E9" s="397"/>
      <c r="F9" s="396">
        <v>0</v>
      </c>
      <c r="G9" s="396">
        <v>0</v>
      </c>
      <c r="H9" s="396">
        <v>0</v>
      </c>
      <c r="I9" s="396">
        <v>0</v>
      </c>
      <c r="J9" s="70">
        <v>186</v>
      </c>
      <c r="K9" s="593" t="s">
        <v>1009</v>
      </c>
      <c r="L9" s="396"/>
      <c r="M9" s="400" t="s">
        <v>1007</v>
      </c>
      <c r="N9" s="15" t="s">
        <v>30</v>
      </c>
      <c r="O9" s="400"/>
      <c r="P9" s="400"/>
      <c r="Q9" s="400"/>
      <c r="R9" s="400"/>
      <c r="S9" s="400" t="s">
        <v>577</v>
      </c>
    </row>
    <row r="10" spans="1:19">
      <c r="A10" s="396">
        <f t="shared" si="0"/>
        <v>5</v>
      </c>
      <c r="B10" s="69" t="s">
        <v>181</v>
      </c>
      <c r="C10" s="69" t="s">
        <v>573</v>
      </c>
      <c r="D10" s="69" t="s">
        <v>579</v>
      </c>
      <c r="E10" s="397"/>
      <c r="F10" s="396">
        <v>0</v>
      </c>
      <c r="G10" s="396">
        <v>0</v>
      </c>
      <c r="H10" s="396">
        <v>0</v>
      </c>
      <c r="I10" s="396">
        <v>0</v>
      </c>
      <c r="J10" s="70">
        <v>217.97</v>
      </c>
      <c r="K10" s="399"/>
      <c r="L10" s="396"/>
      <c r="M10" s="400" t="s">
        <v>1007</v>
      </c>
      <c r="N10" s="400" t="s">
        <v>30</v>
      </c>
      <c r="O10" s="400" t="s">
        <v>1007</v>
      </c>
      <c r="P10" s="400" t="s">
        <v>33</v>
      </c>
      <c r="Q10" s="400" t="s">
        <v>2158</v>
      </c>
      <c r="R10" s="400"/>
      <c r="S10" s="400" t="s">
        <v>577</v>
      </c>
    </row>
    <row r="11" spans="1:19" ht="16.5" customHeight="1">
      <c r="A11" s="396">
        <f t="shared" si="0"/>
        <v>6</v>
      </c>
      <c r="B11" s="69" t="s">
        <v>186</v>
      </c>
      <c r="C11" s="69" t="s">
        <v>582</v>
      </c>
      <c r="D11" s="69" t="s">
        <v>134</v>
      </c>
      <c r="E11" s="397"/>
      <c r="F11" s="396">
        <v>0</v>
      </c>
      <c r="G11" s="396">
        <v>0</v>
      </c>
      <c r="H11" s="396">
        <v>0</v>
      </c>
      <c r="I11" s="396">
        <v>0</v>
      </c>
      <c r="J11" s="70">
        <v>330.8</v>
      </c>
      <c r="K11" s="1518" t="s">
        <v>1009</v>
      </c>
      <c r="L11" s="396"/>
      <c r="M11" s="400" t="s">
        <v>1007</v>
      </c>
      <c r="N11" s="15" t="s">
        <v>30</v>
      </c>
      <c r="O11" s="400" t="s">
        <v>1007</v>
      </c>
      <c r="P11" s="400" t="s">
        <v>33</v>
      </c>
      <c r="Q11" s="400" t="s">
        <v>2158</v>
      </c>
      <c r="R11" s="400"/>
      <c r="S11" s="400" t="s">
        <v>577</v>
      </c>
    </row>
    <row r="12" spans="1:19">
      <c r="A12" s="396">
        <f t="shared" si="0"/>
        <v>7</v>
      </c>
      <c r="B12" s="69" t="s">
        <v>64</v>
      </c>
      <c r="C12" s="69" t="s">
        <v>586</v>
      </c>
      <c r="D12" s="69" t="s">
        <v>587</v>
      </c>
      <c r="E12" s="397"/>
      <c r="F12" s="396">
        <v>0</v>
      </c>
      <c r="G12" s="396">
        <v>0</v>
      </c>
      <c r="H12" s="396">
        <v>0</v>
      </c>
      <c r="I12" s="396">
        <v>0</v>
      </c>
      <c r="J12" s="70">
        <v>218</v>
      </c>
      <c r="K12" s="1519"/>
      <c r="L12" s="396"/>
      <c r="M12" s="400" t="s">
        <v>1007</v>
      </c>
      <c r="N12" s="400" t="s">
        <v>30</v>
      </c>
      <c r="O12" s="400" t="s">
        <v>1007</v>
      </c>
      <c r="P12" s="400" t="s">
        <v>33</v>
      </c>
      <c r="Q12" s="400" t="s">
        <v>2157</v>
      </c>
      <c r="R12" s="400"/>
      <c r="S12" s="400" t="s">
        <v>590</v>
      </c>
    </row>
    <row r="13" spans="1:19">
      <c r="A13" s="396">
        <f t="shared" si="0"/>
        <v>8</v>
      </c>
      <c r="B13" s="69" t="s">
        <v>198</v>
      </c>
      <c r="C13" s="69" t="s">
        <v>591</v>
      </c>
      <c r="D13" s="69" t="s">
        <v>134</v>
      </c>
      <c r="E13" s="397"/>
      <c r="F13" s="396">
        <v>0</v>
      </c>
      <c r="G13" s="396">
        <v>0</v>
      </c>
      <c r="H13" s="396">
        <v>0</v>
      </c>
      <c r="I13" s="396">
        <v>0</v>
      </c>
      <c r="J13" s="70">
        <v>220.351</v>
      </c>
      <c r="K13" s="399"/>
      <c r="L13" s="396"/>
      <c r="M13" s="400" t="s">
        <v>1007</v>
      </c>
      <c r="N13" s="15" t="s">
        <v>30</v>
      </c>
      <c r="O13" s="400" t="s">
        <v>1007</v>
      </c>
      <c r="P13" s="400" t="s">
        <v>33</v>
      </c>
      <c r="Q13" s="400" t="s">
        <v>2038</v>
      </c>
      <c r="R13" s="400"/>
      <c r="S13" s="400" t="s">
        <v>594</v>
      </c>
    </row>
    <row r="14" spans="1:19">
      <c r="A14" s="396">
        <f t="shared" si="0"/>
        <v>9</v>
      </c>
      <c r="B14" s="69" t="s">
        <v>65</v>
      </c>
      <c r="C14" s="69" t="s">
        <v>573</v>
      </c>
      <c r="D14" s="69" t="s">
        <v>595</v>
      </c>
      <c r="E14" s="397"/>
      <c r="F14" s="396">
        <v>0</v>
      </c>
      <c r="G14" s="396">
        <v>0</v>
      </c>
      <c r="H14" s="396">
        <v>0</v>
      </c>
      <c r="I14" s="396">
        <v>0</v>
      </c>
      <c r="J14" s="70">
        <v>190</v>
      </c>
      <c r="K14" s="399"/>
      <c r="L14" s="396"/>
      <c r="M14" s="400" t="s">
        <v>1007</v>
      </c>
      <c r="N14" s="15" t="s">
        <v>30</v>
      </c>
      <c r="O14" s="400" t="s">
        <v>1007</v>
      </c>
      <c r="P14" s="400" t="s">
        <v>33</v>
      </c>
      <c r="Q14" s="400" t="s">
        <v>2141</v>
      </c>
      <c r="R14" s="400"/>
      <c r="S14" s="400" t="s">
        <v>594</v>
      </c>
    </row>
    <row r="15" spans="1:19">
      <c r="A15" s="396">
        <f t="shared" si="0"/>
        <v>10</v>
      </c>
      <c r="B15" s="69" t="s">
        <v>598</v>
      </c>
      <c r="C15" s="69" t="s">
        <v>582</v>
      </c>
      <c r="D15" s="69" t="s">
        <v>134</v>
      </c>
      <c r="E15" s="397"/>
      <c r="F15" s="396">
        <v>0</v>
      </c>
      <c r="G15" s="396">
        <v>0</v>
      </c>
      <c r="H15" s="396">
        <v>0</v>
      </c>
      <c r="I15" s="396">
        <v>0</v>
      </c>
      <c r="J15" s="70">
        <v>260</v>
      </c>
      <c r="K15" s="399"/>
      <c r="L15" s="396"/>
      <c r="M15" s="400" t="s">
        <v>1007</v>
      </c>
      <c r="N15" s="15" t="s">
        <v>30</v>
      </c>
      <c r="O15" s="400" t="s">
        <v>1007</v>
      </c>
      <c r="P15" s="400" t="s">
        <v>33</v>
      </c>
      <c r="Q15" s="400" t="s">
        <v>2038</v>
      </c>
      <c r="R15" s="400"/>
      <c r="S15" s="400" t="s">
        <v>594</v>
      </c>
    </row>
    <row r="16" spans="1:19">
      <c r="A16" s="396">
        <f t="shared" si="0"/>
        <v>11</v>
      </c>
      <c r="B16" s="69" t="s">
        <v>602</v>
      </c>
      <c r="C16" s="69" t="s">
        <v>603</v>
      </c>
      <c r="D16" s="69" t="s">
        <v>134</v>
      </c>
      <c r="E16" s="397"/>
      <c r="F16" s="396">
        <v>0</v>
      </c>
      <c r="G16" s="396">
        <v>0</v>
      </c>
      <c r="H16" s="396">
        <v>0</v>
      </c>
      <c r="I16" s="396">
        <v>0</v>
      </c>
      <c r="J16" s="70">
        <v>323.05200000000002</v>
      </c>
      <c r="K16" s="399" t="s">
        <v>1009</v>
      </c>
      <c r="L16" s="396"/>
      <c r="M16" s="400" t="s">
        <v>1007</v>
      </c>
      <c r="N16" s="15" t="s">
        <v>30</v>
      </c>
      <c r="O16" s="400" t="s">
        <v>1007</v>
      </c>
      <c r="P16" s="400" t="s">
        <v>33</v>
      </c>
      <c r="Q16" s="400" t="s">
        <v>2158</v>
      </c>
      <c r="R16" s="400"/>
      <c r="S16" s="400" t="s">
        <v>590</v>
      </c>
    </row>
    <row r="17" spans="1:19">
      <c r="A17" s="396">
        <f t="shared" si="0"/>
        <v>12</v>
      </c>
      <c r="B17" s="69" t="s">
        <v>213</v>
      </c>
      <c r="C17" s="69" t="s">
        <v>607</v>
      </c>
      <c r="D17" s="69" t="s">
        <v>608</v>
      </c>
      <c r="E17" s="397"/>
      <c r="F17" s="396">
        <v>0</v>
      </c>
      <c r="G17" s="396">
        <v>0</v>
      </c>
      <c r="H17" s="396">
        <v>0</v>
      </c>
      <c r="I17" s="396">
        <v>0</v>
      </c>
      <c r="J17" s="70">
        <v>246.023</v>
      </c>
      <c r="K17" s="399"/>
      <c r="L17" s="396"/>
      <c r="M17" s="400" t="s">
        <v>1007</v>
      </c>
      <c r="N17" s="15" t="s">
        <v>30</v>
      </c>
      <c r="O17" s="400" t="s">
        <v>1007</v>
      </c>
      <c r="P17" s="400"/>
      <c r="Q17" s="400"/>
      <c r="R17" s="400"/>
      <c r="S17" s="400" t="s">
        <v>590</v>
      </c>
    </row>
    <row r="18" spans="1:19">
      <c r="A18" s="396">
        <f t="shared" si="0"/>
        <v>13</v>
      </c>
      <c r="B18" s="69" t="s">
        <v>66</v>
      </c>
      <c r="C18" s="69" t="s">
        <v>586</v>
      </c>
      <c r="D18" s="69" t="s">
        <v>611</v>
      </c>
      <c r="E18" s="397"/>
      <c r="F18" s="396">
        <v>0</v>
      </c>
      <c r="G18" s="396">
        <v>0</v>
      </c>
      <c r="H18" s="396">
        <v>0</v>
      </c>
      <c r="I18" s="396">
        <v>0</v>
      </c>
      <c r="J18" s="70">
        <v>255</v>
      </c>
      <c r="K18" s="399" t="s">
        <v>1009</v>
      </c>
      <c r="L18" s="396"/>
      <c r="M18" s="400" t="s">
        <v>1007</v>
      </c>
      <c r="N18" s="15" t="s">
        <v>30</v>
      </c>
      <c r="O18" s="400" t="s">
        <v>1007</v>
      </c>
      <c r="P18" s="400" t="s">
        <v>33</v>
      </c>
      <c r="Q18" s="400" t="s">
        <v>1837</v>
      </c>
      <c r="R18" s="400"/>
      <c r="S18" s="400" t="s">
        <v>614</v>
      </c>
    </row>
    <row r="19" spans="1:19">
      <c r="A19" s="396">
        <f t="shared" si="0"/>
        <v>14</v>
      </c>
      <c r="B19" s="69" t="s">
        <v>616</v>
      </c>
      <c r="C19" s="69" t="s">
        <v>582</v>
      </c>
      <c r="D19" s="69" t="s">
        <v>134</v>
      </c>
      <c r="E19" s="397"/>
      <c r="F19" s="396">
        <v>0</v>
      </c>
      <c r="G19" s="396">
        <v>0</v>
      </c>
      <c r="H19" s="396">
        <v>0</v>
      </c>
      <c r="I19" s="396">
        <v>0</v>
      </c>
      <c r="J19" s="70">
        <v>152</v>
      </c>
      <c r="K19" s="399"/>
      <c r="L19" s="396"/>
      <c r="M19" s="400" t="s">
        <v>1007</v>
      </c>
      <c r="N19" s="15" t="s">
        <v>30</v>
      </c>
      <c r="O19" s="400" t="s">
        <v>1007</v>
      </c>
      <c r="P19" s="400" t="s">
        <v>33</v>
      </c>
      <c r="Q19" s="400" t="s">
        <v>1837</v>
      </c>
      <c r="R19" s="400"/>
      <c r="S19" s="400" t="s">
        <v>619</v>
      </c>
    </row>
    <row r="20" spans="1:19">
      <c r="A20" s="396">
        <f t="shared" si="0"/>
        <v>15</v>
      </c>
      <c r="B20" s="69" t="s">
        <v>621</v>
      </c>
      <c r="C20" s="69" t="s">
        <v>582</v>
      </c>
      <c r="D20" s="69" t="s">
        <v>134</v>
      </c>
      <c r="E20" s="397"/>
      <c r="F20" s="396">
        <v>0</v>
      </c>
      <c r="G20" s="396">
        <v>0</v>
      </c>
      <c r="H20" s="396">
        <v>0</v>
      </c>
      <c r="I20" s="396">
        <v>0</v>
      </c>
      <c r="J20" s="70">
        <v>294.49799999999999</v>
      </c>
      <c r="K20" s="399" t="s">
        <v>1009</v>
      </c>
      <c r="L20" s="396"/>
      <c r="M20" s="400" t="s">
        <v>1007</v>
      </c>
      <c r="N20" s="15" t="s">
        <v>30</v>
      </c>
      <c r="O20" s="400" t="s">
        <v>1007</v>
      </c>
      <c r="P20" s="400" t="s">
        <v>33</v>
      </c>
      <c r="Q20" s="400" t="s">
        <v>1837</v>
      </c>
      <c r="R20" s="400"/>
      <c r="S20" s="400" t="s">
        <v>619</v>
      </c>
    </row>
    <row r="21" spans="1:19">
      <c r="A21" s="396">
        <f t="shared" si="0"/>
        <v>16</v>
      </c>
      <c r="B21" s="69" t="s">
        <v>224</v>
      </c>
      <c r="C21" s="69" t="s">
        <v>573</v>
      </c>
      <c r="D21" s="69" t="s">
        <v>625</v>
      </c>
      <c r="E21" s="397"/>
      <c r="F21" s="396">
        <v>0</v>
      </c>
      <c r="G21" s="396">
        <v>0</v>
      </c>
      <c r="H21" s="396">
        <v>0</v>
      </c>
      <c r="I21" s="396">
        <v>0</v>
      </c>
      <c r="J21" s="70">
        <v>269</v>
      </c>
      <c r="K21" s="399"/>
      <c r="L21" s="396"/>
      <c r="M21" s="400" t="s">
        <v>1007</v>
      </c>
      <c r="N21" s="15" t="s">
        <v>1891</v>
      </c>
      <c r="O21" s="400" t="s">
        <v>1007</v>
      </c>
      <c r="P21" s="400" t="s">
        <v>1943</v>
      </c>
      <c r="Q21" s="400" t="s">
        <v>2158</v>
      </c>
      <c r="R21" s="400"/>
      <c r="S21" s="400" t="s">
        <v>628</v>
      </c>
    </row>
    <row r="22" spans="1:19">
      <c r="A22" s="396">
        <f t="shared" si="0"/>
        <v>17</v>
      </c>
      <c r="B22" s="69" t="s">
        <v>230</v>
      </c>
      <c r="C22" s="69" t="s">
        <v>582</v>
      </c>
      <c r="D22" s="69" t="s">
        <v>134</v>
      </c>
      <c r="E22" s="397"/>
      <c r="F22" s="396">
        <v>0</v>
      </c>
      <c r="G22" s="396">
        <v>0</v>
      </c>
      <c r="H22" s="396">
        <v>0</v>
      </c>
      <c r="I22" s="396">
        <v>0</v>
      </c>
      <c r="J22" s="70">
        <v>333</v>
      </c>
      <c r="K22" s="399"/>
      <c r="L22" s="396"/>
      <c r="M22" s="400" t="s">
        <v>1007</v>
      </c>
      <c r="N22" s="400" t="s">
        <v>30</v>
      </c>
      <c r="O22" s="400" t="s">
        <v>1007</v>
      </c>
      <c r="P22" s="400" t="s">
        <v>33</v>
      </c>
      <c r="Q22" s="400" t="s">
        <v>1837</v>
      </c>
      <c r="R22" s="400"/>
      <c r="S22" s="400" t="s">
        <v>628</v>
      </c>
    </row>
    <row r="23" spans="1:19">
      <c r="A23" s="396">
        <f t="shared" si="0"/>
        <v>18</v>
      </c>
      <c r="B23" s="69" t="s">
        <v>234</v>
      </c>
      <c r="C23" s="69" t="s">
        <v>582</v>
      </c>
      <c r="D23" s="69" t="s">
        <v>134</v>
      </c>
      <c r="E23" s="397"/>
      <c r="F23" s="396">
        <v>0</v>
      </c>
      <c r="G23" s="396">
        <v>0</v>
      </c>
      <c r="H23" s="396">
        <v>0</v>
      </c>
      <c r="I23" s="396">
        <v>0</v>
      </c>
      <c r="J23" s="70">
        <v>257</v>
      </c>
      <c r="K23" s="399"/>
      <c r="L23" s="396"/>
      <c r="M23" s="400" t="s">
        <v>1007</v>
      </c>
      <c r="N23" s="400" t="s">
        <v>30</v>
      </c>
      <c r="O23" s="400" t="s">
        <v>1007</v>
      </c>
      <c r="P23" s="400" t="s">
        <v>33</v>
      </c>
      <c r="Q23" s="400" t="s">
        <v>1837</v>
      </c>
      <c r="R23" s="400"/>
      <c r="S23" s="400" t="s">
        <v>628</v>
      </c>
    </row>
    <row r="24" spans="1:19">
      <c r="A24" s="396">
        <f t="shared" si="0"/>
        <v>19</v>
      </c>
      <c r="B24" s="69" t="s">
        <v>239</v>
      </c>
      <c r="C24" s="69" t="s">
        <v>591</v>
      </c>
      <c r="D24" s="69" t="s">
        <v>134</v>
      </c>
      <c r="E24" s="397"/>
      <c r="F24" s="396">
        <v>0</v>
      </c>
      <c r="G24" s="396">
        <v>0</v>
      </c>
      <c r="H24" s="396">
        <v>0</v>
      </c>
      <c r="I24" s="396">
        <v>0</v>
      </c>
      <c r="J24" s="70">
        <v>297</v>
      </c>
      <c r="K24" s="399"/>
      <c r="L24" s="396"/>
      <c r="M24" s="400" t="s">
        <v>1007</v>
      </c>
      <c r="N24" s="400" t="s">
        <v>30</v>
      </c>
      <c r="O24" s="400" t="s">
        <v>1007</v>
      </c>
      <c r="P24" s="400" t="s">
        <v>33</v>
      </c>
      <c r="Q24" s="400" t="s">
        <v>1837</v>
      </c>
      <c r="R24" s="400"/>
      <c r="S24" s="400" t="s">
        <v>636</v>
      </c>
    </row>
    <row r="25" spans="1:19">
      <c r="A25" s="396">
        <f t="shared" si="0"/>
        <v>20</v>
      </c>
      <c r="B25" s="69" t="s">
        <v>637</v>
      </c>
      <c r="C25" s="69" t="s">
        <v>591</v>
      </c>
      <c r="D25" s="69" t="s">
        <v>134</v>
      </c>
      <c r="E25" s="397"/>
      <c r="F25" s="396">
        <v>0</v>
      </c>
      <c r="G25" s="396">
        <v>0</v>
      </c>
      <c r="H25" s="396">
        <v>0</v>
      </c>
      <c r="I25" s="396">
        <v>0</v>
      </c>
      <c r="J25" s="70">
        <v>291.08999999999997</v>
      </c>
      <c r="K25" s="399"/>
      <c r="L25" s="396"/>
      <c r="M25" s="400" t="s">
        <v>1007</v>
      </c>
      <c r="N25" s="400" t="s">
        <v>30</v>
      </c>
      <c r="O25" s="400" t="s">
        <v>1007</v>
      </c>
      <c r="P25" s="400"/>
      <c r="Q25" s="400"/>
      <c r="R25" s="400"/>
      <c r="S25" s="400" t="s">
        <v>636</v>
      </c>
    </row>
    <row r="26" spans="1:19">
      <c r="A26" s="396">
        <f t="shared" si="0"/>
        <v>21</v>
      </c>
      <c r="B26" s="69" t="s">
        <v>67</v>
      </c>
      <c r="C26" s="69" t="s">
        <v>586</v>
      </c>
      <c r="D26" s="69" t="s">
        <v>640</v>
      </c>
      <c r="E26" s="397"/>
      <c r="F26" s="396">
        <v>0</v>
      </c>
      <c r="G26" s="396">
        <v>0</v>
      </c>
      <c r="H26" s="396">
        <v>0</v>
      </c>
      <c r="I26" s="396">
        <v>0</v>
      </c>
      <c r="J26" s="70">
        <v>235</v>
      </c>
      <c r="K26" s="399"/>
      <c r="L26" s="396" t="s">
        <v>977</v>
      </c>
      <c r="M26" s="400"/>
      <c r="N26" s="400"/>
      <c r="O26" s="400"/>
      <c r="P26" s="400"/>
      <c r="Q26" s="400"/>
      <c r="R26" s="400"/>
      <c r="S26" s="400" t="s">
        <v>643</v>
      </c>
    </row>
    <row r="27" spans="1:19">
      <c r="A27" s="396">
        <f t="shared" si="0"/>
        <v>22</v>
      </c>
      <c r="B27" s="69" t="s">
        <v>250</v>
      </c>
      <c r="C27" s="69" t="s">
        <v>603</v>
      </c>
      <c r="D27" s="69" t="s">
        <v>134</v>
      </c>
      <c r="E27" s="397"/>
      <c r="F27" s="396">
        <v>0</v>
      </c>
      <c r="G27" s="396">
        <v>0</v>
      </c>
      <c r="H27" s="396">
        <v>0</v>
      </c>
      <c r="I27" s="396">
        <v>0</v>
      </c>
      <c r="J27" s="70">
        <v>358.48899999999998</v>
      </c>
      <c r="K27" s="399"/>
      <c r="L27" s="396"/>
      <c r="M27" s="400"/>
      <c r="N27" s="400"/>
      <c r="O27" s="400"/>
      <c r="P27" s="400"/>
      <c r="Q27" s="400"/>
      <c r="R27" s="400"/>
      <c r="S27" s="400" t="s">
        <v>643</v>
      </c>
    </row>
    <row r="28" spans="1:19">
      <c r="A28" s="396">
        <f t="shared" si="0"/>
        <v>23</v>
      </c>
      <c r="B28" s="69" t="s">
        <v>68</v>
      </c>
      <c r="C28" s="69" t="s">
        <v>648</v>
      </c>
      <c r="D28" s="69" t="s">
        <v>649</v>
      </c>
      <c r="E28" s="397"/>
      <c r="F28" s="396">
        <v>0</v>
      </c>
      <c r="G28" s="396">
        <v>0</v>
      </c>
      <c r="H28" s="396">
        <v>0</v>
      </c>
      <c r="I28" s="396">
        <v>0</v>
      </c>
      <c r="J28" s="70">
        <v>231.68600000000001</v>
      </c>
      <c r="K28" s="1635" t="s">
        <v>652</v>
      </c>
      <c r="L28" s="396"/>
      <c r="M28" s="400" t="s">
        <v>1007</v>
      </c>
      <c r="N28" s="400" t="s">
        <v>30</v>
      </c>
      <c r="O28" s="400" t="s">
        <v>1007</v>
      </c>
      <c r="P28" s="400"/>
      <c r="Q28" s="400"/>
      <c r="R28" s="400"/>
      <c r="S28" s="400" t="s">
        <v>643</v>
      </c>
    </row>
    <row r="29" spans="1:19">
      <c r="A29" s="396">
        <f t="shared" si="0"/>
        <v>24</v>
      </c>
      <c r="B29" s="69" t="s">
        <v>56</v>
      </c>
      <c r="C29" s="69" t="s">
        <v>653</v>
      </c>
      <c r="D29" s="69" t="s">
        <v>654</v>
      </c>
      <c r="E29" s="397"/>
      <c r="F29" s="396">
        <v>0</v>
      </c>
      <c r="G29" s="396">
        <v>0</v>
      </c>
      <c r="H29" s="396">
        <v>0</v>
      </c>
      <c r="I29" s="396">
        <v>0</v>
      </c>
      <c r="J29" s="70">
        <v>209.429</v>
      </c>
      <c r="K29" s="1636"/>
      <c r="L29" s="396"/>
      <c r="M29" s="400" t="s">
        <v>1007</v>
      </c>
      <c r="N29" s="400" t="s">
        <v>30</v>
      </c>
      <c r="O29" s="400" t="s">
        <v>1007</v>
      </c>
      <c r="P29" s="400"/>
      <c r="Q29" s="400"/>
      <c r="R29" s="400"/>
      <c r="S29" s="400" t="s">
        <v>643</v>
      </c>
    </row>
    <row r="30" spans="1:19">
      <c r="A30" s="396">
        <f t="shared" si="0"/>
        <v>25</v>
      </c>
      <c r="B30" s="574" t="s">
        <v>60</v>
      </c>
      <c r="C30" s="574" t="s">
        <v>658</v>
      </c>
      <c r="D30" s="574" t="s">
        <v>906</v>
      </c>
      <c r="E30" s="575">
        <v>2</v>
      </c>
      <c r="F30" s="576">
        <v>2</v>
      </c>
      <c r="G30" s="576">
        <v>2</v>
      </c>
      <c r="H30" s="576">
        <v>2</v>
      </c>
      <c r="I30" s="576">
        <v>2</v>
      </c>
      <c r="J30" s="70">
        <v>104.55200000000001</v>
      </c>
      <c r="K30" s="427" t="s">
        <v>657</v>
      </c>
      <c r="L30" s="396"/>
      <c r="M30" s="400" t="s">
        <v>1007</v>
      </c>
      <c r="N30" s="404" t="s">
        <v>30</v>
      </c>
      <c r="O30" s="400"/>
      <c r="P30" s="400"/>
      <c r="Q30" s="400"/>
      <c r="R30" s="400"/>
      <c r="S30" s="400" t="s">
        <v>643</v>
      </c>
    </row>
    <row r="31" spans="1:19">
      <c r="A31" s="396">
        <f t="shared" si="0"/>
        <v>26</v>
      </c>
      <c r="B31" s="69" t="s">
        <v>55</v>
      </c>
      <c r="C31" s="69" t="s">
        <v>671</v>
      </c>
      <c r="D31" s="69" t="s">
        <v>907</v>
      </c>
      <c r="E31" s="397"/>
      <c r="F31" s="396">
        <v>0</v>
      </c>
      <c r="G31" s="396">
        <v>0</v>
      </c>
      <c r="H31" s="396">
        <v>0</v>
      </c>
      <c r="I31" s="396">
        <v>0</v>
      </c>
      <c r="J31" s="70">
        <v>88.058999999999997</v>
      </c>
      <c r="K31" s="399"/>
      <c r="L31" s="396"/>
      <c r="M31" s="400" t="s">
        <v>1007</v>
      </c>
      <c r="N31" s="404" t="s">
        <v>30</v>
      </c>
      <c r="O31" s="400"/>
      <c r="P31" s="400"/>
      <c r="Q31" s="400"/>
      <c r="R31" s="400"/>
      <c r="S31" s="400"/>
    </row>
    <row r="32" spans="1:19">
      <c r="A32" s="396">
        <f t="shared" si="0"/>
        <v>27</v>
      </c>
      <c r="B32" s="69" t="s">
        <v>59</v>
      </c>
      <c r="C32" s="69" t="s">
        <v>586</v>
      </c>
      <c r="D32" s="69" t="s">
        <v>910</v>
      </c>
      <c r="E32" s="397"/>
      <c r="F32" s="396">
        <v>0</v>
      </c>
      <c r="G32" s="396">
        <v>0</v>
      </c>
      <c r="H32" s="396">
        <v>0</v>
      </c>
      <c r="I32" s="396">
        <v>0</v>
      </c>
      <c r="J32" s="70">
        <v>72.888000000000005</v>
      </c>
      <c r="K32" s="399"/>
      <c r="L32" s="396"/>
      <c r="M32" s="400" t="s">
        <v>1007</v>
      </c>
      <c r="N32" s="404" t="s">
        <v>30</v>
      </c>
      <c r="O32" s="400" t="s">
        <v>1007</v>
      </c>
      <c r="P32" s="400"/>
      <c r="Q32" s="400"/>
      <c r="R32" s="400"/>
      <c r="S32" s="400"/>
    </row>
    <row r="33" spans="1:19">
      <c r="A33" s="396">
        <f t="shared" si="0"/>
        <v>28</v>
      </c>
      <c r="B33" s="69" t="s">
        <v>58</v>
      </c>
      <c r="C33" s="69" t="s">
        <v>671</v>
      </c>
      <c r="D33" s="69" t="s">
        <v>913</v>
      </c>
      <c r="E33" s="400"/>
      <c r="F33" s="396">
        <v>0</v>
      </c>
      <c r="G33" s="396">
        <v>0</v>
      </c>
      <c r="H33" s="396">
        <v>0</v>
      </c>
      <c r="I33" s="396">
        <v>0</v>
      </c>
      <c r="J33" s="398"/>
      <c r="K33" s="399"/>
      <c r="L33" s="396"/>
      <c r="M33" s="400" t="s">
        <v>1007</v>
      </c>
      <c r="N33" s="404" t="s">
        <v>30</v>
      </c>
      <c r="O33" s="400" t="s">
        <v>1007</v>
      </c>
      <c r="P33" s="400"/>
      <c r="Q33" s="400"/>
      <c r="R33" s="400"/>
      <c r="S33" s="400"/>
    </row>
    <row r="34" spans="1:19" s="410" customFormat="1">
      <c r="A34" s="405"/>
      <c r="B34" s="406"/>
      <c r="C34" s="406"/>
      <c r="D34" s="407"/>
      <c r="E34" s="407"/>
      <c r="F34" s="408"/>
      <c r="G34" s="408"/>
      <c r="H34" s="408"/>
      <c r="I34" s="408"/>
      <c r="J34" s="424">
        <f>SUM(J6:J33)/1000</f>
        <v>6.2919989999999997</v>
      </c>
      <c r="K34" s="409"/>
      <c r="L34" s="1634" t="s">
        <v>979</v>
      </c>
      <c r="M34" s="1634"/>
      <c r="N34" s="1634" t="s">
        <v>980</v>
      </c>
      <c r="O34" s="1634"/>
      <c r="P34" s="405"/>
      <c r="Q34" s="407"/>
      <c r="R34" s="407"/>
      <c r="S34" s="405"/>
    </row>
    <row r="35" spans="1:19" s="410" customFormat="1">
      <c r="H35" s="411"/>
      <c r="J35" s="411"/>
      <c r="K35" s="411"/>
      <c r="L35" s="412" t="s">
        <v>1006</v>
      </c>
      <c r="M35" s="414">
        <f>COUNT(A6:A33)</f>
        <v>28</v>
      </c>
      <c r="N35" s="412" t="s">
        <v>1006</v>
      </c>
      <c r="O35" s="414">
        <f>COUNT(A6:A33)</f>
        <v>28</v>
      </c>
      <c r="P35" s="405"/>
      <c r="Q35" s="405"/>
      <c r="R35" s="405"/>
    </row>
    <row r="36" spans="1:19" s="410" customFormat="1">
      <c r="L36" s="412" t="s">
        <v>29</v>
      </c>
      <c r="M36" s="414">
        <f>COUNTIF(M6:M33, "Completed")</f>
        <v>25</v>
      </c>
      <c r="N36" s="412" t="s">
        <v>29</v>
      </c>
      <c r="O36" s="413">
        <f>COUNTIF(P6:P33,"Completed")</f>
        <v>13</v>
      </c>
      <c r="P36" s="405"/>
      <c r="Q36" s="405"/>
      <c r="R36" s="405"/>
    </row>
    <row r="37" spans="1:19" s="410" customFormat="1">
      <c r="L37" s="412" t="s">
        <v>978</v>
      </c>
      <c r="M37" s="414">
        <f>COUNTIF(M6:M33, "WIP")</f>
        <v>0</v>
      </c>
      <c r="N37" s="412" t="s">
        <v>978</v>
      </c>
      <c r="O37" s="414">
        <f>COUNTIF(P6:P33, "WIP")</f>
        <v>1</v>
      </c>
      <c r="P37" s="405"/>
      <c r="Q37" s="405"/>
      <c r="R37" s="405"/>
    </row>
    <row r="38" spans="1:19" s="410" customFormat="1">
      <c r="L38" s="412" t="s">
        <v>1077</v>
      </c>
      <c r="M38" s="414">
        <v>0</v>
      </c>
      <c r="N38" s="412" t="s">
        <v>1077</v>
      </c>
      <c r="O38" s="413">
        <f>COUNTBLANK(P6:P33)</f>
        <v>14</v>
      </c>
      <c r="P38" s="415"/>
      <c r="Q38" s="415"/>
      <c r="R38" s="415"/>
    </row>
    <row r="39" spans="1:19" s="410" customFormat="1">
      <c r="L39" s="412" t="s">
        <v>982</v>
      </c>
      <c r="M39" s="414">
        <f>COUNTIF(M6:M33, "HOLD")</f>
        <v>1</v>
      </c>
      <c r="N39" s="412" t="s">
        <v>982</v>
      </c>
      <c r="O39" s="413">
        <f>COUNTIF(P6:P33, "HOLD")</f>
        <v>0</v>
      </c>
      <c r="P39" s="415"/>
      <c r="Q39" s="415"/>
      <c r="R39" s="415"/>
    </row>
    <row r="40" spans="1:19">
      <c r="B40" s="410"/>
      <c r="L40" s="412" t="s">
        <v>977</v>
      </c>
      <c r="M40" s="414">
        <v>2</v>
      </c>
      <c r="N40" s="412" t="s">
        <v>977</v>
      </c>
      <c r="O40" s="413">
        <f>COUNTIF(P6:P33, "ROW")</f>
        <v>0</v>
      </c>
    </row>
    <row r="41" spans="1:19">
      <c r="B41" s="410"/>
      <c r="L41" s="416" t="s">
        <v>983</v>
      </c>
      <c r="M41" s="414">
        <f>COUNTIF(O6:O33, "Completed")</f>
        <v>22</v>
      </c>
      <c r="N41" s="416" t="s">
        <v>984</v>
      </c>
      <c r="O41" s="413">
        <f>COUNTIF(R6:R33, "Completed")</f>
        <v>0</v>
      </c>
    </row>
    <row r="42" spans="1:19">
      <c r="B42" s="410"/>
      <c r="L42" s="417"/>
      <c r="M42" s="417"/>
      <c r="N42" s="417"/>
    </row>
    <row r="43" spans="1:19">
      <c r="B43" s="410"/>
      <c r="L43" s="417"/>
      <c r="M43" s="417"/>
      <c r="N43" s="417"/>
    </row>
    <row r="44" spans="1:19">
      <c r="B44" s="410"/>
      <c r="L44" s="417"/>
      <c r="M44" s="417"/>
      <c r="N44" s="417"/>
    </row>
    <row r="45" spans="1:19">
      <c r="B45" s="410"/>
      <c r="L45" s="417"/>
      <c r="M45" s="417"/>
      <c r="N45" s="417"/>
    </row>
    <row r="46" spans="1:19">
      <c r="B46" s="410"/>
      <c r="L46" s="417"/>
      <c r="M46" s="417"/>
      <c r="N46" s="417"/>
    </row>
    <row r="47" spans="1:19">
      <c r="B47" s="410"/>
      <c r="L47" s="417"/>
      <c r="M47" s="417"/>
      <c r="N47" s="417"/>
    </row>
    <row r="48" spans="1:19">
      <c r="B48" s="410"/>
      <c r="L48" s="417"/>
      <c r="M48" s="417"/>
      <c r="N48" s="417"/>
      <c r="O48" s="420" t="s">
        <v>2167</v>
      </c>
    </row>
    <row r="49" spans="2:14">
      <c r="B49" s="410"/>
      <c r="L49" s="417"/>
      <c r="M49" s="417"/>
      <c r="N49" s="417"/>
    </row>
    <row r="50" spans="2:14">
      <c r="B50" s="410"/>
      <c r="L50" s="417"/>
      <c r="M50" s="417"/>
      <c r="N50" s="417"/>
    </row>
    <row r="51" spans="2:14">
      <c r="B51" s="410"/>
      <c r="L51" s="417"/>
      <c r="M51" s="417"/>
      <c r="N51" s="417"/>
    </row>
    <row r="52" spans="2:14">
      <c r="B52" s="410"/>
      <c r="L52" s="417"/>
      <c r="M52" s="417"/>
      <c r="N52" s="417"/>
    </row>
    <row r="53" spans="2:14">
      <c r="B53" s="410"/>
      <c r="L53" s="417"/>
      <c r="M53" s="417"/>
      <c r="N53" s="417"/>
    </row>
    <row r="54" spans="2:14">
      <c r="B54" s="410"/>
      <c r="L54" s="417"/>
      <c r="M54" s="417"/>
      <c r="N54" s="417"/>
    </row>
    <row r="55" spans="2:14">
      <c r="B55" s="410"/>
      <c r="L55" s="417"/>
      <c r="M55" s="417"/>
      <c r="N55" s="417"/>
    </row>
    <row r="56" spans="2:14">
      <c r="B56" s="410"/>
      <c r="L56" s="417"/>
      <c r="M56" s="417"/>
      <c r="N56" s="417"/>
    </row>
    <row r="57" spans="2:14">
      <c r="B57" s="410"/>
      <c r="L57" s="417"/>
      <c r="M57" s="417"/>
      <c r="N57" s="417"/>
    </row>
    <row r="58" spans="2:14">
      <c r="B58" s="410"/>
      <c r="L58" s="417"/>
      <c r="M58" s="417"/>
      <c r="N58" s="417"/>
    </row>
    <row r="59" spans="2:14">
      <c r="B59" s="410"/>
      <c r="L59" s="417"/>
      <c r="M59" s="417"/>
      <c r="N59" s="417"/>
    </row>
    <row r="60" spans="2:14">
      <c r="B60" s="410"/>
      <c r="L60" s="417"/>
      <c r="M60" s="417"/>
      <c r="N60" s="417"/>
    </row>
    <row r="61" spans="2:14">
      <c r="B61" s="410"/>
      <c r="L61" s="417"/>
      <c r="M61" s="417"/>
      <c r="N61" s="417"/>
    </row>
    <row r="62" spans="2:14">
      <c r="B62" s="410"/>
      <c r="L62" s="417"/>
      <c r="M62" s="417"/>
      <c r="N62" s="417"/>
    </row>
    <row r="63" spans="2:14">
      <c r="B63" s="410"/>
      <c r="L63" s="417"/>
      <c r="M63" s="417"/>
      <c r="N63" s="417"/>
    </row>
    <row r="64" spans="2:14">
      <c r="B64" s="410"/>
      <c r="L64" s="417"/>
      <c r="M64" s="417"/>
      <c r="N64" s="417"/>
    </row>
    <row r="65" spans="2:14">
      <c r="B65" s="410"/>
      <c r="L65" s="417"/>
      <c r="M65" s="417"/>
      <c r="N65" s="417"/>
    </row>
    <row r="66" spans="2:14">
      <c r="L66" s="417"/>
      <c r="M66" s="417"/>
      <c r="N66" s="417"/>
    </row>
    <row r="67" spans="2:14">
      <c r="L67" s="417"/>
      <c r="M67" s="417"/>
      <c r="N67" s="417"/>
    </row>
    <row r="68" spans="2:14">
      <c r="L68" s="417"/>
      <c r="M68" s="417"/>
      <c r="N68" s="417"/>
    </row>
    <row r="69" spans="2:14">
      <c r="L69" s="417"/>
      <c r="M69" s="417"/>
      <c r="N69" s="417"/>
    </row>
    <row r="70" spans="2:14">
      <c r="L70" s="417"/>
      <c r="M70" s="417"/>
      <c r="N70" s="417"/>
    </row>
    <row r="71" spans="2:14">
      <c r="L71" s="417"/>
      <c r="M71" s="417"/>
      <c r="N71" s="417"/>
    </row>
    <row r="72" spans="2:14">
      <c r="L72" s="417"/>
      <c r="M72" s="417"/>
      <c r="N72" s="417"/>
    </row>
    <row r="73" spans="2:14">
      <c r="L73" s="417"/>
      <c r="M73" s="417"/>
      <c r="N73" s="417"/>
    </row>
    <row r="74" spans="2:14">
      <c r="L74" s="417"/>
      <c r="M74" s="417"/>
      <c r="N74" s="417"/>
    </row>
    <row r="75" spans="2:14">
      <c r="L75" s="417"/>
      <c r="M75" s="417"/>
      <c r="N75" s="417"/>
    </row>
    <row r="76" spans="2:14">
      <c r="L76" s="417"/>
      <c r="M76" s="417"/>
      <c r="N76" s="417"/>
    </row>
    <row r="77" spans="2:14">
      <c r="L77" s="417"/>
      <c r="M77" s="417"/>
      <c r="N77" s="417"/>
    </row>
    <row r="78" spans="2:14">
      <c r="L78" s="417"/>
      <c r="M78" s="417"/>
      <c r="N78" s="417"/>
    </row>
    <row r="79" spans="2:14">
      <c r="L79" s="417"/>
      <c r="M79" s="417"/>
      <c r="N79" s="417"/>
    </row>
    <row r="80" spans="2:14">
      <c r="L80" s="417"/>
      <c r="M80" s="417"/>
      <c r="N80" s="417"/>
    </row>
    <row r="81" spans="12:14">
      <c r="L81" s="417"/>
      <c r="M81" s="417"/>
      <c r="N81" s="417"/>
    </row>
    <row r="82" spans="12:14">
      <c r="L82" s="417"/>
      <c r="M82" s="417"/>
      <c r="N82" s="417"/>
    </row>
    <row r="83" spans="12:14">
      <c r="L83" s="417"/>
      <c r="M83" s="417"/>
      <c r="N83" s="417"/>
    </row>
    <row r="84" spans="12:14">
      <c r="L84" s="417"/>
      <c r="M84" s="417"/>
      <c r="N84" s="417"/>
    </row>
    <row r="85" spans="12:14">
      <c r="L85" s="417"/>
      <c r="M85" s="417"/>
      <c r="N85" s="417"/>
    </row>
    <row r="86" spans="12:14">
      <c r="L86" s="417"/>
      <c r="M86" s="417"/>
      <c r="N86" s="417"/>
    </row>
    <row r="87" spans="12:14">
      <c r="L87" s="417"/>
      <c r="M87" s="417"/>
      <c r="N87" s="417"/>
    </row>
    <row r="88" spans="12:14">
      <c r="L88" s="417"/>
      <c r="M88" s="417"/>
      <c r="N88" s="417"/>
    </row>
    <row r="89" spans="12:14">
      <c r="L89" s="417"/>
      <c r="M89" s="417"/>
      <c r="N89" s="417"/>
    </row>
    <row r="90" spans="12:14">
      <c r="L90" s="417"/>
      <c r="M90" s="417"/>
      <c r="N90" s="417"/>
    </row>
    <row r="91" spans="12:14">
      <c r="L91" s="417"/>
      <c r="M91" s="417"/>
      <c r="N91" s="417"/>
    </row>
    <row r="92" spans="12:14">
      <c r="L92" s="417"/>
      <c r="M92" s="417"/>
      <c r="N92" s="417"/>
    </row>
    <row r="93" spans="12:14">
      <c r="L93" s="417"/>
      <c r="M93" s="417"/>
      <c r="N93" s="417"/>
    </row>
    <row r="94" spans="12:14">
      <c r="L94" s="417"/>
      <c r="M94" s="417"/>
      <c r="N94" s="417"/>
    </row>
    <row r="95" spans="12:14">
      <c r="L95" s="417"/>
      <c r="M95" s="417"/>
      <c r="N95" s="417"/>
    </row>
    <row r="96" spans="12:14">
      <c r="L96" s="417"/>
      <c r="M96" s="417"/>
      <c r="N96" s="417"/>
    </row>
    <row r="97" spans="12:14">
      <c r="L97" s="417"/>
      <c r="M97" s="417"/>
      <c r="N97" s="417"/>
    </row>
    <row r="98" spans="12:14">
      <c r="L98" s="417"/>
      <c r="M98" s="417"/>
      <c r="N98" s="417"/>
    </row>
    <row r="99" spans="12:14">
      <c r="L99" s="417"/>
      <c r="M99" s="417"/>
      <c r="N99" s="417"/>
    </row>
    <row r="100" spans="12:14">
      <c r="L100" s="417"/>
      <c r="M100" s="417"/>
      <c r="N100" s="417"/>
    </row>
    <row r="101" spans="12:14">
      <c r="L101" s="417"/>
      <c r="M101" s="417"/>
      <c r="N101" s="417"/>
    </row>
    <row r="102" spans="12:14">
      <c r="L102" s="417"/>
      <c r="M102" s="417"/>
      <c r="N102" s="417"/>
    </row>
    <row r="103" spans="12:14">
      <c r="L103" s="417"/>
      <c r="M103" s="417"/>
      <c r="N103" s="417"/>
    </row>
    <row r="104" spans="12:14">
      <c r="L104" s="417"/>
      <c r="M104" s="417"/>
      <c r="N104" s="417"/>
    </row>
    <row r="105" spans="12:14">
      <c r="L105" s="417"/>
      <c r="M105" s="417"/>
      <c r="N105" s="417"/>
    </row>
    <row r="106" spans="12:14">
      <c r="L106" s="417"/>
      <c r="M106" s="417"/>
      <c r="N106" s="417"/>
    </row>
    <row r="107" spans="12:14">
      <c r="L107" s="417"/>
      <c r="M107" s="417"/>
      <c r="N107" s="417"/>
    </row>
    <row r="108" spans="12:14">
      <c r="L108" s="417"/>
      <c r="M108" s="417"/>
      <c r="N108" s="417"/>
    </row>
    <row r="109" spans="12:14">
      <c r="L109" s="417"/>
      <c r="M109" s="417"/>
      <c r="N109" s="417"/>
    </row>
    <row r="110" spans="12:14">
      <c r="L110" s="417"/>
      <c r="M110" s="417"/>
      <c r="N110" s="417"/>
    </row>
    <row r="111" spans="12:14">
      <c r="L111" s="417"/>
      <c r="M111" s="417"/>
      <c r="N111" s="417"/>
    </row>
    <row r="112" spans="12:14">
      <c r="L112" s="417"/>
      <c r="M112" s="417"/>
      <c r="N112" s="417"/>
    </row>
    <row r="113" spans="12:14">
      <c r="L113" s="417"/>
      <c r="M113" s="417"/>
      <c r="N113" s="417"/>
    </row>
    <row r="114" spans="12:14">
      <c r="L114" s="417"/>
      <c r="M114" s="417"/>
      <c r="N114" s="417"/>
    </row>
    <row r="115" spans="12:14">
      <c r="L115" s="417"/>
      <c r="M115" s="417"/>
      <c r="N115" s="417"/>
    </row>
    <row r="116" spans="12:14">
      <c r="L116" s="417"/>
      <c r="M116" s="417"/>
      <c r="N116" s="417"/>
    </row>
    <row r="117" spans="12:14">
      <c r="L117" s="417"/>
      <c r="M117" s="417"/>
      <c r="N117" s="417"/>
    </row>
    <row r="118" spans="12:14">
      <c r="L118" s="417"/>
      <c r="M118" s="417"/>
      <c r="N118" s="417"/>
    </row>
    <row r="119" spans="12:14">
      <c r="L119" s="417"/>
      <c r="M119" s="417"/>
      <c r="N119" s="417"/>
    </row>
    <row r="120" spans="12:14">
      <c r="L120" s="417"/>
      <c r="M120" s="417"/>
      <c r="N120" s="417"/>
    </row>
    <row r="121" spans="12:14">
      <c r="L121" s="417"/>
      <c r="M121" s="417"/>
      <c r="N121" s="417"/>
    </row>
    <row r="122" spans="12:14">
      <c r="L122" s="417"/>
      <c r="M122" s="417"/>
      <c r="N122" s="417"/>
    </row>
    <row r="123" spans="12:14">
      <c r="L123" s="417"/>
      <c r="M123" s="417"/>
      <c r="N123" s="417"/>
    </row>
    <row r="124" spans="12:14">
      <c r="L124" s="417"/>
      <c r="M124" s="417"/>
      <c r="N124" s="417"/>
    </row>
    <row r="125" spans="12:14">
      <c r="L125" s="417"/>
      <c r="M125" s="417"/>
      <c r="N125" s="417"/>
    </row>
    <row r="126" spans="12:14">
      <c r="L126" s="417"/>
      <c r="M126" s="417"/>
      <c r="N126" s="417"/>
    </row>
    <row r="127" spans="12:14">
      <c r="L127" s="417"/>
      <c r="M127" s="417"/>
      <c r="N127" s="417"/>
    </row>
    <row r="128" spans="12:14">
      <c r="L128" s="417"/>
      <c r="M128" s="417"/>
      <c r="N128" s="417"/>
    </row>
    <row r="129" spans="12:14">
      <c r="L129" s="417"/>
      <c r="M129" s="417"/>
      <c r="N129" s="417"/>
    </row>
    <row r="130" spans="12:14">
      <c r="L130" s="417"/>
      <c r="M130" s="417"/>
      <c r="N130" s="417"/>
    </row>
    <row r="131" spans="12:14">
      <c r="L131" s="417"/>
      <c r="M131" s="417"/>
      <c r="N131" s="417"/>
    </row>
    <row r="132" spans="12:14">
      <c r="L132" s="417"/>
      <c r="M132" s="417"/>
      <c r="N132" s="417"/>
    </row>
    <row r="133" spans="12:14">
      <c r="L133" s="417"/>
      <c r="M133" s="417"/>
      <c r="N133" s="417"/>
    </row>
    <row r="134" spans="12:14">
      <c r="L134" s="417"/>
      <c r="M134" s="417"/>
      <c r="N134" s="417"/>
    </row>
    <row r="135" spans="12:14">
      <c r="L135" s="417"/>
      <c r="M135" s="417"/>
      <c r="N135" s="417"/>
    </row>
    <row r="136" spans="12:14">
      <c r="L136" s="417"/>
      <c r="M136" s="417"/>
      <c r="N136" s="417"/>
    </row>
    <row r="137" spans="12:14">
      <c r="L137" s="417"/>
      <c r="M137" s="417"/>
      <c r="N137" s="417"/>
    </row>
    <row r="138" spans="12:14">
      <c r="L138" s="417"/>
      <c r="M138" s="417"/>
      <c r="N138" s="417"/>
    </row>
    <row r="139" spans="12:14">
      <c r="L139" s="417"/>
      <c r="M139" s="417"/>
      <c r="N139" s="417"/>
    </row>
    <row r="140" spans="12:14">
      <c r="L140" s="417"/>
      <c r="M140" s="417"/>
      <c r="N140" s="417"/>
    </row>
    <row r="141" spans="12:14">
      <c r="L141" s="417"/>
      <c r="M141" s="417"/>
      <c r="N141" s="417"/>
    </row>
    <row r="142" spans="12:14">
      <c r="L142" s="417"/>
      <c r="M142" s="417"/>
      <c r="N142" s="417"/>
    </row>
    <row r="143" spans="12:14">
      <c r="L143" s="417"/>
      <c r="M143" s="417"/>
      <c r="N143" s="417"/>
    </row>
    <row r="144" spans="12:14">
      <c r="L144" s="417"/>
      <c r="M144" s="417"/>
      <c r="N144" s="417"/>
    </row>
    <row r="145" spans="12:14">
      <c r="L145" s="417"/>
      <c r="M145" s="417"/>
      <c r="N145" s="417"/>
    </row>
    <row r="146" spans="12:14">
      <c r="L146" s="417"/>
      <c r="M146" s="417"/>
      <c r="N146" s="417"/>
    </row>
    <row r="147" spans="12:14">
      <c r="L147" s="417"/>
      <c r="M147" s="417"/>
      <c r="N147" s="417"/>
    </row>
    <row r="148" spans="12:14">
      <c r="L148" s="417"/>
      <c r="M148" s="417"/>
      <c r="N148" s="417"/>
    </row>
    <row r="149" spans="12:14">
      <c r="L149" s="417"/>
      <c r="M149" s="417"/>
      <c r="N149" s="417"/>
    </row>
    <row r="150" spans="12:14">
      <c r="L150" s="417"/>
      <c r="M150" s="417"/>
      <c r="N150" s="417"/>
    </row>
    <row r="151" spans="12:14">
      <c r="L151" s="417"/>
      <c r="M151" s="417"/>
      <c r="N151" s="417"/>
    </row>
    <row r="152" spans="12:14">
      <c r="L152" s="417"/>
      <c r="M152" s="417"/>
      <c r="N152" s="417"/>
    </row>
    <row r="153" spans="12:14">
      <c r="L153" s="417"/>
      <c r="M153" s="417"/>
      <c r="N153" s="417"/>
    </row>
    <row r="154" spans="12:14">
      <c r="L154" s="417"/>
      <c r="M154" s="417"/>
      <c r="N154" s="417"/>
    </row>
    <row r="155" spans="12:14">
      <c r="L155" s="417"/>
      <c r="M155" s="417"/>
      <c r="N155" s="417"/>
    </row>
    <row r="156" spans="12:14">
      <c r="L156" s="417"/>
      <c r="M156" s="417"/>
      <c r="N156" s="417"/>
    </row>
    <row r="157" spans="12:14">
      <c r="L157" s="417"/>
      <c r="M157" s="417"/>
      <c r="N157" s="417"/>
    </row>
    <row r="158" spans="12:14">
      <c r="L158" s="417"/>
      <c r="M158" s="417"/>
      <c r="N158" s="417"/>
    </row>
    <row r="159" spans="12:14">
      <c r="L159" s="417"/>
      <c r="M159" s="417"/>
      <c r="N159" s="417"/>
    </row>
    <row r="160" spans="12:14">
      <c r="L160" s="417"/>
      <c r="M160" s="417"/>
      <c r="N160" s="417"/>
    </row>
    <row r="161" spans="12:14">
      <c r="L161" s="417"/>
      <c r="M161" s="417"/>
      <c r="N161" s="417"/>
    </row>
    <row r="162" spans="12:14">
      <c r="L162" s="417"/>
      <c r="M162" s="417"/>
      <c r="N162" s="417"/>
    </row>
    <row r="163" spans="12:14">
      <c r="L163" s="417"/>
      <c r="M163" s="417"/>
      <c r="N163" s="417"/>
    </row>
    <row r="164" spans="12:14">
      <c r="L164" s="417"/>
      <c r="M164" s="417"/>
      <c r="N164" s="417"/>
    </row>
    <row r="165" spans="12:14">
      <c r="L165" s="417"/>
      <c r="M165" s="417"/>
      <c r="N165" s="417"/>
    </row>
    <row r="166" spans="12:14">
      <c r="L166" s="417"/>
      <c r="M166" s="417"/>
      <c r="N166" s="417"/>
    </row>
    <row r="167" spans="12:14">
      <c r="L167" s="417"/>
      <c r="M167" s="417"/>
      <c r="N167" s="417"/>
    </row>
    <row r="168" spans="12:14">
      <c r="L168" s="417"/>
      <c r="M168" s="417"/>
      <c r="N168" s="417"/>
    </row>
    <row r="169" spans="12:14">
      <c r="L169" s="417"/>
      <c r="M169" s="417"/>
      <c r="N169" s="417"/>
    </row>
    <row r="170" spans="12:14">
      <c r="L170" s="417"/>
      <c r="M170" s="417"/>
      <c r="N170" s="417"/>
    </row>
    <row r="171" spans="12:14">
      <c r="L171" s="417"/>
      <c r="M171" s="417"/>
      <c r="N171" s="417"/>
    </row>
    <row r="172" spans="12:14">
      <c r="L172" s="417"/>
      <c r="M172" s="417"/>
      <c r="N172" s="417"/>
    </row>
    <row r="173" spans="12:14">
      <c r="L173" s="417"/>
      <c r="M173" s="417"/>
      <c r="N173" s="417"/>
    </row>
    <row r="174" spans="12:14">
      <c r="L174" s="417"/>
      <c r="M174" s="417"/>
      <c r="N174" s="417"/>
    </row>
    <row r="175" spans="12:14">
      <c r="L175" s="417"/>
      <c r="M175" s="417"/>
      <c r="N175" s="417"/>
    </row>
    <row r="176" spans="12:14">
      <c r="L176" s="417"/>
      <c r="M176" s="417"/>
      <c r="N176" s="417"/>
    </row>
    <row r="177" spans="12:14">
      <c r="L177" s="417"/>
      <c r="M177" s="417"/>
      <c r="N177" s="417"/>
    </row>
    <row r="178" spans="12:14">
      <c r="L178" s="417"/>
      <c r="M178" s="417"/>
      <c r="N178" s="417"/>
    </row>
    <row r="179" spans="12:14">
      <c r="L179" s="417"/>
      <c r="M179" s="417"/>
      <c r="N179" s="417"/>
    </row>
    <row r="180" spans="12:14">
      <c r="L180" s="417"/>
      <c r="M180" s="417"/>
      <c r="N180" s="417"/>
    </row>
    <row r="181" spans="12:14">
      <c r="L181" s="417"/>
      <c r="M181" s="417"/>
      <c r="N181" s="417"/>
    </row>
    <row r="182" spans="12:14">
      <c r="L182" s="417"/>
      <c r="M182" s="417"/>
      <c r="N182" s="417"/>
    </row>
    <row r="183" spans="12:14">
      <c r="L183" s="417"/>
      <c r="M183" s="417"/>
      <c r="N183" s="417"/>
    </row>
    <row r="184" spans="12:14">
      <c r="L184" s="417"/>
      <c r="M184" s="417"/>
      <c r="N184" s="417"/>
    </row>
    <row r="185" spans="12:14">
      <c r="L185" s="417"/>
      <c r="M185" s="417"/>
      <c r="N185" s="417"/>
    </row>
    <row r="186" spans="12:14">
      <c r="L186" s="417"/>
      <c r="M186" s="417"/>
      <c r="N186" s="417"/>
    </row>
    <row r="187" spans="12:14">
      <c r="L187" s="417"/>
      <c r="M187" s="417"/>
      <c r="N187" s="417"/>
    </row>
    <row r="188" spans="12:14">
      <c r="L188" s="417"/>
      <c r="M188" s="417"/>
      <c r="N188" s="417"/>
    </row>
    <row r="189" spans="12:14">
      <c r="L189" s="417"/>
      <c r="M189" s="417"/>
      <c r="N189" s="417"/>
    </row>
    <row r="190" spans="12:14">
      <c r="L190" s="417"/>
      <c r="M190" s="417"/>
      <c r="N190" s="417"/>
    </row>
    <row r="191" spans="12:14">
      <c r="L191" s="417"/>
      <c r="M191" s="417"/>
      <c r="N191" s="417"/>
    </row>
    <row r="192" spans="12:14">
      <c r="L192" s="417"/>
      <c r="M192" s="417"/>
      <c r="N192" s="417"/>
    </row>
    <row r="193" spans="12:14">
      <c r="L193" s="417"/>
      <c r="M193" s="417"/>
      <c r="N193" s="417"/>
    </row>
    <row r="194" spans="12:14">
      <c r="L194" s="417"/>
      <c r="M194" s="417"/>
      <c r="N194" s="417"/>
    </row>
    <row r="195" spans="12:14">
      <c r="L195" s="417"/>
      <c r="M195" s="417"/>
      <c r="N195" s="417"/>
    </row>
    <row r="196" spans="12:14">
      <c r="L196" s="417"/>
      <c r="M196" s="417"/>
      <c r="N196" s="417"/>
    </row>
    <row r="197" spans="12:14">
      <c r="L197" s="417"/>
      <c r="M197" s="417"/>
      <c r="N197" s="417"/>
    </row>
    <row r="198" spans="12:14">
      <c r="L198" s="417"/>
      <c r="M198" s="417"/>
      <c r="N198" s="417"/>
    </row>
    <row r="199" spans="12:14">
      <c r="L199" s="417"/>
      <c r="M199" s="417"/>
      <c r="N199" s="417"/>
    </row>
    <row r="200" spans="12:14">
      <c r="L200" s="417"/>
      <c r="M200" s="417"/>
      <c r="N200" s="417"/>
    </row>
    <row r="201" spans="12:14">
      <c r="L201" s="417"/>
      <c r="M201" s="417"/>
      <c r="N201" s="417"/>
    </row>
    <row r="202" spans="12:14">
      <c r="L202" s="417"/>
      <c r="M202" s="417"/>
      <c r="N202" s="417"/>
    </row>
    <row r="203" spans="12:14">
      <c r="L203" s="417"/>
      <c r="M203" s="417"/>
      <c r="N203" s="417"/>
    </row>
    <row r="204" spans="12:14">
      <c r="L204" s="417"/>
      <c r="M204" s="417"/>
      <c r="N204" s="417"/>
    </row>
    <row r="205" spans="12:14">
      <c r="L205" s="417"/>
      <c r="M205" s="417"/>
      <c r="N205" s="417"/>
    </row>
    <row r="206" spans="12:14">
      <c r="L206" s="417"/>
      <c r="M206" s="417"/>
      <c r="N206" s="417"/>
    </row>
    <row r="207" spans="12:14">
      <c r="L207" s="417"/>
      <c r="M207" s="417"/>
      <c r="N207" s="417"/>
    </row>
    <row r="208" spans="12:14">
      <c r="L208" s="417"/>
      <c r="M208" s="417"/>
      <c r="N208" s="417"/>
    </row>
    <row r="209" spans="12:14">
      <c r="L209" s="417"/>
      <c r="M209" s="417"/>
      <c r="N209" s="417"/>
    </row>
    <row r="210" spans="12:14">
      <c r="L210" s="417"/>
      <c r="M210" s="417"/>
      <c r="N210" s="417"/>
    </row>
    <row r="211" spans="12:14">
      <c r="L211" s="417"/>
      <c r="M211" s="417"/>
      <c r="N211" s="417"/>
    </row>
    <row r="212" spans="12:14">
      <c r="L212" s="417"/>
      <c r="M212" s="417"/>
      <c r="N212" s="417"/>
    </row>
    <row r="213" spans="12:14">
      <c r="L213" s="417"/>
      <c r="M213" s="417"/>
      <c r="N213" s="417"/>
    </row>
    <row r="214" spans="12:14">
      <c r="L214" s="417"/>
      <c r="M214" s="417"/>
      <c r="N214" s="417"/>
    </row>
    <row r="215" spans="12:14">
      <c r="L215" s="417"/>
      <c r="M215" s="417"/>
      <c r="N215" s="417"/>
    </row>
    <row r="216" spans="12:14">
      <c r="L216" s="417"/>
      <c r="M216" s="417"/>
      <c r="N216" s="417"/>
    </row>
    <row r="217" spans="12:14">
      <c r="L217" s="417"/>
      <c r="M217" s="417"/>
      <c r="N217" s="417"/>
    </row>
    <row r="218" spans="12:14">
      <c r="L218" s="417"/>
      <c r="M218" s="417"/>
      <c r="N218" s="417"/>
    </row>
    <row r="219" spans="12:14">
      <c r="L219" s="417"/>
      <c r="M219" s="417"/>
      <c r="N219" s="417"/>
    </row>
    <row r="220" spans="12:14">
      <c r="L220" s="417"/>
      <c r="M220" s="417"/>
      <c r="N220" s="417"/>
    </row>
    <row r="221" spans="12:14">
      <c r="L221" s="417"/>
      <c r="M221" s="417"/>
      <c r="N221" s="417"/>
    </row>
    <row r="222" spans="12:14">
      <c r="L222" s="417"/>
      <c r="M222" s="417"/>
      <c r="N222" s="417"/>
    </row>
    <row r="223" spans="12:14">
      <c r="L223" s="417"/>
      <c r="M223" s="417"/>
      <c r="N223" s="417"/>
    </row>
    <row r="224" spans="12:14">
      <c r="L224" s="417"/>
      <c r="M224" s="417"/>
      <c r="N224" s="417"/>
    </row>
    <row r="225" spans="12:14">
      <c r="L225" s="417"/>
      <c r="M225" s="417"/>
      <c r="N225" s="417"/>
    </row>
    <row r="226" spans="12:14">
      <c r="L226" s="417"/>
      <c r="M226" s="417"/>
      <c r="N226" s="417"/>
    </row>
    <row r="227" spans="12:14">
      <c r="L227" s="417"/>
      <c r="M227" s="417"/>
      <c r="N227" s="417"/>
    </row>
    <row r="228" spans="12:14">
      <c r="L228" s="417"/>
      <c r="M228" s="417"/>
      <c r="N228" s="417"/>
    </row>
    <row r="229" spans="12:14">
      <c r="L229" s="417"/>
      <c r="M229" s="417"/>
      <c r="N229" s="417"/>
    </row>
    <row r="230" spans="12:14">
      <c r="L230" s="417"/>
      <c r="M230" s="417"/>
      <c r="N230" s="417"/>
    </row>
    <row r="231" spans="12:14">
      <c r="L231" s="417"/>
      <c r="M231" s="417"/>
      <c r="N231" s="417"/>
    </row>
    <row r="232" spans="12:14">
      <c r="L232" s="417"/>
      <c r="M232" s="417"/>
      <c r="N232" s="417"/>
    </row>
    <row r="233" spans="12:14">
      <c r="L233" s="417"/>
      <c r="M233" s="417"/>
      <c r="N233" s="417"/>
    </row>
    <row r="234" spans="12:14">
      <c r="L234" s="417"/>
      <c r="M234" s="417"/>
      <c r="N234" s="417"/>
    </row>
    <row r="235" spans="12:14">
      <c r="L235" s="417"/>
      <c r="M235" s="417"/>
      <c r="N235" s="417"/>
    </row>
    <row r="236" spans="12:14">
      <c r="L236" s="417"/>
      <c r="M236" s="417"/>
      <c r="N236" s="417"/>
    </row>
    <row r="237" spans="12:14">
      <c r="L237" s="417"/>
      <c r="M237" s="417"/>
      <c r="N237" s="417"/>
    </row>
    <row r="238" spans="12:14">
      <c r="L238" s="417"/>
      <c r="M238" s="417"/>
      <c r="N238" s="417"/>
    </row>
    <row r="239" spans="12:14">
      <c r="L239" s="417"/>
      <c r="M239" s="417"/>
      <c r="N239" s="417"/>
    </row>
    <row r="240" spans="12:14">
      <c r="L240" s="417"/>
      <c r="M240" s="417"/>
      <c r="N240" s="417"/>
    </row>
    <row r="241" spans="12:14">
      <c r="L241" s="417"/>
      <c r="M241" s="417"/>
      <c r="N241" s="417"/>
    </row>
    <row r="242" spans="12:14">
      <c r="L242" s="417"/>
      <c r="M242" s="417"/>
      <c r="N242" s="417"/>
    </row>
    <row r="243" spans="12:14">
      <c r="L243" s="417"/>
      <c r="M243" s="417"/>
      <c r="N243" s="417"/>
    </row>
    <row r="244" spans="12:14">
      <c r="L244" s="417"/>
      <c r="M244" s="417"/>
      <c r="N244" s="417"/>
    </row>
    <row r="245" spans="12:14">
      <c r="L245" s="417"/>
      <c r="M245" s="417"/>
      <c r="N245" s="417"/>
    </row>
    <row r="246" spans="12:14">
      <c r="L246" s="417"/>
      <c r="M246" s="417"/>
      <c r="N246" s="417"/>
    </row>
    <row r="247" spans="12:14">
      <c r="L247" s="417"/>
      <c r="M247" s="417"/>
      <c r="N247" s="417"/>
    </row>
    <row r="248" spans="12:14">
      <c r="L248" s="417"/>
      <c r="M248" s="417"/>
      <c r="N248" s="417"/>
    </row>
    <row r="249" spans="12:14">
      <c r="L249" s="417"/>
      <c r="M249" s="417"/>
      <c r="N249" s="417"/>
    </row>
    <row r="250" spans="12:14">
      <c r="L250" s="417"/>
      <c r="M250" s="417"/>
      <c r="N250" s="417"/>
    </row>
    <row r="251" spans="12:14">
      <c r="L251" s="417"/>
      <c r="M251" s="417"/>
      <c r="N251" s="417"/>
    </row>
    <row r="252" spans="12:14">
      <c r="L252" s="417"/>
      <c r="M252" s="417"/>
      <c r="N252" s="417"/>
    </row>
    <row r="253" spans="12:14">
      <c r="L253" s="417"/>
      <c r="M253" s="417"/>
      <c r="N253" s="417"/>
    </row>
    <row r="254" spans="12:14">
      <c r="L254" s="417"/>
      <c r="M254" s="417"/>
      <c r="N254" s="417"/>
    </row>
    <row r="255" spans="12:14">
      <c r="L255" s="417"/>
      <c r="M255" s="417"/>
      <c r="N255" s="417"/>
    </row>
    <row r="256" spans="12:14">
      <c r="L256" s="417"/>
      <c r="M256" s="417"/>
      <c r="N256" s="417"/>
    </row>
    <row r="257" spans="12:14">
      <c r="L257" s="417"/>
      <c r="M257" s="417"/>
      <c r="N257" s="417"/>
    </row>
    <row r="258" spans="12:14">
      <c r="L258" s="417"/>
      <c r="M258" s="417"/>
      <c r="N258" s="417"/>
    </row>
    <row r="259" spans="12:14">
      <c r="L259" s="417"/>
      <c r="M259" s="417"/>
      <c r="N259" s="417"/>
    </row>
    <row r="260" spans="12:14">
      <c r="L260" s="417"/>
      <c r="M260" s="417"/>
      <c r="N260" s="417"/>
    </row>
    <row r="261" spans="12:14">
      <c r="L261" s="417"/>
      <c r="M261" s="417"/>
      <c r="N261" s="417"/>
    </row>
    <row r="262" spans="12:14">
      <c r="L262" s="417"/>
      <c r="M262" s="417"/>
      <c r="N262" s="417"/>
    </row>
    <row r="263" spans="12:14">
      <c r="L263" s="417"/>
      <c r="M263" s="417"/>
      <c r="N263" s="417"/>
    </row>
    <row r="264" spans="12:14">
      <c r="L264" s="417"/>
      <c r="M264" s="417"/>
      <c r="N264" s="417"/>
    </row>
    <row r="265" spans="12:14">
      <c r="L265" s="417"/>
      <c r="M265" s="417"/>
      <c r="N265" s="417"/>
    </row>
    <row r="266" spans="12:14">
      <c r="L266" s="417"/>
      <c r="M266" s="417"/>
      <c r="N266" s="417"/>
    </row>
    <row r="267" spans="12:14">
      <c r="L267" s="417"/>
      <c r="M267" s="417"/>
      <c r="N267" s="417"/>
    </row>
    <row r="268" spans="12:14">
      <c r="L268" s="417"/>
      <c r="M268" s="417"/>
      <c r="N268" s="417"/>
    </row>
    <row r="269" spans="12:14">
      <c r="L269" s="417"/>
      <c r="M269" s="417"/>
      <c r="N269" s="417"/>
    </row>
    <row r="270" spans="12:14">
      <c r="L270" s="417"/>
      <c r="M270" s="417"/>
      <c r="N270" s="417"/>
    </row>
    <row r="271" spans="12:14">
      <c r="L271" s="417"/>
      <c r="M271" s="417"/>
      <c r="N271" s="417"/>
    </row>
    <row r="272" spans="12:14">
      <c r="L272" s="417"/>
      <c r="M272" s="417"/>
      <c r="N272" s="417"/>
    </row>
    <row r="273" spans="12:14">
      <c r="L273" s="417"/>
      <c r="M273" s="417"/>
      <c r="N273" s="417"/>
    </row>
    <row r="274" spans="12:14">
      <c r="L274" s="417"/>
      <c r="M274" s="417"/>
      <c r="N274" s="417"/>
    </row>
    <row r="275" spans="12:14">
      <c r="L275" s="417"/>
      <c r="M275" s="417"/>
      <c r="N275" s="417"/>
    </row>
    <row r="276" spans="12:14">
      <c r="L276" s="417"/>
      <c r="M276" s="417"/>
      <c r="N276" s="417"/>
    </row>
    <row r="277" spans="12:14">
      <c r="L277" s="417"/>
      <c r="M277" s="417"/>
      <c r="N277" s="417"/>
    </row>
    <row r="278" spans="12:14">
      <c r="L278" s="417"/>
      <c r="M278" s="417"/>
      <c r="N278" s="417"/>
    </row>
    <row r="279" spans="12:14">
      <c r="L279" s="417"/>
      <c r="M279" s="417"/>
      <c r="N279" s="417"/>
    </row>
    <row r="280" spans="12:14">
      <c r="L280" s="417"/>
      <c r="M280" s="417"/>
      <c r="N280" s="417"/>
    </row>
    <row r="281" spans="12:14">
      <c r="L281" s="417"/>
      <c r="M281" s="417"/>
      <c r="N281" s="417"/>
    </row>
    <row r="282" spans="12:14">
      <c r="L282" s="417"/>
      <c r="M282" s="417"/>
      <c r="N282" s="417"/>
    </row>
    <row r="283" spans="12:14">
      <c r="L283" s="417"/>
      <c r="M283" s="417"/>
      <c r="N283" s="417"/>
    </row>
    <row r="284" spans="12:14">
      <c r="L284" s="417"/>
      <c r="M284" s="417"/>
      <c r="N284" s="417"/>
    </row>
    <row r="285" spans="12:14">
      <c r="L285" s="417"/>
      <c r="M285" s="417"/>
      <c r="N285" s="417"/>
    </row>
    <row r="286" spans="12:14">
      <c r="L286" s="417"/>
      <c r="M286" s="417"/>
      <c r="N286" s="417"/>
    </row>
    <row r="287" spans="12:14">
      <c r="L287" s="417"/>
      <c r="M287" s="417"/>
      <c r="N287" s="417"/>
    </row>
    <row r="288" spans="12:14">
      <c r="L288" s="417"/>
      <c r="M288" s="417"/>
      <c r="N288" s="417"/>
    </row>
    <row r="289" spans="12:14">
      <c r="L289" s="417"/>
      <c r="M289" s="417"/>
      <c r="N289" s="417"/>
    </row>
    <row r="290" spans="12:14">
      <c r="L290" s="417"/>
      <c r="M290" s="417"/>
      <c r="N290" s="417"/>
    </row>
    <row r="291" spans="12:14">
      <c r="L291" s="417"/>
      <c r="M291" s="417"/>
      <c r="N291" s="417"/>
    </row>
    <row r="292" spans="12:14">
      <c r="L292" s="417"/>
      <c r="M292" s="417"/>
      <c r="N292" s="417"/>
    </row>
    <row r="293" spans="12:14">
      <c r="L293" s="417"/>
      <c r="M293" s="417"/>
      <c r="N293" s="417"/>
    </row>
    <row r="294" spans="12:14">
      <c r="L294" s="417"/>
      <c r="M294" s="417"/>
      <c r="N294" s="417"/>
    </row>
    <row r="295" spans="12:14">
      <c r="L295" s="417"/>
      <c r="M295" s="417"/>
      <c r="N295" s="417"/>
    </row>
    <row r="296" spans="12:14">
      <c r="L296" s="417"/>
      <c r="M296" s="417"/>
      <c r="N296" s="417"/>
    </row>
    <row r="297" spans="12:14">
      <c r="L297" s="417"/>
      <c r="M297" s="417"/>
      <c r="N297" s="417"/>
    </row>
    <row r="298" spans="12:14">
      <c r="L298" s="417"/>
      <c r="M298" s="417"/>
      <c r="N298" s="417"/>
    </row>
    <row r="299" spans="12:14">
      <c r="L299" s="417"/>
      <c r="M299" s="417"/>
      <c r="N299" s="417"/>
    </row>
    <row r="300" spans="12:14">
      <c r="L300" s="417"/>
      <c r="M300" s="417"/>
      <c r="N300" s="417"/>
    </row>
    <row r="301" spans="12:14">
      <c r="L301" s="417"/>
      <c r="M301" s="417"/>
      <c r="N301" s="417"/>
    </row>
    <row r="302" spans="12:14">
      <c r="L302" s="417"/>
      <c r="M302" s="417"/>
      <c r="N302" s="417"/>
    </row>
    <row r="303" spans="12:14">
      <c r="L303" s="417"/>
      <c r="M303" s="417"/>
      <c r="N303" s="417"/>
    </row>
    <row r="304" spans="12:14">
      <c r="L304" s="417"/>
      <c r="M304" s="417"/>
      <c r="N304" s="417"/>
    </row>
    <row r="305" spans="12:14">
      <c r="L305" s="417"/>
      <c r="M305" s="417"/>
      <c r="N305" s="417"/>
    </row>
    <row r="306" spans="12:14">
      <c r="L306" s="417"/>
      <c r="M306" s="417"/>
      <c r="N306" s="417"/>
    </row>
    <row r="307" spans="12:14">
      <c r="L307" s="417"/>
      <c r="M307" s="417"/>
      <c r="N307" s="417"/>
    </row>
    <row r="308" spans="12:14">
      <c r="L308" s="417"/>
      <c r="M308" s="417"/>
      <c r="N308" s="417"/>
    </row>
    <row r="309" spans="12:14">
      <c r="L309" s="417"/>
      <c r="M309" s="417"/>
      <c r="N309" s="417"/>
    </row>
    <row r="310" spans="12:14">
      <c r="L310" s="417"/>
      <c r="M310" s="417"/>
      <c r="N310" s="417"/>
    </row>
    <row r="311" spans="12:14">
      <c r="L311" s="417"/>
      <c r="M311" s="417"/>
      <c r="N311" s="417"/>
    </row>
    <row r="312" spans="12:14">
      <c r="L312" s="417"/>
      <c r="M312" s="417"/>
      <c r="N312" s="417"/>
    </row>
    <row r="313" spans="12:14">
      <c r="L313" s="417"/>
      <c r="M313" s="417"/>
      <c r="N313" s="417"/>
    </row>
    <row r="314" spans="12:14">
      <c r="L314" s="417"/>
      <c r="M314" s="417"/>
      <c r="N314" s="417"/>
    </row>
    <row r="315" spans="12:14">
      <c r="L315" s="417"/>
      <c r="M315" s="417"/>
      <c r="N315" s="417"/>
    </row>
    <row r="316" spans="12:14">
      <c r="L316" s="417"/>
      <c r="M316" s="417"/>
      <c r="N316" s="417"/>
    </row>
    <row r="317" spans="12:14">
      <c r="L317" s="417"/>
      <c r="M317" s="417"/>
      <c r="N317" s="417"/>
    </row>
    <row r="318" spans="12:14">
      <c r="L318" s="417"/>
      <c r="M318" s="417"/>
      <c r="N318" s="417"/>
    </row>
    <row r="319" spans="12:14">
      <c r="L319" s="417"/>
      <c r="M319" s="417"/>
      <c r="N319" s="417"/>
    </row>
    <row r="320" spans="12:14">
      <c r="L320" s="417"/>
      <c r="M320" s="417"/>
      <c r="N320" s="417"/>
    </row>
    <row r="321" spans="12:14">
      <c r="L321" s="417"/>
      <c r="M321" s="417"/>
      <c r="N321" s="417"/>
    </row>
    <row r="322" spans="12:14">
      <c r="L322" s="417"/>
      <c r="M322" s="417"/>
      <c r="N322" s="417"/>
    </row>
    <row r="323" spans="12:14">
      <c r="L323" s="417"/>
      <c r="M323" s="417"/>
      <c r="N323" s="417"/>
    </row>
    <row r="324" spans="12:14">
      <c r="L324" s="417"/>
      <c r="M324" s="417"/>
      <c r="N324" s="417"/>
    </row>
    <row r="325" spans="12:14">
      <c r="L325" s="417"/>
      <c r="M325" s="417"/>
      <c r="N325" s="417"/>
    </row>
    <row r="326" spans="12:14">
      <c r="L326" s="417"/>
      <c r="M326" s="417"/>
      <c r="N326" s="417"/>
    </row>
    <row r="327" spans="12:14">
      <c r="L327" s="417"/>
      <c r="M327" s="417"/>
      <c r="N327" s="417"/>
    </row>
    <row r="328" spans="12:14">
      <c r="L328" s="417"/>
      <c r="M328" s="417"/>
      <c r="N328" s="417"/>
    </row>
    <row r="329" spans="12:14">
      <c r="L329" s="417"/>
      <c r="M329" s="417"/>
      <c r="N329" s="417"/>
    </row>
    <row r="330" spans="12:14">
      <c r="L330" s="417"/>
      <c r="M330" s="417"/>
      <c r="N330" s="417"/>
    </row>
    <row r="331" spans="12:14">
      <c r="L331" s="417"/>
      <c r="M331" s="417"/>
      <c r="N331" s="417"/>
    </row>
    <row r="332" spans="12:14">
      <c r="L332" s="417"/>
      <c r="M332" s="417"/>
      <c r="N332" s="417"/>
    </row>
    <row r="333" spans="12:14">
      <c r="L333" s="417"/>
      <c r="M333" s="417"/>
      <c r="N333" s="417"/>
    </row>
    <row r="334" spans="12:14">
      <c r="L334" s="417"/>
      <c r="M334" s="417"/>
      <c r="N334" s="417"/>
    </row>
    <row r="335" spans="12:14">
      <c r="L335" s="417"/>
      <c r="M335" s="417"/>
      <c r="N335" s="417"/>
    </row>
    <row r="336" spans="12:14">
      <c r="L336" s="417"/>
      <c r="M336" s="417"/>
      <c r="N336" s="417"/>
    </row>
    <row r="337" spans="12:14">
      <c r="L337" s="417"/>
      <c r="M337" s="417"/>
      <c r="N337" s="417"/>
    </row>
    <row r="338" spans="12:14">
      <c r="L338" s="417"/>
      <c r="M338" s="417"/>
      <c r="N338" s="417"/>
    </row>
    <row r="339" spans="12:14">
      <c r="L339" s="417"/>
      <c r="M339" s="417"/>
      <c r="N339" s="417"/>
    </row>
    <row r="340" spans="12:14">
      <c r="L340" s="417"/>
      <c r="M340" s="417"/>
      <c r="N340" s="417"/>
    </row>
    <row r="341" spans="12:14">
      <c r="L341" s="417"/>
      <c r="M341" s="417"/>
      <c r="N341" s="417"/>
    </row>
    <row r="342" spans="12:14">
      <c r="L342" s="417"/>
      <c r="M342" s="417"/>
      <c r="N342" s="417"/>
    </row>
    <row r="343" spans="12:14">
      <c r="L343" s="417"/>
      <c r="M343" s="417"/>
      <c r="N343" s="417"/>
    </row>
    <row r="344" spans="12:14">
      <c r="L344" s="417"/>
      <c r="M344" s="417"/>
      <c r="N344" s="417"/>
    </row>
    <row r="345" spans="12:14">
      <c r="L345" s="417"/>
      <c r="M345" s="417"/>
      <c r="N345" s="417"/>
    </row>
    <row r="346" spans="12:14">
      <c r="L346" s="417"/>
      <c r="M346" s="417"/>
      <c r="N346" s="417"/>
    </row>
    <row r="347" spans="12:14">
      <c r="L347" s="417"/>
      <c r="M347" s="417"/>
      <c r="N347" s="417"/>
    </row>
    <row r="348" spans="12:14">
      <c r="L348" s="417"/>
      <c r="M348" s="417"/>
      <c r="N348" s="417"/>
    </row>
    <row r="349" spans="12:14">
      <c r="L349" s="417"/>
      <c r="M349" s="417"/>
      <c r="N349" s="417"/>
    </row>
    <row r="350" spans="12:14">
      <c r="L350" s="417"/>
      <c r="M350" s="417"/>
      <c r="N350" s="417"/>
    </row>
    <row r="351" spans="12:14">
      <c r="L351" s="417"/>
      <c r="M351" s="417"/>
      <c r="N351" s="417"/>
    </row>
    <row r="352" spans="12:14">
      <c r="L352" s="417"/>
      <c r="M352" s="417"/>
      <c r="N352" s="417"/>
    </row>
    <row r="353" spans="12:18">
      <c r="L353" s="417"/>
      <c r="M353" s="417"/>
      <c r="N353" s="417"/>
    </row>
    <row r="354" spans="12:18">
      <c r="L354" s="417"/>
      <c r="M354" s="417"/>
      <c r="N354" s="417"/>
    </row>
    <row r="355" spans="12:18">
      <c r="L355" s="417"/>
      <c r="M355" s="417"/>
      <c r="N355" s="417"/>
    </row>
    <row r="356" spans="12:18">
      <c r="L356" s="417"/>
      <c r="M356" s="417"/>
      <c r="N356" s="417"/>
    </row>
    <row r="357" spans="12:18">
      <c r="L357" s="417"/>
      <c r="M357" s="417"/>
      <c r="N357" s="417"/>
      <c r="O357" s="395"/>
      <c r="P357" s="395"/>
      <c r="Q357" s="395"/>
      <c r="R357" s="395"/>
    </row>
    <row r="358" spans="12:18">
      <c r="L358" s="417"/>
      <c r="M358" s="417"/>
      <c r="N358" s="417"/>
      <c r="O358" s="395"/>
      <c r="P358" s="395"/>
      <c r="Q358" s="395"/>
      <c r="R358" s="395"/>
    </row>
    <row r="359" spans="12:18">
      <c r="L359" s="417"/>
      <c r="M359" s="417"/>
      <c r="N359" s="417"/>
      <c r="O359" s="395"/>
      <c r="P359" s="395"/>
      <c r="Q359" s="395"/>
      <c r="R359" s="395"/>
    </row>
    <row r="360" spans="12:18">
      <c r="L360" s="417"/>
      <c r="M360" s="417"/>
      <c r="N360" s="417"/>
      <c r="O360" s="395"/>
      <c r="P360" s="395"/>
      <c r="Q360" s="395"/>
      <c r="R360" s="395"/>
    </row>
    <row r="361" spans="12:18">
      <c r="L361" s="417"/>
      <c r="M361" s="417"/>
      <c r="N361" s="417"/>
      <c r="O361" s="395"/>
      <c r="P361" s="395"/>
      <c r="Q361" s="395"/>
      <c r="R361" s="395"/>
    </row>
    <row r="362" spans="12:18">
      <c r="L362" s="417"/>
      <c r="M362" s="417"/>
      <c r="N362" s="417"/>
      <c r="O362" s="395"/>
      <c r="P362" s="395"/>
      <c r="Q362" s="395"/>
      <c r="R362" s="395"/>
    </row>
    <row r="363" spans="12:18">
      <c r="L363" s="417"/>
      <c r="M363" s="417"/>
      <c r="N363" s="417"/>
      <c r="O363" s="395"/>
      <c r="P363" s="395"/>
      <c r="Q363" s="395"/>
      <c r="R363" s="395"/>
    </row>
    <row r="364" spans="12:18">
      <c r="L364" s="417"/>
      <c r="M364" s="417"/>
      <c r="N364" s="417"/>
      <c r="O364" s="395"/>
      <c r="P364" s="395"/>
      <c r="Q364" s="395"/>
      <c r="R364" s="395"/>
    </row>
    <row r="365" spans="12:18">
      <c r="L365" s="417"/>
      <c r="M365" s="417"/>
      <c r="N365" s="417"/>
      <c r="O365" s="395"/>
      <c r="P365" s="395"/>
      <c r="Q365" s="395"/>
      <c r="R365" s="395"/>
    </row>
    <row r="366" spans="12:18">
      <c r="L366" s="417"/>
      <c r="M366" s="417"/>
      <c r="N366" s="417"/>
      <c r="O366" s="395"/>
      <c r="P366" s="395"/>
      <c r="Q366" s="395"/>
      <c r="R366" s="395"/>
    </row>
    <row r="367" spans="12:18">
      <c r="L367" s="417"/>
      <c r="M367" s="417"/>
      <c r="N367" s="417"/>
      <c r="O367" s="395"/>
      <c r="P367" s="395"/>
      <c r="Q367" s="395"/>
      <c r="R367" s="395"/>
    </row>
    <row r="368" spans="12:18">
      <c r="L368" s="417"/>
      <c r="M368" s="417"/>
      <c r="N368" s="417"/>
      <c r="O368" s="395"/>
      <c r="P368" s="395"/>
      <c r="Q368" s="395"/>
      <c r="R368" s="395"/>
    </row>
    <row r="369" spans="12:18">
      <c r="L369" s="417"/>
      <c r="M369" s="417"/>
      <c r="N369" s="417"/>
      <c r="O369" s="395"/>
      <c r="P369" s="395"/>
      <c r="Q369" s="395"/>
      <c r="R369" s="395"/>
    </row>
    <row r="370" spans="12:18">
      <c r="L370" s="417"/>
      <c r="M370" s="417"/>
      <c r="N370" s="417"/>
      <c r="O370" s="395"/>
      <c r="P370" s="395"/>
      <c r="Q370" s="395"/>
      <c r="R370" s="395"/>
    </row>
    <row r="371" spans="12:18">
      <c r="L371" s="417"/>
      <c r="M371" s="417"/>
      <c r="N371" s="417"/>
      <c r="O371" s="395"/>
      <c r="P371" s="395"/>
      <c r="Q371" s="395"/>
      <c r="R371" s="395"/>
    </row>
    <row r="372" spans="12:18">
      <c r="L372" s="417"/>
      <c r="M372" s="417"/>
      <c r="N372" s="417"/>
      <c r="O372" s="395"/>
      <c r="P372" s="395"/>
      <c r="Q372" s="395"/>
      <c r="R372" s="395"/>
    </row>
    <row r="373" spans="12:18">
      <c r="L373" s="417"/>
      <c r="M373" s="417"/>
      <c r="N373" s="417"/>
      <c r="O373" s="395"/>
      <c r="P373" s="395"/>
      <c r="Q373" s="395"/>
      <c r="R373" s="395"/>
    </row>
    <row r="374" spans="12:18">
      <c r="L374" s="417"/>
      <c r="M374" s="417"/>
      <c r="N374" s="417"/>
      <c r="O374" s="395"/>
      <c r="P374" s="395"/>
      <c r="Q374" s="395"/>
      <c r="R374" s="395"/>
    </row>
    <row r="375" spans="12:18">
      <c r="L375" s="417"/>
      <c r="M375" s="417"/>
      <c r="N375" s="417"/>
      <c r="O375" s="395"/>
      <c r="P375" s="395"/>
      <c r="Q375" s="395"/>
      <c r="R375" s="395"/>
    </row>
    <row r="376" spans="12:18">
      <c r="L376" s="417"/>
      <c r="M376" s="417"/>
      <c r="N376" s="417"/>
      <c r="O376" s="395"/>
      <c r="P376" s="395"/>
      <c r="Q376" s="395"/>
      <c r="R376" s="395"/>
    </row>
    <row r="377" spans="12:18">
      <c r="L377" s="417"/>
      <c r="M377" s="417"/>
      <c r="N377" s="417"/>
      <c r="O377" s="395"/>
      <c r="P377" s="395"/>
      <c r="Q377" s="395"/>
      <c r="R377" s="395"/>
    </row>
    <row r="378" spans="12:18">
      <c r="L378" s="417"/>
      <c r="M378" s="417"/>
      <c r="N378" s="417"/>
      <c r="O378" s="395"/>
      <c r="P378" s="395"/>
      <c r="Q378" s="395"/>
      <c r="R378" s="395"/>
    </row>
    <row r="379" spans="12:18">
      <c r="L379" s="417"/>
      <c r="M379" s="417"/>
      <c r="N379" s="417"/>
      <c r="O379" s="395"/>
      <c r="P379" s="395"/>
      <c r="Q379" s="395"/>
      <c r="R379" s="395"/>
    </row>
    <row r="380" spans="12:18">
      <c r="L380" s="417"/>
      <c r="M380" s="417"/>
      <c r="N380" s="417"/>
      <c r="O380" s="395"/>
      <c r="P380" s="395"/>
      <c r="Q380" s="395"/>
      <c r="R380" s="395"/>
    </row>
    <row r="381" spans="12:18">
      <c r="L381" s="417"/>
      <c r="M381" s="417"/>
      <c r="N381" s="417"/>
      <c r="O381" s="395"/>
      <c r="P381" s="395"/>
      <c r="Q381" s="395"/>
      <c r="R381" s="395"/>
    </row>
    <row r="382" spans="12:18">
      <c r="L382" s="417"/>
      <c r="M382" s="417"/>
      <c r="N382" s="417"/>
      <c r="O382" s="395"/>
      <c r="P382" s="395"/>
      <c r="Q382" s="395"/>
      <c r="R382" s="395"/>
    </row>
    <row r="383" spans="12:18">
      <c r="L383" s="417"/>
      <c r="M383" s="417"/>
      <c r="N383" s="417"/>
      <c r="O383" s="395"/>
      <c r="P383" s="395"/>
      <c r="Q383" s="395"/>
      <c r="R383" s="395"/>
    </row>
    <row r="384" spans="12:18">
      <c r="L384" s="417"/>
      <c r="M384" s="417"/>
      <c r="N384" s="417"/>
      <c r="O384" s="395"/>
      <c r="P384" s="395"/>
      <c r="Q384" s="395"/>
      <c r="R384" s="395"/>
    </row>
    <row r="385" spans="12:18">
      <c r="L385" s="417"/>
      <c r="M385" s="417"/>
      <c r="N385" s="417"/>
      <c r="O385" s="395"/>
      <c r="P385" s="395"/>
      <c r="Q385" s="395"/>
      <c r="R385" s="395"/>
    </row>
    <row r="386" spans="12:18">
      <c r="L386" s="417"/>
      <c r="M386" s="417"/>
      <c r="N386" s="417"/>
      <c r="O386" s="395"/>
      <c r="P386" s="395"/>
      <c r="Q386" s="395"/>
      <c r="R386" s="395"/>
    </row>
    <row r="387" spans="12:18">
      <c r="L387" s="417"/>
      <c r="M387" s="417"/>
      <c r="N387" s="417"/>
      <c r="O387" s="395"/>
      <c r="P387" s="395"/>
      <c r="Q387" s="395"/>
      <c r="R387" s="395"/>
    </row>
    <row r="388" spans="12:18">
      <c r="L388" s="417"/>
      <c r="M388" s="417"/>
      <c r="N388" s="417"/>
      <c r="O388" s="395"/>
      <c r="P388" s="395"/>
      <c r="Q388" s="395"/>
      <c r="R388" s="395"/>
    </row>
    <row r="389" spans="12:18">
      <c r="L389" s="417"/>
      <c r="M389" s="417"/>
      <c r="N389" s="417"/>
      <c r="O389" s="395"/>
      <c r="P389" s="395"/>
      <c r="Q389" s="395"/>
      <c r="R389" s="395"/>
    </row>
    <row r="390" spans="12:18">
      <c r="L390" s="417"/>
      <c r="M390" s="417"/>
      <c r="N390" s="417"/>
      <c r="O390" s="395"/>
      <c r="P390" s="395"/>
      <c r="Q390" s="395"/>
      <c r="R390" s="395"/>
    </row>
    <row r="391" spans="12:18">
      <c r="L391" s="417"/>
      <c r="M391" s="417"/>
      <c r="N391" s="417"/>
      <c r="O391" s="395"/>
      <c r="P391" s="395"/>
      <c r="Q391" s="395"/>
      <c r="R391" s="395"/>
    </row>
    <row r="392" spans="12:18">
      <c r="L392" s="417"/>
      <c r="M392" s="417"/>
      <c r="N392" s="417"/>
      <c r="O392" s="395"/>
      <c r="P392" s="395"/>
      <c r="Q392" s="395"/>
      <c r="R392" s="395"/>
    </row>
    <row r="393" spans="12:18">
      <c r="L393" s="417"/>
      <c r="M393" s="417"/>
      <c r="N393" s="417"/>
      <c r="O393" s="395"/>
      <c r="P393" s="395"/>
      <c r="Q393" s="395"/>
      <c r="R393" s="395"/>
    </row>
    <row r="394" spans="12:18">
      <c r="L394" s="417"/>
      <c r="M394" s="417"/>
      <c r="N394" s="417"/>
      <c r="O394" s="395"/>
      <c r="P394" s="395"/>
      <c r="Q394" s="395"/>
      <c r="R394" s="395"/>
    </row>
    <row r="395" spans="12:18">
      <c r="L395" s="417"/>
      <c r="M395" s="417"/>
      <c r="N395" s="417"/>
      <c r="O395" s="395"/>
      <c r="P395" s="395"/>
      <c r="Q395" s="395"/>
      <c r="R395" s="395"/>
    </row>
    <row r="396" spans="12:18">
      <c r="L396" s="417"/>
      <c r="M396" s="417"/>
      <c r="N396" s="417"/>
      <c r="O396" s="395"/>
      <c r="P396" s="395"/>
      <c r="Q396" s="395"/>
      <c r="R396" s="395"/>
    </row>
    <row r="397" spans="12:18">
      <c r="L397" s="417"/>
      <c r="M397" s="417"/>
      <c r="N397" s="417"/>
      <c r="O397" s="395"/>
      <c r="P397" s="395"/>
      <c r="Q397" s="395"/>
      <c r="R397" s="395"/>
    </row>
    <row r="398" spans="12:18">
      <c r="L398" s="417"/>
      <c r="M398" s="417"/>
      <c r="N398" s="417"/>
      <c r="O398" s="395"/>
      <c r="P398" s="395"/>
      <c r="Q398" s="395"/>
      <c r="R398" s="395"/>
    </row>
    <row r="399" spans="12:18">
      <c r="L399" s="417"/>
      <c r="M399" s="417"/>
      <c r="N399" s="417"/>
      <c r="O399" s="395"/>
      <c r="P399" s="395"/>
      <c r="Q399" s="395"/>
      <c r="R399" s="395"/>
    </row>
    <row r="400" spans="12:18">
      <c r="L400" s="417"/>
      <c r="M400" s="417"/>
      <c r="N400" s="417"/>
      <c r="O400" s="395"/>
      <c r="P400" s="395"/>
      <c r="Q400" s="395"/>
      <c r="R400" s="395"/>
    </row>
    <row r="401" spans="12:18">
      <c r="L401" s="417"/>
      <c r="M401" s="417"/>
      <c r="N401" s="417"/>
      <c r="O401" s="395"/>
      <c r="P401" s="395"/>
      <c r="Q401" s="395"/>
      <c r="R401" s="395"/>
    </row>
    <row r="402" spans="12:18">
      <c r="L402" s="417"/>
      <c r="M402" s="417"/>
      <c r="N402" s="417"/>
      <c r="O402" s="395"/>
      <c r="P402" s="395"/>
      <c r="Q402" s="395"/>
      <c r="R402" s="395"/>
    </row>
    <row r="403" spans="12:18">
      <c r="L403" s="417"/>
      <c r="M403" s="417"/>
      <c r="N403" s="417"/>
      <c r="O403" s="395"/>
      <c r="P403" s="395"/>
      <c r="Q403" s="395"/>
      <c r="R403" s="395"/>
    </row>
    <row r="404" spans="12:18">
      <c r="L404" s="417"/>
      <c r="M404" s="417"/>
      <c r="N404" s="417"/>
      <c r="O404" s="395"/>
      <c r="P404" s="395"/>
      <c r="Q404" s="395"/>
      <c r="R404" s="395"/>
    </row>
    <row r="405" spans="12:18">
      <c r="L405" s="417"/>
      <c r="M405" s="417"/>
      <c r="N405" s="417"/>
      <c r="O405" s="395"/>
      <c r="P405" s="395"/>
      <c r="Q405" s="395"/>
      <c r="R405" s="395"/>
    </row>
    <row r="406" spans="12:18">
      <c r="L406" s="417"/>
      <c r="M406" s="417"/>
      <c r="N406" s="417"/>
      <c r="O406" s="395"/>
      <c r="P406" s="395"/>
      <c r="Q406" s="395"/>
      <c r="R406" s="395"/>
    </row>
    <row r="407" spans="12:18">
      <c r="L407" s="417"/>
      <c r="M407" s="417"/>
      <c r="N407" s="417"/>
      <c r="O407" s="395"/>
      <c r="P407" s="395"/>
      <c r="Q407" s="395"/>
      <c r="R407" s="395"/>
    </row>
    <row r="408" spans="12:18">
      <c r="L408" s="417"/>
      <c r="M408" s="417"/>
      <c r="N408" s="417"/>
      <c r="O408" s="395"/>
      <c r="P408" s="395"/>
      <c r="Q408" s="395"/>
      <c r="R408" s="395"/>
    </row>
    <row r="409" spans="12:18">
      <c r="L409" s="417"/>
      <c r="M409" s="417"/>
      <c r="N409" s="417"/>
      <c r="O409" s="395"/>
      <c r="P409" s="395"/>
      <c r="Q409" s="395"/>
      <c r="R409" s="395"/>
    </row>
    <row r="410" spans="12:18">
      <c r="L410" s="417"/>
      <c r="M410" s="417"/>
      <c r="N410" s="417"/>
      <c r="O410" s="395"/>
      <c r="P410" s="395"/>
      <c r="Q410" s="395"/>
      <c r="R410" s="395"/>
    </row>
    <row r="411" spans="12:18">
      <c r="L411" s="417"/>
      <c r="M411" s="417"/>
      <c r="N411" s="417"/>
      <c r="O411" s="395"/>
      <c r="P411" s="395"/>
      <c r="Q411" s="395"/>
      <c r="R411" s="395"/>
    </row>
    <row r="412" spans="12:18">
      <c r="L412" s="417"/>
      <c r="M412" s="417"/>
      <c r="N412" s="417"/>
      <c r="O412" s="395"/>
      <c r="P412" s="395"/>
      <c r="Q412" s="395"/>
      <c r="R412" s="395"/>
    </row>
    <row r="413" spans="12:18">
      <c r="L413" s="417"/>
      <c r="M413" s="417"/>
      <c r="N413" s="417"/>
      <c r="O413" s="395"/>
      <c r="P413" s="395"/>
      <c r="Q413" s="395"/>
      <c r="R413" s="395"/>
    </row>
    <row r="414" spans="12:18">
      <c r="L414" s="417"/>
      <c r="M414" s="417"/>
      <c r="N414" s="417"/>
      <c r="O414" s="395"/>
      <c r="P414" s="395"/>
      <c r="Q414" s="395"/>
      <c r="R414" s="395"/>
    </row>
    <row r="415" spans="12:18">
      <c r="L415" s="417"/>
      <c r="M415" s="417"/>
      <c r="N415" s="417"/>
      <c r="O415" s="395"/>
      <c r="P415" s="395"/>
      <c r="Q415" s="395"/>
      <c r="R415" s="395"/>
    </row>
    <row r="416" spans="12:18">
      <c r="L416" s="417"/>
      <c r="M416" s="417"/>
      <c r="N416" s="417"/>
      <c r="O416" s="395"/>
      <c r="P416" s="395"/>
      <c r="Q416" s="395"/>
      <c r="R416" s="395"/>
    </row>
    <row r="417" spans="12:18">
      <c r="L417" s="417"/>
      <c r="M417" s="417"/>
      <c r="N417" s="417"/>
      <c r="O417" s="395"/>
      <c r="P417" s="395"/>
      <c r="Q417" s="395"/>
      <c r="R417" s="395"/>
    </row>
    <row r="418" spans="12:18">
      <c r="L418" s="417"/>
      <c r="M418" s="417"/>
      <c r="N418" s="417"/>
      <c r="O418" s="395"/>
      <c r="P418" s="395"/>
      <c r="Q418" s="395"/>
      <c r="R418" s="395"/>
    </row>
    <row r="419" spans="12:18">
      <c r="L419" s="417"/>
      <c r="M419" s="417"/>
      <c r="N419" s="417"/>
      <c r="O419" s="395"/>
      <c r="P419" s="395"/>
      <c r="Q419" s="395"/>
      <c r="R419" s="395"/>
    </row>
    <row r="420" spans="12:18">
      <c r="L420" s="417"/>
      <c r="M420" s="417"/>
      <c r="N420" s="417"/>
      <c r="O420" s="395"/>
      <c r="P420" s="395"/>
      <c r="Q420" s="395"/>
      <c r="R420" s="395"/>
    </row>
    <row r="421" spans="12:18">
      <c r="L421" s="417"/>
      <c r="M421" s="417"/>
      <c r="N421" s="417"/>
      <c r="O421" s="395"/>
      <c r="P421" s="395"/>
      <c r="Q421" s="395"/>
      <c r="R421" s="395"/>
    </row>
    <row r="422" spans="12:18">
      <c r="L422" s="417"/>
      <c r="M422" s="417"/>
      <c r="N422" s="417"/>
      <c r="O422" s="395"/>
      <c r="P422" s="395"/>
      <c r="Q422" s="395"/>
      <c r="R422" s="395"/>
    </row>
    <row r="423" spans="12:18">
      <c r="L423" s="417"/>
      <c r="M423" s="417"/>
      <c r="N423" s="417"/>
      <c r="O423" s="395"/>
      <c r="P423" s="395"/>
      <c r="Q423" s="395"/>
      <c r="R423" s="395"/>
    </row>
    <row r="424" spans="12:18">
      <c r="L424" s="417"/>
      <c r="M424" s="417"/>
      <c r="N424" s="417"/>
      <c r="O424" s="395"/>
      <c r="P424" s="395"/>
      <c r="Q424" s="395"/>
      <c r="R424" s="395"/>
    </row>
    <row r="425" spans="12:18">
      <c r="L425" s="417"/>
      <c r="M425" s="417"/>
      <c r="N425" s="417"/>
      <c r="O425" s="395"/>
      <c r="P425" s="395"/>
      <c r="Q425" s="395"/>
      <c r="R425" s="395"/>
    </row>
    <row r="426" spans="12:18">
      <c r="L426" s="417"/>
      <c r="M426" s="417"/>
      <c r="N426" s="417"/>
      <c r="O426" s="395"/>
      <c r="P426" s="395"/>
      <c r="Q426" s="395"/>
      <c r="R426" s="395"/>
    </row>
    <row r="427" spans="12:18">
      <c r="L427" s="417"/>
      <c r="M427" s="417"/>
      <c r="N427" s="417"/>
      <c r="O427" s="395"/>
      <c r="P427" s="395"/>
      <c r="Q427" s="395"/>
      <c r="R427" s="395"/>
    </row>
    <row r="428" spans="12:18">
      <c r="L428" s="417"/>
      <c r="M428" s="417"/>
      <c r="N428" s="417"/>
      <c r="O428" s="395"/>
      <c r="P428" s="395"/>
      <c r="Q428" s="395"/>
      <c r="R428" s="395"/>
    </row>
    <row r="429" spans="12:18">
      <c r="L429" s="417"/>
      <c r="M429" s="417"/>
      <c r="N429" s="417"/>
      <c r="O429" s="395"/>
      <c r="P429" s="395"/>
      <c r="Q429" s="395"/>
      <c r="R429" s="395"/>
    </row>
    <row r="430" spans="12:18">
      <c r="L430" s="417"/>
      <c r="M430" s="417"/>
      <c r="N430" s="417"/>
      <c r="O430" s="395"/>
      <c r="P430" s="395"/>
      <c r="Q430" s="395"/>
      <c r="R430" s="395"/>
    </row>
    <row r="431" spans="12:18">
      <c r="L431" s="417"/>
      <c r="M431" s="417"/>
      <c r="N431" s="417"/>
      <c r="O431" s="395"/>
      <c r="P431" s="395"/>
      <c r="Q431" s="395"/>
      <c r="R431" s="395"/>
    </row>
    <row r="432" spans="12:18">
      <c r="L432" s="417"/>
      <c r="M432" s="417"/>
      <c r="N432" s="417"/>
      <c r="O432" s="395"/>
      <c r="P432" s="395"/>
      <c r="Q432" s="395"/>
      <c r="R432" s="395"/>
    </row>
    <row r="433" spans="12:18">
      <c r="L433" s="417"/>
      <c r="M433" s="417"/>
      <c r="N433" s="417"/>
      <c r="O433" s="395"/>
      <c r="P433" s="395"/>
      <c r="Q433" s="395"/>
      <c r="R433" s="395"/>
    </row>
    <row r="434" spans="12:18">
      <c r="L434" s="417"/>
      <c r="M434" s="417"/>
      <c r="N434" s="417"/>
      <c r="O434" s="395"/>
      <c r="P434" s="395"/>
      <c r="Q434" s="395"/>
      <c r="R434" s="395"/>
    </row>
    <row r="435" spans="12:18">
      <c r="L435" s="417"/>
      <c r="M435" s="417"/>
      <c r="N435" s="417"/>
      <c r="O435" s="395"/>
      <c r="P435" s="395"/>
      <c r="Q435" s="395"/>
      <c r="R435" s="395"/>
    </row>
    <row r="436" spans="12:18">
      <c r="L436" s="417"/>
      <c r="M436" s="417"/>
      <c r="N436" s="417"/>
      <c r="O436" s="395"/>
      <c r="P436" s="395"/>
      <c r="Q436" s="395"/>
      <c r="R436" s="395"/>
    </row>
    <row r="437" spans="12:18">
      <c r="L437" s="417"/>
      <c r="M437" s="417"/>
      <c r="N437" s="417"/>
      <c r="O437" s="395"/>
      <c r="P437" s="395"/>
      <c r="Q437" s="395"/>
      <c r="R437" s="395"/>
    </row>
    <row r="438" spans="12:18">
      <c r="L438" s="417"/>
      <c r="M438" s="417"/>
      <c r="N438" s="417"/>
      <c r="O438" s="395"/>
      <c r="P438" s="395"/>
      <c r="Q438" s="395"/>
      <c r="R438" s="395"/>
    </row>
    <row r="439" spans="12:18">
      <c r="L439" s="417"/>
      <c r="M439" s="417"/>
      <c r="N439" s="417"/>
      <c r="O439" s="395"/>
      <c r="P439" s="395"/>
      <c r="Q439" s="395"/>
      <c r="R439" s="395"/>
    </row>
    <row r="440" spans="12:18">
      <c r="L440" s="417"/>
      <c r="M440" s="417"/>
      <c r="N440" s="417"/>
      <c r="O440" s="395"/>
      <c r="P440" s="395"/>
      <c r="Q440" s="395"/>
      <c r="R440" s="395"/>
    </row>
    <row r="441" spans="12:18">
      <c r="L441" s="417"/>
      <c r="M441" s="417"/>
      <c r="N441" s="417"/>
      <c r="O441" s="395"/>
      <c r="P441" s="395"/>
      <c r="Q441" s="395"/>
      <c r="R441" s="395"/>
    </row>
    <row r="442" spans="12:18">
      <c r="L442" s="417"/>
      <c r="M442" s="417"/>
      <c r="N442" s="417"/>
      <c r="O442" s="395"/>
      <c r="P442" s="395"/>
      <c r="Q442" s="395"/>
      <c r="R442" s="395"/>
    </row>
    <row r="443" spans="12:18">
      <c r="L443" s="417"/>
      <c r="M443" s="417"/>
      <c r="N443" s="417"/>
      <c r="O443" s="395"/>
      <c r="P443" s="395"/>
      <c r="Q443" s="395"/>
      <c r="R443" s="395"/>
    </row>
    <row r="444" spans="12:18">
      <c r="L444" s="417"/>
      <c r="M444" s="417"/>
      <c r="N444" s="417"/>
      <c r="O444" s="395"/>
      <c r="P444" s="395"/>
      <c r="Q444" s="395"/>
      <c r="R444" s="395"/>
    </row>
    <row r="445" spans="12:18">
      <c r="L445" s="417"/>
      <c r="M445" s="417"/>
      <c r="N445" s="417"/>
      <c r="O445" s="395"/>
      <c r="P445" s="395"/>
      <c r="Q445" s="395"/>
      <c r="R445" s="395"/>
    </row>
    <row r="446" spans="12:18">
      <c r="L446" s="417"/>
      <c r="M446" s="417"/>
      <c r="N446" s="417"/>
      <c r="O446" s="395"/>
      <c r="P446" s="395"/>
      <c r="Q446" s="395"/>
      <c r="R446" s="395"/>
    </row>
    <row r="447" spans="12:18">
      <c r="L447" s="417"/>
      <c r="M447" s="417"/>
      <c r="N447" s="417"/>
      <c r="O447" s="395"/>
      <c r="P447" s="395"/>
      <c r="Q447" s="395"/>
      <c r="R447" s="395"/>
    </row>
    <row r="448" spans="12:18">
      <c r="L448" s="417"/>
      <c r="M448" s="417"/>
      <c r="N448" s="417"/>
      <c r="O448" s="395"/>
      <c r="P448" s="395"/>
      <c r="Q448" s="395"/>
      <c r="R448" s="395"/>
    </row>
    <row r="449" spans="12:18">
      <c r="L449" s="417"/>
      <c r="M449" s="417"/>
      <c r="N449" s="417"/>
      <c r="O449" s="395"/>
      <c r="P449" s="395"/>
      <c r="Q449" s="395"/>
      <c r="R449" s="395"/>
    </row>
    <row r="450" spans="12:18">
      <c r="L450" s="417"/>
      <c r="M450" s="417"/>
      <c r="N450" s="417"/>
      <c r="O450" s="395"/>
      <c r="P450" s="395"/>
      <c r="Q450" s="395"/>
      <c r="R450" s="395"/>
    </row>
    <row r="451" spans="12:18">
      <c r="L451" s="417"/>
      <c r="M451" s="417"/>
      <c r="N451" s="417"/>
      <c r="O451" s="395"/>
      <c r="P451" s="395"/>
      <c r="Q451" s="395"/>
      <c r="R451" s="395"/>
    </row>
    <row r="452" spans="12:18">
      <c r="L452" s="417"/>
      <c r="M452" s="417"/>
      <c r="N452" s="417"/>
      <c r="O452" s="395"/>
      <c r="P452" s="395"/>
      <c r="Q452" s="395"/>
      <c r="R452" s="395"/>
    </row>
    <row r="453" spans="12:18">
      <c r="L453" s="417"/>
      <c r="M453" s="417"/>
      <c r="N453" s="417"/>
      <c r="O453" s="395"/>
      <c r="P453" s="395"/>
      <c r="Q453" s="395"/>
      <c r="R453" s="395"/>
    </row>
    <row r="454" spans="12:18">
      <c r="L454" s="417"/>
      <c r="M454" s="417"/>
      <c r="N454" s="417"/>
      <c r="O454" s="395"/>
      <c r="P454" s="395"/>
      <c r="Q454" s="395"/>
      <c r="R454" s="395"/>
    </row>
    <row r="455" spans="12:18">
      <c r="L455" s="417"/>
      <c r="M455" s="417"/>
      <c r="N455" s="417"/>
      <c r="O455" s="395"/>
      <c r="P455" s="395"/>
      <c r="Q455" s="395"/>
      <c r="R455" s="395"/>
    </row>
    <row r="456" spans="12:18">
      <c r="L456" s="417"/>
      <c r="M456" s="417"/>
      <c r="N456" s="417"/>
      <c r="O456" s="395"/>
      <c r="P456" s="395"/>
      <c r="Q456" s="395"/>
      <c r="R456" s="395"/>
    </row>
    <row r="457" spans="12:18">
      <c r="L457" s="417"/>
      <c r="M457" s="417"/>
      <c r="N457" s="417"/>
      <c r="O457" s="395"/>
      <c r="P457" s="395"/>
      <c r="Q457" s="395"/>
      <c r="R457" s="395"/>
    </row>
    <row r="458" spans="12:18">
      <c r="L458" s="417"/>
      <c r="M458" s="417"/>
      <c r="N458" s="417"/>
      <c r="O458" s="395"/>
      <c r="P458" s="395"/>
      <c r="Q458" s="395"/>
      <c r="R458" s="395"/>
    </row>
    <row r="459" spans="12:18">
      <c r="L459" s="417"/>
      <c r="M459" s="417"/>
      <c r="N459" s="417"/>
      <c r="O459" s="395"/>
      <c r="P459" s="395"/>
      <c r="Q459" s="395"/>
      <c r="R459" s="395"/>
    </row>
    <row r="460" spans="12:18">
      <c r="L460" s="417"/>
      <c r="M460" s="417"/>
      <c r="N460" s="417"/>
      <c r="O460" s="395"/>
      <c r="P460" s="395"/>
      <c r="Q460" s="395"/>
      <c r="R460" s="395"/>
    </row>
    <row r="461" spans="12:18">
      <c r="L461" s="417"/>
      <c r="M461" s="417"/>
      <c r="N461" s="417"/>
      <c r="O461" s="395"/>
      <c r="P461" s="395"/>
      <c r="Q461" s="395"/>
      <c r="R461" s="395"/>
    </row>
    <row r="462" spans="12:18">
      <c r="L462" s="417"/>
      <c r="M462" s="417"/>
      <c r="N462" s="417"/>
      <c r="O462" s="395"/>
      <c r="P462" s="395"/>
      <c r="Q462" s="395"/>
      <c r="R462" s="395"/>
    </row>
    <row r="463" spans="12:18">
      <c r="L463" s="417"/>
      <c r="M463" s="417"/>
      <c r="N463" s="417"/>
      <c r="O463" s="395"/>
      <c r="P463" s="395"/>
      <c r="Q463" s="395"/>
      <c r="R463" s="395"/>
    </row>
    <row r="464" spans="12:18">
      <c r="L464" s="417"/>
      <c r="M464" s="417"/>
      <c r="N464" s="417"/>
      <c r="O464" s="395"/>
      <c r="P464" s="395"/>
      <c r="Q464" s="395"/>
      <c r="R464" s="395"/>
    </row>
    <row r="465" spans="12:18">
      <c r="L465" s="417"/>
      <c r="M465" s="417"/>
      <c r="N465" s="417"/>
      <c r="O465" s="395"/>
      <c r="P465" s="395"/>
      <c r="Q465" s="395"/>
      <c r="R465" s="395"/>
    </row>
    <row r="466" spans="12:18">
      <c r="L466" s="417"/>
      <c r="M466" s="417"/>
      <c r="N466" s="417"/>
      <c r="O466" s="395"/>
      <c r="P466" s="395"/>
      <c r="Q466" s="395"/>
      <c r="R466" s="395"/>
    </row>
    <row r="467" spans="12:18">
      <c r="L467" s="417"/>
      <c r="M467" s="417"/>
      <c r="N467" s="417"/>
      <c r="O467" s="395"/>
      <c r="P467" s="395"/>
      <c r="Q467" s="395"/>
      <c r="R467" s="395"/>
    </row>
    <row r="468" spans="12:18">
      <c r="L468" s="417"/>
      <c r="M468" s="417"/>
      <c r="N468" s="417"/>
      <c r="O468" s="395"/>
      <c r="P468" s="395"/>
      <c r="Q468" s="395"/>
      <c r="R468" s="395"/>
    </row>
    <row r="469" spans="12:18">
      <c r="L469" s="417"/>
      <c r="M469" s="417"/>
      <c r="N469" s="417"/>
      <c r="O469" s="395"/>
      <c r="P469" s="395"/>
      <c r="Q469" s="395"/>
      <c r="R469" s="395"/>
    </row>
    <row r="470" spans="12:18">
      <c r="L470" s="417"/>
      <c r="M470" s="417"/>
      <c r="N470" s="417"/>
      <c r="O470" s="395"/>
      <c r="P470" s="395"/>
      <c r="Q470" s="395"/>
      <c r="R470" s="395"/>
    </row>
    <row r="471" spans="12:18">
      <c r="L471" s="417"/>
      <c r="M471" s="417"/>
      <c r="N471" s="417"/>
      <c r="O471" s="395"/>
      <c r="P471" s="395"/>
      <c r="Q471" s="395"/>
      <c r="R471" s="395"/>
    </row>
    <row r="472" spans="12:18">
      <c r="L472" s="417"/>
      <c r="M472" s="417"/>
      <c r="N472" s="417"/>
      <c r="O472" s="395"/>
      <c r="P472" s="395"/>
      <c r="Q472" s="395"/>
      <c r="R472" s="395"/>
    </row>
    <row r="473" spans="12:18">
      <c r="L473" s="417"/>
      <c r="M473" s="417"/>
      <c r="N473" s="417"/>
      <c r="O473" s="395"/>
      <c r="P473" s="395"/>
      <c r="Q473" s="395"/>
      <c r="R473" s="395"/>
    </row>
    <row r="474" spans="12:18">
      <c r="L474" s="417"/>
      <c r="M474" s="417"/>
      <c r="N474" s="417"/>
      <c r="O474" s="395"/>
      <c r="P474" s="395"/>
      <c r="Q474" s="395"/>
      <c r="R474" s="395"/>
    </row>
    <row r="475" spans="12:18">
      <c r="L475" s="417"/>
      <c r="M475" s="417"/>
      <c r="N475" s="417"/>
      <c r="O475" s="395"/>
      <c r="P475" s="395"/>
      <c r="Q475" s="395"/>
      <c r="R475" s="395"/>
    </row>
    <row r="476" spans="12:18">
      <c r="L476" s="417"/>
      <c r="M476" s="417"/>
      <c r="N476" s="417"/>
      <c r="O476" s="395"/>
      <c r="P476" s="395"/>
      <c r="Q476" s="395"/>
      <c r="R476" s="395"/>
    </row>
    <row r="477" spans="12:18">
      <c r="L477" s="417"/>
      <c r="M477" s="417"/>
      <c r="N477" s="417"/>
      <c r="O477" s="395"/>
      <c r="P477" s="395"/>
      <c r="Q477" s="395"/>
      <c r="R477" s="395"/>
    </row>
    <row r="478" spans="12:18">
      <c r="L478" s="417"/>
      <c r="M478" s="417"/>
      <c r="N478" s="417"/>
      <c r="O478" s="395"/>
      <c r="P478" s="395"/>
      <c r="Q478" s="395"/>
      <c r="R478" s="395"/>
    </row>
    <row r="479" spans="12:18">
      <c r="L479" s="417"/>
      <c r="M479" s="417"/>
      <c r="N479" s="417"/>
      <c r="O479" s="395"/>
      <c r="P479" s="395"/>
      <c r="Q479" s="395"/>
      <c r="R479" s="395"/>
    </row>
    <row r="480" spans="12:18">
      <c r="L480" s="417"/>
      <c r="M480" s="417"/>
      <c r="N480" s="417"/>
      <c r="O480" s="395"/>
      <c r="P480" s="395"/>
      <c r="Q480" s="395"/>
      <c r="R480" s="395"/>
    </row>
    <row r="481" spans="1:20">
      <c r="L481" s="417"/>
      <c r="M481" s="417"/>
      <c r="N481" s="417"/>
      <c r="O481" s="395"/>
      <c r="P481" s="395"/>
      <c r="Q481" s="395"/>
      <c r="R481" s="395"/>
    </row>
    <row r="482" spans="1:20">
      <c r="L482" s="417"/>
      <c r="M482" s="417"/>
      <c r="N482" s="417"/>
      <c r="O482" s="395"/>
      <c r="P482" s="395"/>
      <c r="Q482" s="395"/>
      <c r="R482" s="395"/>
    </row>
    <row r="483" spans="1:20">
      <c r="L483" s="417"/>
      <c r="M483" s="417"/>
      <c r="N483" s="417"/>
      <c r="O483" s="395"/>
      <c r="P483" s="395"/>
      <c r="Q483" s="395"/>
      <c r="R483" s="395"/>
    </row>
    <row r="484" spans="1:20">
      <c r="L484" s="417"/>
      <c r="M484" s="417"/>
      <c r="N484" s="417"/>
      <c r="O484" s="395"/>
      <c r="P484" s="395"/>
      <c r="Q484" s="395"/>
      <c r="R484" s="395"/>
    </row>
    <row r="485" spans="1:20">
      <c r="L485" s="417"/>
      <c r="M485" s="417"/>
      <c r="N485" s="417"/>
      <c r="O485" s="395"/>
      <c r="P485" s="395"/>
      <c r="Q485" s="395"/>
      <c r="R485" s="395"/>
    </row>
    <row r="486" spans="1:20">
      <c r="L486" s="417"/>
      <c r="M486" s="417"/>
      <c r="N486" s="417"/>
      <c r="O486" s="395"/>
      <c r="P486" s="395"/>
      <c r="Q486" s="395"/>
      <c r="R486" s="395"/>
    </row>
    <row r="487" spans="1:20">
      <c r="L487" s="417"/>
      <c r="M487" s="417"/>
      <c r="N487" s="417"/>
      <c r="O487" s="395"/>
      <c r="P487" s="395"/>
      <c r="Q487" s="395"/>
      <c r="R487" s="395"/>
    </row>
    <row r="488" spans="1:20">
      <c r="L488" s="417"/>
      <c r="M488" s="417"/>
      <c r="N488" s="417"/>
      <c r="O488" s="395"/>
      <c r="P488" s="395"/>
      <c r="Q488" s="395"/>
      <c r="R488" s="395"/>
    </row>
    <row r="489" spans="1:20">
      <c r="L489" s="417"/>
      <c r="M489" s="417"/>
      <c r="N489" s="417"/>
      <c r="O489" s="395"/>
      <c r="P489" s="395"/>
      <c r="Q489" s="395"/>
      <c r="R489" s="395"/>
    </row>
    <row r="490" spans="1:20">
      <c r="L490" s="417"/>
      <c r="M490" s="417"/>
      <c r="N490" s="417"/>
      <c r="O490" s="395"/>
      <c r="P490" s="395"/>
      <c r="Q490" s="395"/>
      <c r="R490" s="395"/>
    </row>
    <row r="491" spans="1:20">
      <c r="L491" s="417"/>
      <c r="M491" s="417"/>
      <c r="N491" s="417"/>
      <c r="O491" s="395"/>
      <c r="P491" s="395"/>
      <c r="Q491" s="395"/>
      <c r="R491" s="395"/>
    </row>
    <row r="492" spans="1:20">
      <c r="L492" s="417"/>
      <c r="M492" s="417"/>
      <c r="N492" s="417"/>
      <c r="O492" s="395"/>
      <c r="P492" s="395"/>
      <c r="Q492" s="395"/>
      <c r="R492" s="395"/>
    </row>
    <row r="493" spans="1:20">
      <c r="L493" s="417"/>
      <c r="M493" s="417"/>
      <c r="N493" s="417"/>
      <c r="O493" s="395"/>
      <c r="P493" s="395"/>
      <c r="Q493" s="395"/>
      <c r="R493" s="395"/>
    </row>
    <row r="494" spans="1:20" s="419" customFormat="1">
      <c r="A494" s="395"/>
      <c r="B494" s="395"/>
      <c r="C494" s="395"/>
      <c r="D494" s="410"/>
      <c r="E494" s="410"/>
      <c r="F494" s="395"/>
      <c r="G494" s="395"/>
      <c r="H494" s="395"/>
      <c r="I494" s="395"/>
      <c r="J494" s="418"/>
      <c r="K494" s="395"/>
      <c r="L494" s="417"/>
      <c r="M494" s="417"/>
      <c r="N494" s="417"/>
      <c r="O494" s="395"/>
      <c r="P494" s="395"/>
      <c r="Q494" s="395"/>
      <c r="R494" s="395"/>
      <c r="S494" s="395"/>
      <c r="T494" s="395"/>
    </row>
    <row r="495" spans="1:20">
      <c r="L495" s="417"/>
      <c r="M495" s="417"/>
      <c r="N495" s="417"/>
      <c r="O495" s="395"/>
      <c r="P495" s="395"/>
      <c r="Q495" s="395"/>
      <c r="R495" s="395"/>
    </row>
    <row r="496" spans="1:20">
      <c r="L496" s="417"/>
      <c r="M496" s="417"/>
      <c r="N496" s="417"/>
      <c r="O496" s="395"/>
      <c r="P496" s="395"/>
      <c r="Q496" s="395"/>
      <c r="R496" s="395"/>
    </row>
    <row r="497" spans="1:20">
      <c r="L497" s="417"/>
      <c r="M497" s="417"/>
      <c r="N497" s="417"/>
      <c r="O497" s="395"/>
      <c r="P497" s="395"/>
      <c r="Q497" s="395"/>
      <c r="R497" s="395"/>
    </row>
    <row r="498" spans="1:20">
      <c r="L498" s="417"/>
      <c r="M498" s="417"/>
      <c r="N498" s="417"/>
      <c r="O498" s="395"/>
      <c r="P498" s="395"/>
      <c r="Q498" s="395"/>
      <c r="R498" s="395"/>
    </row>
    <row r="499" spans="1:20">
      <c r="L499" s="417"/>
      <c r="M499" s="417"/>
      <c r="N499" s="417"/>
      <c r="O499" s="395"/>
      <c r="P499" s="395"/>
      <c r="Q499" s="395"/>
      <c r="R499" s="395"/>
    </row>
    <row r="500" spans="1:20">
      <c r="L500" s="417"/>
      <c r="M500" s="417"/>
      <c r="N500" s="417"/>
      <c r="O500" s="395"/>
      <c r="P500" s="395"/>
      <c r="Q500" s="395"/>
      <c r="R500" s="395"/>
    </row>
    <row r="501" spans="1:20" s="419" customFormat="1">
      <c r="A501" s="395"/>
      <c r="B501" s="395"/>
      <c r="C501" s="395"/>
      <c r="D501" s="410"/>
      <c r="E501" s="410"/>
      <c r="F501" s="395"/>
      <c r="G501" s="395"/>
      <c r="H501" s="395"/>
      <c r="I501" s="395"/>
      <c r="J501" s="395"/>
      <c r="K501" s="395"/>
      <c r="L501" s="417"/>
      <c r="M501" s="417"/>
      <c r="N501" s="417"/>
      <c r="O501" s="395"/>
      <c r="P501" s="395"/>
      <c r="Q501" s="395"/>
      <c r="R501" s="395"/>
      <c r="S501" s="395"/>
      <c r="T501" s="395"/>
    </row>
    <row r="502" spans="1:20" s="419" customFormat="1">
      <c r="A502" s="395"/>
      <c r="B502" s="395"/>
      <c r="C502" s="395"/>
      <c r="D502" s="410"/>
      <c r="E502" s="410"/>
      <c r="F502" s="395"/>
      <c r="G502" s="395"/>
      <c r="H502" s="395"/>
      <c r="I502" s="395"/>
      <c r="J502" s="395"/>
      <c r="K502" s="395"/>
      <c r="L502" s="417"/>
      <c r="M502" s="417"/>
      <c r="N502" s="417"/>
      <c r="O502" s="395"/>
      <c r="P502" s="395"/>
      <c r="S502" s="395"/>
      <c r="T502" s="395"/>
    </row>
    <row r="503" spans="1:20" s="419" customFormat="1">
      <c r="A503" s="395"/>
      <c r="B503" s="395"/>
      <c r="C503" s="395"/>
      <c r="D503" s="410"/>
      <c r="E503" s="410"/>
      <c r="F503" s="395"/>
      <c r="G503" s="395"/>
      <c r="H503" s="395"/>
      <c r="I503" s="395"/>
      <c r="J503" s="395"/>
      <c r="K503" s="395"/>
      <c r="L503" s="417"/>
      <c r="M503" s="417"/>
      <c r="N503" s="417"/>
      <c r="O503" s="395"/>
      <c r="P503" s="395"/>
      <c r="Q503" s="395"/>
      <c r="R503" s="395"/>
      <c r="S503" s="395"/>
      <c r="T503" s="395"/>
    </row>
    <row r="504" spans="1:20">
      <c r="L504" s="417"/>
      <c r="M504" s="417"/>
      <c r="N504" s="417"/>
      <c r="O504" s="395"/>
      <c r="P504" s="395"/>
      <c r="Q504" s="395"/>
      <c r="R504" s="395"/>
    </row>
    <row r="505" spans="1:20">
      <c r="L505" s="417"/>
      <c r="M505" s="417"/>
      <c r="N505" s="417"/>
      <c r="O505" s="395"/>
      <c r="P505" s="395"/>
      <c r="Q505" s="395"/>
      <c r="R505" s="395"/>
    </row>
    <row r="506" spans="1:20">
      <c r="L506" s="417"/>
      <c r="M506" s="417"/>
      <c r="N506" s="417"/>
      <c r="O506" s="395"/>
      <c r="P506" s="395"/>
      <c r="Q506" s="395"/>
      <c r="R506" s="395"/>
    </row>
    <row r="507" spans="1:20">
      <c r="L507" s="417"/>
      <c r="M507" s="417"/>
      <c r="N507" s="417"/>
      <c r="O507" s="395"/>
      <c r="P507" s="395"/>
      <c r="Q507" s="395"/>
      <c r="R507" s="395"/>
    </row>
    <row r="508" spans="1:20">
      <c r="L508" s="417"/>
      <c r="M508" s="417"/>
      <c r="N508" s="417"/>
      <c r="O508" s="395"/>
      <c r="P508" s="395"/>
      <c r="Q508" s="395"/>
      <c r="R508" s="395"/>
    </row>
    <row r="509" spans="1:20">
      <c r="L509" s="417"/>
      <c r="M509" s="417"/>
      <c r="N509" s="417"/>
      <c r="O509" s="395"/>
      <c r="P509" s="395"/>
      <c r="Q509" s="419"/>
      <c r="R509" s="419"/>
    </row>
    <row r="510" spans="1:20">
      <c r="L510" s="417"/>
      <c r="M510" s="417"/>
      <c r="N510" s="417"/>
      <c r="O510" s="395"/>
      <c r="P510" s="395"/>
      <c r="Q510" s="419"/>
      <c r="R510" s="419"/>
    </row>
    <row r="511" spans="1:20">
      <c r="L511" s="417"/>
      <c r="M511" s="417"/>
      <c r="N511" s="417"/>
      <c r="O511" s="395"/>
      <c r="P511" s="395"/>
      <c r="Q511" s="419"/>
      <c r="R511" s="419"/>
    </row>
    <row r="512" spans="1:20">
      <c r="L512" s="417"/>
      <c r="M512" s="417"/>
      <c r="N512" s="417"/>
      <c r="O512" s="395"/>
      <c r="P512" s="395"/>
      <c r="Q512" s="395"/>
      <c r="R512" s="395"/>
    </row>
    <row r="513" spans="12:18">
      <c r="L513" s="417"/>
      <c r="M513" s="417"/>
      <c r="N513" s="417"/>
      <c r="O513" s="395"/>
      <c r="P513" s="395"/>
      <c r="Q513" s="395"/>
      <c r="R513" s="395"/>
    </row>
  </sheetData>
  <autoFilter ref="A5:S39"/>
  <mergeCells count="27">
    <mergeCell ref="S1:S3"/>
    <mergeCell ref="A2:B2"/>
    <mergeCell ref="C2:Q2"/>
    <mergeCell ref="A3:B3"/>
    <mergeCell ref="C3:Q3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4:S5"/>
    <mergeCell ref="L4:L5"/>
    <mergeCell ref="M4:M5"/>
    <mergeCell ref="N4:N5"/>
    <mergeCell ref="O4:O5"/>
    <mergeCell ref="P4:P5"/>
    <mergeCell ref="Q4:Q5"/>
    <mergeCell ref="L34:M34"/>
    <mergeCell ref="N34:O34"/>
    <mergeCell ref="K11:K12"/>
    <mergeCell ref="K28:K29"/>
    <mergeCell ref="R4:R5"/>
  </mergeCells>
  <conditionalFormatting sqref="K1:K11">
    <cfRule type="cellIs" dxfId="194" priority="154" operator="equal">
      <formula>#REF!</formula>
    </cfRule>
  </conditionalFormatting>
  <conditionalFormatting sqref="K13:K28">
    <cfRule type="cellIs" dxfId="193" priority="42" operator="equal">
      <formula>#REF!</formula>
    </cfRule>
  </conditionalFormatting>
  <conditionalFormatting sqref="L6:L34">
    <cfRule type="cellIs" dxfId="192" priority="28" operator="equal">
      <formula>$L$22</formula>
    </cfRule>
    <cfRule type="cellIs" dxfId="191" priority="29" operator="equal">
      <formula>#REF!</formula>
    </cfRule>
  </conditionalFormatting>
  <conditionalFormatting sqref="L38">
    <cfRule type="cellIs" dxfId="190" priority="44" operator="equal">
      <formula>#REF!</formula>
    </cfRule>
  </conditionalFormatting>
  <conditionalFormatting sqref="L40:L41">
    <cfRule type="cellIs" dxfId="189" priority="202" operator="equal">
      <formula>#REF!</formula>
    </cfRule>
  </conditionalFormatting>
  <conditionalFormatting sqref="L35:M35">
    <cfRule type="cellIs" dxfId="188" priority="67" operator="equal">
      <formula>#REF!</formula>
    </cfRule>
  </conditionalFormatting>
  <conditionalFormatting sqref="L42:N513">
    <cfRule type="cellIs" dxfId="187" priority="168" operator="equal">
      <formula>"Under Progress"</formula>
    </cfRule>
    <cfRule type="cellIs" dxfId="186" priority="169" operator="equal">
      <formula>"Completed"</formula>
    </cfRule>
  </conditionalFormatting>
  <conditionalFormatting sqref="L36:O37 M36:M41 L39:O40 M41:N41 M364:N1048576 N35 O38 O40:O41 K30:K34 K40:K1048576">
    <cfRule type="cellIs" dxfId="185" priority="302" operator="equal">
      <formula>#REF!</formula>
    </cfRule>
  </conditionalFormatting>
  <conditionalFormatting sqref="M11">
    <cfRule type="cellIs" dxfId="184" priority="187" operator="equal">
      <formula>$N$7</formula>
    </cfRule>
    <cfRule type="cellIs" dxfId="183" priority="188" operator="equal">
      <formula>"Planning"</formula>
    </cfRule>
    <cfRule type="cellIs" dxfId="182" priority="189" operator="equal">
      <formula>$N$8</formula>
    </cfRule>
    <cfRule type="cellIs" dxfId="181" priority="190" operator="equal">
      <formula>"Under Progress"</formula>
    </cfRule>
    <cfRule type="cellIs" dxfId="180" priority="191" operator="equal">
      <formula>#REF!</formula>
    </cfRule>
  </conditionalFormatting>
  <conditionalFormatting sqref="M13:M21">
    <cfRule type="cellIs" dxfId="179" priority="37" operator="equal">
      <formula>$N$7</formula>
    </cfRule>
    <cfRule type="cellIs" dxfId="178" priority="38" operator="equal">
      <formula>"Planning"</formula>
    </cfRule>
    <cfRule type="cellIs" dxfId="177" priority="39" operator="equal">
      <formula>$N$8</formula>
    </cfRule>
    <cfRule type="cellIs" dxfId="176" priority="40" operator="equal">
      <formula>"Under Progress"</formula>
    </cfRule>
    <cfRule type="cellIs" dxfId="175" priority="41" operator="equal">
      <formula>#REF!</formula>
    </cfRule>
  </conditionalFormatting>
  <conditionalFormatting sqref="M35">
    <cfRule type="cellIs" dxfId="174" priority="64" operator="equal">
      <formula>"Planning"</formula>
    </cfRule>
    <cfRule type="cellIs" dxfId="173" priority="65" operator="equal">
      <formula>$N$8</formula>
    </cfRule>
    <cfRule type="cellIs" dxfId="172" priority="66" operator="equal">
      <formula>"Under Progress"</formula>
    </cfRule>
  </conditionalFormatting>
  <conditionalFormatting sqref="M35:M41">
    <cfRule type="cellIs" dxfId="171" priority="63" operator="equal">
      <formula>$N$7</formula>
    </cfRule>
  </conditionalFormatting>
  <conditionalFormatting sqref="M1:N3 M12:N12">
    <cfRule type="cellIs" dxfId="170" priority="284" operator="equal">
      <formula>#REF!</formula>
    </cfRule>
  </conditionalFormatting>
  <conditionalFormatting sqref="M1:N3 M10:R10 M12:N12 M36:M41 M41:N41 M364:N1048576 S10:S13 M8:M10 O8:S9 M6:S7">
    <cfRule type="cellIs" dxfId="169" priority="281" operator="equal">
      <formula>"Planning"</formula>
    </cfRule>
    <cfRule type="cellIs" dxfId="168" priority="283" operator="equal">
      <formula>"Under Progress"</formula>
    </cfRule>
  </conditionalFormatting>
  <conditionalFormatting sqref="M1:N3 M10:R10 S10:S13 M12:N12 M36:M41 M41:N41 M364:N1048576 M8:M10 O8:S9 M6:S7">
    <cfRule type="cellIs" dxfId="167" priority="282" operator="equal">
      <formula>$N$8</formula>
    </cfRule>
  </conditionalFormatting>
  <conditionalFormatting sqref="M6:N7 M10:R10 M8:M10">
    <cfRule type="cellIs" dxfId="166" priority="268" operator="equal">
      <formula>#REF!</formula>
    </cfRule>
  </conditionalFormatting>
  <conditionalFormatting sqref="M364:N1048576 M1:N3 M6:S7 M10:R10 M12:N12 M41:N41 M8:M10 O8:S9">
    <cfRule type="cellIs" dxfId="165" priority="280" operator="equal">
      <formula>$N$7</formula>
    </cfRule>
  </conditionalFormatting>
  <conditionalFormatting sqref="M22:S33">
    <cfRule type="cellIs" dxfId="164" priority="23" operator="equal">
      <formula>$N$7</formula>
    </cfRule>
    <cfRule type="cellIs" dxfId="163" priority="24" operator="equal">
      <formula>"Under Progress"</formula>
    </cfRule>
    <cfRule type="cellIs" dxfId="162" priority="25" operator="equal">
      <formula>"Planning"</formula>
    </cfRule>
    <cfRule type="cellIs" dxfId="161" priority="26" operator="equal">
      <formula>$N$8</formula>
    </cfRule>
    <cfRule type="cellIs" dxfId="160" priority="27" operator="equal">
      <formula>#REF!</formula>
    </cfRule>
  </conditionalFormatting>
  <conditionalFormatting sqref="N34">
    <cfRule type="cellIs" dxfId="159" priority="273" operator="equal">
      <formula>$L$22</formula>
    </cfRule>
    <cfRule type="cellIs" dxfId="158" priority="274" operator="equal">
      <formula>#REF!</formula>
    </cfRule>
  </conditionalFormatting>
  <conditionalFormatting sqref="N38">
    <cfRule type="cellIs" dxfId="157" priority="43" operator="equal">
      <formula>#REF!</formula>
    </cfRule>
  </conditionalFormatting>
  <conditionalFormatting sqref="N40:N41">
    <cfRule type="cellIs" dxfId="156" priority="201" operator="equal">
      <formula>#REF!</formula>
    </cfRule>
  </conditionalFormatting>
  <conditionalFormatting sqref="O36:O41">
    <cfRule type="cellIs" dxfId="155" priority="269" operator="equal">
      <formula>$N$7</formula>
    </cfRule>
    <cfRule type="cellIs" dxfId="154" priority="270" operator="equal">
      <formula>"Planning"</formula>
    </cfRule>
    <cfRule type="cellIs" dxfId="153" priority="271" operator="equal">
      <formula>$N$8</formula>
    </cfRule>
    <cfRule type="cellIs" dxfId="152" priority="272" operator="equal">
      <formula>"Under Progress"</formula>
    </cfRule>
  </conditionalFormatting>
  <conditionalFormatting sqref="O36:O37">
    <cfRule type="cellIs" dxfId="151" priority="197" operator="equal">
      <formula>$N$7</formula>
    </cfRule>
    <cfRule type="cellIs" dxfId="150" priority="198" operator="equal">
      <formula>"Planning"</formula>
    </cfRule>
    <cfRule type="cellIs" dxfId="149" priority="199" operator="equal">
      <formula>$N$8</formula>
    </cfRule>
    <cfRule type="cellIs" dxfId="148" priority="200" operator="equal">
      <formula>"Under Progress"</formula>
    </cfRule>
  </conditionalFormatting>
  <conditionalFormatting sqref="O11:R13 P14">
    <cfRule type="cellIs" dxfId="147" priority="95" operator="equal">
      <formula>"Under Progress"</formula>
    </cfRule>
    <cfRule type="cellIs" dxfId="146" priority="183" operator="equal">
      <formula>"Planning"</formula>
    </cfRule>
    <cfRule type="cellIs" dxfId="145" priority="184" operator="equal">
      <formula>$N$8</formula>
    </cfRule>
    <cfRule type="cellIs" dxfId="144" priority="186" operator="equal">
      <formula>#REF!</formula>
    </cfRule>
  </conditionalFormatting>
  <conditionalFormatting sqref="O11:R21">
    <cfRule type="cellIs" dxfId="143" priority="32" operator="equal">
      <formula>$N$7</formula>
    </cfRule>
  </conditionalFormatting>
  <conditionalFormatting sqref="O14:R21">
    <cfRule type="cellIs" dxfId="142" priority="36" operator="equal">
      <formula>#REF!</formula>
    </cfRule>
  </conditionalFormatting>
  <conditionalFormatting sqref="O6:S9">
    <cfRule type="cellIs" dxfId="141" priority="294" operator="equal">
      <formula>#REF!</formula>
    </cfRule>
  </conditionalFormatting>
  <conditionalFormatting sqref="O14:S21">
    <cfRule type="cellIs" dxfId="140" priority="33" operator="equal">
      <formula>"Under Progress"</formula>
    </cfRule>
    <cfRule type="cellIs" dxfId="139" priority="34" operator="equal">
      <formula>"Planning"</formula>
    </cfRule>
    <cfRule type="cellIs" dxfId="138" priority="35" operator="equal">
      <formula>$N$8</formula>
    </cfRule>
  </conditionalFormatting>
  <conditionalFormatting sqref="P1:R3 P38:R1048576">
    <cfRule type="cellIs" dxfId="137" priority="296" operator="equal">
      <formula>"Under Progress"</formula>
    </cfRule>
    <cfRule type="cellIs" dxfId="136" priority="297" operator="equal">
      <formula>"Completed"</formula>
    </cfRule>
  </conditionalFormatting>
  <conditionalFormatting sqref="Q34:R34">
    <cfRule type="cellIs" dxfId="135" priority="295" operator="equal">
      <formula>"Completed"</formula>
    </cfRule>
  </conditionalFormatting>
  <conditionalFormatting sqref="S10:S21">
    <cfRule type="cellIs" dxfId="134" priority="30" operator="equal">
      <formula>$N$7</formula>
    </cfRule>
    <cfRule type="cellIs" dxfId="133" priority="31" operator="equal">
      <formula>#REF!</formula>
    </cfRule>
  </conditionalFormatting>
  <conditionalFormatting sqref="O35">
    <cfRule type="cellIs" dxfId="132" priority="22" operator="equal">
      <formula>#REF!</formula>
    </cfRule>
  </conditionalFormatting>
  <conditionalFormatting sqref="O35">
    <cfRule type="cellIs" dxfId="131" priority="19" operator="equal">
      <formula>"Planning"</formula>
    </cfRule>
    <cfRule type="cellIs" dxfId="130" priority="20" operator="equal">
      <formula>$N$8</formula>
    </cfRule>
    <cfRule type="cellIs" dxfId="129" priority="21" operator="equal">
      <formula>"Under Progress"</formula>
    </cfRule>
  </conditionalFormatting>
  <conditionalFormatting sqref="O35">
    <cfRule type="cellIs" dxfId="128" priority="18" operator="equal">
      <formula>$N$7</formula>
    </cfRule>
  </conditionalFormatting>
  <conditionalFormatting sqref="Q13">
    <cfRule type="cellIs" dxfId="127" priority="17" operator="equal">
      <formula>#REF!</formula>
    </cfRule>
  </conditionalFormatting>
  <conditionalFormatting sqref="Q13">
    <cfRule type="cellIs" dxfId="126" priority="14" operator="equal">
      <formula>"Under Progress"</formula>
    </cfRule>
    <cfRule type="cellIs" dxfId="125" priority="15" operator="equal">
      <formula>"Planning"</formula>
    </cfRule>
    <cfRule type="cellIs" dxfId="124" priority="16" operator="equal">
      <formula>$N$8</formula>
    </cfRule>
  </conditionalFormatting>
  <conditionalFormatting sqref="Q12">
    <cfRule type="cellIs" dxfId="123" priority="13" operator="equal">
      <formula>#REF!</formula>
    </cfRule>
  </conditionalFormatting>
  <conditionalFormatting sqref="Q12">
    <cfRule type="cellIs" dxfId="122" priority="10" operator="equal">
      <formula>"Under Progress"</formula>
    </cfRule>
    <cfRule type="cellIs" dxfId="121" priority="11" operator="equal">
      <formula>"Planning"</formula>
    </cfRule>
    <cfRule type="cellIs" dxfId="120" priority="12" operator="equal">
      <formula>$N$8</formula>
    </cfRule>
  </conditionalFormatting>
  <conditionalFormatting sqref="S9">
    <cfRule type="cellIs" dxfId="119" priority="8" operator="equal">
      <formula>$N$7</formula>
    </cfRule>
    <cfRule type="cellIs" dxfId="118" priority="9" operator="equal">
      <formula>#REF!</formula>
    </cfRule>
  </conditionalFormatting>
  <conditionalFormatting sqref="S8">
    <cfRule type="cellIs" dxfId="117" priority="6" operator="equal">
      <formula>$N$7</formula>
    </cfRule>
    <cfRule type="cellIs" dxfId="116" priority="7" operator="equal">
      <formula>#REF!</formula>
    </cfRule>
  </conditionalFormatting>
  <conditionalFormatting sqref="S7">
    <cfRule type="cellIs" dxfId="115" priority="4" operator="equal">
      <formula>$N$7</formula>
    </cfRule>
    <cfRule type="cellIs" dxfId="114" priority="5" operator="equal">
      <formula>#REF!</formula>
    </cfRule>
  </conditionalFormatting>
  <conditionalFormatting sqref="S6">
    <cfRule type="cellIs" dxfId="113" priority="2" operator="equal">
      <formula>$N$7</formula>
    </cfRule>
    <cfRule type="cellIs" dxfId="112" priority="3" operator="equal">
      <formula>#REF!</formula>
    </cfRule>
  </conditionalFormatting>
  <conditionalFormatting sqref="B1:B1048576">
    <cfRule type="duplicateValues" dxfId="111" priority="1"/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view="pageBreakPreview" topLeftCell="A26" zoomScale="60" zoomScaleNormal="64" workbookViewId="0">
      <selection activeCell="Y45" sqref="Y45"/>
    </sheetView>
  </sheetViews>
  <sheetFormatPr defaultColWidth="9.28515625" defaultRowHeight="12.75"/>
  <cols>
    <col min="1" max="1" width="8.28515625" style="332" customWidth="1"/>
    <col min="2" max="2" width="6.42578125" style="332" customWidth="1"/>
    <col min="3" max="3" width="10.5703125" style="332" bestFit="1" customWidth="1"/>
    <col min="4" max="4" width="12.140625" style="332" customWidth="1"/>
    <col min="5" max="5" width="9.5703125" style="332" bestFit="1" customWidth="1"/>
    <col min="6" max="6" width="8.85546875" style="332" bestFit="1" customWidth="1"/>
    <col min="7" max="7" width="13.28515625" style="332" customWidth="1"/>
    <col min="8" max="8" width="7.28515625" style="332" customWidth="1"/>
    <col min="9" max="9" width="11.7109375" style="332" customWidth="1"/>
    <col min="10" max="10" width="8.5703125" style="332" customWidth="1"/>
    <col min="11" max="11" width="11" style="332" customWidth="1"/>
    <col min="12" max="12" width="9" style="332" customWidth="1"/>
    <col min="13" max="14" width="10.28515625" style="332" customWidth="1"/>
    <col min="15" max="15" width="11.42578125" style="332" customWidth="1"/>
    <col min="16" max="16" width="11.85546875" style="332" customWidth="1"/>
    <col min="17" max="17" width="10.42578125" style="332" customWidth="1"/>
    <col min="18" max="18" width="8.5703125" style="332" customWidth="1"/>
    <col min="19" max="19" width="11.140625" style="332" customWidth="1"/>
    <col min="20" max="20" width="7.28515625" style="332" customWidth="1"/>
    <col min="21" max="21" width="10.5703125" style="332" customWidth="1"/>
    <col min="22" max="22" width="8.28515625" style="332" bestFit="1" customWidth="1"/>
    <col min="23" max="23" width="13.5703125" style="332" customWidth="1"/>
    <col min="24" max="24" width="9.42578125" style="332" customWidth="1"/>
    <col min="25" max="25" width="11.28515625" style="333" customWidth="1"/>
    <col min="26" max="26" width="12.42578125" style="333" customWidth="1"/>
    <col min="27" max="27" width="10" style="332" customWidth="1"/>
    <col min="28" max="28" width="9.28515625" style="332"/>
    <col min="29" max="29" width="10" style="332" bestFit="1" customWidth="1"/>
    <col min="30" max="30" width="12.5703125" style="332" customWidth="1"/>
    <col min="31" max="36" width="9.28515625" style="332"/>
    <col min="37" max="37" width="21.28515625" style="332" customWidth="1"/>
    <col min="38" max="16384" width="9.28515625" style="332"/>
  </cols>
  <sheetData>
    <row r="1" spans="1:27" ht="13.5" thickBot="1"/>
    <row r="2" spans="1:27" ht="18">
      <c r="A2" s="334"/>
      <c r="B2" s="391"/>
      <c r="C2" s="1521">
        <v>46212</v>
      </c>
      <c r="D2" s="1522"/>
      <c r="E2" s="1522"/>
      <c r="F2" s="1522"/>
      <c r="G2" s="1522"/>
      <c r="H2" s="1522"/>
      <c r="I2" s="1522"/>
      <c r="J2" s="1522"/>
      <c r="K2" s="1522"/>
      <c r="L2" s="1522"/>
      <c r="M2" s="1522"/>
      <c r="N2" s="1522"/>
      <c r="O2" s="1522"/>
      <c r="P2" s="1522"/>
      <c r="Q2" s="1522"/>
      <c r="R2" s="1522"/>
      <c r="S2" s="1522"/>
      <c r="T2" s="1522"/>
      <c r="U2" s="1522"/>
      <c r="V2" s="1522"/>
      <c r="W2" s="1522"/>
      <c r="X2" s="1522"/>
      <c r="Y2" s="1522"/>
      <c r="Z2" s="1522"/>
      <c r="AA2" s="1523"/>
    </row>
    <row r="3" spans="1:27" ht="18">
      <c r="A3" s="1524" t="s">
        <v>955</v>
      </c>
      <c r="B3" s="1610"/>
      <c r="C3" s="1610"/>
      <c r="D3" s="1610"/>
      <c r="E3" s="1610"/>
      <c r="F3" s="1610"/>
      <c r="G3" s="1610"/>
      <c r="H3" s="1610"/>
      <c r="I3" s="1610"/>
      <c r="J3" s="1610"/>
      <c r="K3" s="1610"/>
      <c r="L3" s="1610"/>
      <c r="M3" s="1610"/>
      <c r="N3" s="1610"/>
      <c r="O3" s="1610"/>
      <c r="P3" s="1610"/>
      <c r="Q3" s="1610"/>
      <c r="R3" s="1610"/>
      <c r="S3" s="1610"/>
      <c r="T3" s="1610"/>
      <c r="U3" s="1610"/>
      <c r="V3" s="1610"/>
      <c r="W3" s="1610"/>
      <c r="X3" s="1610"/>
      <c r="Y3" s="1610"/>
      <c r="Z3" s="1610"/>
      <c r="AA3" s="1526"/>
    </row>
    <row r="4" spans="1:27" ht="18">
      <c r="A4" s="1524" t="s">
        <v>956</v>
      </c>
      <c r="B4" s="1610"/>
      <c r="C4" s="1610"/>
      <c r="D4" s="1610"/>
      <c r="E4" s="1610"/>
      <c r="F4" s="1610"/>
      <c r="G4" s="1610"/>
      <c r="H4" s="1610"/>
      <c r="I4" s="1610"/>
      <c r="J4" s="1610"/>
      <c r="K4" s="1610"/>
      <c r="L4" s="1610"/>
      <c r="M4" s="1610"/>
      <c r="N4" s="1610"/>
      <c r="O4" s="1610"/>
      <c r="P4" s="1610"/>
      <c r="Q4" s="1610"/>
      <c r="R4" s="1610"/>
      <c r="S4" s="1610"/>
      <c r="T4" s="1610"/>
      <c r="U4" s="1610"/>
      <c r="V4" s="1610"/>
      <c r="W4" s="1610"/>
      <c r="X4" s="1610"/>
      <c r="Y4" s="1610"/>
      <c r="Z4" s="1610"/>
      <c r="AA4" s="1526"/>
    </row>
    <row r="5" spans="1:27" ht="18" customHeight="1">
      <c r="A5" s="1527" t="s">
        <v>916</v>
      </c>
      <c r="B5" s="1611"/>
      <c r="C5" s="1611"/>
      <c r="D5" s="1611"/>
      <c r="E5" s="1611"/>
      <c r="F5" s="1611"/>
      <c r="G5" s="1611"/>
      <c r="H5" s="1611"/>
      <c r="I5" s="1611"/>
      <c r="J5" s="1611"/>
      <c r="K5" s="1611"/>
      <c r="L5" s="1611"/>
      <c r="M5" s="1611"/>
      <c r="N5" s="1611"/>
      <c r="O5" s="1611"/>
      <c r="P5" s="1611"/>
      <c r="Q5" s="1611"/>
      <c r="R5" s="1611"/>
      <c r="S5" s="1611"/>
      <c r="T5" s="1611"/>
      <c r="U5" s="1611"/>
      <c r="V5" s="1611"/>
      <c r="W5" s="1611"/>
      <c r="X5" s="1611"/>
      <c r="Y5" s="1611"/>
      <c r="Z5" s="1611"/>
      <c r="AA5" s="1529"/>
    </row>
    <row r="6" spans="1:27" ht="18.75" thickBot="1">
      <c r="A6" s="336"/>
      <c r="B6" s="337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9"/>
    </row>
    <row r="7" spans="1:27" ht="18">
      <c r="A7" s="334"/>
      <c r="B7" s="391"/>
      <c r="C7" s="1652"/>
      <c r="D7" s="1652"/>
      <c r="E7" s="1652"/>
      <c r="F7" s="1652"/>
      <c r="G7" s="1652"/>
      <c r="H7" s="1653"/>
      <c r="I7" s="1653"/>
      <c r="J7" s="1546"/>
      <c r="K7" s="1546"/>
      <c r="L7" s="1654"/>
      <c r="M7" s="1655" t="s">
        <v>917</v>
      </c>
      <c r="N7" s="1546"/>
      <c r="O7" s="1546"/>
      <c r="P7" s="1546"/>
      <c r="Q7" s="1546"/>
      <c r="R7" s="1546"/>
      <c r="S7" s="1546"/>
      <c r="T7" s="1546"/>
      <c r="U7" s="1546"/>
      <c r="V7" s="1546"/>
      <c r="W7" s="1546"/>
      <c r="X7" s="1546"/>
      <c r="Y7" s="1546"/>
      <c r="Z7" s="1546"/>
      <c r="AA7" s="1654"/>
    </row>
    <row r="8" spans="1:27" ht="18" customHeight="1">
      <c r="A8" s="335"/>
      <c r="C8" s="1664"/>
      <c r="D8" s="1664"/>
      <c r="E8" s="1664"/>
      <c r="F8" s="1664"/>
      <c r="G8" s="1664"/>
      <c r="H8" s="1665"/>
      <c r="I8" s="1665"/>
      <c r="J8" s="1666"/>
      <c r="K8" s="1666"/>
      <c r="L8" s="1667"/>
      <c r="M8" s="1059"/>
      <c r="N8" s="1064"/>
      <c r="O8" s="340" t="s">
        <v>918</v>
      </c>
      <c r="P8" s="1559" t="s">
        <v>919</v>
      </c>
      <c r="Q8" s="1613"/>
      <c r="R8" s="341"/>
      <c r="S8" s="342"/>
      <c r="T8" s="1560" t="s">
        <v>920</v>
      </c>
      <c r="U8" s="1561"/>
      <c r="V8" s="343"/>
      <c r="W8" s="1562" t="s">
        <v>921</v>
      </c>
      <c r="X8" s="1555" t="s">
        <v>922</v>
      </c>
      <c r="Y8" s="1555" t="s">
        <v>1004</v>
      </c>
      <c r="Z8" s="345"/>
      <c r="AA8" s="1556"/>
    </row>
    <row r="9" spans="1:27" ht="20.25">
      <c r="A9" s="335"/>
      <c r="C9" s="1656" t="s">
        <v>924</v>
      </c>
      <c r="D9" s="1657"/>
      <c r="E9" s="1657"/>
      <c r="F9" s="1657"/>
      <c r="G9" s="1658"/>
      <c r="H9" s="1659" t="s">
        <v>873</v>
      </c>
      <c r="I9" s="1660"/>
      <c r="J9" s="1661" t="s">
        <v>2168</v>
      </c>
      <c r="K9" s="1662"/>
      <c r="L9" s="1663"/>
      <c r="M9" s="346"/>
      <c r="N9" s="1064"/>
      <c r="O9" s="1064"/>
      <c r="P9" s="1614" t="s">
        <v>925</v>
      </c>
      <c r="Q9" s="1614"/>
      <c r="R9" s="1064"/>
      <c r="S9" s="347" t="s">
        <v>926</v>
      </c>
      <c r="T9" s="1560"/>
      <c r="U9" s="1561"/>
      <c r="V9" s="343"/>
      <c r="W9" s="1562"/>
      <c r="X9" s="1555"/>
      <c r="Y9" s="1555"/>
      <c r="Z9" s="345"/>
      <c r="AA9" s="1556"/>
    </row>
    <row r="10" spans="1:27" ht="18.75" customHeight="1" thickBot="1">
      <c r="A10" s="335"/>
      <c r="C10" s="1656" t="s">
        <v>927</v>
      </c>
      <c r="D10" s="1657"/>
      <c r="E10" s="1657"/>
      <c r="F10" s="1657"/>
      <c r="G10" s="1658"/>
      <c r="H10" s="1659" t="s">
        <v>873</v>
      </c>
      <c r="I10" s="1660"/>
      <c r="J10" s="1661" t="s">
        <v>2163</v>
      </c>
      <c r="K10" s="1662"/>
      <c r="L10" s="1663"/>
      <c r="M10" s="348" t="s">
        <v>928</v>
      </c>
      <c r="N10" s="342"/>
      <c r="O10" s="1063"/>
      <c r="P10" s="349"/>
      <c r="Q10" s="350"/>
      <c r="R10" s="351"/>
      <c r="S10" s="351"/>
      <c r="T10" s="1560"/>
      <c r="U10" s="1561"/>
      <c r="V10" s="352"/>
      <c r="W10" s="1562"/>
      <c r="X10" s="1555"/>
      <c r="Y10" s="1555"/>
      <c r="Z10" s="342"/>
      <c r="AA10" s="1556"/>
    </row>
    <row r="11" spans="1:27" s="359" customFormat="1" ht="21" thickTop="1">
      <c r="A11" s="353"/>
      <c r="C11" s="1656" t="s">
        <v>929</v>
      </c>
      <c r="D11" s="1657"/>
      <c r="E11" s="1657"/>
      <c r="F11" s="1657"/>
      <c r="G11" s="1658"/>
      <c r="H11" s="1659" t="s">
        <v>873</v>
      </c>
      <c r="I11" s="1660"/>
      <c r="J11" s="1661" t="s">
        <v>2205</v>
      </c>
      <c r="K11" s="1662"/>
      <c r="L11" s="1663"/>
      <c r="M11" s="354"/>
      <c r="N11" s="350"/>
      <c r="O11" s="355" t="s">
        <v>930</v>
      </c>
      <c r="P11" s="1563" t="s">
        <v>931</v>
      </c>
      <c r="Q11" s="1564"/>
      <c r="R11" s="1549"/>
      <c r="S11" s="342"/>
      <c r="T11" s="1560"/>
      <c r="U11" s="1561"/>
      <c r="V11" s="352"/>
      <c r="W11" s="356"/>
      <c r="X11" s="357"/>
      <c r="Y11" s="357"/>
      <c r="Z11" s="351"/>
      <c r="AA11" s="358"/>
    </row>
    <row r="12" spans="1:27" s="359" customFormat="1" ht="21" thickBot="1">
      <c r="A12" s="353"/>
      <c r="C12" s="1537" t="s">
        <v>932</v>
      </c>
      <c r="D12" s="1537"/>
      <c r="E12" s="1537"/>
      <c r="F12" s="1537"/>
      <c r="G12" s="1537"/>
      <c r="H12" s="1538" t="s">
        <v>933</v>
      </c>
      <c r="I12" s="1538"/>
      <c r="J12" s="1538" t="s">
        <v>1584</v>
      </c>
      <c r="K12" s="1538"/>
      <c r="L12" s="1659"/>
      <c r="M12" s="348" t="s">
        <v>934</v>
      </c>
      <c r="N12" s="351"/>
      <c r="O12" s="360" t="s">
        <v>935</v>
      </c>
      <c r="P12" s="351"/>
      <c r="Q12" s="361"/>
      <c r="R12" s="1550"/>
      <c r="S12" s="351"/>
      <c r="T12" s="1560"/>
      <c r="U12" s="1561"/>
      <c r="V12" s="352"/>
      <c r="W12" s="356"/>
      <c r="X12" s="357"/>
      <c r="Y12" s="357"/>
      <c r="Z12" s="351"/>
      <c r="AA12" s="358"/>
    </row>
    <row r="13" spans="1:27" s="359" customFormat="1" ht="20.25">
      <c r="A13" s="353"/>
      <c r="C13" s="1537" t="s">
        <v>936</v>
      </c>
      <c r="D13" s="1537"/>
      <c r="E13" s="1537"/>
      <c r="F13" s="1537"/>
      <c r="G13" s="1537"/>
      <c r="H13" s="1538" t="s">
        <v>933</v>
      </c>
      <c r="I13" s="1538"/>
      <c r="J13" s="1668" t="s">
        <v>1584</v>
      </c>
      <c r="K13" s="1668"/>
      <c r="L13" s="1669"/>
      <c r="M13" s="354"/>
      <c r="N13" s="351"/>
      <c r="O13" s="351"/>
      <c r="P13" s="351"/>
      <c r="Q13" s="362"/>
      <c r="R13" s="1063"/>
      <c r="S13" s="351"/>
      <c r="T13" s="1560"/>
      <c r="U13" s="1561"/>
      <c r="V13" s="352"/>
      <c r="W13" s="356"/>
      <c r="X13" s="363"/>
      <c r="Y13" s="363"/>
      <c r="Z13" s="351"/>
      <c r="AA13" s="358"/>
    </row>
    <row r="14" spans="1:27" s="359" customFormat="1" ht="15.75">
      <c r="A14" s="353"/>
      <c r="I14" s="359" t="s">
        <v>937</v>
      </c>
      <c r="M14" s="364" t="s">
        <v>938</v>
      </c>
      <c r="N14" s="351"/>
      <c r="O14" s="1063" t="s">
        <v>939</v>
      </c>
      <c r="P14" s="1670" t="s">
        <v>942</v>
      </c>
      <c r="Q14" s="362" t="s">
        <v>940</v>
      </c>
      <c r="R14" s="351"/>
      <c r="S14" s="1572" t="s">
        <v>941</v>
      </c>
      <c r="T14" s="1560"/>
      <c r="U14" s="1561"/>
      <c r="V14" s="352"/>
      <c r="W14" s="356"/>
      <c r="X14" s="363"/>
      <c r="Y14" s="363"/>
      <c r="Z14" s="351"/>
      <c r="AA14" s="358"/>
    </row>
    <row r="15" spans="1:27" s="359" customFormat="1" ht="15.75" customHeight="1">
      <c r="A15" s="353"/>
      <c r="M15" s="354"/>
      <c r="N15" s="351"/>
      <c r="O15" s="1063"/>
      <c r="P15" s="1670"/>
      <c r="Q15" s="1573" t="s">
        <v>943</v>
      </c>
      <c r="R15" s="351"/>
      <c r="S15" s="1572"/>
      <c r="T15" s="1560"/>
      <c r="U15" s="1561"/>
      <c r="V15" s="352"/>
      <c r="W15" s="356"/>
      <c r="X15" s="363"/>
      <c r="Y15" s="363"/>
      <c r="Z15" s="351"/>
      <c r="AA15" s="358"/>
    </row>
    <row r="16" spans="1:27" s="359" customFormat="1" ht="17.45" customHeight="1">
      <c r="A16" s="354"/>
      <c r="B16" s="351"/>
      <c r="D16" s="1613"/>
      <c r="E16" s="1613"/>
      <c r="F16" s="1613"/>
      <c r="G16" s="1613"/>
      <c r="I16" s="351"/>
      <c r="J16" s="351"/>
      <c r="K16" s="351"/>
      <c r="L16" s="351"/>
      <c r="M16" s="364" t="s">
        <v>944</v>
      </c>
      <c r="N16" s="351"/>
      <c r="O16" s="1063" t="s">
        <v>1005</v>
      </c>
      <c r="P16" s="1670"/>
      <c r="Q16" s="1574"/>
      <c r="R16" s="351"/>
      <c r="S16" s="351"/>
      <c r="T16" s="1560"/>
      <c r="U16" s="1561"/>
      <c r="V16" s="351"/>
      <c r="W16" s="356"/>
      <c r="X16" s="357"/>
      <c r="Y16" s="357"/>
      <c r="Z16" s="351"/>
      <c r="AA16" s="358"/>
    </row>
    <row r="17" spans="1:30" s="359" customFormat="1" ht="16.5" thickBot="1">
      <c r="A17" s="353"/>
      <c r="M17" s="365"/>
      <c r="N17" s="338"/>
      <c r="O17" s="338"/>
      <c r="P17" s="1671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9"/>
    </row>
    <row r="18" spans="1:30" s="351" customFormat="1" ht="15.75" customHeight="1">
      <c r="A18" s="611"/>
      <c r="B18" s="612"/>
      <c r="C18" s="613"/>
      <c r="D18" s="613"/>
      <c r="E18" s="613"/>
      <c r="F18" s="613"/>
      <c r="G18" s="613"/>
      <c r="H18" s="613"/>
      <c r="I18" s="613"/>
      <c r="J18" s="613"/>
      <c r="K18" s="613"/>
      <c r="L18" s="613"/>
      <c r="M18" s="613"/>
      <c r="N18" s="613"/>
      <c r="O18" s="613"/>
      <c r="P18" s="613"/>
      <c r="Q18" s="614"/>
      <c r="R18" s="614"/>
      <c r="S18" s="613"/>
      <c r="T18" s="613"/>
      <c r="U18" s="613"/>
      <c r="W18" s="1580" t="s">
        <v>946</v>
      </c>
      <c r="X18" s="1577" t="s">
        <v>947</v>
      </c>
      <c r="Y18" s="1577" t="s">
        <v>948</v>
      </c>
      <c r="Z18" s="1578" t="s">
        <v>949</v>
      </c>
      <c r="AA18" s="1579" t="s">
        <v>950</v>
      </c>
    </row>
    <row r="19" spans="1:30" s="351" customFormat="1" ht="15.75">
      <c r="A19" s="611"/>
      <c r="B19" s="612"/>
      <c r="C19" s="345"/>
      <c r="D19" s="613"/>
      <c r="E19" s="345"/>
      <c r="F19" s="613"/>
      <c r="G19" s="615"/>
      <c r="H19" s="613"/>
      <c r="I19" s="613"/>
      <c r="J19" s="613"/>
      <c r="K19" s="613"/>
      <c r="L19" s="613"/>
      <c r="M19" s="345"/>
      <c r="N19" s="345"/>
      <c r="O19" s="615"/>
      <c r="P19" s="345"/>
      <c r="Q19" s="615"/>
      <c r="R19" s="345"/>
      <c r="S19" s="615"/>
      <c r="T19" s="345"/>
      <c r="U19" s="345"/>
      <c r="W19" s="1580"/>
      <c r="X19" s="1577"/>
      <c r="Y19" s="1577"/>
      <c r="Z19" s="1578"/>
      <c r="AA19" s="1579"/>
    </row>
    <row r="20" spans="1:30" s="351" customFormat="1" ht="15.75">
      <c r="A20" s="611"/>
      <c r="B20" s="612"/>
      <c r="C20" s="613"/>
      <c r="D20" s="613"/>
      <c r="E20" s="613"/>
      <c r="F20" s="613"/>
      <c r="G20" s="613"/>
      <c r="H20" s="613"/>
      <c r="I20" s="613"/>
      <c r="J20" s="613"/>
      <c r="K20" s="613"/>
      <c r="L20" s="613"/>
      <c r="M20" s="613"/>
      <c r="N20" s="613"/>
      <c r="O20" s="613"/>
      <c r="P20" s="1070"/>
      <c r="Q20" s="1070"/>
      <c r="R20" s="1070"/>
      <c r="S20" s="1070"/>
      <c r="T20" s="1070"/>
      <c r="U20" s="1070"/>
      <c r="W20" s="357"/>
      <c r="X20" s="357"/>
      <c r="Y20" s="357"/>
      <c r="Z20" s="357"/>
      <c r="AA20" s="358"/>
    </row>
    <row r="21" spans="1:30" s="351" customFormat="1" ht="15.75">
      <c r="A21" s="611"/>
      <c r="C21" s="613"/>
      <c r="D21" s="613"/>
      <c r="E21" s="613"/>
      <c r="F21" s="613"/>
      <c r="G21" s="613"/>
      <c r="H21" s="613"/>
      <c r="I21" s="613"/>
      <c r="J21" s="613"/>
      <c r="K21" s="613"/>
      <c r="L21" s="613"/>
      <c r="M21" s="613"/>
      <c r="N21" s="613"/>
      <c r="O21" s="613"/>
      <c r="P21" s="1070"/>
      <c r="Q21" s="1070"/>
      <c r="R21" s="1070"/>
      <c r="S21" s="1070"/>
      <c r="T21" s="1070"/>
      <c r="U21" s="1070"/>
      <c r="W21" s="357"/>
      <c r="X21" s="357"/>
      <c r="Y21" s="357"/>
      <c r="Z21" s="357"/>
      <c r="AA21" s="358"/>
    </row>
    <row r="22" spans="1:30" s="618" customFormat="1" ht="16.5" customHeight="1">
      <c r="A22" s="611"/>
      <c r="B22" s="612"/>
      <c r="C22" s="1566"/>
      <c r="D22" s="616">
        <v>102.49</v>
      </c>
      <c r="E22" s="1566"/>
      <c r="F22" s="616">
        <v>217.2</v>
      </c>
      <c r="G22" s="1673"/>
      <c r="H22" s="616">
        <v>331.42200000000003</v>
      </c>
      <c r="I22" s="1673"/>
      <c r="J22" s="617">
        <v>186</v>
      </c>
      <c r="K22" s="1673"/>
      <c r="L22" s="616">
        <v>217.97</v>
      </c>
      <c r="M22" s="1673"/>
      <c r="N22" s="616">
        <v>253</v>
      </c>
      <c r="O22" s="1052" t="s">
        <v>31</v>
      </c>
      <c r="P22" s="617">
        <v>330.8</v>
      </c>
      <c r="Q22" s="1606" t="s">
        <v>1078</v>
      </c>
      <c r="R22" s="616">
        <v>218</v>
      </c>
      <c r="S22" s="1052" t="s">
        <v>31</v>
      </c>
      <c r="T22" s="616">
        <v>220.351</v>
      </c>
      <c r="U22" s="1673"/>
      <c r="W22" s="580">
        <f>SUM(A22:V22)</f>
        <v>2077.2330000000002</v>
      </c>
      <c r="X22" s="580">
        <v>8</v>
      </c>
      <c r="Y22" s="580">
        <v>7</v>
      </c>
      <c r="Z22" s="580">
        <v>5</v>
      </c>
      <c r="AA22" s="581">
        <v>0</v>
      </c>
      <c r="AC22" s="618">
        <v>1022</v>
      </c>
      <c r="AD22" s="351"/>
    </row>
    <row r="23" spans="1:30" s="351" customFormat="1" ht="16.149999999999999" customHeight="1">
      <c r="A23" s="611"/>
      <c r="B23" s="612"/>
      <c r="C23" s="1672"/>
      <c r="D23" s="345"/>
      <c r="E23" s="1672"/>
      <c r="F23" s="345"/>
      <c r="G23" s="1673"/>
      <c r="H23" s="345"/>
      <c r="I23" s="1673"/>
      <c r="J23" s="345"/>
      <c r="K23" s="1673"/>
      <c r="L23" s="345"/>
      <c r="M23" s="1673"/>
      <c r="N23" s="345"/>
      <c r="O23" s="378" t="s">
        <v>957</v>
      </c>
      <c r="P23" s="1070"/>
      <c r="Q23" s="1607"/>
      <c r="R23" s="585"/>
      <c r="S23" s="378" t="s">
        <v>958</v>
      </c>
      <c r="T23" s="619"/>
      <c r="U23" s="1673"/>
      <c r="V23" s="342"/>
      <c r="W23" s="582"/>
      <c r="X23" s="580"/>
      <c r="Y23" s="580"/>
      <c r="Z23" s="580"/>
      <c r="AA23" s="583"/>
    </row>
    <row r="24" spans="1:30" s="351" customFormat="1" ht="15.75">
      <c r="A24" s="611"/>
      <c r="B24" s="612"/>
      <c r="C24" s="342" t="s">
        <v>1214</v>
      </c>
      <c r="E24" s="1070" t="s">
        <v>132</v>
      </c>
      <c r="F24" s="1070"/>
      <c r="G24" s="1070" t="s">
        <v>141</v>
      </c>
      <c r="H24" s="1070"/>
      <c r="I24" s="1070" t="s">
        <v>147</v>
      </c>
      <c r="J24" s="1070"/>
      <c r="K24" s="620" t="s">
        <v>152</v>
      </c>
      <c r="L24" s="1070"/>
      <c r="M24" s="1070" t="s">
        <v>181</v>
      </c>
      <c r="N24" s="1070"/>
      <c r="O24" s="620" t="s">
        <v>186</v>
      </c>
      <c r="P24" s="425" t="s">
        <v>990</v>
      </c>
      <c r="Q24" s="620" t="s">
        <v>64</v>
      </c>
      <c r="R24" s="1070"/>
      <c r="S24" s="620" t="s">
        <v>198</v>
      </c>
      <c r="T24" s="1070"/>
      <c r="U24" s="620" t="s">
        <v>65</v>
      </c>
      <c r="V24" s="342"/>
      <c r="W24" s="582"/>
      <c r="X24" s="580"/>
      <c r="Y24" s="580"/>
      <c r="Z24" s="580"/>
      <c r="AA24" s="583"/>
    </row>
    <row r="25" spans="1:30" s="351" customFormat="1" ht="15.75">
      <c r="A25" s="611"/>
      <c r="B25" s="612"/>
      <c r="E25" s="1070" t="s">
        <v>1583</v>
      </c>
      <c r="F25" s="1070"/>
      <c r="G25" s="1070" t="s">
        <v>1583</v>
      </c>
      <c r="H25" s="1070"/>
      <c r="I25" s="1070" t="s">
        <v>1583</v>
      </c>
      <c r="J25" s="1070"/>
      <c r="K25" s="1070" t="s">
        <v>658</v>
      </c>
      <c r="L25" s="1070"/>
      <c r="M25" s="1070" t="s">
        <v>573</v>
      </c>
      <c r="N25" s="1070"/>
      <c r="O25" s="1070" t="s">
        <v>582</v>
      </c>
      <c r="P25" s="425" t="s">
        <v>991</v>
      </c>
      <c r="Q25" s="1070" t="s">
        <v>586</v>
      </c>
      <c r="R25" s="1070"/>
      <c r="S25" s="1070" t="s">
        <v>591</v>
      </c>
      <c r="T25" s="1070"/>
      <c r="U25" s="1070" t="s">
        <v>573</v>
      </c>
      <c r="V25" s="621"/>
      <c r="W25" s="582"/>
      <c r="X25" s="580"/>
      <c r="Y25" s="580"/>
      <c r="Z25" s="580"/>
      <c r="AA25" s="583"/>
    </row>
    <row r="26" spans="1:30" s="351" customFormat="1" ht="15.75">
      <c r="A26" s="611"/>
      <c r="B26" s="612"/>
      <c r="E26" s="1301" t="s">
        <v>951</v>
      </c>
      <c r="F26" s="1070"/>
      <c r="G26" s="1148"/>
      <c r="H26" s="1070"/>
      <c r="I26" s="1112"/>
      <c r="J26" s="1070"/>
      <c r="K26" s="423"/>
      <c r="L26" s="1070"/>
      <c r="M26" s="423"/>
      <c r="N26" s="1070"/>
      <c r="O26" s="1070"/>
      <c r="P26" s="1070"/>
      <c r="Q26" s="423"/>
      <c r="R26" s="1070"/>
      <c r="S26" s="1070"/>
      <c r="T26" s="1070"/>
      <c r="U26" s="1070"/>
      <c r="V26" s="621"/>
      <c r="W26" s="582"/>
      <c r="X26" s="580"/>
      <c r="Y26" s="580"/>
      <c r="Z26" s="580"/>
      <c r="AA26" s="583"/>
    </row>
    <row r="27" spans="1:30" s="351" customFormat="1" ht="15.75">
      <c r="A27" s="1069"/>
      <c r="B27" s="1070"/>
      <c r="C27" s="1070"/>
      <c r="D27" s="1070"/>
      <c r="E27" s="1070"/>
      <c r="F27" s="1070"/>
      <c r="G27" s="1070"/>
      <c r="H27" s="1070"/>
      <c r="J27" s="1070"/>
      <c r="K27" s="1070"/>
      <c r="L27" s="1070"/>
      <c r="M27" s="1070"/>
      <c r="N27" s="1070"/>
      <c r="O27" s="1070"/>
      <c r="P27" s="1070"/>
      <c r="Q27" s="1070"/>
      <c r="R27" s="1070"/>
      <c r="S27" s="1070"/>
      <c r="T27" s="1070"/>
      <c r="U27" s="1070"/>
      <c r="V27" s="621"/>
      <c r="W27" s="582"/>
      <c r="X27" s="580"/>
      <c r="Y27" s="580"/>
      <c r="Z27" s="580"/>
      <c r="AA27" s="583"/>
    </row>
    <row r="28" spans="1:30" s="351" customFormat="1" ht="15.75">
      <c r="A28" s="611"/>
      <c r="B28" s="612"/>
      <c r="C28" s="613"/>
      <c r="D28" s="613"/>
      <c r="E28" s="613"/>
      <c r="F28" s="613"/>
      <c r="G28" s="613"/>
      <c r="H28" s="613"/>
      <c r="I28" s="613"/>
      <c r="J28" s="613"/>
      <c r="K28" s="613"/>
      <c r="L28" s="613"/>
      <c r="M28" s="613"/>
      <c r="N28" s="613"/>
      <c r="O28" s="613"/>
      <c r="P28" s="1070"/>
      <c r="Q28" s="1070"/>
      <c r="R28" s="1070" t="s">
        <v>937</v>
      </c>
      <c r="S28" s="1070"/>
      <c r="T28" s="1070"/>
      <c r="U28" s="1070"/>
      <c r="W28" s="357"/>
      <c r="X28" s="357"/>
      <c r="Y28" s="357"/>
      <c r="Z28" s="357"/>
      <c r="AA28" s="358"/>
    </row>
    <row r="29" spans="1:30" s="351" customFormat="1" ht="15.75">
      <c r="A29" s="611"/>
      <c r="B29" s="612"/>
      <c r="C29" s="613"/>
      <c r="D29" s="613"/>
      <c r="E29" s="613"/>
      <c r="F29" s="613"/>
      <c r="G29" s="613"/>
      <c r="H29" s="613"/>
      <c r="I29" s="613"/>
      <c r="J29" s="613"/>
      <c r="K29" s="613"/>
      <c r="L29" s="613"/>
      <c r="M29" s="613"/>
      <c r="N29" s="613"/>
      <c r="O29" s="613"/>
      <c r="P29" s="1070"/>
      <c r="Q29" s="1070"/>
      <c r="R29" s="1070"/>
      <c r="S29" s="1070"/>
      <c r="T29" s="1070"/>
      <c r="U29" s="1070"/>
      <c r="W29" s="357"/>
      <c r="X29" s="357"/>
      <c r="Y29" s="357"/>
      <c r="Z29" s="357"/>
      <c r="AA29" s="358"/>
    </row>
    <row r="30" spans="1:30" s="618" customFormat="1" ht="13.9" customHeight="1">
      <c r="A30" s="1069"/>
      <c r="B30" s="615">
        <v>190</v>
      </c>
      <c r="C30" s="1052" t="s">
        <v>31</v>
      </c>
      <c r="D30" s="616">
        <v>260</v>
      </c>
      <c r="E30" s="1052" t="s">
        <v>31</v>
      </c>
      <c r="F30" s="622">
        <v>323</v>
      </c>
      <c r="G30" s="1673"/>
      <c r="H30" s="616">
        <v>246</v>
      </c>
      <c r="I30" s="1606" t="s">
        <v>1151</v>
      </c>
      <c r="J30" s="622">
        <v>255</v>
      </c>
      <c r="K30" s="1600" t="s">
        <v>1204</v>
      </c>
      <c r="L30" s="616">
        <v>152</v>
      </c>
      <c r="M30" s="1052" t="s">
        <v>42</v>
      </c>
      <c r="N30" s="616">
        <v>294.5</v>
      </c>
      <c r="O30" s="1673"/>
      <c r="P30" s="616">
        <v>269</v>
      </c>
      <c r="Q30" s="1052" t="s">
        <v>42</v>
      </c>
      <c r="R30" s="616">
        <v>333</v>
      </c>
      <c r="S30" s="1052" t="s">
        <v>42</v>
      </c>
      <c r="T30" s="616">
        <v>257</v>
      </c>
      <c r="U30" s="1052" t="s">
        <v>42</v>
      </c>
      <c r="W30" s="580">
        <f>SUM(A30:V30)</f>
        <v>2579.5</v>
      </c>
      <c r="X30" s="580">
        <v>10</v>
      </c>
      <c r="Y30" s="580">
        <v>10</v>
      </c>
      <c r="Z30" s="580">
        <v>8</v>
      </c>
      <c r="AA30" s="581">
        <v>0</v>
      </c>
      <c r="AC30" s="618">
        <f>W30-P30-R30-T30</f>
        <v>1720.5</v>
      </c>
    </row>
    <row r="31" spans="1:30" s="351" customFormat="1" ht="16.149999999999999" customHeight="1">
      <c r="A31" s="611"/>
      <c r="B31" s="612"/>
      <c r="C31" s="1053" t="s">
        <v>1085</v>
      </c>
      <c r="D31" s="345"/>
      <c r="E31" s="1053" t="s">
        <v>1075</v>
      </c>
      <c r="F31" s="345"/>
      <c r="G31" s="1673"/>
      <c r="H31" s="345"/>
      <c r="I31" s="1607"/>
      <c r="J31" s="345"/>
      <c r="K31" s="1601"/>
      <c r="L31" s="345"/>
      <c r="M31" s="1053" t="s">
        <v>1150</v>
      </c>
      <c r="N31" s="345"/>
      <c r="O31" s="1673"/>
      <c r="P31" s="1070"/>
      <c r="Q31" s="1053" t="s">
        <v>1207</v>
      </c>
      <c r="R31" s="585"/>
      <c r="S31" s="1053" t="s">
        <v>1429</v>
      </c>
      <c r="T31" s="619"/>
      <c r="U31" s="1053" t="s">
        <v>1605</v>
      </c>
      <c r="V31" s="342"/>
      <c r="W31" s="582"/>
      <c r="X31" s="580"/>
      <c r="Y31" s="580"/>
      <c r="Z31" s="580"/>
      <c r="AA31" s="583"/>
    </row>
    <row r="32" spans="1:30" s="351" customFormat="1" ht="15.75">
      <c r="A32" s="611"/>
      <c r="B32" s="612"/>
      <c r="C32" s="620" t="s">
        <v>598</v>
      </c>
      <c r="D32" s="1070"/>
      <c r="E32" s="620" t="s">
        <v>602</v>
      </c>
      <c r="F32" s="1070" t="s">
        <v>990</v>
      </c>
      <c r="G32" s="620" t="s">
        <v>213</v>
      </c>
      <c r="H32" s="1070"/>
      <c r="I32" s="620" t="s">
        <v>66</v>
      </c>
      <c r="J32" s="1070" t="s">
        <v>990</v>
      </c>
      <c r="K32" s="620" t="s">
        <v>616</v>
      </c>
      <c r="L32" s="1070"/>
      <c r="M32" s="620" t="s">
        <v>621</v>
      </c>
      <c r="N32" s="1070" t="s">
        <v>990</v>
      </c>
      <c r="O32" s="620" t="s">
        <v>224</v>
      </c>
      <c r="P32" s="1070"/>
      <c r="Q32" s="620" t="s">
        <v>230</v>
      </c>
      <c r="R32" s="1070"/>
      <c r="S32" s="620" t="s">
        <v>234</v>
      </c>
      <c r="T32" s="1070"/>
      <c r="U32" s="620" t="s">
        <v>239</v>
      </c>
      <c r="V32" s="342"/>
      <c r="W32" s="582"/>
      <c r="X32" s="580"/>
      <c r="Y32" s="580"/>
      <c r="Z32" s="580"/>
      <c r="AA32" s="583"/>
    </row>
    <row r="33" spans="1:29" s="351" customFormat="1" ht="15.75">
      <c r="A33" s="611"/>
      <c r="B33" s="612"/>
      <c r="C33" s="1070" t="s">
        <v>582</v>
      </c>
      <c r="D33" s="1070"/>
      <c r="E33" s="1070" t="s">
        <v>603</v>
      </c>
      <c r="F33" s="1070" t="s">
        <v>991</v>
      </c>
      <c r="G33" s="1070" t="s">
        <v>607</v>
      </c>
      <c r="H33" s="1070"/>
      <c r="I33" s="1070" t="s">
        <v>586</v>
      </c>
      <c r="J33" s="1070" t="s">
        <v>991</v>
      </c>
      <c r="K33" s="1070" t="s">
        <v>582</v>
      </c>
      <c r="L33" s="1070"/>
      <c r="M33" s="1070" t="s">
        <v>582</v>
      </c>
      <c r="N33" s="1070" t="s">
        <v>991</v>
      </c>
      <c r="O33" s="1070" t="s">
        <v>573</v>
      </c>
      <c r="P33" s="1070"/>
      <c r="Q33" s="1070" t="s">
        <v>582</v>
      </c>
      <c r="R33" s="1070"/>
      <c r="S33" s="1070" t="s">
        <v>582</v>
      </c>
      <c r="T33" s="1070"/>
      <c r="U33" s="1070" t="s">
        <v>591</v>
      </c>
      <c r="V33" s="621"/>
      <c r="W33" s="582"/>
      <c r="X33" s="580"/>
      <c r="Y33" s="580"/>
      <c r="Z33" s="580"/>
      <c r="AA33" s="583"/>
    </row>
    <row r="34" spans="1:29" s="351" customFormat="1" ht="15.75">
      <c r="A34" s="611"/>
      <c r="B34" s="612"/>
      <c r="C34" s="1070"/>
      <c r="D34" s="1070"/>
      <c r="E34" s="423"/>
      <c r="F34" s="1070"/>
      <c r="G34" s="1070"/>
      <c r="H34" s="1070"/>
      <c r="I34" s="423"/>
      <c r="J34" s="1070"/>
      <c r="K34" s="1070"/>
      <c r="L34" s="1070"/>
      <c r="M34" s="1070"/>
      <c r="N34" s="1070"/>
      <c r="O34" s="1070"/>
      <c r="P34" s="1070"/>
      <c r="Q34" s="1070"/>
      <c r="R34" s="1070"/>
      <c r="S34" s="1070"/>
      <c r="T34" s="1070"/>
      <c r="U34" s="1070"/>
      <c r="V34" s="621"/>
      <c r="W34" s="582"/>
      <c r="X34" s="580"/>
      <c r="Y34" s="580"/>
      <c r="Z34" s="580"/>
      <c r="AA34" s="583"/>
    </row>
    <row r="35" spans="1:29" s="351" customFormat="1" ht="15.75">
      <c r="A35" s="1069"/>
      <c r="B35" s="1070"/>
      <c r="C35" s="1070"/>
      <c r="D35" s="1070"/>
      <c r="E35" s="1070"/>
      <c r="F35" s="1070"/>
      <c r="G35" s="1070"/>
      <c r="H35" s="1070"/>
      <c r="I35" s="1070"/>
      <c r="J35" s="1070"/>
      <c r="K35" s="1070"/>
      <c r="L35" s="1070"/>
      <c r="M35" s="1070"/>
      <c r="N35" s="1070"/>
      <c r="O35" s="1070"/>
      <c r="P35" s="1070"/>
      <c r="Q35" s="1070"/>
      <c r="R35" s="1070"/>
      <c r="S35" s="1070"/>
      <c r="T35" s="1070"/>
      <c r="U35" s="1070"/>
      <c r="V35" s="621"/>
      <c r="W35" s="582"/>
      <c r="X35" s="580"/>
      <c r="Y35" s="580"/>
      <c r="Z35" s="580"/>
      <c r="AA35" s="583"/>
    </row>
    <row r="36" spans="1:29" s="351" customFormat="1" ht="15.75">
      <c r="A36" s="611"/>
      <c r="B36" s="612"/>
      <c r="C36" s="613"/>
      <c r="D36" s="613"/>
      <c r="E36" s="613"/>
      <c r="F36" s="613"/>
      <c r="G36" s="613"/>
      <c r="H36" s="613"/>
      <c r="I36" s="613"/>
      <c r="J36" s="613"/>
      <c r="K36" s="613"/>
      <c r="L36" s="613"/>
      <c r="M36" s="613"/>
      <c r="N36" s="613"/>
      <c r="O36" s="613"/>
      <c r="P36" s="1070"/>
      <c r="Q36" s="1070"/>
      <c r="R36" s="1070"/>
      <c r="S36" s="1070"/>
      <c r="T36" s="1070"/>
      <c r="U36" s="1070"/>
      <c r="W36" s="357"/>
      <c r="X36" s="357"/>
      <c r="Y36" s="357"/>
      <c r="Z36" s="357"/>
      <c r="AA36" s="358"/>
    </row>
    <row r="37" spans="1:29" s="351" customFormat="1" ht="15.75">
      <c r="A37" s="1069"/>
      <c r="B37" s="1070"/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3"/>
      <c r="P37" s="1070"/>
      <c r="Q37" s="1070"/>
      <c r="R37" s="1070"/>
      <c r="S37" s="1070"/>
      <c r="T37" s="1070"/>
      <c r="U37" s="1070"/>
      <c r="W37" s="357"/>
      <c r="X37" s="357"/>
      <c r="Y37" s="357"/>
      <c r="Z37" s="357"/>
      <c r="AA37" s="358"/>
    </row>
    <row r="38" spans="1:29" s="618" customFormat="1" ht="13.9" customHeight="1">
      <c r="A38" s="1069"/>
      <c r="B38" s="1070">
        <v>297</v>
      </c>
      <c r="C38" s="1597" t="s">
        <v>1587</v>
      </c>
      <c r="D38" s="616">
        <v>291.08999999999997</v>
      </c>
      <c r="E38" s="1675"/>
      <c r="F38" s="616">
        <v>235</v>
      </c>
      <c r="G38" s="1568"/>
      <c r="H38" s="616">
        <v>359</v>
      </c>
      <c r="I38" s="1606"/>
      <c r="J38" s="617">
        <v>232</v>
      </c>
      <c r="K38" s="1606"/>
      <c r="L38" s="617">
        <v>209</v>
      </c>
      <c r="M38" s="1581"/>
      <c r="N38" s="616">
        <v>104.55</v>
      </c>
      <c r="O38" s="1581"/>
      <c r="P38" s="616">
        <v>88.06</v>
      </c>
      <c r="Q38" s="1581"/>
      <c r="R38" s="616">
        <v>72.89</v>
      </c>
      <c r="S38" s="1606"/>
      <c r="T38" s="616">
        <v>64.5</v>
      </c>
      <c r="U38" s="1675"/>
      <c r="W38" s="580">
        <f>SUM(A38:V38)</f>
        <v>1953.09</v>
      </c>
      <c r="X38" s="580">
        <v>7</v>
      </c>
      <c r="Y38" s="580">
        <v>5</v>
      </c>
      <c r="Z38" s="580">
        <v>0</v>
      </c>
      <c r="AA38" s="581">
        <v>0</v>
      </c>
      <c r="AC38" s="618">
        <f>J38</f>
        <v>232</v>
      </c>
    </row>
    <row r="39" spans="1:29" s="351" customFormat="1" ht="26.25" customHeight="1">
      <c r="A39" s="611"/>
      <c r="B39" s="612"/>
      <c r="C39" s="1598"/>
      <c r="D39" s="345"/>
      <c r="E39" s="1675"/>
      <c r="F39" s="345"/>
      <c r="G39" s="1569"/>
      <c r="H39" s="422" t="s">
        <v>992</v>
      </c>
      <c r="I39" s="1607"/>
      <c r="J39" s="1608" t="s">
        <v>652</v>
      </c>
      <c r="K39" s="1607"/>
      <c r="L39" s="1608" t="s">
        <v>657</v>
      </c>
      <c r="M39" s="1674"/>
      <c r="N39" s="345"/>
      <c r="O39" s="1674"/>
      <c r="P39" s="1070"/>
      <c r="Q39" s="1674"/>
      <c r="R39" s="585"/>
      <c r="S39" s="1607"/>
      <c r="T39" s="1070"/>
      <c r="U39" s="1675"/>
      <c r="V39" s="342"/>
      <c r="W39" s="582"/>
      <c r="X39" s="580"/>
      <c r="Y39" s="580"/>
      <c r="Z39" s="580"/>
      <c r="AA39" s="583"/>
    </row>
    <row r="40" spans="1:29" s="351" customFormat="1" ht="18.75" customHeight="1">
      <c r="A40" s="611"/>
      <c r="B40" s="612"/>
      <c r="C40" s="620" t="s">
        <v>637</v>
      </c>
      <c r="D40" s="1070"/>
      <c r="E40" s="620" t="s">
        <v>67</v>
      </c>
      <c r="F40" s="1070"/>
      <c r="G40" s="620" t="s">
        <v>250</v>
      </c>
      <c r="H40" s="1070"/>
      <c r="I40" s="620" t="s">
        <v>68</v>
      </c>
      <c r="J40" s="1609"/>
      <c r="K40" s="1070" t="s">
        <v>56</v>
      </c>
      <c r="L40" s="1609"/>
      <c r="M40" s="620" t="s">
        <v>60</v>
      </c>
      <c r="N40" s="1070"/>
      <c r="O40" s="1070" t="s">
        <v>55</v>
      </c>
      <c r="P40" s="1070"/>
      <c r="Q40" s="620" t="s">
        <v>59</v>
      </c>
      <c r="R40" s="1070"/>
      <c r="S40" s="620" t="s">
        <v>58</v>
      </c>
      <c r="T40" s="1070"/>
      <c r="U40" s="1070" t="s">
        <v>953</v>
      </c>
      <c r="V40" s="342"/>
      <c r="W40" s="582"/>
      <c r="X40" s="580"/>
      <c r="Y40" s="580"/>
      <c r="Z40" s="580"/>
      <c r="AA40" s="583"/>
    </row>
    <row r="41" spans="1:29" s="351" customFormat="1" ht="18.75" customHeight="1">
      <c r="A41" s="611"/>
      <c r="B41" s="612"/>
      <c r="C41" s="1070" t="s">
        <v>591</v>
      </c>
      <c r="D41" s="1070"/>
      <c r="E41" s="1070" t="s">
        <v>586</v>
      </c>
      <c r="F41" s="1070"/>
      <c r="G41" s="1070" t="s">
        <v>603</v>
      </c>
      <c r="H41" s="1070"/>
      <c r="I41" s="1070" t="s">
        <v>648</v>
      </c>
      <c r="J41" s="1609"/>
      <c r="K41" s="1070" t="s">
        <v>653</v>
      </c>
      <c r="L41" s="1609"/>
      <c r="M41" s="1070" t="s">
        <v>658</v>
      </c>
      <c r="N41" s="1070"/>
      <c r="O41" s="1070" t="s">
        <v>671</v>
      </c>
      <c r="P41" s="1070"/>
      <c r="Q41" s="1070" t="s">
        <v>586</v>
      </c>
      <c r="R41" s="1070"/>
      <c r="S41" s="1070" t="s">
        <v>671</v>
      </c>
      <c r="T41" s="1070"/>
      <c r="U41" s="1070"/>
      <c r="V41" s="621"/>
      <c r="W41" s="582"/>
      <c r="X41" s="580"/>
      <c r="Y41" s="580"/>
      <c r="Z41" s="580"/>
      <c r="AA41" s="583"/>
    </row>
    <row r="42" spans="1:29" s="351" customFormat="1" ht="18.75" customHeight="1">
      <c r="A42" s="611"/>
      <c r="B42" s="612"/>
      <c r="C42" s="1070"/>
      <c r="D42" s="1070"/>
      <c r="E42" s="1083" t="s">
        <v>977</v>
      </c>
      <c r="F42" s="1070"/>
      <c r="G42" s="1083" t="s">
        <v>977</v>
      </c>
      <c r="H42" s="1070"/>
      <c r="I42" s="1070"/>
      <c r="J42" s="1609"/>
      <c r="K42" s="1126"/>
      <c r="L42" s="1609"/>
      <c r="M42" s="423" t="s">
        <v>952</v>
      </c>
      <c r="N42" s="1070"/>
      <c r="O42" s="423"/>
      <c r="P42" s="1070"/>
      <c r="Q42" s="1148"/>
      <c r="R42" s="1070"/>
      <c r="S42" s="1148"/>
      <c r="T42" s="1070"/>
      <c r="U42" s="1070"/>
      <c r="V42" s="621"/>
      <c r="W42" s="582"/>
      <c r="X42" s="580"/>
      <c r="Y42" s="580"/>
      <c r="Z42" s="580"/>
      <c r="AA42" s="583"/>
    </row>
    <row r="43" spans="1:29" s="351" customFormat="1" ht="18.75" customHeight="1">
      <c r="A43" s="1677"/>
      <c r="B43" s="1678"/>
      <c r="C43" s="1678"/>
      <c r="D43" s="1070"/>
      <c r="E43" s="1070"/>
      <c r="F43" s="1070"/>
      <c r="G43" s="1070"/>
      <c r="H43" s="1070"/>
      <c r="I43" s="1070"/>
      <c r="J43" s="1609"/>
      <c r="K43" s="1070"/>
      <c r="L43" s="1609"/>
      <c r="M43" s="423"/>
      <c r="N43" s="1070"/>
      <c r="O43" s="1070"/>
      <c r="P43" s="1070"/>
      <c r="Q43" s="1070"/>
      <c r="R43" s="1070"/>
      <c r="S43" s="1070"/>
      <c r="T43" s="1070"/>
      <c r="U43" s="1070"/>
      <c r="V43" s="621"/>
      <c r="W43" s="582"/>
      <c r="X43" s="580"/>
      <c r="Y43" s="580"/>
      <c r="Z43" s="580"/>
      <c r="AA43" s="583"/>
    </row>
    <row r="44" spans="1:29" s="351" customFormat="1" ht="18.75" customHeight="1" thickBot="1">
      <c r="A44" s="1069"/>
      <c r="B44" s="1070"/>
      <c r="C44" s="1070"/>
      <c r="D44" s="1070"/>
      <c r="E44" s="1081"/>
      <c r="F44" s="625" t="s">
        <v>2033</v>
      </c>
      <c r="G44" s="1070"/>
      <c r="H44" s="1070"/>
      <c r="I44" s="1070"/>
      <c r="J44" s="1062"/>
      <c r="K44" s="1070"/>
      <c r="L44" s="1062"/>
      <c r="M44" s="1070"/>
      <c r="N44" s="1070"/>
      <c r="O44" s="1070"/>
      <c r="P44" s="1070"/>
      <c r="Q44" s="1070"/>
      <c r="R44" s="1070"/>
      <c r="S44" s="1070"/>
      <c r="T44" s="1070"/>
      <c r="U44" s="1070"/>
      <c r="V44" s="621"/>
      <c r="W44" s="582"/>
      <c r="X44" s="580"/>
      <c r="Y44" s="580"/>
      <c r="Z44" s="580"/>
      <c r="AA44" s="583"/>
    </row>
    <row r="45" spans="1:29" s="351" customFormat="1" ht="30" customHeight="1" thickBot="1">
      <c r="A45" s="430"/>
      <c r="B45" s="431"/>
      <c r="C45" s="431"/>
      <c r="D45" s="431"/>
      <c r="E45" s="1083"/>
      <c r="F45" s="431" t="s">
        <v>977</v>
      </c>
      <c r="G45" s="431"/>
      <c r="H45" s="431"/>
      <c r="I45" s="431"/>
      <c r="J45" s="432"/>
      <c r="K45" s="431"/>
      <c r="L45" s="432"/>
      <c r="M45" s="431"/>
      <c r="N45" s="431"/>
      <c r="O45" s="431"/>
      <c r="P45" s="431" t="s">
        <v>954</v>
      </c>
      <c r="Q45" s="431"/>
      <c r="R45" s="431"/>
      <c r="S45" s="431"/>
      <c r="T45" s="431"/>
      <c r="U45" s="431"/>
      <c r="V45" s="433"/>
      <c r="W45" s="522">
        <f>SUM(W21:W43)/1000</f>
        <v>6.6098230000000004</v>
      </c>
      <c r="X45" s="523">
        <f>SUM(X21:X43)</f>
        <v>25</v>
      </c>
      <c r="Y45" s="523">
        <f>SUM(Y21:Y43)</f>
        <v>22</v>
      </c>
      <c r="Z45" s="523">
        <f>SUM(Z21:Z43)</f>
        <v>13</v>
      </c>
      <c r="AA45" s="524">
        <f>SUM(AA21:AA43)/1000</f>
        <v>0</v>
      </c>
    </row>
    <row r="46" spans="1:29" s="351" customFormat="1" ht="18.75" customHeight="1" thickBot="1">
      <c r="A46" s="1069"/>
      <c r="B46" s="1070"/>
      <c r="C46" s="1070"/>
      <c r="D46" s="1070"/>
      <c r="E46" s="1070"/>
      <c r="F46" s="1070"/>
      <c r="G46" s="1070"/>
      <c r="H46" s="1070"/>
      <c r="I46" s="1070"/>
      <c r="J46" s="1062"/>
      <c r="K46" s="1070"/>
      <c r="L46" s="1062"/>
      <c r="M46" s="1070"/>
      <c r="N46" s="1070"/>
      <c r="O46" s="1070"/>
      <c r="P46" s="1070"/>
      <c r="Q46" s="1070"/>
      <c r="S46" s="1070"/>
      <c r="T46" s="1070"/>
      <c r="U46" s="1070"/>
      <c r="V46" s="1070"/>
      <c r="W46" s="1070"/>
      <c r="X46" s="1070"/>
      <c r="Y46" s="1070"/>
      <c r="Z46" s="1070"/>
      <c r="AA46" s="1070"/>
    </row>
    <row r="47" spans="1:29" s="351" customFormat="1" ht="26.25" hidden="1" customHeight="1">
      <c r="A47" s="1069"/>
      <c r="B47" s="1070"/>
      <c r="C47" s="1070"/>
      <c r="D47" s="1070"/>
      <c r="E47" s="1070"/>
      <c r="F47" s="1070"/>
      <c r="G47" s="1070"/>
      <c r="H47" s="1676" t="s">
        <v>1024</v>
      </c>
      <c r="I47" s="1676"/>
      <c r="J47" s="1676"/>
      <c r="K47" s="1676"/>
      <c r="L47" s="1676"/>
      <c r="M47" s="1676"/>
      <c r="N47" s="1676"/>
      <c r="O47" s="1676"/>
      <c r="P47" s="1676"/>
      <c r="R47" s="1070"/>
      <c r="S47" s="1070"/>
      <c r="T47" s="1070"/>
      <c r="U47" s="1070"/>
      <c r="V47" s="1070"/>
      <c r="W47" s="1070"/>
      <c r="X47" s="1070"/>
      <c r="Y47" s="1070"/>
      <c r="Z47" s="1070"/>
      <c r="AA47" s="623"/>
    </row>
    <row r="48" spans="1:29" s="351" customFormat="1" ht="26.25" hidden="1" customHeight="1">
      <c r="A48" s="1069"/>
      <c r="B48" s="1070"/>
      <c r="C48" s="1070"/>
      <c r="D48" s="1070"/>
      <c r="E48" s="1070"/>
      <c r="F48" s="1070"/>
      <c r="G48" s="1070"/>
      <c r="H48" s="1679" t="s">
        <v>1010</v>
      </c>
      <c r="I48" s="1679" t="s">
        <v>989</v>
      </c>
      <c r="J48" s="1676" t="s">
        <v>1011</v>
      </c>
      <c r="K48" s="1676"/>
      <c r="L48" s="1676"/>
      <c r="M48" s="1676"/>
      <c r="N48" s="1676"/>
      <c r="O48" s="1676"/>
      <c r="P48" s="1679" t="s">
        <v>1012</v>
      </c>
      <c r="R48" s="1070"/>
      <c r="S48" s="1070"/>
      <c r="T48" s="1070"/>
      <c r="U48" s="1070"/>
      <c r="V48" s="1070"/>
      <c r="W48" s="1070"/>
      <c r="X48" s="1070"/>
      <c r="Y48" s="1070"/>
      <c r="Z48" s="1070"/>
      <c r="AA48" s="623"/>
    </row>
    <row r="49" spans="1:27" s="351" customFormat="1" ht="26.25" hidden="1" customHeight="1">
      <c r="A49" s="1069"/>
      <c r="B49" s="1070"/>
      <c r="C49" s="1070"/>
      <c r="D49" s="1070"/>
      <c r="E49" s="1070"/>
      <c r="F49" s="1070"/>
      <c r="G49" s="1070"/>
      <c r="H49" s="1679"/>
      <c r="I49" s="1679"/>
      <c r="J49" s="1068" t="s">
        <v>1019</v>
      </c>
      <c r="K49" s="1068" t="s">
        <v>1013</v>
      </c>
      <c r="L49" s="1068" t="s">
        <v>1014</v>
      </c>
      <c r="M49" s="1068" t="s">
        <v>1015</v>
      </c>
      <c r="N49" s="1068" t="s">
        <v>1016</v>
      </c>
      <c r="O49" s="1068" t="s">
        <v>1017</v>
      </c>
      <c r="P49" s="1679"/>
      <c r="Q49" s="1070"/>
      <c r="R49" s="1070"/>
      <c r="S49" s="1070"/>
      <c r="T49" s="1070"/>
      <c r="U49" s="1070"/>
      <c r="V49" s="1070"/>
      <c r="W49" s="1070"/>
      <c r="X49" s="1070"/>
      <c r="Y49" s="1070"/>
      <c r="Z49" s="1070"/>
      <c r="AA49" s="623"/>
    </row>
    <row r="50" spans="1:27" s="351" customFormat="1" ht="26.25" hidden="1" customHeight="1">
      <c r="A50" s="1069"/>
      <c r="B50" s="1070"/>
      <c r="C50" s="1070"/>
      <c r="D50" s="1070"/>
      <c r="E50" s="1070"/>
      <c r="F50" s="1070"/>
      <c r="G50" s="1070"/>
      <c r="H50" s="428">
        <v>1</v>
      </c>
      <c r="I50" s="428" t="s">
        <v>1020</v>
      </c>
      <c r="J50" s="428" t="e">
        <f>COUNTIF('[13]DS-220 KV TM'!$D$10:$D$66,"*2TDA+0*")</f>
        <v>#VALUE!</v>
      </c>
      <c r="K50" s="428" t="e">
        <f>COUNTIF('[13]DS-220 KV TM'!$D$10:$D$66,"*2TDA+3*")</f>
        <v>#VALUE!</v>
      </c>
      <c r="L50" s="428" t="e">
        <f>COUNTIF('[13]DS-220 KV TM'!$D$10:$D$66,"*2TDA+6*")</f>
        <v>#VALUE!</v>
      </c>
      <c r="M50" s="428" t="e">
        <f>COUNTIF('[13]DS-220 KV TM'!$D$10:$D$66,"*2TDA+9*")</f>
        <v>#VALUE!</v>
      </c>
      <c r="N50" s="428" t="e">
        <f>COUNTIF('[13]DS-220 KV TM'!$D$10:$D$66,"*2TDA+18*")</f>
        <v>#VALUE!</v>
      </c>
      <c r="O50" s="428" t="e">
        <f>COUNTIF('[13]DS-220 KV TM'!$D$10:$D$66,"*2TDA+25*")</f>
        <v>#VALUE!</v>
      </c>
      <c r="P50" s="428" t="e">
        <f>SUM(J50:O50)</f>
        <v>#VALUE!</v>
      </c>
      <c r="Q50" s="1070"/>
      <c r="R50" s="1070"/>
      <c r="S50" s="1070"/>
      <c r="T50" s="1070"/>
      <c r="U50" s="1070"/>
      <c r="V50" s="1070"/>
      <c r="W50" s="1070"/>
      <c r="X50" s="1070"/>
      <c r="Y50" s="1070"/>
      <c r="Z50" s="1070"/>
      <c r="AA50" s="623"/>
    </row>
    <row r="51" spans="1:27" s="351" customFormat="1" ht="26.25" hidden="1" customHeight="1">
      <c r="A51" s="1069"/>
      <c r="B51" s="1070"/>
      <c r="C51" s="1070"/>
      <c r="D51" s="1070"/>
      <c r="E51" s="1070"/>
      <c r="F51" s="1070"/>
      <c r="G51" s="1070"/>
      <c r="H51" s="428">
        <v>3</v>
      </c>
      <c r="I51" s="428" t="s">
        <v>1021</v>
      </c>
      <c r="J51" s="428" t="e">
        <f>COUNTIF('[13]DS-220 KV TM'!$D$10:$D$66,"*2TDB+0*")</f>
        <v>#VALUE!</v>
      </c>
      <c r="K51" s="428" t="e">
        <f>COUNTIF('[13]DS-220 KV TM'!$D$10:$D$66,"*2TDB+3*")</f>
        <v>#VALUE!</v>
      </c>
      <c r="L51" s="428" t="e">
        <f>COUNTIF('[13]DS-220 KV TM'!$D$10:$D$66,"*2TDB+6*")</f>
        <v>#VALUE!</v>
      </c>
      <c r="M51" s="428" t="e">
        <f>COUNTIF('[13]DS-220 KV TM'!$D$10:$D$66,"*2TDB+9*")</f>
        <v>#VALUE!</v>
      </c>
      <c r="N51" s="428" t="e">
        <f>COUNTIF('[13]DS-220 KV TM'!$D$10:$D$66,"*2TDB+18*")</f>
        <v>#VALUE!</v>
      </c>
      <c r="O51" s="428" t="e">
        <f>COUNTIF('[13]DS-220 KV TM'!$D$10:$D$66,"*2TDB+25*")</f>
        <v>#VALUE!</v>
      </c>
      <c r="P51" s="428" t="e">
        <f>SUM(J51:O51)</f>
        <v>#VALUE!</v>
      </c>
      <c r="Q51" s="1070"/>
      <c r="R51" s="1070"/>
      <c r="S51" s="1070"/>
      <c r="T51" s="1070"/>
      <c r="U51" s="1070"/>
      <c r="V51" s="1070"/>
      <c r="W51" s="1070"/>
      <c r="X51" s="1070"/>
      <c r="Y51" s="1070"/>
      <c r="Z51" s="1070"/>
      <c r="AA51" s="623"/>
    </row>
    <row r="52" spans="1:27" s="351" customFormat="1" ht="26.25" hidden="1" customHeight="1">
      <c r="A52" s="1069"/>
      <c r="B52" s="1070"/>
      <c r="C52" s="1070"/>
      <c r="D52" s="1070"/>
      <c r="E52" s="1070"/>
      <c r="F52" s="1070"/>
      <c r="G52" s="1070"/>
      <c r="H52" s="428">
        <v>4</v>
      </c>
      <c r="I52" s="428" t="s">
        <v>1022</v>
      </c>
      <c r="J52" s="428" t="e">
        <f>COUNTIF('[13]DS-220 KV TM'!$D$10:$D$66,"*2TDC+0*")</f>
        <v>#VALUE!</v>
      </c>
      <c r="K52" s="428" t="e">
        <f>COUNTIF('[13]DS-220 KV TM'!$D$10:$D$66,"*2TDC+3*")</f>
        <v>#VALUE!</v>
      </c>
      <c r="L52" s="428" t="e">
        <f>COUNTIF('[13]DS-220 KV TM'!$D$10:$D$66,"*2TDC+6*")</f>
        <v>#VALUE!</v>
      </c>
      <c r="M52" s="428" t="e">
        <f>COUNTIF('[13]DS-220 KV TM'!$D$10:$D$66,"*2TDC+9*")</f>
        <v>#VALUE!</v>
      </c>
      <c r="N52" s="428" t="e">
        <f>COUNTIF('[13]DS-220 KV TM'!$D$10:$D$66,"*2TDC+18*")</f>
        <v>#VALUE!</v>
      </c>
      <c r="O52" s="428" t="e">
        <f>COUNTIF('[13]DS-220 KV TM'!$D$10:$D$66,"*2TDC+25*")</f>
        <v>#VALUE!</v>
      </c>
      <c r="P52" s="428" t="e">
        <f>SUM(J52:O52)</f>
        <v>#VALUE!</v>
      </c>
      <c r="Q52" s="1070"/>
      <c r="R52" s="1070"/>
      <c r="S52" s="1070"/>
      <c r="T52" s="1070"/>
      <c r="U52" s="1070"/>
      <c r="V52" s="1070"/>
      <c r="W52" s="1070"/>
      <c r="X52" s="1070"/>
      <c r="Y52" s="1070"/>
      <c r="Z52" s="1070"/>
      <c r="AA52" s="623"/>
    </row>
    <row r="53" spans="1:27" s="351" customFormat="1" ht="26.25" hidden="1" customHeight="1">
      <c r="A53" s="1069"/>
      <c r="B53" s="1070"/>
      <c r="C53" s="1070"/>
      <c r="D53" s="1070"/>
      <c r="E53" s="1070"/>
      <c r="F53" s="1070"/>
      <c r="G53" s="1070"/>
      <c r="H53" s="428">
        <v>5</v>
      </c>
      <c r="I53" s="428" t="s">
        <v>1023</v>
      </c>
      <c r="J53" s="428" t="e">
        <f>COUNTIF('[13]DS-220 KV TM'!$D$10:$D$66,"*2TDD+0*")</f>
        <v>#VALUE!</v>
      </c>
      <c r="K53" s="428" t="e">
        <f>COUNTIF('[13]DS-220 KV TM'!$D$10:$D$66,"*2TDD+3*")</f>
        <v>#VALUE!</v>
      </c>
      <c r="L53" s="428" t="e">
        <f>COUNTIF('[13]DS-220 KV TM'!$D$10:$D$66,"*2TDD+6*")</f>
        <v>#VALUE!</v>
      </c>
      <c r="M53" s="428" t="e">
        <f>COUNTIF('[13]DS-220 KV TM'!$D$10:$D$66,"*2TDD+9*")</f>
        <v>#VALUE!</v>
      </c>
      <c r="N53" s="428" t="e">
        <f>COUNTIF('[13]DS-220 KV TM'!$D$10:$D$66,"*2TDD+18*")</f>
        <v>#VALUE!</v>
      </c>
      <c r="O53" s="428" t="e">
        <f>COUNTIF('[13]DS-220 KV TM'!$D$10:$D$66,"*2TDD+25*")</f>
        <v>#VALUE!</v>
      </c>
      <c r="P53" s="428" t="e">
        <f>SUM(J53:O53)</f>
        <v>#VALUE!</v>
      </c>
      <c r="Q53" s="1070"/>
      <c r="R53" s="1070"/>
      <c r="S53" s="1070"/>
      <c r="T53" s="1070"/>
      <c r="U53" s="1070"/>
      <c r="V53" s="1070"/>
      <c r="W53" s="1070"/>
      <c r="X53" s="1070"/>
      <c r="Y53" s="1070"/>
      <c r="Z53" s="1070"/>
      <c r="AA53" s="623"/>
    </row>
    <row r="54" spans="1:27" s="342" customFormat="1" ht="26.25" hidden="1" customHeight="1">
      <c r="A54" s="624"/>
      <c r="H54" s="1676" t="s">
        <v>1018</v>
      </c>
      <c r="I54" s="1676"/>
      <c r="J54" s="1068" t="e">
        <f>SUM(J50:J53)</f>
        <v>#VALUE!</v>
      </c>
      <c r="K54" s="1068" t="e">
        <f>SUM(K50:K53)</f>
        <v>#VALUE!</v>
      </c>
      <c r="L54" s="1068" t="e">
        <f>SUM(L50:L53)</f>
        <v>#VALUE!</v>
      </c>
      <c r="M54" s="1068" t="e">
        <f>SUM(M50:M53)</f>
        <v>#VALUE!</v>
      </c>
      <c r="N54" s="1068" t="e">
        <f t="shared" ref="N54:O54" si="0">SUM(N50:N53)</f>
        <v>#VALUE!</v>
      </c>
      <c r="O54" s="1068" t="e">
        <f t="shared" si="0"/>
        <v>#VALUE!</v>
      </c>
      <c r="P54" s="1068" t="e">
        <f>SUM(P50:P53)</f>
        <v>#VALUE!</v>
      </c>
      <c r="R54" s="1070"/>
      <c r="S54" s="1070"/>
      <c r="T54" s="1070"/>
      <c r="U54" s="1070"/>
      <c r="V54" s="1070"/>
      <c r="W54" s="1070"/>
      <c r="X54" s="1070"/>
      <c r="Y54" s="1070"/>
      <c r="Z54" s="1070"/>
      <c r="AA54" s="429"/>
    </row>
    <row r="55" spans="1:27" ht="6.75" customHeight="1" thickBot="1">
      <c r="A55" s="1603"/>
      <c r="B55" s="1604"/>
      <c r="C55" s="1604"/>
      <c r="D55" s="1604"/>
      <c r="E55" s="1604"/>
      <c r="F55" s="1604"/>
      <c r="G55" s="1604"/>
      <c r="H55" s="1604"/>
      <c r="I55" s="1604"/>
      <c r="J55" s="1604"/>
      <c r="K55" s="1604"/>
      <c r="L55" s="1604"/>
      <c r="M55" s="1604"/>
      <c r="N55" s="1604"/>
      <c r="O55" s="1604"/>
      <c r="P55" s="1604"/>
      <c r="Q55" s="1604"/>
      <c r="R55" s="1604"/>
      <c r="S55" s="1604"/>
      <c r="T55" s="1604"/>
      <c r="U55" s="1604"/>
      <c r="V55" s="1604"/>
      <c r="W55" s="1604"/>
      <c r="X55" s="1604"/>
      <c r="Y55" s="1604"/>
      <c r="Z55" s="1604"/>
      <c r="AA55" s="1605"/>
    </row>
    <row r="56" spans="1:27">
      <c r="M56" s="333"/>
      <c r="N56" s="333"/>
      <c r="Y56" s="332"/>
      <c r="Z56" s="332"/>
    </row>
    <row r="57" spans="1:27">
      <c r="M57" s="333"/>
      <c r="N57" s="333"/>
      <c r="Y57" s="332"/>
      <c r="Z57" s="332"/>
    </row>
    <row r="58" spans="1:27">
      <c r="Y58" s="332"/>
      <c r="Z58" s="332"/>
    </row>
    <row r="59" spans="1:27" ht="15.75" customHeight="1">
      <c r="Y59" s="332"/>
      <c r="Z59" s="332"/>
    </row>
    <row r="60" spans="1:27">
      <c r="Y60" s="332"/>
      <c r="Z60" s="332"/>
    </row>
    <row r="61" spans="1:27">
      <c r="Y61" s="332"/>
      <c r="Z61" s="332"/>
    </row>
    <row r="62" spans="1:27">
      <c r="Y62" s="332"/>
      <c r="Z62" s="332"/>
    </row>
    <row r="63" spans="1:27">
      <c r="Y63" s="332"/>
      <c r="Z63" s="332"/>
    </row>
    <row r="64" spans="1:27">
      <c r="Y64" s="332"/>
      <c r="Z64" s="332"/>
    </row>
    <row r="65" spans="13:26">
      <c r="Y65" s="332"/>
      <c r="Z65" s="332"/>
    </row>
    <row r="66" spans="13:26">
      <c r="M66" s="333"/>
      <c r="N66" s="333"/>
      <c r="Y66" s="332"/>
      <c r="Z66" s="332"/>
    </row>
    <row r="67" spans="13:26">
      <c r="M67" s="333"/>
      <c r="N67" s="333"/>
      <c r="Y67" s="332"/>
      <c r="Z67" s="332"/>
    </row>
    <row r="68" spans="13:26">
      <c r="M68" s="333"/>
      <c r="N68" s="333"/>
      <c r="Y68" s="332"/>
      <c r="Z68" s="332"/>
    </row>
    <row r="69" spans="13:26">
      <c r="M69" s="333"/>
      <c r="N69" s="333"/>
      <c r="Y69" s="332"/>
      <c r="Z69" s="332"/>
    </row>
    <row r="70" spans="13:26">
      <c r="M70" s="333"/>
      <c r="N70" s="333"/>
      <c r="Y70" s="332"/>
      <c r="Z70" s="332"/>
    </row>
    <row r="71" spans="13:26">
      <c r="M71" s="333"/>
      <c r="N71" s="333"/>
      <c r="Y71" s="332"/>
      <c r="Z71" s="332"/>
    </row>
    <row r="72" spans="13:26">
      <c r="M72" s="333"/>
      <c r="N72" s="333"/>
      <c r="Y72" s="332"/>
      <c r="Z72" s="332"/>
    </row>
    <row r="73" spans="13:26">
      <c r="M73" s="333"/>
      <c r="N73" s="333"/>
      <c r="Y73" s="332"/>
      <c r="Z73" s="332"/>
    </row>
    <row r="74" spans="13:26">
      <c r="M74" s="333"/>
      <c r="N74" s="333"/>
      <c r="Y74" s="332"/>
      <c r="Z74" s="332"/>
    </row>
    <row r="75" spans="13:26">
      <c r="M75" s="333"/>
      <c r="N75" s="333"/>
      <c r="Y75" s="332"/>
      <c r="Z75" s="332"/>
    </row>
    <row r="76" spans="13:26">
      <c r="M76" s="333"/>
      <c r="N76" s="333"/>
      <c r="Y76" s="332"/>
      <c r="Z76" s="332"/>
    </row>
    <row r="77" spans="13:26">
      <c r="M77" s="333"/>
      <c r="N77" s="333"/>
      <c r="Y77" s="332"/>
      <c r="Z77" s="332"/>
    </row>
    <row r="78" spans="13:26">
      <c r="M78" s="333"/>
      <c r="N78" s="333"/>
      <c r="Y78" s="332"/>
      <c r="Z78" s="332"/>
    </row>
    <row r="79" spans="13:26">
      <c r="M79" s="333"/>
      <c r="N79" s="333"/>
      <c r="Y79" s="332"/>
      <c r="Z79" s="332"/>
    </row>
    <row r="80" spans="13:26">
      <c r="M80" s="333"/>
      <c r="N80" s="333"/>
      <c r="Y80" s="332"/>
      <c r="Z80" s="332"/>
    </row>
    <row r="81" spans="13:26">
      <c r="M81" s="333"/>
      <c r="N81" s="333"/>
      <c r="Y81" s="332"/>
      <c r="Z81" s="332"/>
    </row>
    <row r="82" spans="13:26">
      <c r="M82" s="333"/>
      <c r="N82" s="333"/>
      <c r="Y82" s="332"/>
      <c r="Z82" s="332"/>
    </row>
    <row r="83" spans="13:26">
      <c r="M83" s="333"/>
      <c r="N83" s="333"/>
      <c r="Y83" s="332"/>
      <c r="Z83" s="332"/>
    </row>
    <row r="84" spans="13:26">
      <c r="M84" s="333"/>
      <c r="N84" s="333"/>
      <c r="Y84" s="332"/>
      <c r="Z84" s="332"/>
    </row>
    <row r="85" spans="13:26">
      <c r="M85" s="333"/>
      <c r="N85" s="333"/>
      <c r="Y85" s="332"/>
      <c r="Z85" s="332"/>
    </row>
    <row r="86" spans="13:26">
      <c r="M86" s="333"/>
      <c r="N86" s="333"/>
      <c r="Y86" s="332"/>
      <c r="Z86" s="332"/>
    </row>
    <row r="87" spans="13:26">
      <c r="M87" s="333"/>
      <c r="N87" s="333"/>
      <c r="Y87" s="332"/>
      <c r="Z87" s="332"/>
    </row>
    <row r="88" spans="13:26">
      <c r="M88" s="333"/>
      <c r="N88" s="333"/>
      <c r="Y88" s="332"/>
      <c r="Z88" s="332"/>
    </row>
    <row r="89" spans="13:26">
      <c r="M89" s="333"/>
      <c r="N89" s="333"/>
      <c r="Y89" s="332"/>
      <c r="Z89" s="332"/>
    </row>
    <row r="90" spans="13:26">
      <c r="M90" s="333"/>
      <c r="N90" s="333"/>
      <c r="Y90" s="332"/>
      <c r="Z90" s="332"/>
    </row>
    <row r="91" spans="13:26">
      <c r="M91" s="333"/>
      <c r="N91" s="333"/>
      <c r="Y91" s="332"/>
      <c r="Z91" s="332"/>
    </row>
    <row r="92" spans="13:26">
      <c r="M92" s="333"/>
      <c r="N92" s="333"/>
      <c r="Y92" s="332"/>
      <c r="Z92" s="332"/>
    </row>
    <row r="93" spans="13:26">
      <c r="M93" s="333"/>
      <c r="N93" s="333"/>
      <c r="Y93" s="332"/>
      <c r="Z93" s="332"/>
    </row>
    <row r="94" spans="13:26">
      <c r="M94" s="333"/>
      <c r="N94" s="333"/>
      <c r="Y94" s="332"/>
      <c r="Z94" s="332"/>
    </row>
    <row r="95" spans="13:26">
      <c r="M95" s="333"/>
      <c r="N95" s="333"/>
      <c r="Y95" s="332"/>
      <c r="Z95" s="332"/>
    </row>
    <row r="96" spans="13:26">
      <c r="M96" s="333"/>
      <c r="N96" s="333"/>
      <c r="Y96" s="332"/>
      <c r="Z96" s="332"/>
    </row>
    <row r="97" spans="13:26">
      <c r="M97" s="333"/>
      <c r="N97" s="333"/>
      <c r="Y97" s="332"/>
      <c r="Z97" s="332"/>
    </row>
    <row r="98" spans="13:26">
      <c r="M98" s="333"/>
      <c r="N98" s="333"/>
      <c r="Y98" s="332"/>
      <c r="Z98" s="332"/>
    </row>
    <row r="99" spans="13:26">
      <c r="M99" s="333"/>
      <c r="N99" s="333"/>
      <c r="Y99" s="332"/>
      <c r="Z99" s="332"/>
    </row>
    <row r="100" spans="13:26">
      <c r="M100" s="333"/>
      <c r="N100" s="333"/>
      <c r="Y100" s="332"/>
      <c r="Z100" s="332"/>
    </row>
    <row r="101" spans="13:26">
      <c r="M101" s="333"/>
      <c r="N101" s="333"/>
      <c r="Y101" s="332"/>
      <c r="Z101" s="332"/>
    </row>
    <row r="102" spans="13:26">
      <c r="M102" s="333"/>
      <c r="N102" s="333"/>
      <c r="Y102" s="332"/>
      <c r="Z102" s="332"/>
    </row>
    <row r="103" spans="13:26">
      <c r="M103" s="333"/>
      <c r="N103" s="333"/>
      <c r="Y103" s="332"/>
      <c r="Z103" s="332"/>
    </row>
    <row r="104" spans="13:26">
      <c r="M104" s="333"/>
      <c r="N104" s="333"/>
      <c r="Y104" s="332"/>
      <c r="Z104" s="332"/>
    </row>
    <row r="105" spans="13:26">
      <c r="M105" s="333"/>
      <c r="N105" s="333"/>
      <c r="Y105" s="332"/>
      <c r="Z105" s="332"/>
    </row>
    <row r="106" spans="13:26">
      <c r="M106" s="333"/>
      <c r="N106" s="333"/>
      <c r="Y106" s="332"/>
      <c r="Z106" s="332"/>
    </row>
    <row r="107" spans="13:26">
      <c r="M107" s="333"/>
      <c r="N107" s="333"/>
      <c r="Y107" s="332"/>
      <c r="Z107" s="332"/>
    </row>
    <row r="108" spans="13:26">
      <c r="M108" s="333"/>
      <c r="N108" s="333"/>
      <c r="Y108" s="332"/>
      <c r="Z108" s="332"/>
    </row>
    <row r="109" spans="13:26">
      <c r="M109" s="333"/>
      <c r="N109" s="333"/>
      <c r="Y109" s="332"/>
      <c r="Z109" s="332"/>
    </row>
    <row r="110" spans="13:26">
      <c r="M110" s="333"/>
      <c r="N110" s="333"/>
      <c r="Y110" s="332"/>
      <c r="Z110" s="332"/>
    </row>
    <row r="111" spans="13:26">
      <c r="M111" s="333"/>
      <c r="N111" s="333"/>
      <c r="Y111" s="332"/>
      <c r="Z111" s="332"/>
    </row>
    <row r="112" spans="13:26">
      <c r="M112" s="333"/>
      <c r="N112" s="333"/>
      <c r="Y112" s="332"/>
      <c r="Z112" s="332"/>
    </row>
    <row r="113" spans="13:26">
      <c r="M113" s="333"/>
      <c r="N113" s="333"/>
      <c r="Y113" s="332"/>
      <c r="Z113" s="332"/>
    </row>
    <row r="114" spans="13:26">
      <c r="M114" s="333"/>
      <c r="N114" s="333"/>
      <c r="Y114" s="332"/>
      <c r="Z114" s="332"/>
    </row>
    <row r="115" spans="13:26">
      <c r="M115" s="333"/>
      <c r="N115" s="333"/>
      <c r="Y115" s="332"/>
      <c r="Z115" s="332"/>
    </row>
    <row r="116" spans="13:26">
      <c r="M116" s="333"/>
      <c r="N116" s="333"/>
      <c r="Y116" s="332"/>
      <c r="Z116" s="332"/>
    </row>
    <row r="117" spans="13:26">
      <c r="M117" s="333"/>
      <c r="N117" s="333"/>
      <c r="Y117" s="332"/>
      <c r="Z117" s="332"/>
    </row>
    <row r="118" spans="13:26">
      <c r="M118" s="333"/>
      <c r="N118" s="333"/>
      <c r="Y118" s="332"/>
      <c r="Z118" s="332"/>
    </row>
    <row r="119" spans="13:26">
      <c r="M119" s="333"/>
      <c r="N119" s="333"/>
      <c r="Y119" s="332"/>
      <c r="Z119" s="332"/>
    </row>
    <row r="120" spans="13:26">
      <c r="M120" s="333"/>
      <c r="N120" s="333"/>
      <c r="Y120" s="332"/>
      <c r="Z120" s="332"/>
    </row>
    <row r="121" spans="13:26">
      <c r="M121" s="333"/>
      <c r="N121" s="333"/>
      <c r="Y121" s="332"/>
      <c r="Z121" s="332"/>
    </row>
    <row r="122" spans="13:26">
      <c r="M122" s="333"/>
      <c r="N122" s="333"/>
      <c r="Y122" s="332"/>
      <c r="Z122" s="332"/>
    </row>
    <row r="123" spans="13:26">
      <c r="M123" s="333"/>
      <c r="N123" s="333"/>
      <c r="Y123" s="332"/>
      <c r="Z123" s="332"/>
    </row>
    <row r="124" spans="13:26">
      <c r="M124" s="333"/>
      <c r="N124" s="333"/>
      <c r="Y124" s="332"/>
      <c r="Z124" s="332"/>
    </row>
    <row r="125" spans="13:26">
      <c r="M125" s="333"/>
      <c r="N125" s="333"/>
      <c r="Y125" s="332"/>
      <c r="Z125" s="332"/>
    </row>
    <row r="126" spans="13:26">
      <c r="M126" s="333"/>
      <c r="N126" s="333"/>
      <c r="Y126" s="332"/>
      <c r="Z126" s="332"/>
    </row>
    <row r="127" spans="13:26">
      <c r="M127" s="333"/>
      <c r="N127" s="333"/>
      <c r="Y127" s="332"/>
      <c r="Z127" s="332"/>
    </row>
    <row r="128" spans="13:26">
      <c r="M128" s="333"/>
      <c r="N128" s="333"/>
      <c r="Y128" s="332"/>
      <c r="Z128" s="332"/>
    </row>
    <row r="129" spans="13:26">
      <c r="M129" s="333"/>
      <c r="N129" s="333"/>
      <c r="Y129" s="332"/>
      <c r="Z129" s="332"/>
    </row>
    <row r="130" spans="13:26">
      <c r="M130" s="333"/>
      <c r="N130" s="333"/>
      <c r="Y130" s="332"/>
      <c r="Z130" s="332"/>
    </row>
    <row r="131" spans="13:26">
      <c r="M131" s="333"/>
      <c r="N131" s="333"/>
      <c r="Y131" s="332"/>
      <c r="Z131" s="332"/>
    </row>
    <row r="132" spans="13:26">
      <c r="M132" s="333"/>
      <c r="N132" s="333"/>
      <c r="Y132" s="332"/>
      <c r="Z132" s="332"/>
    </row>
    <row r="133" spans="13:26">
      <c r="M133" s="333"/>
      <c r="N133" s="333"/>
      <c r="Y133" s="332"/>
      <c r="Z133" s="332"/>
    </row>
    <row r="134" spans="13:26">
      <c r="M134" s="333"/>
      <c r="N134" s="333"/>
      <c r="Y134" s="332"/>
      <c r="Z134" s="332"/>
    </row>
    <row r="135" spans="13:26">
      <c r="M135" s="333"/>
      <c r="N135" s="333"/>
      <c r="Y135" s="332"/>
      <c r="Z135" s="332"/>
    </row>
    <row r="136" spans="13:26">
      <c r="M136" s="333"/>
      <c r="N136" s="333"/>
      <c r="Y136" s="332"/>
      <c r="Z136" s="332"/>
    </row>
    <row r="137" spans="13:26">
      <c r="M137" s="333"/>
      <c r="N137" s="333"/>
      <c r="Y137" s="332"/>
      <c r="Z137" s="332"/>
    </row>
    <row r="138" spans="13:26">
      <c r="M138" s="333"/>
      <c r="N138" s="333"/>
      <c r="Y138" s="332"/>
      <c r="Z138" s="332"/>
    </row>
    <row r="139" spans="13:26">
      <c r="M139" s="333"/>
      <c r="N139" s="333"/>
      <c r="Y139" s="332"/>
      <c r="Z139" s="332"/>
    </row>
    <row r="140" spans="13:26">
      <c r="M140" s="333"/>
      <c r="N140" s="333"/>
      <c r="Y140" s="332"/>
      <c r="Z140" s="332"/>
    </row>
    <row r="141" spans="13:26">
      <c r="M141" s="333"/>
      <c r="N141" s="333"/>
      <c r="Y141" s="332"/>
      <c r="Z141" s="332"/>
    </row>
    <row r="142" spans="13:26">
      <c r="M142" s="333"/>
      <c r="N142" s="333"/>
      <c r="Y142" s="332"/>
      <c r="Z142" s="332"/>
    </row>
    <row r="143" spans="13:26">
      <c r="M143" s="333"/>
      <c r="N143" s="333"/>
      <c r="Y143" s="332"/>
      <c r="Z143" s="332"/>
    </row>
    <row r="144" spans="13:26">
      <c r="M144" s="333"/>
      <c r="N144" s="333"/>
      <c r="Y144" s="332"/>
      <c r="Z144" s="332"/>
    </row>
    <row r="145" spans="13:26">
      <c r="M145" s="333"/>
      <c r="N145" s="333"/>
      <c r="Y145" s="332"/>
      <c r="Z145" s="332"/>
    </row>
    <row r="146" spans="13:26">
      <c r="M146" s="333"/>
      <c r="N146" s="333"/>
      <c r="Y146" s="332"/>
      <c r="Z146" s="332"/>
    </row>
    <row r="147" spans="13:26">
      <c r="M147" s="333"/>
      <c r="N147" s="333"/>
      <c r="Y147" s="332"/>
      <c r="Z147" s="332"/>
    </row>
    <row r="148" spans="13:26">
      <c r="M148" s="333"/>
      <c r="N148" s="333"/>
      <c r="Y148" s="332"/>
      <c r="Z148" s="332"/>
    </row>
    <row r="149" spans="13:26">
      <c r="M149" s="333"/>
      <c r="N149" s="333"/>
      <c r="Y149" s="332"/>
      <c r="Z149" s="332"/>
    </row>
    <row r="150" spans="13:26">
      <c r="M150" s="333"/>
      <c r="N150" s="333"/>
      <c r="Y150" s="332"/>
      <c r="Z150" s="332"/>
    </row>
    <row r="151" spans="13:26">
      <c r="M151" s="333"/>
      <c r="N151" s="333"/>
      <c r="Y151" s="332"/>
      <c r="Z151" s="332"/>
    </row>
    <row r="152" spans="13:26">
      <c r="M152" s="333"/>
      <c r="N152" s="333"/>
      <c r="Y152" s="332"/>
      <c r="Z152" s="332"/>
    </row>
    <row r="153" spans="13:26">
      <c r="M153" s="333"/>
      <c r="N153" s="333"/>
      <c r="Y153" s="332"/>
      <c r="Z153" s="332"/>
    </row>
    <row r="154" spans="13:26">
      <c r="M154" s="333"/>
      <c r="N154" s="333"/>
      <c r="Y154" s="332"/>
      <c r="Z154" s="332"/>
    </row>
    <row r="155" spans="13:26">
      <c r="M155" s="333"/>
      <c r="N155" s="333"/>
      <c r="Y155" s="332"/>
      <c r="Z155" s="332"/>
    </row>
    <row r="156" spans="13:26">
      <c r="M156" s="333"/>
      <c r="N156" s="333"/>
      <c r="Y156" s="332"/>
      <c r="Z156" s="332"/>
    </row>
    <row r="157" spans="13:26">
      <c r="M157" s="333"/>
      <c r="N157" s="333"/>
      <c r="Y157" s="332"/>
      <c r="Z157" s="332"/>
    </row>
    <row r="158" spans="13:26">
      <c r="M158" s="333"/>
      <c r="N158" s="333"/>
      <c r="Y158" s="332"/>
      <c r="Z158" s="332"/>
    </row>
    <row r="159" spans="13:26">
      <c r="M159" s="333"/>
      <c r="N159" s="333"/>
      <c r="Y159" s="332"/>
      <c r="Z159" s="332"/>
    </row>
    <row r="160" spans="13:26">
      <c r="M160" s="333"/>
      <c r="N160" s="333"/>
      <c r="Y160" s="332"/>
      <c r="Z160" s="332"/>
    </row>
    <row r="161" spans="13:26">
      <c r="M161" s="333"/>
      <c r="N161" s="333"/>
      <c r="Y161" s="332"/>
      <c r="Z161" s="332"/>
    </row>
    <row r="162" spans="13:26">
      <c r="M162" s="333"/>
      <c r="N162" s="333"/>
      <c r="Y162" s="332"/>
      <c r="Z162" s="332"/>
    </row>
    <row r="163" spans="13:26">
      <c r="M163" s="333"/>
      <c r="N163" s="333"/>
      <c r="Y163" s="332"/>
      <c r="Z163" s="332"/>
    </row>
    <row r="164" spans="13:26">
      <c r="M164" s="333"/>
      <c r="N164" s="333"/>
      <c r="Y164" s="332"/>
      <c r="Z164" s="332"/>
    </row>
    <row r="165" spans="13:26">
      <c r="M165" s="333"/>
      <c r="N165" s="333"/>
      <c r="Y165" s="332"/>
      <c r="Z165" s="332"/>
    </row>
    <row r="166" spans="13:26">
      <c r="M166" s="333"/>
      <c r="N166" s="333"/>
      <c r="Y166" s="332"/>
      <c r="Z166" s="332"/>
    </row>
    <row r="167" spans="13:26">
      <c r="M167" s="333"/>
      <c r="N167" s="333"/>
      <c r="Y167" s="332"/>
      <c r="Z167" s="332"/>
    </row>
    <row r="168" spans="13:26">
      <c r="M168" s="333"/>
      <c r="N168" s="333"/>
      <c r="Y168" s="332"/>
      <c r="Z168" s="332"/>
    </row>
    <row r="169" spans="13:26">
      <c r="M169" s="333"/>
      <c r="N169" s="333"/>
      <c r="Y169" s="332"/>
      <c r="Z169" s="332"/>
    </row>
    <row r="170" spans="13:26">
      <c r="M170" s="333"/>
      <c r="N170" s="333"/>
      <c r="Y170" s="332"/>
      <c r="Z170" s="332"/>
    </row>
    <row r="171" spans="13:26">
      <c r="Y171" s="332"/>
      <c r="Z171" s="332"/>
    </row>
    <row r="172" spans="13:26">
      <c r="Y172" s="332"/>
      <c r="Z172" s="332"/>
    </row>
    <row r="173" spans="13:26">
      <c r="Y173" s="332"/>
      <c r="Z173" s="332"/>
    </row>
    <row r="174" spans="13:26">
      <c r="Y174" s="332"/>
      <c r="Z174" s="332"/>
    </row>
  </sheetData>
  <mergeCells count="76"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  <mergeCell ref="G30:G31"/>
    <mergeCell ref="I30:I31"/>
    <mergeCell ref="K30:K31"/>
    <mergeCell ref="O30:O31"/>
    <mergeCell ref="M38:M39"/>
    <mergeCell ref="O38:O39"/>
    <mergeCell ref="I38:I39"/>
    <mergeCell ref="K38:K3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P14:P17"/>
    <mergeCell ref="S14:S15"/>
    <mergeCell ref="Q15:Q16"/>
    <mergeCell ref="D16:G16"/>
    <mergeCell ref="W18:W19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C2:AA2"/>
    <mergeCell ref="A3:AA3"/>
    <mergeCell ref="A4:AA4"/>
    <mergeCell ref="A5:AA5"/>
    <mergeCell ref="C7:G7"/>
    <mergeCell ref="H7:I7"/>
    <mergeCell ref="J7:L7"/>
    <mergeCell ref="M7:AA7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0"/>
  <sheetViews>
    <sheetView tabSelected="1" view="pageBreakPreview" zoomScale="44" zoomScaleNormal="45" workbookViewId="0">
      <selection activeCell="I9" sqref="I9:K9"/>
    </sheetView>
  </sheetViews>
  <sheetFormatPr defaultRowHeight="15"/>
  <cols>
    <col min="2" max="2" width="11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1.7109375" customWidth="1"/>
    <col min="11" max="11" width="14.85546875" customWidth="1"/>
    <col min="12" max="12" width="12" customWidth="1"/>
    <col min="13" max="13" width="14.7109375" bestFit="1" customWidth="1"/>
    <col min="14" max="14" width="12.42578125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</cols>
  <sheetData>
    <row r="1" spans="1:32" s="332" customFormat="1" ht="15" customHeight="1">
      <c r="A1" s="1691"/>
      <c r="B1" s="1691"/>
      <c r="C1" s="1691"/>
      <c r="D1" s="1691"/>
      <c r="E1" s="1691"/>
      <c r="F1" s="1691"/>
      <c r="G1" s="1691"/>
      <c r="H1" s="1691"/>
      <c r="I1" s="1691"/>
      <c r="J1" s="1691"/>
      <c r="K1" s="1691"/>
      <c r="L1" s="1691"/>
      <c r="M1" s="1691"/>
      <c r="N1" s="1691"/>
      <c r="O1" s="1691"/>
      <c r="P1" s="1691"/>
      <c r="Q1" s="1691"/>
      <c r="R1" s="1691"/>
      <c r="S1" s="1691"/>
      <c r="T1" s="1691"/>
      <c r="U1" s="1691"/>
      <c r="V1" s="1691"/>
      <c r="W1" s="1691"/>
      <c r="X1" s="1691"/>
      <c r="Y1" s="1691"/>
      <c r="Z1" s="1691"/>
      <c r="AA1" s="1691"/>
      <c r="AB1" s="1691"/>
      <c r="AC1" s="1691"/>
      <c r="AD1" s="1691"/>
      <c r="AE1" s="1691"/>
      <c r="AF1" s="1692"/>
    </row>
    <row r="2" spans="1:32" s="332" customFormat="1" ht="18">
      <c r="A2" s="813"/>
      <c r="B2" s="813"/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3"/>
      <c r="AD2" s="813"/>
      <c r="AE2" s="923" t="s">
        <v>1881</v>
      </c>
      <c r="AF2" s="922">
        <v>46211</v>
      </c>
    </row>
    <row r="3" spans="1:32" s="332" customFormat="1" ht="18">
      <c r="A3" s="1610"/>
      <c r="B3" s="1610"/>
      <c r="C3" s="1610"/>
      <c r="D3" s="1610"/>
      <c r="E3" s="1610"/>
      <c r="F3" s="1610"/>
      <c r="G3" s="1610"/>
      <c r="H3" s="1610"/>
      <c r="I3" s="1610"/>
      <c r="J3" s="1610"/>
      <c r="K3" s="1610"/>
      <c r="L3" s="1610"/>
      <c r="M3" s="1610"/>
      <c r="N3" s="1610"/>
      <c r="O3" s="1610"/>
      <c r="P3" s="1610"/>
      <c r="Q3" s="1610"/>
      <c r="R3" s="1610"/>
      <c r="S3" s="1610"/>
      <c r="T3" s="1610"/>
      <c r="U3" s="1610"/>
      <c r="V3" s="1610"/>
      <c r="W3" s="1610"/>
      <c r="X3" s="1610"/>
      <c r="Y3" s="1610"/>
      <c r="Z3" s="1610"/>
      <c r="AA3" s="1610"/>
      <c r="AB3" s="1610"/>
      <c r="AC3" s="1610"/>
      <c r="AD3" s="1610"/>
      <c r="AE3" s="1610"/>
      <c r="AF3" s="1526"/>
    </row>
    <row r="4" spans="1:32" s="332" customFormat="1" ht="18" customHeight="1">
      <c r="A4" s="1611"/>
      <c r="B4" s="1611"/>
      <c r="C4" s="1611"/>
      <c r="D4" s="1611"/>
      <c r="E4" s="1611"/>
      <c r="F4" s="1611"/>
      <c r="G4" s="1611"/>
      <c r="H4" s="1611"/>
      <c r="I4" s="1611"/>
      <c r="J4" s="1611"/>
      <c r="K4" s="1611"/>
      <c r="L4" s="1611"/>
      <c r="M4" s="1611"/>
      <c r="N4" s="1611"/>
      <c r="O4" s="1611"/>
      <c r="P4" s="1611"/>
      <c r="Q4" s="1611"/>
      <c r="R4" s="1611"/>
      <c r="S4" s="1611"/>
      <c r="T4" s="1611"/>
      <c r="U4" s="1611"/>
      <c r="V4" s="1611"/>
      <c r="W4" s="1611"/>
      <c r="X4" s="1611"/>
      <c r="Y4" s="1611"/>
      <c r="Z4" s="1611"/>
      <c r="AA4" s="1611"/>
      <c r="AB4" s="1611"/>
      <c r="AC4" s="1611"/>
      <c r="AD4" s="1611"/>
      <c r="AE4" s="1611"/>
      <c r="AF4" s="1529"/>
    </row>
    <row r="5" spans="1:32" s="332" customFormat="1" ht="18.75" thickBot="1">
      <c r="A5" s="337"/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579"/>
    </row>
    <row r="6" spans="1:32" s="332" customFormat="1" ht="18">
      <c r="B6" s="1693" t="s">
        <v>1882</v>
      </c>
      <c r="C6" s="1693"/>
      <c r="D6" s="1693"/>
      <c r="E6" s="1693"/>
      <c r="F6" s="1693"/>
      <c r="G6" s="1693"/>
      <c r="H6" s="1693"/>
      <c r="I6" s="1693"/>
      <c r="J6" s="1693"/>
      <c r="K6" s="1694"/>
      <c r="R6" s="1527" t="s">
        <v>917</v>
      </c>
      <c r="S6" s="1611"/>
      <c r="T6" s="1611"/>
      <c r="U6" s="1611"/>
      <c r="V6" s="1611"/>
      <c r="W6" s="1611"/>
      <c r="X6" s="1611"/>
      <c r="Y6" s="1611"/>
      <c r="Z6" s="1611"/>
      <c r="AA6" s="1611"/>
      <c r="AB6" s="1611"/>
      <c r="AC6" s="577"/>
      <c r="AD6" s="577"/>
      <c r="AE6" s="577"/>
      <c r="AF6" s="578"/>
    </row>
    <row r="7" spans="1:32" s="332" customFormat="1" ht="36.75" thickBot="1">
      <c r="B7" s="1695"/>
      <c r="C7" s="1695"/>
      <c r="D7" s="1695"/>
      <c r="E7" s="1695"/>
      <c r="F7" s="1695"/>
      <c r="G7" s="1695"/>
      <c r="H7" s="1695"/>
      <c r="I7" s="1695"/>
      <c r="J7" s="1695"/>
      <c r="K7" s="1696"/>
      <c r="R7" s="1059"/>
      <c r="S7" s="1064"/>
      <c r="T7" s="340" t="s">
        <v>918</v>
      </c>
      <c r="U7" s="1055" t="s">
        <v>919</v>
      </c>
      <c r="V7" s="1063"/>
      <c r="W7" s="341"/>
      <c r="X7" s="342"/>
      <c r="Y7" s="1697" t="s">
        <v>920</v>
      </c>
      <c r="Z7" s="1232" t="s">
        <v>921</v>
      </c>
      <c r="AA7" s="1698" t="s">
        <v>922</v>
      </c>
      <c r="AB7" s="1698" t="s">
        <v>1004</v>
      </c>
      <c r="AE7" s="345"/>
      <c r="AF7" s="589"/>
    </row>
    <row r="8" spans="1:32" s="332" customFormat="1" ht="27.75">
      <c r="B8" s="1699" t="s">
        <v>924</v>
      </c>
      <c r="C8" s="1700"/>
      <c r="D8" s="1700"/>
      <c r="E8" s="1700"/>
      <c r="F8" s="1701"/>
      <c r="G8" s="1702" t="s">
        <v>873</v>
      </c>
      <c r="H8" s="1703"/>
      <c r="I8" s="1680" t="s">
        <v>2219</v>
      </c>
      <c r="J8" s="1681"/>
      <c r="K8" s="1682"/>
      <c r="R8" s="346"/>
      <c r="S8" s="1064"/>
      <c r="T8" s="1064"/>
      <c r="U8" s="1065" t="s">
        <v>925</v>
      </c>
      <c r="V8" s="1065"/>
      <c r="W8" s="1064"/>
      <c r="X8" s="592" t="s">
        <v>926</v>
      </c>
      <c r="Y8" s="1697"/>
      <c r="Z8" s="1232"/>
      <c r="AA8" s="1698"/>
      <c r="AB8" s="1698"/>
      <c r="AE8" s="345"/>
      <c r="AF8" s="589"/>
    </row>
    <row r="9" spans="1:32" s="332" customFormat="1" ht="24.75" customHeight="1" thickBot="1">
      <c r="B9" s="1683" t="s">
        <v>927</v>
      </c>
      <c r="C9" s="1684"/>
      <c r="D9" s="1684"/>
      <c r="E9" s="1684"/>
      <c r="F9" s="1685"/>
      <c r="G9" s="1686" t="s">
        <v>873</v>
      </c>
      <c r="H9" s="1687"/>
      <c r="I9" s="1688" t="s">
        <v>2211</v>
      </c>
      <c r="J9" s="1689"/>
      <c r="K9" s="1690"/>
      <c r="R9" s="348" t="s">
        <v>928</v>
      </c>
      <c r="S9" s="342"/>
      <c r="T9" s="1063"/>
      <c r="U9" s="349"/>
      <c r="V9" s="350"/>
      <c r="W9" s="351"/>
      <c r="X9" s="351"/>
      <c r="Y9" s="1697"/>
      <c r="Z9" s="1232"/>
      <c r="AA9" s="1698"/>
      <c r="AB9" s="1698"/>
      <c r="AE9" s="342"/>
      <c r="AF9" s="589"/>
    </row>
    <row r="10" spans="1:32" s="359" customFormat="1" ht="28.5" thickTop="1">
      <c r="B10" s="1683" t="s">
        <v>929</v>
      </c>
      <c r="C10" s="1684"/>
      <c r="D10" s="1684"/>
      <c r="E10" s="1684"/>
      <c r="F10" s="1685"/>
      <c r="G10" s="1686" t="s">
        <v>873</v>
      </c>
      <c r="H10" s="1687"/>
      <c r="I10" s="1688" t="s">
        <v>2213</v>
      </c>
      <c r="J10" s="1689"/>
      <c r="K10" s="1690"/>
      <c r="R10" s="354"/>
      <c r="S10" s="350"/>
      <c r="T10" s="355" t="s">
        <v>930</v>
      </c>
      <c r="U10" s="1057" t="s">
        <v>931</v>
      </c>
      <c r="V10" s="1058"/>
      <c r="W10" s="1549"/>
      <c r="X10" s="342"/>
      <c r="Y10" s="1056"/>
      <c r="Z10" s="356"/>
      <c r="AA10" s="357"/>
      <c r="AB10" s="357"/>
      <c r="AE10" s="351"/>
      <c r="AF10" s="590"/>
    </row>
    <row r="11" spans="1:32" s="359" customFormat="1" ht="28.5" thickBot="1">
      <c r="B11" s="1708" t="s">
        <v>932</v>
      </c>
      <c r="C11" s="1709"/>
      <c r="D11" s="1709"/>
      <c r="E11" s="1709"/>
      <c r="F11" s="1709"/>
      <c r="G11" s="1710" t="s">
        <v>933</v>
      </c>
      <c r="H11" s="1710"/>
      <c r="I11" s="1710" t="s">
        <v>2155</v>
      </c>
      <c r="J11" s="1710"/>
      <c r="K11" s="1711"/>
      <c r="R11" s="348" t="s">
        <v>934</v>
      </c>
      <c r="S11" s="351"/>
      <c r="T11" s="360" t="s">
        <v>935</v>
      </c>
      <c r="U11" s="351"/>
      <c r="V11" s="361"/>
      <c r="W11" s="1550"/>
      <c r="X11" s="351"/>
      <c r="Y11" s="1056"/>
      <c r="Z11" s="356"/>
      <c r="AA11" s="357"/>
      <c r="AB11" s="357"/>
      <c r="AE11" s="351"/>
      <c r="AF11" s="590"/>
    </row>
    <row r="12" spans="1:32" s="359" customFormat="1" ht="28.5" thickBot="1">
      <c r="B12" s="1712" t="s">
        <v>936</v>
      </c>
      <c r="C12" s="1713"/>
      <c r="D12" s="1713"/>
      <c r="E12" s="1713"/>
      <c r="F12" s="1713"/>
      <c r="G12" s="1714" t="s">
        <v>933</v>
      </c>
      <c r="H12" s="1714"/>
      <c r="I12" s="1715" t="s">
        <v>2155</v>
      </c>
      <c r="J12" s="1716"/>
      <c r="K12" s="1717"/>
      <c r="R12" s="354"/>
      <c r="S12" s="351"/>
      <c r="T12" s="351"/>
      <c r="U12" s="351"/>
      <c r="V12" s="362"/>
      <c r="W12" s="1063"/>
      <c r="X12" s="351"/>
      <c r="Y12" s="1056"/>
      <c r="Z12" s="356"/>
      <c r="AA12" s="363"/>
      <c r="AB12" s="363"/>
      <c r="AE12" s="351"/>
      <c r="AF12" s="590"/>
    </row>
    <row r="13" spans="1:32" s="359" customFormat="1" ht="15.75" customHeight="1">
      <c r="H13" s="359" t="s">
        <v>937</v>
      </c>
      <c r="R13" s="1704" t="s">
        <v>938</v>
      </c>
      <c r="S13" s="1705"/>
      <c r="T13" s="1063" t="s">
        <v>939</v>
      </c>
      <c r="U13" s="1670" t="s">
        <v>942</v>
      </c>
      <c r="V13" s="362" t="s">
        <v>940</v>
      </c>
      <c r="W13" s="351"/>
      <c r="X13" s="1061" t="s">
        <v>941</v>
      </c>
      <c r="Y13" s="1056"/>
      <c r="Z13" s="356"/>
      <c r="AA13" s="363"/>
      <c r="AB13" s="363"/>
      <c r="AE13" s="351"/>
      <c r="AF13" s="590"/>
    </row>
    <row r="14" spans="1:32" s="359" customFormat="1" ht="15.75" customHeight="1">
      <c r="R14" s="354"/>
      <c r="S14" s="351"/>
      <c r="T14" s="1063"/>
      <c r="U14" s="1670"/>
      <c r="V14" s="1573" t="s">
        <v>943</v>
      </c>
      <c r="W14" s="351"/>
      <c r="X14" s="1061"/>
      <c r="Y14" s="1056"/>
      <c r="Z14" s="356"/>
      <c r="AA14" s="363"/>
      <c r="AB14" s="363"/>
      <c r="AE14" s="351"/>
      <c r="AF14" s="590"/>
    </row>
    <row r="15" spans="1:32" s="359" customFormat="1" ht="17.45" customHeight="1">
      <c r="A15" s="351"/>
      <c r="C15" s="1613"/>
      <c r="D15" s="1613"/>
      <c r="E15" s="1613"/>
      <c r="F15" s="1613"/>
      <c r="H15" s="351"/>
      <c r="I15" s="351"/>
      <c r="J15" s="351"/>
      <c r="K15" s="351"/>
      <c r="R15" s="1704" t="s">
        <v>944</v>
      </c>
      <c r="S15" s="1705"/>
      <c r="T15" s="591" t="s">
        <v>1005</v>
      </c>
      <c r="U15" s="1670"/>
      <c r="V15" s="1573"/>
      <c r="W15" s="351"/>
      <c r="X15" s="351"/>
      <c r="Y15" s="1056"/>
      <c r="Z15" s="356"/>
      <c r="AA15" s="357"/>
      <c r="AB15" s="357"/>
      <c r="AE15" s="351"/>
      <c r="AF15" s="590"/>
    </row>
    <row r="16" spans="1:32" s="359" customFormat="1" ht="16.5" thickBot="1">
      <c r="R16" s="365"/>
      <c r="S16" s="338"/>
      <c r="T16" s="338"/>
      <c r="U16" s="1071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9"/>
    </row>
    <row r="17" spans="1:34" s="359" customFormat="1" ht="15.75" customHeight="1">
      <c r="A17" s="392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9"/>
      <c r="Q17" s="369"/>
      <c r="R17" s="368"/>
      <c r="S17" s="368"/>
      <c r="T17" s="368"/>
      <c r="AB17" s="1706" t="s">
        <v>946</v>
      </c>
      <c r="AC17" s="1718" t="s">
        <v>947</v>
      </c>
      <c r="AD17" s="1718" t="s">
        <v>948</v>
      </c>
      <c r="AE17" s="1719" t="s">
        <v>949</v>
      </c>
      <c r="AF17" s="1720" t="s">
        <v>950</v>
      </c>
    </row>
    <row r="18" spans="1:34" s="359" customFormat="1" ht="15" customHeight="1">
      <c r="A18" s="392"/>
      <c r="B18" s="333"/>
      <c r="C18" s="368"/>
      <c r="D18" s="333"/>
      <c r="E18" s="368"/>
      <c r="F18" s="370"/>
      <c r="G18" s="368"/>
      <c r="H18" s="368"/>
      <c r="I18" s="368"/>
      <c r="J18" s="368"/>
      <c r="K18" s="368"/>
      <c r="L18" s="333"/>
      <c r="M18" s="333"/>
      <c r="N18" s="370"/>
      <c r="O18" s="333"/>
      <c r="P18" s="370"/>
      <c r="Q18" s="333"/>
      <c r="R18" s="370"/>
      <c r="S18" s="333"/>
      <c r="T18" s="333"/>
      <c r="AB18" s="1707"/>
      <c r="AC18" s="1577"/>
      <c r="AD18" s="1577"/>
      <c r="AE18" s="1578"/>
      <c r="AF18" s="1579"/>
    </row>
    <row r="19" spans="1:34" s="359" customFormat="1" ht="16.5" thickBot="1">
      <c r="A19" s="392"/>
      <c r="B19" s="368"/>
      <c r="C19" s="368"/>
      <c r="D19" s="368"/>
      <c r="E19" s="368"/>
      <c r="F19" s="368"/>
      <c r="G19" s="368"/>
      <c r="H19" s="368"/>
      <c r="I19" s="368"/>
      <c r="J19" s="368"/>
      <c r="K19" s="368"/>
      <c r="L19" s="368"/>
      <c r="M19" s="368"/>
      <c r="N19" s="368"/>
      <c r="O19" s="371"/>
      <c r="P19" s="371"/>
      <c r="Q19" s="371"/>
      <c r="R19" s="371"/>
      <c r="S19" s="371"/>
      <c r="T19" s="371"/>
      <c r="AB19" s="586"/>
      <c r="AC19" s="587"/>
      <c r="AD19" s="587"/>
      <c r="AE19" s="587"/>
      <c r="AF19" s="588"/>
    </row>
    <row r="20" spans="1:34" s="1191" customFormat="1" ht="15.75" customHeight="1">
      <c r="A20" s="1187"/>
      <c r="B20" s="1187" t="s">
        <v>213</v>
      </c>
      <c r="C20" s="1187"/>
      <c r="D20" s="1187" t="s">
        <v>1211</v>
      </c>
      <c r="E20" s="1187"/>
      <c r="F20" s="1187" t="s">
        <v>1212</v>
      </c>
      <c r="G20" s="1187"/>
      <c r="H20" s="1187" t="s">
        <v>66</v>
      </c>
      <c r="I20" s="1187"/>
      <c r="J20" s="1187" t="s">
        <v>224</v>
      </c>
      <c r="K20" s="1187"/>
      <c r="L20" s="1187" t="s">
        <v>230</v>
      </c>
      <c r="M20" s="1187"/>
      <c r="N20" s="1187" t="s">
        <v>234</v>
      </c>
      <c r="O20" s="1187"/>
      <c r="P20" s="1187" t="s">
        <v>239</v>
      </c>
      <c r="Q20" s="1187"/>
      <c r="R20" s="1187" t="s">
        <v>67</v>
      </c>
      <c r="S20" s="1187"/>
      <c r="T20" s="1187" t="s">
        <v>68</v>
      </c>
      <c r="U20" s="1187"/>
      <c r="V20" s="1187" t="s">
        <v>564</v>
      </c>
      <c r="W20" s="1187"/>
      <c r="X20" s="1187" t="s">
        <v>563</v>
      </c>
      <c r="Y20" s="1187"/>
      <c r="Z20" s="1187" t="s">
        <v>56</v>
      </c>
      <c r="AA20" s="1188"/>
      <c r="AB20" s="1189"/>
      <c r="AC20" s="1189"/>
      <c r="AD20" s="1189"/>
      <c r="AE20" s="1189"/>
      <c r="AF20" s="1190"/>
    </row>
    <row r="21" spans="1:34" s="1191" customFormat="1" ht="21">
      <c r="AA21" s="1192"/>
      <c r="AB21" s="1193"/>
      <c r="AC21" s="1193"/>
      <c r="AD21" s="1193"/>
      <c r="AE21" s="1193"/>
      <c r="AF21" s="1194"/>
    </row>
    <row r="22" spans="1:34" s="1191" customFormat="1" ht="21">
      <c r="AA22" s="1192"/>
      <c r="AB22" s="1189"/>
      <c r="AC22" s="1193"/>
      <c r="AD22" s="1193"/>
      <c r="AE22" s="1193"/>
      <c r="AF22" s="1190"/>
    </row>
    <row r="23" spans="1:34" s="1191" customFormat="1" ht="21">
      <c r="B23" s="1721"/>
      <c r="C23" s="1195">
        <v>360</v>
      </c>
      <c r="D23" s="1723"/>
      <c r="E23" s="1196">
        <v>328</v>
      </c>
      <c r="F23" s="1725"/>
      <c r="G23" s="1195">
        <v>360</v>
      </c>
      <c r="H23" s="1725"/>
      <c r="I23" s="1195">
        <v>409</v>
      </c>
      <c r="J23" s="1725"/>
      <c r="K23" s="1195">
        <v>360</v>
      </c>
      <c r="L23" s="1723"/>
      <c r="M23" s="1196">
        <v>340</v>
      </c>
      <c r="N23" s="1723"/>
      <c r="O23" s="1196">
        <v>360</v>
      </c>
      <c r="P23" s="1723"/>
      <c r="Q23" s="1196">
        <v>314</v>
      </c>
      <c r="R23" s="1725"/>
      <c r="S23" s="1195">
        <v>341</v>
      </c>
      <c r="T23" s="1725"/>
      <c r="U23" s="1196">
        <v>307</v>
      </c>
      <c r="V23" s="1729" t="s">
        <v>1632</v>
      </c>
      <c r="W23" s="1196">
        <v>287</v>
      </c>
      <c r="X23" s="1729" t="s">
        <v>1631</v>
      </c>
      <c r="Y23" s="1196">
        <v>319</v>
      </c>
      <c r="Z23" s="1727" t="s">
        <v>1630</v>
      </c>
      <c r="AA23" s="1197">
        <v>320</v>
      </c>
      <c r="AB23" s="1193">
        <f>SUM(C23:AA23)</f>
        <v>4405</v>
      </c>
      <c r="AC23" s="1193">
        <v>3</v>
      </c>
      <c r="AD23" s="1193">
        <v>3</v>
      </c>
      <c r="AE23" s="1193">
        <v>0</v>
      </c>
      <c r="AF23" s="1194">
        <v>0</v>
      </c>
      <c r="AG23" s="1191">
        <v>12</v>
      </c>
      <c r="AH23" s="1191">
        <f>AG23</f>
        <v>12</v>
      </c>
    </row>
    <row r="24" spans="1:34" s="1191" customFormat="1" ht="21.75" thickBot="1">
      <c r="B24" s="1722"/>
      <c r="D24" s="1724"/>
      <c r="F24" s="1726"/>
      <c r="H24" s="1726"/>
      <c r="J24" s="1726"/>
      <c r="L24" s="1724"/>
      <c r="N24" s="1724"/>
      <c r="P24" s="1724"/>
      <c r="R24" s="1726"/>
      <c r="T24" s="1726"/>
      <c r="V24" s="1730"/>
      <c r="X24" s="1730"/>
      <c r="Z24" s="1728"/>
      <c r="AA24" s="1192"/>
      <c r="AB24" s="1189"/>
      <c r="AC24" s="1193"/>
      <c r="AD24" s="1193"/>
      <c r="AE24" s="1193"/>
      <c r="AF24" s="1190"/>
    </row>
    <row r="25" spans="1:34" s="1191" customFormat="1" ht="21">
      <c r="B25" s="1191" t="s">
        <v>1712</v>
      </c>
      <c r="D25" s="1191" t="s">
        <v>49</v>
      </c>
      <c r="F25" s="1191" t="s">
        <v>39</v>
      </c>
      <c r="H25" s="1191" t="s">
        <v>39</v>
      </c>
      <c r="J25" s="1191" t="s">
        <v>39</v>
      </c>
      <c r="L25" s="1191" t="s">
        <v>34</v>
      </c>
      <c r="N25" s="1191" t="s">
        <v>48</v>
      </c>
      <c r="P25" s="1191" t="s">
        <v>49</v>
      </c>
      <c r="R25" s="1191" t="s">
        <v>43</v>
      </c>
      <c r="T25" s="1191" t="s">
        <v>45</v>
      </c>
      <c r="V25" s="1191" t="s">
        <v>48</v>
      </c>
      <c r="X25" s="1191" t="s">
        <v>49</v>
      </c>
      <c r="Z25" s="1191" t="s">
        <v>43</v>
      </c>
      <c r="AA25" s="1192"/>
      <c r="AB25" s="1189"/>
      <c r="AC25" s="1189"/>
      <c r="AD25" s="1189"/>
      <c r="AE25" s="1189"/>
      <c r="AF25" s="1190"/>
    </row>
    <row r="26" spans="1:34" s="1191" customFormat="1" ht="21">
      <c r="B26" s="1198" t="s">
        <v>951</v>
      </c>
      <c r="D26" s="1198" t="s">
        <v>951</v>
      </c>
      <c r="F26" s="1199" t="s">
        <v>2034</v>
      </c>
      <c r="H26" s="1200" t="s">
        <v>977</v>
      </c>
      <c r="J26" s="1198" t="s">
        <v>951</v>
      </c>
      <c r="L26" s="1198" t="s">
        <v>951</v>
      </c>
      <c r="N26" s="1198" t="s">
        <v>951</v>
      </c>
      <c r="P26" s="1198" t="s">
        <v>951</v>
      </c>
      <c r="R26" s="1198" t="s">
        <v>951</v>
      </c>
      <c r="T26" s="1200" t="s">
        <v>977</v>
      </c>
      <c r="AA26" s="1192"/>
      <c r="AB26" s="1189"/>
      <c r="AC26" s="1193"/>
      <c r="AD26" s="1193"/>
      <c r="AE26" s="1193"/>
      <c r="AF26" s="1190"/>
    </row>
    <row r="27" spans="1:34" s="1191" customFormat="1" ht="21">
      <c r="AA27" s="1192"/>
      <c r="AB27" s="1189"/>
      <c r="AC27" s="1189"/>
      <c r="AD27" s="1189"/>
      <c r="AE27" s="1189"/>
      <c r="AF27" s="1190"/>
    </row>
    <row r="28" spans="1:34" s="1191" customFormat="1" ht="21">
      <c r="F28" s="1195"/>
      <c r="AA28" s="1192"/>
      <c r="AB28" s="1189"/>
      <c r="AC28" s="1189"/>
      <c r="AD28" s="1189"/>
      <c r="AE28" s="1189"/>
      <c r="AF28" s="1190"/>
    </row>
    <row r="29" spans="1:34" s="1191" customFormat="1" ht="21">
      <c r="A29" s="1201"/>
      <c r="B29" s="1201" t="s">
        <v>561</v>
      </c>
      <c r="C29" s="1201"/>
      <c r="D29" s="1201" t="s">
        <v>60</v>
      </c>
      <c r="E29" s="1201"/>
      <c r="F29" s="1191" t="s">
        <v>55</v>
      </c>
      <c r="G29" s="1201"/>
      <c r="H29" s="1201" t="s">
        <v>59</v>
      </c>
      <c r="I29" s="1201"/>
      <c r="J29" s="1201" t="s">
        <v>565</v>
      </c>
      <c r="K29" s="1201"/>
      <c r="L29" s="1201" t="s">
        <v>58</v>
      </c>
      <c r="M29" s="1201"/>
      <c r="N29" s="1201" t="s">
        <v>296</v>
      </c>
      <c r="O29" s="1201"/>
      <c r="P29" s="1201" t="s">
        <v>46</v>
      </c>
      <c r="Q29" s="1201"/>
      <c r="R29" s="1201" t="s">
        <v>310</v>
      </c>
      <c r="S29" s="1201"/>
      <c r="T29" s="1201" t="s">
        <v>47</v>
      </c>
      <c r="U29" s="1201"/>
      <c r="V29" s="1201" t="s">
        <v>69</v>
      </c>
      <c r="W29" s="1201"/>
      <c r="X29" s="1201" t="s">
        <v>356</v>
      </c>
      <c r="Y29" s="1201"/>
      <c r="Z29" s="1201" t="s">
        <v>1213</v>
      </c>
      <c r="AA29" s="1202"/>
      <c r="AB29" s="1189"/>
      <c r="AC29" s="1193"/>
      <c r="AD29" s="1193"/>
      <c r="AE29" s="1193"/>
      <c r="AF29" s="1190"/>
    </row>
    <row r="30" spans="1:34" s="1191" customFormat="1" ht="21">
      <c r="AA30" s="1192"/>
      <c r="AB30" s="1189"/>
      <c r="AC30" s="1193"/>
      <c r="AD30" s="1193"/>
      <c r="AE30" s="1193"/>
      <c r="AF30" s="1190"/>
    </row>
    <row r="31" spans="1:34" s="1191" customFormat="1" ht="21">
      <c r="AA31" s="1192"/>
      <c r="AB31" s="1189"/>
      <c r="AC31" s="1193"/>
      <c r="AD31" s="1193"/>
      <c r="AE31" s="1193"/>
      <c r="AF31" s="1190"/>
    </row>
    <row r="32" spans="1:34" s="1191" customFormat="1" ht="21">
      <c r="B32" s="1729" t="s">
        <v>1629</v>
      </c>
      <c r="C32" s="1196">
        <v>320</v>
      </c>
      <c r="D32" s="1727" t="s">
        <v>1628</v>
      </c>
      <c r="E32" s="1196">
        <v>341</v>
      </c>
      <c r="F32" s="1727" t="s">
        <v>1627</v>
      </c>
      <c r="G32" s="1196">
        <v>309</v>
      </c>
      <c r="H32" s="1727" t="s">
        <v>1626</v>
      </c>
      <c r="I32" s="1196">
        <v>326</v>
      </c>
      <c r="J32" s="1729" t="s">
        <v>1634</v>
      </c>
      <c r="K32" s="1196">
        <v>325</v>
      </c>
      <c r="L32" s="1727"/>
      <c r="M32" s="1196">
        <v>340</v>
      </c>
      <c r="N32" s="1729" t="s">
        <v>1625</v>
      </c>
      <c r="O32" s="1196">
        <v>350</v>
      </c>
      <c r="P32" s="1727" t="s">
        <v>1624</v>
      </c>
      <c r="Q32" s="1196">
        <v>330</v>
      </c>
      <c r="R32" s="1723"/>
      <c r="S32" s="1196">
        <v>330</v>
      </c>
      <c r="T32" s="1727" t="s">
        <v>1623</v>
      </c>
      <c r="U32" s="1196">
        <v>369</v>
      </c>
      <c r="V32" s="1725"/>
      <c r="W32" s="1196">
        <v>375</v>
      </c>
      <c r="X32" s="1725"/>
      <c r="Y32" s="1196">
        <v>72</v>
      </c>
      <c r="Z32" s="1723"/>
      <c r="AA32" s="1203">
        <v>50</v>
      </c>
      <c r="AB32" s="1193">
        <f>SUM(C32:AA32)</f>
        <v>3837</v>
      </c>
      <c r="AC32" s="1193">
        <v>9</v>
      </c>
      <c r="AD32" s="1193">
        <v>9</v>
      </c>
      <c r="AE32" s="1193">
        <v>0</v>
      </c>
      <c r="AF32" s="1194">
        <v>0</v>
      </c>
      <c r="AG32" s="1191">
        <v>13</v>
      </c>
      <c r="AH32" s="1191">
        <f>AH23+AG32</f>
        <v>25</v>
      </c>
    </row>
    <row r="33" spans="1:34" s="1191" customFormat="1" ht="21">
      <c r="B33" s="1734"/>
      <c r="D33" s="1728"/>
      <c r="F33" s="1728"/>
      <c r="H33" s="1728"/>
      <c r="J33" s="1734"/>
      <c r="L33" s="1728"/>
      <c r="N33" s="1734"/>
      <c r="P33" s="1728"/>
      <c r="R33" s="1731"/>
      <c r="T33" s="1728"/>
      <c r="V33" s="1726"/>
      <c r="X33" s="1726"/>
      <c r="Z33" s="1731"/>
      <c r="AA33" s="1732" t="s">
        <v>1731</v>
      </c>
      <c r="AB33" s="1189"/>
      <c r="AC33" s="1189"/>
      <c r="AD33" s="1189"/>
      <c r="AE33" s="1189"/>
      <c r="AF33" s="1190"/>
    </row>
    <row r="34" spans="1:34" s="1191" customFormat="1" ht="21">
      <c r="B34" s="1191" t="s">
        <v>34</v>
      </c>
      <c r="D34" s="1191" t="s">
        <v>45</v>
      </c>
      <c r="F34" s="1191" t="s">
        <v>45</v>
      </c>
      <c r="H34" s="1191" t="s">
        <v>50</v>
      </c>
      <c r="J34" s="1191" t="s">
        <v>48</v>
      </c>
      <c r="L34" s="1191" t="s">
        <v>57</v>
      </c>
      <c r="N34" s="1191" t="s">
        <v>48</v>
      </c>
      <c r="P34" s="1191" t="s">
        <v>45</v>
      </c>
      <c r="R34" s="1191" t="s">
        <v>48</v>
      </c>
      <c r="T34" s="1191" t="s">
        <v>43</v>
      </c>
      <c r="V34" s="1191" t="s">
        <v>45</v>
      </c>
      <c r="X34" s="1191" t="s">
        <v>1181</v>
      </c>
      <c r="Z34" s="1191" t="s">
        <v>1214</v>
      </c>
      <c r="AA34" s="1733"/>
      <c r="AB34" s="1189"/>
      <c r="AC34" s="1193"/>
      <c r="AD34" s="1193"/>
      <c r="AE34" s="1193"/>
      <c r="AF34" s="1190"/>
    </row>
    <row r="35" spans="1:34" s="1191" customFormat="1" ht="21">
      <c r="R35" s="1200" t="s">
        <v>977</v>
      </c>
      <c r="V35" s="1198" t="s">
        <v>951</v>
      </c>
      <c r="X35" s="1198" t="s">
        <v>951</v>
      </c>
      <c r="Z35" s="1198" t="s">
        <v>951</v>
      </c>
      <c r="AA35" s="1204"/>
      <c r="AB35" s="1189"/>
      <c r="AC35" s="1193"/>
      <c r="AD35" s="1193"/>
      <c r="AE35" s="1193"/>
      <c r="AF35" s="1190"/>
    </row>
    <row r="36" spans="1:34" s="1191" customFormat="1" ht="21">
      <c r="A36" s="1201"/>
      <c r="B36" s="1201" t="s">
        <v>1215</v>
      </c>
      <c r="C36" s="1201"/>
      <c r="D36" s="1201" t="s">
        <v>364</v>
      </c>
      <c r="E36" s="1201"/>
      <c r="F36" s="1201" t="s">
        <v>371</v>
      </c>
      <c r="G36" s="1201"/>
      <c r="H36" s="1201" t="s">
        <v>70</v>
      </c>
      <c r="I36" s="1201"/>
      <c r="J36" s="1201" t="s">
        <v>1216</v>
      </c>
      <c r="K36" s="1201"/>
      <c r="L36" s="1201" t="s">
        <v>1217</v>
      </c>
      <c r="M36" s="1201"/>
      <c r="N36" s="1201" t="s">
        <v>393</v>
      </c>
      <c r="O36" s="1201"/>
      <c r="P36" s="1201" t="s">
        <v>416</v>
      </c>
      <c r="Q36" s="1201"/>
      <c r="R36" s="1201" t="s">
        <v>71</v>
      </c>
      <c r="S36" s="1201"/>
      <c r="T36" s="1201" t="s">
        <v>436</v>
      </c>
      <c r="U36" s="1201"/>
      <c r="V36" s="1201" t="s">
        <v>443</v>
      </c>
      <c r="W36" s="1201"/>
      <c r="X36" s="1201" t="s">
        <v>1218</v>
      </c>
      <c r="Y36" s="1201"/>
      <c r="Z36" s="1201" t="s">
        <v>1219</v>
      </c>
      <c r="AA36" s="1202"/>
      <c r="AB36" s="1189"/>
      <c r="AC36" s="1193"/>
      <c r="AD36" s="1193"/>
      <c r="AE36" s="1193"/>
      <c r="AF36" s="1190"/>
    </row>
    <row r="37" spans="1:34" s="1191" customFormat="1" ht="21">
      <c r="AA37" s="1192"/>
      <c r="AB37" s="1189"/>
      <c r="AC37" s="1193"/>
      <c r="AD37" s="1193"/>
      <c r="AE37" s="1193"/>
      <c r="AF37" s="1190"/>
    </row>
    <row r="38" spans="1:34" s="1191" customFormat="1" ht="21">
      <c r="AA38" s="1192"/>
      <c r="AB38" s="1189"/>
      <c r="AC38" s="1189"/>
      <c r="AD38" s="1189"/>
      <c r="AE38" s="1189"/>
      <c r="AF38" s="1190"/>
    </row>
    <row r="39" spans="1:34" s="1191" customFormat="1" ht="21">
      <c r="B39" s="1723"/>
      <c r="C39" s="1196">
        <v>48</v>
      </c>
      <c r="D39" s="1725"/>
      <c r="E39" s="1196">
        <v>263</v>
      </c>
      <c r="F39" s="1725"/>
      <c r="G39" s="1196">
        <v>231</v>
      </c>
      <c r="H39" s="1725"/>
      <c r="I39" s="1196">
        <v>84</v>
      </c>
      <c r="J39" s="1723"/>
      <c r="K39" s="1196">
        <v>50</v>
      </c>
      <c r="L39" s="1723"/>
      <c r="M39" s="1196">
        <v>56</v>
      </c>
      <c r="N39" s="1725"/>
      <c r="O39" s="1196">
        <v>333</v>
      </c>
      <c r="P39" s="1725"/>
      <c r="Q39" s="1196">
        <v>337</v>
      </c>
      <c r="R39" s="1725"/>
      <c r="S39" s="1196">
        <v>342</v>
      </c>
      <c r="T39" s="1725"/>
      <c r="U39" s="1196">
        <v>307</v>
      </c>
      <c r="V39" s="1725"/>
      <c r="W39" s="1196">
        <v>344</v>
      </c>
      <c r="X39" s="1723"/>
      <c r="Y39" s="1196">
        <v>265</v>
      </c>
      <c r="Z39" s="1723"/>
      <c r="AA39" s="1203">
        <v>265</v>
      </c>
      <c r="AB39" s="1193">
        <f>SUM(C39:AA39)</f>
        <v>2925</v>
      </c>
      <c r="AC39" s="1193">
        <v>0</v>
      </c>
      <c r="AD39" s="1193">
        <v>0</v>
      </c>
      <c r="AE39" s="1193">
        <v>0</v>
      </c>
      <c r="AF39" s="1194">
        <v>0</v>
      </c>
      <c r="AG39" s="1191">
        <v>13</v>
      </c>
      <c r="AH39" s="1191">
        <f>AH32+AG39</f>
        <v>38</v>
      </c>
    </row>
    <row r="40" spans="1:34" s="1191" customFormat="1" ht="21">
      <c r="B40" s="1731"/>
      <c r="D40" s="1726"/>
      <c r="F40" s="1726"/>
      <c r="H40" s="1726"/>
      <c r="J40" s="1731"/>
      <c r="K40" s="1739" t="s">
        <v>1717</v>
      </c>
      <c r="L40" s="1731"/>
      <c r="N40" s="1726"/>
      <c r="P40" s="1726"/>
      <c r="R40" s="1726"/>
      <c r="T40" s="1726"/>
      <c r="V40" s="1726"/>
      <c r="X40" s="1731"/>
      <c r="Z40" s="1731"/>
      <c r="AA40" s="1192"/>
      <c r="AB40" s="1193"/>
      <c r="AC40" s="1193"/>
      <c r="AD40" s="1193"/>
      <c r="AE40" s="1193"/>
      <c r="AF40" s="1194"/>
    </row>
    <row r="41" spans="1:34" s="1191" customFormat="1" ht="21">
      <c r="B41" s="1191" t="s">
        <v>1214</v>
      </c>
      <c r="D41" s="1191" t="s">
        <v>1181</v>
      </c>
      <c r="F41" s="1191" t="s">
        <v>43</v>
      </c>
      <c r="H41" s="1191" t="s">
        <v>1181</v>
      </c>
      <c r="J41" s="1191" t="s">
        <v>1214</v>
      </c>
      <c r="K41" s="1740"/>
      <c r="L41" s="1191" t="s">
        <v>1214</v>
      </c>
      <c r="N41" s="1191" t="s">
        <v>1181</v>
      </c>
      <c r="P41" s="1191" t="s">
        <v>45</v>
      </c>
      <c r="R41" s="1191" t="s">
        <v>1175</v>
      </c>
      <c r="T41" s="1191" t="s">
        <v>43</v>
      </c>
      <c r="V41" s="1191" t="s">
        <v>45</v>
      </c>
      <c r="X41" s="1191" t="s">
        <v>49</v>
      </c>
      <c r="Z41" s="1191" t="s">
        <v>48</v>
      </c>
      <c r="AA41" s="1192"/>
      <c r="AB41" s="1189"/>
      <c r="AC41" s="1193"/>
      <c r="AD41" s="1193"/>
      <c r="AE41" s="1193"/>
      <c r="AF41" s="1190"/>
    </row>
    <row r="42" spans="1:34" s="1191" customFormat="1" ht="21.75" customHeight="1">
      <c r="A42" s="1195"/>
      <c r="B42" s="1198" t="s">
        <v>951</v>
      </c>
      <c r="C42" s="1195"/>
      <c r="D42" s="1198" t="s">
        <v>951</v>
      </c>
      <c r="E42" s="1195"/>
      <c r="F42" s="1198" t="s">
        <v>951</v>
      </c>
      <c r="G42" s="1195"/>
      <c r="H42" s="1195"/>
      <c r="I42" s="1195"/>
      <c r="J42" s="1195"/>
      <c r="K42" s="1741"/>
      <c r="L42" s="1195"/>
      <c r="M42" s="1195"/>
      <c r="N42" s="1195"/>
      <c r="O42" s="1195"/>
      <c r="P42" s="1195"/>
      <c r="Q42" s="1195"/>
      <c r="R42" s="1195"/>
      <c r="S42" s="1195"/>
      <c r="T42" s="1195"/>
      <c r="U42" s="1195"/>
      <c r="V42" s="1195"/>
      <c r="W42" s="1195"/>
      <c r="X42" s="1200" t="s">
        <v>977</v>
      </c>
      <c r="Y42" s="1195"/>
      <c r="Z42" s="1200" t="s">
        <v>977</v>
      </c>
      <c r="AA42" s="1197"/>
      <c r="AB42" s="1189"/>
      <c r="AC42" s="1193"/>
      <c r="AD42" s="1193"/>
      <c r="AE42" s="1193"/>
      <c r="AF42" s="1190"/>
    </row>
    <row r="43" spans="1:34" s="1191" customFormat="1" ht="21">
      <c r="A43" s="1201"/>
      <c r="B43" s="1201" t="s">
        <v>457</v>
      </c>
      <c r="C43" s="1201"/>
      <c r="D43" s="1201" t="s">
        <v>73</v>
      </c>
      <c r="E43" s="1201"/>
      <c r="F43" s="1201" t="s">
        <v>1168</v>
      </c>
      <c r="G43" s="1201"/>
      <c r="H43" s="1201" t="s">
        <v>1206</v>
      </c>
      <c r="I43" s="1201"/>
      <c r="J43" s="1201" t="s">
        <v>44</v>
      </c>
      <c r="K43" s="1201"/>
      <c r="L43" s="1201" t="s">
        <v>40</v>
      </c>
      <c r="M43" s="1201"/>
      <c r="N43" s="1201" t="s">
        <v>1182</v>
      </c>
      <c r="O43" s="1201"/>
      <c r="P43" s="1201" t="s">
        <v>1220</v>
      </c>
      <c r="Q43" s="1201"/>
      <c r="R43" s="1201" t="s">
        <v>1221</v>
      </c>
      <c r="S43" s="1201"/>
      <c r="T43" s="1201" t="s">
        <v>1222</v>
      </c>
      <c r="U43" s="1201"/>
      <c r="V43" s="1201" t="s">
        <v>1223</v>
      </c>
      <c r="W43" s="1201"/>
      <c r="X43" s="1201" t="s">
        <v>74</v>
      </c>
      <c r="Y43" s="1201"/>
      <c r="Z43" s="1201" t="s">
        <v>54</v>
      </c>
      <c r="AA43" s="1202"/>
      <c r="AB43" s="1189"/>
      <c r="AC43" s="1189"/>
      <c r="AD43" s="1189"/>
      <c r="AE43" s="1189"/>
      <c r="AF43" s="1190"/>
    </row>
    <row r="44" spans="1:34" s="1191" customFormat="1" ht="21">
      <c r="AA44" s="1192"/>
      <c r="AB44" s="1189"/>
      <c r="AC44" s="1189"/>
      <c r="AD44" s="1189"/>
      <c r="AE44" s="1189"/>
      <c r="AF44" s="1190"/>
    </row>
    <row r="45" spans="1:34" s="1191" customFormat="1" ht="21">
      <c r="AA45" s="1192"/>
      <c r="AB45" s="1193"/>
      <c r="AC45" s="1193"/>
      <c r="AD45" s="1193"/>
      <c r="AE45" s="1193"/>
      <c r="AF45" s="1194"/>
    </row>
    <row r="46" spans="1:34" s="1191" customFormat="1" ht="21">
      <c r="B46" s="1725"/>
      <c r="C46" s="1196">
        <v>335</v>
      </c>
      <c r="D46" s="1725"/>
      <c r="E46" s="1196">
        <v>308</v>
      </c>
      <c r="F46" s="1735"/>
      <c r="G46" s="1196">
        <v>293</v>
      </c>
      <c r="H46" s="1735"/>
      <c r="I46" s="1196">
        <v>290</v>
      </c>
      <c r="J46" s="1727" t="s">
        <v>1622</v>
      </c>
      <c r="K46" s="1196">
        <v>329</v>
      </c>
      <c r="L46" s="1727" t="s">
        <v>1621</v>
      </c>
      <c r="M46" s="1196">
        <v>320</v>
      </c>
      <c r="N46" s="1737" t="s">
        <v>1618</v>
      </c>
      <c r="O46" s="1196">
        <v>318</v>
      </c>
      <c r="P46" s="1723"/>
      <c r="Q46" s="1196">
        <v>325</v>
      </c>
      <c r="R46" s="1723"/>
      <c r="S46" s="1196">
        <v>340</v>
      </c>
      <c r="T46" s="1723"/>
      <c r="U46" s="1196">
        <v>335</v>
      </c>
      <c r="V46" s="1723"/>
      <c r="W46" s="1196">
        <v>340</v>
      </c>
      <c r="X46" s="1725"/>
      <c r="Y46" s="1196">
        <v>332</v>
      </c>
      <c r="Z46" s="1735"/>
      <c r="AA46" s="1203">
        <v>325</v>
      </c>
      <c r="AB46" s="1193">
        <f>SUM(C46:AA46)</f>
        <v>4190</v>
      </c>
      <c r="AC46" s="1193">
        <v>6</v>
      </c>
      <c r="AD46" s="1193">
        <v>6</v>
      </c>
      <c r="AE46" s="1193">
        <v>0</v>
      </c>
      <c r="AF46" s="1194">
        <v>0</v>
      </c>
      <c r="AG46" s="1191">
        <v>13</v>
      </c>
      <c r="AH46" s="1191">
        <f>AH39+AG46</f>
        <v>51</v>
      </c>
    </row>
    <row r="47" spans="1:34" s="1191" customFormat="1" ht="21">
      <c r="B47" s="1726"/>
      <c r="D47" s="1726"/>
      <c r="F47" s="1736"/>
      <c r="H47" s="1736"/>
      <c r="J47" s="1728"/>
      <c r="L47" s="1728"/>
      <c r="N47" s="1738"/>
      <c r="P47" s="1731"/>
      <c r="R47" s="1731"/>
      <c r="T47" s="1731"/>
      <c r="V47" s="1731"/>
      <c r="X47" s="1726"/>
      <c r="Z47" s="1736"/>
      <c r="AA47" s="1192"/>
      <c r="AB47" s="1189"/>
      <c r="AC47" s="1193"/>
      <c r="AD47" s="1193"/>
      <c r="AE47" s="1193"/>
      <c r="AF47" s="1190"/>
    </row>
    <row r="48" spans="1:34" s="1191" customFormat="1" ht="21">
      <c r="B48" s="1191" t="s">
        <v>57</v>
      </c>
      <c r="D48" s="1191" t="s">
        <v>1181</v>
      </c>
      <c r="F48" s="1191" t="s">
        <v>1181</v>
      </c>
      <c r="H48" s="1191" t="s">
        <v>50</v>
      </c>
      <c r="J48" s="1191" t="s">
        <v>43</v>
      </c>
      <c r="L48" s="1191" t="s">
        <v>39</v>
      </c>
      <c r="N48" s="1191" t="s">
        <v>34</v>
      </c>
      <c r="P48" s="1191" t="s">
        <v>34</v>
      </c>
      <c r="R48" s="1191" t="s">
        <v>48</v>
      </c>
      <c r="T48" s="1191" t="s">
        <v>48</v>
      </c>
      <c r="V48" s="1191" t="s">
        <v>32</v>
      </c>
      <c r="X48" s="1191" t="s">
        <v>53</v>
      </c>
      <c r="Z48" s="1191" t="s">
        <v>53</v>
      </c>
      <c r="AA48" s="1192"/>
      <c r="AB48" s="1189"/>
      <c r="AC48" s="1189"/>
      <c r="AD48" s="1189"/>
      <c r="AE48" s="1189"/>
      <c r="AF48" s="1190"/>
    </row>
    <row r="49" spans="1:35" s="1191" customFormat="1" ht="21">
      <c r="A49" s="1195"/>
      <c r="B49" s="1200" t="s">
        <v>977</v>
      </c>
      <c r="C49" s="1195"/>
      <c r="D49" s="1200" t="s">
        <v>977</v>
      </c>
      <c r="E49" s="1195"/>
      <c r="F49" s="1195"/>
      <c r="G49" s="1195"/>
      <c r="H49" s="1195"/>
      <c r="I49" s="1195"/>
      <c r="J49" s="1195"/>
      <c r="K49" s="1195"/>
      <c r="L49" s="1195"/>
      <c r="M49" s="1195"/>
      <c r="N49" s="1195"/>
      <c r="O49" s="1195"/>
      <c r="P49" s="1198" t="s">
        <v>951</v>
      </c>
      <c r="Q49" s="1195"/>
      <c r="R49" s="1198" t="s">
        <v>951</v>
      </c>
      <c r="S49" s="1195"/>
      <c r="T49" s="1198" t="s">
        <v>951</v>
      </c>
      <c r="U49" s="1195"/>
      <c r="V49" s="1198" t="s">
        <v>951</v>
      </c>
      <c r="W49" s="1195"/>
      <c r="X49" s="1195"/>
      <c r="Y49" s="1195"/>
      <c r="Z49" s="1195"/>
      <c r="AA49" s="1197"/>
      <c r="AB49" s="1189"/>
      <c r="AC49" s="1189"/>
      <c r="AD49" s="1189"/>
      <c r="AE49" s="1189"/>
      <c r="AF49" s="1190"/>
    </row>
    <row r="50" spans="1:35" s="1191" customFormat="1" ht="21">
      <c r="A50" s="1201"/>
      <c r="B50" s="1201" t="s">
        <v>704</v>
      </c>
      <c r="C50" s="1201"/>
      <c r="D50" s="1201" t="s">
        <v>75</v>
      </c>
      <c r="E50" s="1201"/>
      <c r="F50" s="1201" t="s">
        <v>689</v>
      </c>
      <c r="G50" s="1201"/>
      <c r="H50" s="1201" t="s">
        <v>51</v>
      </c>
      <c r="I50" s="1201"/>
      <c r="J50" s="1201" t="s">
        <v>1224</v>
      </c>
      <c r="K50" s="1201"/>
      <c r="L50" s="1201" t="s">
        <v>1225</v>
      </c>
      <c r="M50" s="1201"/>
      <c r="N50" s="1201" t="s">
        <v>76</v>
      </c>
      <c r="O50" s="1201"/>
      <c r="P50" s="1201" t="s">
        <v>1226</v>
      </c>
      <c r="Q50" s="1201"/>
      <c r="R50" s="1201" t="s">
        <v>1227</v>
      </c>
      <c r="S50" s="1201"/>
      <c r="T50" s="1201" t="s">
        <v>1228</v>
      </c>
      <c r="U50" s="1201"/>
      <c r="V50" s="1201" t="s">
        <v>1229</v>
      </c>
      <c r="W50" s="1201"/>
      <c r="X50" s="1201" t="s">
        <v>1666</v>
      </c>
      <c r="Y50" s="1201"/>
      <c r="Z50" s="1201" t="s">
        <v>1667</v>
      </c>
      <c r="AA50" s="1202"/>
      <c r="AB50" s="1193"/>
      <c r="AC50" s="1193"/>
      <c r="AD50" s="1193"/>
      <c r="AE50" s="1193"/>
      <c r="AF50" s="1194"/>
    </row>
    <row r="51" spans="1:35" s="1191" customFormat="1" ht="21">
      <c r="AA51" s="1192"/>
      <c r="AB51" s="1189"/>
      <c r="AC51" s="1193"/>
      <c r="AD51" s="1193"/>
      <c r="AE51" s="1193"/>
      <c r="AF51" s="1190"/>
    </row>
    <row r="52" spans="1:35" s="1191" customFormat="1" ht="21">
      <c r="AA52" s="1192"/>
      <c r="AB52" s="1189"/>
      <c r="AC52" s="1193"/>
      <c r="AD52" s="1193"/>
      <c r="AE52" s="1193"/>
      <c r="AF52" s="1190"/>
    </row>
    <row r="53" spans="1:35" s="1191" customFormat="1" ht="21">
      <c r="B53" s="1725"/>
      <c r="C53" s="1196">
        <v>350</v>
      </c>
      <c r="D53" s="1725"/>
      <c r="E53" s="1196">
        <v>344</v>
      </c>
      <c r="F53" s="1725"/>
      <c r="G53" s="1196">
        <v>343</v>
      </c>
      <c r="H53" s="1727" t="s">
        <v>1620</v>
      </c>
      <c r="I53" s="1196">
        <v>334</v>
      </c>
      <c r="J53" s="1742" t="s">
        <v>2035</v>
      </c>
      <c r="K53" s="1196">
        <v>350</v>
      </c>
      <c r="L53" s="1723"/>
      <c r="M53" s="1196">
        <v>350</v>
      </c>
      <c r="N53" s="1725"/>
      <c r="O53" s="1196">
        <v>345</v>
      </c>
      <c r="P53" s="1723"/>
      <c r="Q53" s="1196">
        <v>348</v>
      </c>
      <c r="R53" s="1723"/>
      <c r="S53" s="1196">
        <v>340</v>
      </c>
      <c r="T53" s="1723"/>
      <c r="U53" s="1196">
        <v>315</v>
      </c>
      <c r="V53" s="1723"/>
      <c r="W53" s="1196">
        <v>315</v>
      </c>
      <c r="X53" s="1725"/>
      <c r="Y53" s="1196">
        <v>206</v>
      </c>
      <c r="Z53" s="1723"/>
      <c r="AA53" s="1203">
        <v>280.45999999999998</v>
      </c>
      <c r="AB53" s="1193">
        <f>SUM(C53:AA53)</f>
        <v>4220.46</v>
      </c>
      <c r="AC53" s="1193">
        <v>1</v>
      </c>
      <c r="AD53" s="1193">
        <v>1</v>
      </c>
      <c r="AE53" s="1193">
        <v>0</v>
      </c>
      <c r="AF53" s="1194">
        <v>0</v>
      </c>
      <c r="AG53" s="1191">
        <v>13</v>
      </c>
      <c r="AH53" s="1191">
        <f>AH46+AG53</f>
        <v>64</v>
      </c>
      <c r="AI53" s="1205">
        <f>AB23+AB32+AB39+AB46+AB53-AA53-Y53</f>
        <v>19091</v>
      </c>
    </row>
    <row r="54" spans="1:35" s="1191" customFormat="1" ht="21">
      <c r="B54" s="1726"/>
      <c r="D54" s="1726"/>
      <c r="F54" s="1726"/>
      <c r="H54" s="1728"/>
      <c r="J54" s="1743"/>
      <c r="L54" s="1731"/>
      <c r="N54" s="1726"/>
      <c r="P54" s="1731"/>
      <c r="R54" s="1731"/>
      <c r="T54" s="1731"/>
      <c r="V54" s="1731"/>
      <c r="X54" s="1726"/>
      <c r="Z54" s="1731"/>
      <c r="AA54" s="1192"/>
      <c r="AB54" s="1189"/>
      <c r="AC54" s="1193"/>
      <c r="AD54" s="1193"/>
      <c r="AE54" s="1193"/>
      <c r="AF54" s="1190"/>
    </row>
    <row r="55" spans="1:35" s="1191" customFormat="1" ht="21">
      <c r="B55" s="1191" t="s">
        <v>50</v>
      </c>
      <c r="D55" s="1191" t="s">
        <v>50</v>
      </c>
      <c r="F55" s="1191" t="s">
        <v>50</v>
      </c>
      <c r="H55" s="1191" t="s">
        <v>50</v>
      </c>
      <c r="J55" s="1191" t="s">
        <v>32</v>
      </c>
      <c r="L55" s="1191" t="s">
        <v>34</v>
      </c>
      <c r="N55" s="1191" t="s">
        <v>50</v>
      </c>
      <c r="P55" s="1191" t="s">
        <v>32</v>
      </c>
      <c r="R55" s="1191" t="s">
        <v>32</v>
      </c>
      <c r="T55" s="1191" t="s">
        <v>34</v>
      </c>
      <c r="V55" s="1191" t="s">
        <v>34</v>
      </c>
      <c r="X55" s="1191" t="s">
        <v>53</v>
      </c>
      <c r="Z55" s="1191" t="s">
        <v>34</v>
      </c>
      <c r="AA55" s="1192"/>
      <c r="AB55" s="1189"/>
      <c r="AC55" s="1189"/>
      <c r="AD55" s="1189"/>
      <c r="AE55" s="1189"/>
      <c r="AF55" s="1190"/>
    </row>
    <row r="56" spans="1:35" s="1191" customFormat="1" ht="21">
      <c r="A56" s="1195"/>
      <c r="B56" s="1200" t="s">
        <v>977</v>
      </c>
      <c r="C56" s="1195"/>
      <c r="D56" s="1195"/>
      <c r="E56" s="1195"/>
      <c r="F56" s="1195"/>
      <c r="G56" s="1195"/>
      <c r="H56" s="1195"/>
      <c r="I56" s="1195"/>
      <c r="J56" s="1200" t="s">
        <v>977</v>
      </c>
      <c r="K56" s="1195"/>
      <c r="L56" s="1200" t="s">
        <v>977</v>
      </c>
      <c r="M56" s="1195"/>
      <c r="N56" s="1200" t="s">
        <v>977</v>
      </c>
      <c r="O56" s="1195"/>
      <c r="P56" s="1195"/>
      <c r="Q56" s="1195"/>
      <c r="R56" s="1200" t="s">
        <v>977</v>
      </c>
      <c r="S56" s="1195"/>
      <c r="T56" s="1195"/>
      <c r="U56" s="1195"/>
      <c r="V56" s="1195"/>
      <c r="W56" s="1195"/>
      <c r="X56" s="1198" t="s">
        <v>951</v>
      </c>
      <c r="Y56" s="1195"/>
      <c r="Z56" s="1198" t="s">
        <v>951</v>
      </c>
      <c r="AA56" s="1197"/>
      <c r="AB56" s="1193"/>
      <c r="AC56" s="1193"/>
      <c r="AD56" s="1193"/>
      <c r="AE56" s="1193"/>
      <c r="AF56" s="1194"/>
    </row>
    <row r="57" spans="1:35" s="1191" customFormat="1" ht="21">
      <c r="A57" s="1201"/>
      <c r="B57" s="1201" t="s">
        <v>1671</v>
      </c>
      <c r="C57" s="1201"/>
      <c r="D57" s="1201" t="s">
        <v>1672</v>
      </c>
      <c r="E57" s="1201"/>
      <c r="F57" s="1201" t="s">
        <v>1673</v>
      </c>
      <c r="G57" s="1201"/>
      <c r="H57" s="1201" t="s">
        <v>1668</v>
      </c>
      <c r="I57" s="1201"/>
      <c r="J57" s="1201" t="s">
        <v>1669</v>
      </c>
      <c r="K57" s="1201"/>
      <c r="L57" s="1201" t="s">
        <v>1670</v>
      </c>
      <c r="M57" s="1201"/>
      <c r="N57" s="1201" t="s">
        <v>77</v>
      </c>
      <c r="O57" s="1201"/>
      <c r="P57" s="1201" t="s">
        <v>1230</v>
      </c>
      <c r="Q57" s="1201"/>
      <c r="R57" s="1201" t="s">
        <v>1231</v>
      </c>
      <c r="S57" s="1201"/>
      <c r="T57" s="1201" t="s">
        <v>1660</v>
      </c>
      <c r="U57" s="1201"/>
      <c r="V57" s="1201" t="s">
        <v>1661</v>
      </c>
      <c r="W57" s="1201"/>
      <c r="X57" s="1201" t="s">
        <v>78</v>
      </c>
      <c r="Y57" s="1201"/>
      <c r="Z57" s="1201" t="s">
        <v>1662</v>
      </c>
      <c r="AA57" s="1202"/>
      <c r="AB57" s="1189"/>
      <c r="AC57" s="1189"/>
      <c r="AD57" s="1189"/>
      <c r="AE57" s="1189"/>
      <c r="AF57" s="1190"/>
    </row>
    <row r="58" spans="1:35" s="1191" customFormat="1" ht="21">
      <c r="AA58" s="1192"/>
      <c r="AB58" s="1193"/>
      <c r="AC58" s="1193"/>
      <c r="AD58" s="1193"/>
      <c r="AE58" s="1193"/>
      <c r="AF58" s="1194"/>
    </row>
    <row r="59" spans="1:35" s="1191" customFormat="1" ht="21">
      <c r="AA59" s="1192"/>
      <c r="AB59" s="1189"/>
      <c r="AC59" s="1193"/>
      <c r="AD59" s="1193"/>
      <c r="AE59" s="1193"/>
      <c r="AF59" s="1190"/>
    </row>
    <row r="60" spans="1:35" s="1191" customFormat="1" ht="21">
      <c r="B60" s="1725"/>
      <c r="C60" s="1206">
        <v>274.06</v>
      </c>
      <c r="D60" s="1725"/>
      <c r="E60" s="1196">
        <v>215.58</v>
      </c>
      <c r="F60" s="1725"/>
      <c r="G60" s="1196">
        <v>342.41</v>
      </c>
      <c r="H60" s="1725"/>
      <c r="I60" s="1206">
        <v>308</v>
      </c>
      <c r="J60" s="1723"/>
      <c r="K60" s="1206">
        <v>308</v>
      </c>
      <c r="L60" s="1723"/>
      <c r="M60" s="1206">
        <v>290.87</v>
      </c>
      <c r="N60" s="1725"/>
      <c r="O60" s="1206">
        <v>353</v>
      </c>
      <c r="P60" s="1723"/>
      <c r="Q60" s="1206">
        <v>345</v>
      </c>
      <c r="R60" s="1723"/>
      <c r="S60" s="1206">
        <v>344</v>
      </c>
      <c r="T60" s="1723"/>
      <c r="U60" s="1206">
        <v>351</v>
      </c>
      <c r="V60" s="1723"/>
      <c r="W60" s="1206">
        <v>256.64999999999998</v>
      </c>
      <c r="X60" s="1725"/>
      <c r="Y60" s="1206">
        <v>306</v>
      </c>
      <c r="Z60" s="1723"/>
      <c r="AA60" s="1203">
        <v>353</v>
      </c>
      <c r="AB60" s="1193">
        <f>SUM(C60:AA60)</f>
        <v>4047.57</v>
      </c>
      <c r="AC60" s="1193">
        <v>0</v>
      </c>
      <c r="AD60" s="1193">
        <v>0</v>
      </c>
      <c r="AE60" s="1193">
        <v>0</v>
      </c>
      <c r="AF60" s="1194">
        <v>0</v>
      </c>
      <c r="AG60" s="1191">
        <v>13</v>
      </c>
      <c r="AH60" s="1191">
        <f>AH53+AG60</f>
        <v>77</v>
      </c>
    </row>
    <row r="61" spans="1:35" s="1191" customFormat="1" ht="21">
      <c r="B61" s="1726"/>
      <c r="D61" s="1726"/>
      <c r="F61" s="1726"/>
      <c r="H61" s="1726"/>
      <c r="J61" s="1731"/>
      <c r="L61" s="1731"/>
      <c r="N61" s="1726"/>
      <c r="P61" s="1731"/>
      <c r="R61" s="1731"/>
      <c r="T61" s="1731"/>
      <c r="V61" s="1731"/>
      <c r="X61" s="1726"/>
      <c r="Z61" s="1731"/>
      <c r="AA61" s="1192"/>
      <c r="AB61" s="1189"/>
      <c r="AC61" s="1193"/>
      <c r="AD61" s="1193"/>
      <c r="AE61" s="1193"/>
      <c r="AF61" s="1190"/>
    </row>
    <row r="62" spans="1:35" s="1191" customFormat="1" ht="21">
      <c r="B62" s="1207" t="s">
        <v>53</v>
      </c>
      <c r="D62" s="1207" t="s">
        <v>1181</v>
      </c>
      <c r="F62" s="1207" t="s">
        <v>45</v>
      </c>
      <c r="H62" s="1191" t="s">
        <v>43</v>
      </c>
      <c r="J62" s="1191" t="s">
        <v>32</v>
      </c>
      <c r="L62" s="1191" t="s">
        <v>48</v>
      </c>
      <c r="N62" s="1191" t="s">
        <v>45</v>
      </c>
      <c r="P62" s="1191" t="s">
        <v>48</v>
      </c>
      <c r="R62" s="1191" t="s">
        <v>34</v>
      </c>
      <c r="T62" s="1191" t="s">
        <v>32</v>
      </c>
      <c r="V62" s="1191" t="s">
        <v>34</v>
      </c>
      <c r="X62" s="1191" t="s">
        <v>43</v>
      </c>
      <c r="Z62" s="1191" t="s">
        <v>48</v>
      </c>
      <c r="AA62" s="1192"/>
      <c r="AB62" s="1189"/>
      <c r="AC62" s="1193"/>
      <c r="AD62" s="1193"/>
      <c r="AE62" s="1193"/>
      <c r="AF62" s="1190"/>
    </row>
    <row r="63" spans="1:35" s="1191" customFormat="1" ht="21">
      <c r="B63" s="1198" t="s">
        <v>951</v>
      </c>
      <c r="D63" s="1198" t="s">
        <v>951</v>
      </c>
      <c r="F63" s="1198" t="s">
        <v>951</v>
      </c>
      <c r="H63" s="1198" t="s">
        <v>951</v>
      </c>
      <c r="I63" s="1195"/>
      <c r="J63" s="1195"/>
      <c r="K63" s="1195"/>
      <c r="L63" s="1195"/>
      <c r="M63" s="1195"/>
      <c r="N63" s="1195"/>
      <c r="O63" s="1195"/>
      <c r="P63" s="1195"/>
      <c r="Q63" s="1195"/>
      <c r="R63" s="1195"/>
      <c r="S63" s="1195"/>
      <c r="T63" s="1195"/>
      <c r="U63" s="1195"/>
      <c r="V63" s="1208" t="s">
        <v>1002</v>
      </c>
      <c r="W63" s="1195"/>
      <c r="X63" s="1208" t="s">
        <v>1002</v>
      </c>
      <c r="Y63" s="1195"/>
      <c r="Z63" s="1195"/>
      <c r="AA63" s="1197"/>
      <c r="AB63" s="1189"/>
      <c r="AC63" s="1189"/>
      <c r="AD63" s="1189"/>
      <c r="AE63" s="1189"/>
      <c r="AF63" s="1190"/>
    </row>
    <row r="64" spans="1:35" s="1191" customFormat="1" ht="21">
      <c r="A64" s="1201"/>
      <c r="B64" s="1201" t="s">
        <v>1663</v>
      </c>
      <c r="C64" s="1201"/>
      <c r="D64" s="1201" t="s">
        <v>1664</v>
      </c>
      <c r="E64" s="1201"/>
      <c r="F64" s="1201" t="s">
        <v>1665</v>
      </c>
      <c r="G64" s="1201"/>
      <c r="H64" s="1201" t="s">
        <v>1674</v>
      </c>
      <c r="I64" s="1201"/>
      <c r="J64" s="1201" t="s">
        <v>1675</v>
      </c>
      <c r="K64" s="1201"/>
      <c r="L64" s="1201" t="s">
        <v>1676</v>
      </c>
      <c r="M64" s="1201"/>
      <c r="N64" s="1201" t="s">
        <v>1677</v>
      </c>
      <c r="O64" s="1201"/>
      <c r="P64" s="1201" t="s">
        <v>1678</v>
      </c>
      <c r="Q64" s="1201"/>
      <c r="R64" s="1201" t="s">
        <v>1679</v>
      </c>
      <c r="S64" s="1201"/>
      <c r="T64" s="1201" t="s">
        <v>1680</v>
      </c>
      <c r="U64" s="1201"/>
      <c r="V64" s="1201" t="s">
        <v>1681</v>
      </c>
      <c r="W64" s="1201"/>
      <c r="X64" s="1201" t="s">
        <v>1682</v>
      </c>
      <c r="Y64" s="1201"/>
      <c r="Z64" s="1201" t="s">
        <v>1683</v>
      </c>
      <c r="AA64" s="1202"/>
      <c r="AB64" s="1189"/>
      <c r="AC64" s="1193"/>
      <c r="AD64" s="1193"/>
      <c r="AE64" s="1193"/>
      <c r="AF64" s="1190"/>
    </row>
    <row r="65" spans="1:34" s="1191" customFormat="1" ht="21">
      <c r="AA65" s="1192"/>
      <c r="AB65" s="1189"/>
      <c r="AC65" s="1193"/>
      <c r="AD65" s="1193"/>
      <c r="AE65" s="1193"/>
      <c r="AF65" s="1190"/>
    </row>
    <row r="66" spans="1:34" s="1191" customFormat="1" ht="21">
      <c r="AA66" s="1192"/>
      <c r="AB66" s="1189"/>
      <c r="AC66" s="1193"/>
      <c r="AD66" s="1193"/>
      <c r="AE66" s="1193"/>
      <c r="AF66" s="1190"/>
    </row>
    <row r="67" spans="1:34" s="1191" customFormat="1" ht="21">
      <c r="B67" s="1723"/>
      <c r="C67" s="1206">
        <v>340</v>
      </c>
      <c r="D67" s="1723"/>
      <c r="E67" s="1206">
        <v>349.73</v>
      </c>
      <c r="F67" s="1723"/>
      <c r="G67" s="1206">
        <v>290</v>
      </c>
      <c r="H67" s="1723"/>
      <c r="I67" s="1206">
        <v>334</v>
      </c>
      <c r="J67" s="1723"/>
      <c r="K67" s="1206">
        <v>345.07</v>
      </c>
      <c r="L67" s="1725"/>
      <c r="M67" s="1206">
        <v>337.23</v>
      </c>
      <c r="N67" s="1725"/>
      <c r="O67" s="1206">
        <v>289</v>
      </c>
      <c r="P67" s="1723"/>
      <c r="Q67" s="1206">
        <v>253.12</v>
      </c>
      <c r="R67" s="1725"/>
      <c r="S67" s="1206">
        <v>336.03</v>
      </c>
      <c r="T67" s="1725"/>
      <c r="U67" s="1206">
        <v>345.27</v>
      </c>
      <c r="V67" s="1725"/>
      <c r="W67" s="1206">
        <v>430.26</v>
      </c>
      <c r="X67" s="1735"/>
      <c r="Y67" s="1206">
        <v>316</v>
      </c>
      <c r="Z67" s="1744"/>
      <c r="AA67" s="1203">
        <v>280</v>
      </c>
      <c r="AB67" s="1193">
        <f>SUM(C67:AA67)</f>
        <v>4245.7099999999991</v>
      </c>
      <c r="AC67" s="1193">
        <v>2</v>
      </c>
      <c r="AD67" s="1193">
        <v>0</v>
      </c>
      <c r="AE67" s="1193">
        <v>2</v>
      </c>
      <c r="AF67" s="1194">
        <v>0</v>
      </c>
      <c r="AG67" s="1191">
        <v>13</v>
      </c>
      <c r="AH67" s="1191">
        <f>AH60+AG67</f>
        <v>90</v>
      </c>
    </row>
    <row r="68" spans="1:34" s="1191" customFormat="1" ht="21">
      <c r="B68" s="1731"/>
      <c r="D68" s="1731"/>
      <c r="F68" s="1731"/>
      <c r="H68" s="1731"/>
      <c r="J68" s="1731"/>
      <c r="L68" s="1726"/>
      <c r="N68" s="1726"/>
      <c r="P68" s="1731"/>
      <c r="R68" s="1726"/>
      <c r="T68" s="1726"/>
      <c r="V68" s="1726"/>
      <c r="X68" s="1736"/>
      <c r="Z68" s="1745"/>
      <c r="AA68" s="1192"/>
      <c r="AB68" s="1189"/>
      <c r="AC68" s="1189"/>
      <c r="AD68" s="1189"/>
      <c r="AE68" s="1189"/>
      <c r="AF68" s="1190"/>
    </row>
    <row r="69" spans="1:34" s="1191" customFormat="1" ht="21">
      <c r="B69" s="1191" t="s">
        <v>34</v>
      </c>
      <c r="D69" s="1191" t="s">
        <v>49</v>
      </c>
      <c r="F69" s="1191" t="s">
        <v>50</v>
      </c>
      <c r="H69" s="1191" t="s">
        <v>32</v>
      </c>
      <c r="J69" s="1191" t="s">
        <v>48</v>
      </c>
      <c r="L69" s="1191" t="s">
        <v>45</v>
      </c>
      <c r="N69" s="1191" t="s">
        <v>45</v>
      </c>
      <c r="P69" s="1191" t="s">
        <v>34</v>
      </c>
      <c r="R69" s="1191" t="s">
        <v>1181</v>
      </c>
      <c r="T69" s="1191" t="s">
        <v>45</v>
      </c>
      <c r="V69" s="1191" t="s">
        <v>39</v>
      </c>
      <c r="X69" s="1191" t="s">
        <v>50</v>
      </c>
      <c r="Z69" s="1191" t="s">
        <v>32</v>
      </c>
      <c r="AA69" s="1192"/>
      <c r="AB69" s="1189"/>
      <c r="AC69" s="1193"/>
      <c r="AD69" s="1193"/>
      <c r="AE69" s="1193"/>
      <c r="AF69" s="1190"/>
    </row>
    <row r="70" spans="1:34" s="1191" customFormat="1" ht="21">
      <c r="A70" s="1195"/>
      <c r="B70" s="1195"/>
      <c r="C70" s="1195"/>
      <c r="D70" s="1208"/>
      <c r="E70" s="1195"/>
      <c r="F70" s="1208"/>
      <c r="G70" s="1195"/>
      <c r="H70" s="1195"/>
      <c r="I70" s="1195"/>
      <c r="J70" s="1195"/>
      <c r="K70" s="1195"/>
      <c r="L70" s="1195"/>
      <c r="M70" s="1195"/>
      <c r="N70" s="1208" t="s">
        <v>1002</v>
      </c>
      <c r="O70" s="1195"/>
      <c r="P70" s="1208" t="s">
        <v>1002</v>
      </c>
      <c r="Q70" s="1195"/>
      <c r="R70" s="1208" t="s">
        <v>1002</v>
      </c>
      <c r="S70" s="1195"/>
      <c r="T70" s="1208" t="s">
        <v>1002</v>
      </c>
      <c r="U70" s="1195"/>
      <c r="V70" s="1208" t="s">
        <v>1002</v>
      </c>
      <c r="W70" s="1195"/>
      <c r="X70" s="1208" t="s">
        <v>1002</v>
      </c>
      <c r="Y70" s="1195"/>
      <c r="Z70" s="1208" t="s">
        <v>1002</v>
      </c>
      <c r="AA70" s="1197"/>
      <c r="AB70" s="1189"/>
      <c r="AC70" s="1193"/>
      <c r="AD70" s="1193"/>
      <c r="AE70" s="1193"/>
      <c r="AF70" s="1190"/>
    </row>
    <row r="71" spans="1:34" s="1191" customFormat="1" ht="21">
      <c r="A71" s="1201"/>
      <c r="B71" s="1201" t="s">
        <v>1684</v>
      </c>
      <c r="C71" s="1201"/>
      <c r="D71" s="1201" t="s">
        <v>1685</v>
      </c>
      <c r="E71" s="1201"/>
      <c r="F71" s="1201" t="s">
        <v>1686</v>
      </c>
      <c r="G71" s="1201"/>
      <c r="H71" s="1201" t="s">
        <v>1639</v>
      </c>
      <c r="I71" s="1201"/>
      <c r="J71" s="1201" t="s">
        <v>1687</v>
      </c>
      <c r="K71" s="1201"/>
      <c r="L71" s="1201" t="s">
        <v>1688</v>
      </c>
      <c r="M71" s="1201"/>
      <c r="N71" s="1201" t="s">
        <v>1689</v>
      </c>
      <c r="O71" s="1201"/>
      <c r="P71" s="1201" t="s">
        <v>1690</v>
      </c>
      <c r="Q71" s="1201"/>
      <c r="R71" s="1201" t="s">
        <v>1691</v>
      </c>
      <c r="S71" s="1201"/>
      <c r="T71" s="1201" t="s">
        <v>1692</v>
      </c>
      <c r="U71" s="1201"/>
      <c r="V71" s="1201" t="s">
        <v>1693</v>
      </c>
      <c r="W71" s="1201"/>
      <c r="X71" s="1201" t="s">
        <v>1694</v>
      </c>
      <c r="Y71" s="1201"/>
      <c r="Z71" s="1201" t="s">
        <v>1695</v>
      </c>
      <c r="AA71" s="1202"/>
      <c r="AB71" s="1189"/>
      <c r="AC71" s="1193"/>
      <c r="AD71" s="1193"/>
      <c r="AE71" s="1193"/>
      <c r="AF71" s="1190"/>
    </row>
    <row r="72" spans="1:34" s="1191" customFormat="1" ht="21">
      <c r="AA72" s="1192"/>
      <c r="AB72" s="1189"/>
      <c r="AC72" s="1193"/>
      <c r="AD72" s="1193"/>
      <c r="AE72" s="1193"/>
      <c r="AF72" s="1190"/>
    </row>
    <row r="73" spans="1:34" s="1191" customFormat="1" ht="21">
      <c r="AA73" s="1192"/>
      <c r="AB73" s="1189"/>
      <c r="AC73" s="1193"/>
      <c r="AD73" s="1193"/>
      <c r="AE73" s="1193"/>
      <c r="AF73" s="1190"/>
    </row>
    <row r="74" spans="1:34" s="1191" customFormat="1" ht="21">
      <c r="B74" s="1744"/>
      <c r="C74" s="1206">
        <v>276</v>
      </c>
      <c r="D74" s="1750"/>
      <c r="E74" s="1209">
        <v>266.20999999999998</v>
      </c>
      <c r="F74" s="1735"/>
      <c r="G74" s="1206">
        <v>251</v>
      </c>
      <c r="H74" s="1750"/>
      <c r="I74" s="1206">
        <v>242.51</v>
      </c>
      <c r="J74" s="1735"/>
      <c r="K74" s="1206">
        <v>317</v>
      </c>
      <c r="L74" s="1723"/>
      <c r="M74" s="1206">
        <v>348.39</v>
      </c>
      <c r="N74" s="1725"/>
      <c r="O74" s="1206">
        <v>339</v>
      </c>
      <c r="P74" s="1723"/>
      <c r="Q74" s="1206">
        <v>347.05</v>
      </c>
      <c r="R74" s="1735"/>
      <c r="S74" s="1206">
        <v>331</v>
      </c>
      <c r="T74" s="1744"/>
      <c r="U74" s="1206">
        <v>339.85</v>
      </c>
      <c r="V74" s="1746" t="s">
        <v>42</v>
      </c>
      <c r="W74" s="1206">
        <v>366</v>
      </c>
      <c r="X74" s="1744"/>
      <c r="Y74" s="1206">
        <v>328</v>
      </c>
      <c r="Z74" s="1748"/>
      <c r="AA74" s="1203">
        <v>305</v>
      </c>
      <c r="AB74" s="1193">
        <f>SUM(C74:AA74)</f>
        <v>4057.01</v>
      </c>
      <c r="AC74" s="1193">
        <v>10</v>
      </c>
      <c r="AD74" s="1193">
        <v>10</v>
      </c>
      <c r="AE74" s="1193">
        <v>10</v>
      </c>
      <c r="AF74" s="1194">
        <v>0</v>
      </c>
      <c r="AG74" s="1191">
        <v>13</v>
      </c>
      <c r="AH74" s="1191">
        <f>AH67+AG74</f>
        <v>103</v>
      </c>
    </row>
    <row r="75" spans="1:34" s="1191" customFormat="1" ht="21">
      <c r="B75" s="1745"/>
      <c r="D75" s="1751"/>
      <c r="F75" s="1736"/>
      <c r="H75" s="1751"/>
      <c r="J75" s="1736"/>
      <c r="L75" s="1731"/>
      <c r="N75" s="1726"/>
      <c r="P75" s="1731"/>
      <c r="R75" s="1736"/>
      <c r="T75" s="1745"/>
      <c r="V75" s="1747"/>
      <c r="X75" s="1745"/>
      <c r="Z75" s="1749"/>
      <c r="AA75" s="1192"/>
      <c r="AB75" s="1189"/>
      <c r="AC75" s="1189"/>
      <c r="AD75" s="1189"/>
      <c r="AE75" s="1189"/>
      <c r="AF75" s="1190"/>
    </row>
    <row r="76" spans="1:34" s="1191" customFormat="1" ht="21">
      <c r="B76" s="1191" t="s">
        <v>48</v>
      </c>
      <c r="D76" s="1191" t="s">
        <v>34</v>
      </c>
      <c r="F76" s="1191" t="s">
        <v>1181</v>
      </c>
      <c r="H76" s="1191" t="s">
        <v>32</v>
      </c>
      <c r="J76" s="1191" t="s">
        <v>53</v>
      </c>
      <c r="L76" s="1191" t="s">
        <v>34</v>
      </c>
      <c r="N76" s="1191" t="s">
        <v>43</v>
      </c>
      <c r="P76" s="1191" t="s">
        <v>48</v>
      </c>
      <c r="R76" s="1191" t="s">
        <v>53</v>
      </c>
      <c r="T76" s="1191" t="s">
        <v>32</v>
      </c>
      <c r="V76" s="1191" t="s">
        <v>1181</v>
      </c>
      <c r="W76" s="1210"/>
      <c r="X76" s="1210" t="s">
        <v>32</v>
      </c>
      <c r="Z76" s="1191" t="s">
        <v>32</v>
      </c>
      <c r="AA76" s="1192"/>
      <c r="AB76" s="1189"/>
      <c r="AC76" s="1193"/>
      <c r="AD76" s="1193"/>
      <c r="AE76" s="1193"/>
      <c r="AF76" s="1190"/>
    </row>
    <row r="77" spans="1:34" s="1191" customFormat="1" ht="21">
      <c r="A77" s="1195"/>
      <c r="B77" s="1195"/>
      <c r="C77" s="1195"/>
      <c r="D77" s="1195"/>
      <c r="E77" s="1195"/>
      <c r="F77" s="1195"/>
      <c r="G77" s="1195"/>
      <c r="H77" s="1211"/>
      <c r="I77" s="1195"/>
      <c r="J77" s="1195"/>
      <c r="K77" s="1195"/>
      <c r="L77" s="1200" t="s">
        <v>977</v>
      </c>
      <c r="M77" s="1195"/>
      <c r="N77" s="1200" t="s">
        <v>977</v>
      </c>
      <c r="O77" s="1195"/>
      <c r="P77" s="1200" t="s">
        <v>977</v>
      </c>
      <c r="Q77" s="1195"/>
      <c r="R77" s="1195"/>
      <c r="S77" s="1195"/>
      <c r="T77" s="1208" t="s">
        <v>1002</v>
      </c>
      <c r="U77" s="1195"/>
      <c r="V77" s="1195"/>
      <c r="W77" s="1195"/>
      <c r="X77" s="1208"/>
      <c r="Y77" s="1195"/>
      <c r="Z77" s="1208"/>
      <c r="AA77" s="1197"/>
      <c r="AB77" s="1189"/>
      <c r="AC77" s="1193"/>
      <c r="AD77" s="1193"/>
      <c r="AE77" s="1193"/>
      <c r="AF77" s="1190"/>
    </row>
    <row r="78" spans="1:34" s="1191" customFormat="1" ht="21">
      <c r="A78" s="1201"/>
      <c r="B78" s="1201" t="s">
        <v>1696</v>
      </c>
      <c r="C78" s="1201"/>
      <c r="D78" s="1201" t="s">
        <v>1697</v>
      </c>
      <c r="E78" s="1201"/>
      <c r="F78" s="1201" t="s">
        <v>1698</v>
      </c>
      <c r="G78" s="1201"/>
      <c r="H78" s="1201" t="s">
        <v>1699</v>
      </c>
      <c r="I78" s="1201"/>
      <c r="J78" s="1201" t="s">
        <v>1700</v>
      </c>
      <c r="K78" s="1201"/>
      <c r="L78" s="1201" t="s">
        <v>1701</v>
      </c>
      <c r="M78" s="1201" t="s">
        <v>14</v>
      </c>
      <c r="N78" s="1201" t="s">
        <v>1702</v>
      </c>
      <c r="O78" s="1201"/>
      <c r="P78" s="1201" t="s">
        <v>1703</v>
      </c>
      <c r="Q78" s="1201"/>
      <c r="R78" s="1201" t="s">
        <v>1704</v>
      </c>
      <c r="S78" s="1201"/>
      <c r="T78" s="1201" t="s">
        <v>1705</v>
      </c>
      <c r="U78" s="1201"/>
      <c r="V78" s="1201" t="s">
        <v>1706</v>
      </c>
      <c r="W78" s="1201"/>
      <c r="X78" s="1201" t="s">
        <v>1707</v>
      </c>
      <c r="Y78" s="1201"/>
      <c r="Z78" s="1201" t="s">
        <v>1708</v>
      </c>
      <c r="AA78" s="1202"/>
      <c r="AB78" s="1189"/>
      <c r="AC78" s="1193"/>
      <c r="AD78" s="1193"/>
      <c r="AE78" s="1193"/>
      <c r="AF78" s="1190"/>
    </row>
    <row r="79" spans="1:34" s="1191" customFormat="1" ht="21">
      <c r="AA79" s="1192"/>
      <c r="AB79" s="1189"/>
      <c r="AC79" s="1193"/>
      <c r="AD79" s="1193"/>
      <c r="AE79" s="1193"/>
      <c r="AF79" s="1190"/>
    </row>
    <row r="80" spans="1:34" s="1191" customFormat="1" ht="21">
      <c r="AA80" s="1192"/>
      <c r="AB80" s="1189"/>
      <c r="AC80" s="1193"/>
      <c r="AD80" s="1193"/>
      <c r="AE80" s="1193"/>
      <c r="AF80" s="1190"/>
    </row>
    <row r="81" spans="1:34" s="1191" customFormat="1" ht="21">
      <c r="B81" s="1750"/>
      <c r="C81" s="1206">
        <v>339</v>
      </c>
      <c r="D81" s="1744"/>
      <c r="E81" s="1206">
        <v>321</v>
      </c>
      <c r="F81" s="1744"/>
      <c r="G81" s="1206">
        <v>351.07</v>
      </c>
      <c r="H81" s="1735"/>
      <c r="I81" s="1206">
        <v>271.07</v>
      </c>
      <c r="J81" s="1725"/>
      <c r="K81" s="1206">
        <v>134.91999999999999</v>
      </c>
      <c r="L81" s="1725"/>
      <c r="M81" s="1206">
        <v>209.03</v>
      </c>
      <c r="N81" s="1725"/>
      <c r="O81" s="1206">
        <v>165</v>
      </c>
      <c r="P81" s="1725"/>
      <c r="Q81" s="1206">
        <v>322</v>
      </c>
      <c r="R81" s="1723"/>
      <c r="S81" s="1206">
        <v>223</v>
      </c>
      <c r="T81" s="1723"/>
      <c r="U81" s="1206">
        <v>360</v>
      </c>
      <c r="V81" s="1723"/>
      <c r="W81" s="1206">
        <v>296</v>
      </c>
      <c r="X81" s="1723"/>
      <c r="Y81" s="1206">
        <v>346</v>
      </c>
      <c r="Z81" s="1725"/>
      <c r="AA81" s="1203">
        <v>207.09</v>
      </c>
      <c r="AB81" s="1193">
        <f>SUM(C81:AA81)</f>
        <v>3545.1800000000003</v>
      </c>
      <c r="AC81" s="1193">
        <v>4</v>
      </c>
      <c r="AD81" s="1193">
        <v>4</v>
      </c>
      <c r="AE81" s="1193">
        <v>4</v>
      </c>
      <c r="AF81" s="1194">
        <v>0</v>
      </c>
      <c r="AG81" s="1191">
        <v>13</v>
      </c>
      <c r="AH81" s="1191">
        <f>AH74+AG81</f>
        <v>116</v>
      </c>
    </row>
    <row r="82" spans="1:34" s="1191" customFormat="1" ht="15.75" customHeight="1">
      <c r="B82" s="1751"/>
      <c r="D82" s="1745"/>
      <c r="F82" s="1745"/>
      <c r="H82" s="1736"/>
      <c r="J82" s="1726"/>
      <c r="L82" s="1726"/>
      <c r="N82" s="1726"/>
      <c r="O82" s="1752" t="s">
        <v>1718</v>
      </c>
      <c r="P82" s="1726"/>
      <c r="R82" s="1731"/>
      <c r="T82" s="1731"/>
      <c r="V82" s="1731"/>
      <c r="X82" s="1731"/>
      <c r="Z82" s="1726"/>
      <c r="AA82" s="1192"/>
      <c r="AB82" s="1189"/>
      <c r="AC82" s="1189"/>
      <c r="AD82" s="1189"/>
      <c r="AE82" s="1189"/>
      <c r="AF82" s="1190"/>
    </row>
    <row r="83" spans="1:34" s="1191" customFormat="1" ht="21">
      <c r="B83" s="1191" t="s">
        <v>48</v>
      </c>
      <c r="D83" s="1191" t="s">
        <v>48</v>
      </c>
      <c r="F83" s="1191" t="s">
        <v>34</v>
      </c>
      <c r="H83" s="1191" t="s">
        <v>1175</v>
      </c>
      <c r="J83" s="1191" t="s">
        <v>50</v>
      </c>
      <c r="L83" s="1191" t="s">
        <v>45</v>
      </c>
      <c r="N83" s="1191" t="s">
        <v>1426</v>
      </c>
      <c r="O83" s="1753"/>
      <c r="P83" s="1191" t="s">
        <v>1426</v>
      </c>
      <c r="R83" s="1191" t="s">
        <v>49</v>
      </c>
      <c r="T83" s="1191" t="s">
        <v>32</v>
      </c>
      <c r="V83" s="1191" t="s">
        <v>32</v>
      </c>
      <c r="X83" s="1191" t="s">
        <v>48</v>
      </c>
      <c r="Z83" s="1191" t="s">
        <v>45</v>
      </c>
      <c r="AA83" s="1192" t="s">
        <v>2036</v>
      </c>
      <c r="AB83" s="1189"/>
      <c r="AC83" s="1193"/>
      <c r="AD83" s="1193"/>
      <c r="AE83" s="1193"/>
      <c r="AF83" s="1190"/>
    </row>
    <row r="84" spans="1:34" s="1191" customFormat="1" ht="31.5" customHeight="1">
      <c r="A84" s="1195"/>
      <c r="B84" s="1195"/>
      <c r="C84" s="1195"/>
      <c r="D84" s="1208" t="s">
        <v>1002</v>
      </c>
      <c r="E84" s="1195"/>
      <c r="F84" s="1208" t="s">
        <v>1002</v>
      </c>
      <c r="G84" s="1195"/>
      <c r="H84" s="1195"/>
      <c r="I84" s="1195"/>
      <c r="J84" s="1208" t="s">
        <v>1002</v>
      </c>
      <c r="K84" s="1195"/>
      <c r="L84" s="1208" t="s">
        <v>1002</v>
      </c>
      <c r="M84" s="1195"/>
      <c r="N84" s="1195"/>
      <c r="O84" s="1753"/>
      <c r="P84" s="1208" t="s">
        <v>1002</v>
      </c>
      <c r="Q84" s="1195"/>
      <c r="R84" s="1195"/>
      <c r="S84" s="1195"/>
      <c r="T84" s="1195"/>
      <c r="U84" s="1195"/>
      <c r="V84" s="1208" t="s">
        <v>1002</v>
      </c>
      <c r="W84" s="1195"/>
      <c r="X84" s="1212" t="s">
        <v>951</v>
      </c>
      <c r="Y84" s="1195"/>
      <c r="Z84" s="1212" t="s">
        <v>951</v>
      </c>
      <c r="AA84" s="1197"/>
      <c r="AB84" s="1189"/>
      <c r="AC84" s="1193"/>
      <c r="AD84" s="1193"/>
      <c r="AE84" s="1193"/>
      <c r="AF84" s="1190"/>
    </row>
    <row r="85" spans="1:34" s="1191" customFormat="1" ht="21">
      <c r="A85" s="1201"/>
      <c r="B85" s="1201" t="s">
        <v>1709</v>
      </c>
      <c r="C85" s="1201"/>
      <c r="D85" s="1201" t="s">
        <v>1710</v>
      </c>
      <c r="E85" s="1201"/>
      <c r="F85" s="1201" t="s">
        <v>1711</v>
      </c>
      <c r="G85" s="1201"/>
      <c r="H85" s="1201" t="s">
        <v>1232</v>
      </c>
      <c r="I85" s="1201"/>
      <c r="J85" s="1201"/>
      <c r="K85" s="1201"/>
      <c r="L85" s="1201"/>
      <c r="M85" s="1201"/>
      <c r="N85" s="1201"/>
      <c r="O85" s="1753"/>
      <c r="P85" s="1201"/>
      <c r="Q85" s="1201"/>
      <c r="R85" s="1201"/>
      <c r="S85" s="1201"/>
      <c r="T85" s="1201"/>
      <c r="U85" s="1201"/>
      <c r="V85" s="1201"/>
      <c r="W85" s="1201"/>
      <c r="X85" s="1201"/>
      <c r="Y85" s="1201"/>
      <c r="Z85" s="1201"/>
      <c r="AA85" s="1202"/>
      <c r="AB85" s="1213"/>
      <c r="AC85" s="1193"/>
      <c r="AD85" s="1193"/>
      <c r="AE85" s="1193"/>
      <c r="AF85" s="1190"/>
    </row>
    <row r="86" spans="1:34" s="1191" customFormat="1" ht="21">
      <c r="O86" s="1753"/>
      <c r="AA86" s="1192"/>
      <c r="AB86" s="1213"/>
      <c r="AC86" s="1193"/>
      <c r="AD86" s="1193"/>
      <c r="AE86" s="1193"/>
      <c r="AF86" s="1190"/>
    </row>
    <row r="87" spans="1:34" s="1191" customFormat="1" ht="21">
      <c r="AA87" s="1192"/>
      <c r="AB87" s="1213"/>
      <c r="AC87" s="1193"/>
      <c r="AD87" s="1193"/>
      <c r="AE87" s="1193"/>
      <c r="AF87" s="1190"/>
    </row>
    <row r="88" spans="1:34" s="1191" customFormat="1" ht="21">
      <c r="B88" s="1725"/>
      <c r="C88" s="1209">
        <v>383.88</v>
      </c>
      <c r="D88" s="1735"/>
      <c r="E88" s="1206">
        <v>306</v>
      </c>
      <c r="F88" s="1744"/>
      <c r="G88" s="1206">
        <v>287</v>
      </c>
      <c r="H88" s="1735"/>
      <c r="AA88" s="1192"/>
      <c r="AB88" s="1214">
        <f>SUM(C88:AA88)</f>
        <v>976.88</v>
      </c>
      <c r="AC88" s="1193">
        <v>3</v>
      </c>
      <c r="AD88" s="1193">
        <v>0</v>
      </c>
      <c r="AE88" s="1193">
        <v>3</v>
      </c>
      <c r="AF88" s="1194">
        <v>0</v>
      </c>
      <c r="AG88" s="1191">
        <v>4</v>
      </c>
      <c r="AH88" s="1191">
        <f>AH81+AG88</f>
        <v>120</v>
      </c>
    </row>
    <row r="89" spans="1:34" s="1191" customFormat="1" ht="21">
      <c r="B89" s="1726"/>
      <c r="D89" s="1736"/>
      <c r="F89" s="1745"/>
      <c r="H89" s="1736"/>
      <c r="AA89" s="1192"/>
      <c r="AB89" s="1189"/>
      <c r="AC89" s="1189"/>
      <c r="AD89" s="1189"/>
      <c r="AE89" s="1189"/>
      <c r="AF89" s="1190"/>
    </row>
    <row r="90" spans="1:34" s="1191" customFormat="1" ht="21">
      <c r="B90" s="1191" t="s">
        <v>50</v>
      </c>
      <c r="D90" s="1191" t="s">
        <v>1175</v>
      </c>
      <c r="F90" s="1191" t="s">
        <v>48</v>
      </c>
      <c r="H90" s="1191" t="s">
        <v>1181</v>
      </c>
      <c r="AA90" s="1192"/>
      <c r="AB90" s="1189"/>
      <c r="AC90" s="1193"/>
      <c r="AD90" s="1193"/>
      <c r="AE90" s="1193"/>
      <c r="AF90" s="1190"/>
    </row>
    <row r="91" spans="1:34" s="1191" customFormat="1" ht="21">
      <c r="A91" s="1195"/>
      <c r="B91" s="1212" t="s">
        <v>951</v>
      </c>
      <c r="C91" s="1195"/>
      <c r="D91" s="1195"/>
      <c r="E91" s="1195"/>
      <c r="F91" s="1195"/>
      <c r="G91" s="1195"/>
      <c r="H91" s="1195"/>
      <c r="I91" s="1195"/>
      <c r="J91" s="1195"/>
      <c r="K91" s="1195"/>
      <c r="L91" s="1195"/>
      <c r="M91" s="1195"/>
      <c r="N91" s="1195"/>
      <c r="O91" s="1195"/>
      <c r="P91" s="1195"/>
      <c r="Q91" s="1195"/>
      <c r="R91" s="1195"/>
      <c r="S91" s="1195"/>
      <c r="T91" s="1195"/>
      <c r="U91" s="1195"/>
      <c r="V91" s="1195"/>
      <c r="W91" s="1195"/>
      <c r="X91" s="1208"/>
      <c r="Y91" s="1195"/>
      <c r="Z91" s="1208"/>
      <c r="AA91" s="1197"/>
      <c r="AB91" s="1189"/>
      <c r="AC91" s="1193"/>
      <c r="AD91" s="1193"/>
      <c r="AE91" s="1193"/>
      <c r="AF91" s="1190"/>
    </row>
    <row r="92" spans="1:34" s="1191" customFormat="1" ht="21">
      <c r="A92" s="1201"/>
      <c r="B92" s="1201" t="s">
        <v>1232</v>
      </c>
      <c r="C92" s="1201"/>
      <c r="D92" s="1201" t="s">
        <v>1233</v>
      </c>
      <c r="E92" s="1201"/>
      <c r="F92" s="1201" t="s">
        <v>1234</v>
      </c>
      <c r="G92" s="1201"/>
      <c r="H92" s="1201" t="s">
        <v>1235</v>
      </c>
      <c r="I92" s="1201"/>
      <c r="J92" s="1201" t="s">
        <v>1236</v>
      </c>
      <c r="K92" s="1201"/>
      <c r="L92" s="1201" t="s">
        <v>1237</v>
      </c>
      <c r="M92" s="1201"/>
      <c r="N92" s="1201" t="s">
        <v>1238</v>
      </c>
      <c r="O92" s="1201"/>
      <c r="P92" s="1201" t="s">
        <v>1239</v>
      </c>
      <c r="Q92" s="1201"/>
      <c r="R92" s="1201" t="s">
        <v>1240</v>
      </c>
      <c r="S92" s="1201"/>
      <c r="T92" s="1201" t="s">
        <v>1241</v>
      </c>
      <c r="U92" s="1201"/>
      <c r="V92" s="1201" t="s">
        <v>1242</v>
      </c>
      <c r="W92" s="1201"/>
      <c r="X92" s="1201" t="s">
        <v>1243</v>
      </c>
      <c r="Y92" s="1201"/>
      <c r="Z92" s="1201" t="s">
        <v>1244</v>
      </c>
      <c r="AA92" s="1202"/>
      <c r="AB92" s="1189"/>
      <c r="AC92" s="1193"/>
      <c r="AD92" s="1193"/>
      <c r="AE92" s="1193"/>
      <c r="AF92" s="1190"/>
    </row>
    <row r="93" spans="1:34" s="1191" customFormat="1" ht="21">
      <c r="AA93" s="1192"/>
      <c r="AB93" s="1189"/>
      <c r="AC93" s="1193"/>
      <c r="AD93" s="1193"/>
      <c r="AE93" s="1193"/>
      <c r="AF93" s="1190"/>
    </row>
    <row r="94" spans="1:34" s="1191" customFormat="1" ht="21">
      <c r="AA94" s="1192"/>
      <c r="AB94" s="1189"/>
      <c r="AC94" s="1193"/>
      <c r="AD94" s="1193"/>
      <c r="AE94" s="1193"/>
      <c r="AF94" s="1190"/>
    </row>
    <row r="95" spans="1:34" s="1191" customFormat="1" ht="21">
      <c r="B95" s="1735"/>
      <c r="C95" s="1206">
        <v>356</v>
      </c>
      <c r="D95" s="1748"/>
      <c r="E95" s="1206">
        <v>311</v>
      </c>
      <c r="F95" s="1748"/>
      <c r="G95" s="1206">
        <v>324.56</v>
      </c>
      <c r="H95" s="1735"/>
      <c r="I95" s="1206">
        <v>356</v>
      </c>
      <c r="J95" s="1748"/>
      <c r="K95" s="1206">
        <v>340</v>
      </c>
      <c r="L95" s="1748"/>
      <c r="M95" s="1206">
        <v>357.17</v>
      </c>
      <c r="N95" s="1759" t="s">
        <v>1651</v>
      </c>
      <c r="O95" s="1206">
        <v>262.52</v>
      </c>
      <c r="P95" s="1759" t="s">
        <v>1652</v>
      </c>
      <c r="Q95" s="1206">
        <v>251</v>
      </c>
      <c r="R95" s="1737" t="s">
        <v>1650</v>
      </c>
      <c r="S95" s="1206">
        <v>222</v>
      </c>
      <c r="T95" s="1737" t="s">
        <v>1647</v>
      </c>
      <c r="U95" s="1206">
        <v>228.52</v>
      </c>
      <c r="V95" s="1735"/>
      <c r="W95" s="1206">
        <v>333</v>
      </c>
      <c r="X95" s="1761"/>
      <c r="Y95" s="1206">
        <v>363.3</v>
      </c>
      <c r="Z95" s="1744"/>
      <c r="AA95" s="1203">
        <v>327.2</v>
      </c>
      <c r="AB95" s="1193">
        <f>SUM(C95:AA95)</f>
        <v>4032.27</v>
      </c>
      <c r="AC95" s="1193">
        <v>11</v>
      </c>
      <c r="AD95" s="1193">
        <v>8</v>
      </c>
      <c r="AE95" s="1193">
        <v>7</v>
      </c>
      <c r="AF95" s="1194">
        <v>0</v>
      </c>
      <c r="AG95" s="1191">
        <v>12</v>
      </c>
      <c r="AH95" s="1191">
        <f>AH88+AG95</f>
        <v>132</v>
      </c>
    </row>
    <row r="96" spans="1:34" s="1191" customFormat="1" ht="21">
      <c r="B96" s="1736"/>
      <c r="D96" s="1749"/>
      <c r="F96" s="1749"/>
      <c r="H96" s="1736"/>
      <c r="J96" s="1749"/>
      <c r="L96" s="1749"/>
      <c r="N96" s="1760"/>
      <c r="P96" s="1760"/>
      <c r="R96" s="1738"/>
      <c r="T96" s="1738"/>
      <c r="V96" s="1736"/>
      <c r="X96" s="1762"/>
      <c r="Z96" s="1745"/>
      <c r="AA96" s="1192"/>
      <c r="AB96" s="1189"/>
      <c r="AC96" s="1189"/>
      <c r="AD96" s="1189"/>
      <c r="AE96" s="1189"/>
      <c r="AF96" s="1190"/>
    </row>
    <row r="97" spans="1:34" s="1191" customFormat="1" ht="21">
      <c r="B97" s="1191" t="s">
        <v>1181</v>
      </c>
      <c r="D97" s="1191" t="s">
        <v>32</v>
      </c>
      <c r="F97" s="1191" t="s">
        <v>32</v>
      </c>
      <c r="H97" s="1191" t="s">
        <v>50</v>
      </c>
      <c r="J97" s="1191" t="s">
        <v>34</v>
      </c>
      <c r="L97" s="1191" t="s">
        <v>34</v>
      </c>
      <c r="N97" s="1191" t="s">
        <v>50</v>
      </c>
      <c r="P97" s="1191" t="s">
        <v>50</v>
      </c>
      <c r="R97" s="1191" t="s">
        <v>32</v>
      </c>
      <c r="T97" s="1191" t="s">
        <v>32</v>
      </c>
      <c r="V97" s="1191" t="s">
        <v>43</v>
      </c>
      <c r="X97" s="1191" t="s">
        <v>48</v>
      </c>
      <c r="Z97" s="1191" t="s">
        <v>48</v>
      </c>
      <c r="AA97" s="1192"/>
      <c r="AB97" s="1189"/>
      <c r="AC97" s="1193"/>
      <c r="AD97" s="1193"/>
      <c r="AE97" s="1193"/>
      <c r="AF97" s="1190"/>
    </row>
    <row r="98" spans="1:34" s="1191" customFormat="1" ht="21">
      <c r="A98" s="1195"/>
      <c r="B98" s="1195"/>
      <c r="C98" s="1195"/>
      <c r="D98" s="1195"/>
      <c r="E98" s="1195"/>
      <c r="F98" s="1195"/>
      <c r="G98" s="1195"/>
      <c r="H98" s="1195"/>
      <c r="I98" s="1195"/>
      <c r="J98" s="1195"/>
      <c r="K98" s="1195"/>
      <c r="L98" s="1195"/>
      <c r="M98" s="1195"/>
      <c r="N98" s="1195"/>
      <c r="O98" s="1195"/>
      <c r="P98" s="1195"/>
      <c r="Q98" s="1195"/>
      <c r="R98" s="1195"/>
      <c r="S98" s="1195"/>
      <c r="T98" s="1195"/>
      <c r="U98" s="1195"/>
      <c r="V98" s="1195"/>
      <c r="W98" s="1195"/>
      <c r="X98" s="1208" t="s">
        <v>1002</v>
      </c>
      <c r="Y98" s="1195"/>
      <c r="Z98" s="1208" t="s">
        <v>1002</v>
      </c>
      <c r="AA98" s="1197"/>
      <c r="AB98" s="1189"/>
      <c r="AC98" s="1193"/>
      <c r="AD98" s="1193"/>
      <c r="AE98" s="1193"/>
      <c r="AF98" s="1190"/>
    </row>
    <row r="99" spans="1:34" s="1191" customFormat="1" ht="21">
      <c r="A99" s="1201"/>
      <c r="B99" s="1201" t="s">
        <v>1245</v>
      </c>
      <c r="C99" s="1201"/>
      <c r="D99" s="1201" t="s">
        <v>1246</v>
      </c>
      <c r="E99" s="1201"/>
      <c r="F99" s="1201" t="s">
        <v>1247</v>
      </c>
      <c r="G99" s="1201"/>
      <c r="H99" s="1201" t="s">
        <v>1248</v>
      </c>
      <c r="I99" s="1201"/>
      <c r="J99" s="1201" t="s">
        <v>1249</v>
      </c>
      <c r="K99" s="1201"/>
      <c r="L99" s="1201" t="s">
        <v>1250</v>
      </c>
      <c r="M99" s="1201"/>
      <c r="N99" s="1201" t="s">
        <v>1251</v>
      </c>
      <c r="O99" s="1201"/>
      <c r="P99" s="1201" t="s">
        <v>1252</v>
      </c>
      <c r="Q99" s="1201"/>
      <c r="R99" s="1201" t="s">
        <v>1253</v>
      </c>
      <c r="S99" s="1201"/>
      <c r="T99" s="1201" t="s">
        <v>1254</v>
      </c>
      <c r="U99" s="1201"/>
      <c r="V99" s="1201" t="s">
        <v>1255</v>
      </c>
      <c r="W99" s="1201"/>
      <c r="X99" s="1201" t="s">
        <v>1256</v>
      </c>
      <c r="Y99" s="1201"/>
      <c r="Z99" s="1201" t="s">
        <v>1257</v>
      </c>
      <c r="AA99" s="1202"/>
      <c r="AB99" s="1189"/>
      <c r="AC99" s="1193"/>
      <c r="AD99" s="1193"/>
      <c r="AE99" s="1193"/>
      <c r="AF99" s="1190"/>
    </row>
    <row r="100" spans="1:34" s="1191" customFormat="1" ht="21">
      <c r="AA100" s="1192"/>
      <c r="AB100" s="1189"/>
      <c r="AC100" s="1193"/>
      <c r="AD100" s="1193"/>
      <c r="AE100" s="1193"/>
      <c r="AF100" s="1190"/>
    </row>
    <row r="101" spans="1:34" s="1191" customFormat="1" ht="21">
      <c r="AA101" s="1192"/>
      <c r="AB101" s="1189"/>
      <c r="AC101" s="1189"/>
      <c r="AD101" s="1189"/>
      <c r="AE101" s="1189"/>
      <c r="AF101" s="1190"/>
    </row>
    <row r="102" spans="1:34" s="1191" customFormat="1" ht="21">
      <c r="B102" s="1757"/>
      <c r="C102" s="1196">
        <v>90</v>
      </c>
      <c r="D102" s="1723"/>
      <c r="E102" s="1196">
        <v>90</v>
      </c>
      <c r="F102" s="1723"/>
      <c r="G102" s="1196">
        <v>97</v>
      </c>
      <c r="H102" s="1735"/>
      <c r="I102" s="1196">
        <v>266.75</v>
      </c>
      <c r="J102" s="1735"/>
      <c r="K102" s="1196">
        <v>290</v>
      </c>
      <c r="L102" s="1744"/>
      <c r="M102" s="1196">
        <v>338</v>
      </c>
      <c r="N102" s="1723"/>
      <c r="O102" s="1196">
        <v>344</v>
      </c>
      <c r="P102" s="1723"/>
      <c r="Q102" s="1196">
        <v>303.12</v>
      </c>
      <c r="R102" s="1725"/>
      <c r="S102" s="1196">
        <v>90.48</v>
      </c>
      <c r="T102" s="1723"/>
      <c r="U102" s="1196">
        <v>71.959999999999994</v>
      </c>
      <c r="V102" s="1723"/>
      <c r="W102" s="1196">
        <v>124.51</v>
      </c>
      <c r="X102" s="1725"/>
      <c r="Y102" s="1196">
        <v>92.34</v>
      </c>
      <c r="Z102" s="1725"/>
      <c r="AA102" s="1215">
        <v>244.97</v>
      </c>
      <c r="AB102" s="1193">
        <f>SUM(C102:AA102)</f>
        <v>2443.13</v>
      </c>
      <c r="AC102" s="1193">
        <v>4</v>
      </c>
      <c r="AD102" s="1193">
        <v>2</v>
      </c>
      <c r="AE102" s="1193">
        <v>0</v>
      </c>
      <c r="AF102" s="1194">
        <v>0</v>
      </c>
      <c r="AG102" s="1191">
        <v>13</v>
      </c>
      <c r="AH102" s="1191">
        <f>AH95+AG102</f>
        <v>145</v>
      </c>
    </row>
    <row r="103" spans="1:34" s="1191" customFormat="1" ht="21">
      <c r="B103" s="1758"/>
      <c r="D103" s="1731"/>
      <c r="E103" s="1754" t="s">
        <v>1720</v>
      </c>
      <c r="F103" s="1731"/>
      <c r="H103" s="1736"/>
      <c r="J103" s="1736"/>
      <c r="L103" s="1745"/>
      <c r="N103" s="1731"/>
      <c r="P103" s="1731"/>
      <c r="R103" s="1726"/>
      <c r="T103" s="1731"/>
      <c r="U103" s="1754" t="s">
        <v>1719</v>
      </c>
      <c r="V103" s="1731"/>
      <c r="X103" s="1726"/>
      <c r="Z103" s="1726"/>
      <c r="AA103" s="1216" t="s">
        <v>1721</v>
      </c>
      <c r="AB103" s="1193"/>
      <c r="AC103" s="1193"/>
      <c r="AD103" s="1193"/>
      <c r="AE103" s="1193"/>
      <c r="AF103" s="1194"/>
    </row>
    <row r="104" spans="1:34" s="1191" customFormat="1" ht="21">
      <c r="B104" s="1191" t="s">
        <v>50</v>
      </c>
      <c r="D104" s="1739" t="s">
        <v>1258</v>
      </c>
      <c r="E104" s="1755"/>
      <c r="F104" s="1739" t="s">
        <v>1258</v>
      </c>
      <c r="H104" s="1191" t="s">
        <v>50</v>
      </c>
      <c r="J104" s="1191" t="s">
        <v>1175</v>
      </c>
      <c r="L104" s="1191" t="s">
        <v>34</v>
      </c>
      <c r="N104" s="1191" t="s">
        <v>32</v>
      </c>
      <c r="P104" s="1191" t="s">
        <v>49</v>
      </c>
      <c r="R104" s="1191" t="s">
        <v>1181</v>
      </c>
      <c r="T104" s="1739" t="s">
        <v>1258</v>
      </c>
      <c r="U104" s="1755"/>
      <c r="V104" s="1739" t="s">
        <v>1258</v>
      </c>
      <c r="X104" s="1191" t="s">
        <v>45</v>
      </c>
      <c r="Z104" s="1191" t="s">
        <v>1426</v>
      </c>
      <c r="AA104" s="1192"/>
      <c r="AB104" s="1189"/>
      <c r="AC104" s="1193"/>
      <c r="AD104" s="1193"/>
      <c r="AE104" s="1193"/>
      <c r="AF104" s="1190"/>
    </row>
    <row r="105" spans="1:34" s="1191" customFormat="1" ht="36" customHeight="1">
      <c r="D105" s="1740"/>
      <c r="E105" s="1755"/>
      <c r="F105" s="1740"/>
      <c r="J105" s="1199" t="s">
        <v>1002</v>
      </c>
      <c r="L105" s="1199" t="s">
        <v>1002</v>
      </c>
      <c r="N105" s="1199" t="s">
        <v>1002</v>
      </c>
      <c r="P105" s="1199" t="s">
        <v>1002</v>
      </c>
      <c r="R105" s="1199" t="s">
        <v>1002</v>
      </c>
      <c r="T105" s="1740"/>
      <c r="U105" s="1755"/>
      <c r="V105" s="1740"/>
      <c r="X105" s="1212" t="s">
        <v>951</v>
      </c>
      <c r="Z105" s="1212" t="s">
        <v>951</v>
      </c>
      <c r="AA105" s="1192"/>
      <c r="AB105" s="1213"/>
      <c r="AC105" s="1193"/>
      <c r="AD105" s="1193"/>
      <c r="AE105" s="1193"/>
      <c r="AF105" s="1190"/>
    </row>
    <row r="106" spans="1:34" s="1191" customFormat="1" ht="21">
      <c r="E106" s="1756"/>
      <c r="J106" s="1199"/>
      <c r="L106" s="1199"/>
      <c r="N106" s="1199"/>
      <c r="P106" s="1199"/>
      <c r="R106" s="1199"/>
      <c r="U106" s="1756"/>
      <c r="AA106" s="1192"/>
      <c r="AB106" s="1189"/>
      <c r="AC106" s="1193"/>
      <c r="AD106" s="1193"/>
      <c r="AE106" s="1193"/>
      <c r="AF106" s="1190"/>
    </row>
    <row r="107" spans="1:34" s="1191" customFormat="1" ht="21">
      <c r="A107" s="1201"/>
      <c r="B107" s="1201" t="s">
        <v>1259</v>
      </c>
      <c r="C107" s="1201"/>
      <c r="D107" s="1201" t="s">
        <v>1260</v>
      </c>
      <c r="E107" s="1201"/>
      <c r="F107" s="1201" t="s">
        <v>1261</v>
      </c>
      <c r="G107" s="1201"/>
      <c r="H107" s="1201" t="s">
        <v>1262</v>
      </c>
      <c r="I107" s="1201"/>
      <c r="J107" s="1201" t="s">
        <v>1263</v>
      </c>
      <c r="K107" s="1201"/>
      <c r="L107" s="1201" t="s">
        <v>1264</v>
      </c>
      <c r="M107" s="1201"/>
      <c r="N107" s="1201" t="s">
        <v>1265</v>
      </c>
      <c r="O107" s="1201"/>
      <c r="P107" s="1201" t="s">
        <v>1266</v>
      </c>
      <c r="Q107" s="1201"/>
      <c r="R107" s="1201" t="s">
        <v>1267</v>
      </c>
      <c r="S107" s="1201"/>
      <c r="T107" s="1201" t="s">
        <v>1268</v>
      </c>
      <c r="U107" s="1201"/>
      <c r="V107" s="1201" t="s">
        <v>1269</v>
      </c>
      <c r="W107" s="1201"/>
      <c r="X107" s="1201" t="s">
        <v>1270</v>
      </c>
      <c r="Y107" s="1201"/>
      <c r="Z107" s="1201" t="s">
        <v>1271</v>
      </c>
      <c r="AA107" s="1202"/>
      <c r="AB107" s="1189"/>
      <c r="AC107" s="1189"/>
      <c r="AD107" s="1189"/>
      <c r="AE107" s="1189"/>
      <c r="AF107" s="1190"/>
    </row>
    <row r="108" spans="1:34" s="1191" customFormat="1" ht="21">
      <c r="AA108" s="1192"/>
      <c r="AB108" s="1189"/>
      <c r="AC108" s="1189"/>
      <c r="AD108" s="1189"/>
      <c r="AE108" s="1189"/>
      <c r="AF108" s="1190"/>
    </row>
    <row r="109" spans="1:34" s="1191" customFormat="1" ht="21">
      <c r="AA109" s="1192"/>
      <c r="AB109" s="1193"/>
      <c r="AC109" s="1193"/>
      <c r="AD109" s="1193"/>
      <c r="AE109" s="1193"/>
      <c r="AF109" s="1194"/>
    </row>
    <row r="110" spans="1:34" s="1191" customFormat="1" ht="21">
      <c r="B110" s="1763"/>
      <c r="C110" s="1217">
        <v>275</v>
      </c>
      <c r="D110" s="1723"/>
      <c r="E110" s="1217">
        <v>367</v>
      </c>
      <c r="F110" s="1723"/>
      <c r="G110" s="1217">
        <v>331</v>
      </c>
      <c r="H110" s="1723"/>
      <c r="I110" s="1217">
        <v>299.87</v>
      </c>
      <c r="J110" s="1725"/>
      <c r="K110" s="1217">
        <v>229</v>
      </c>
      <c r="L110" s="1723"/>
      <c r="M110" s="1217">
        <v>233.14</v>
      </c>
      <c r="N110" s="1735"/>
      <c r="O110" s="1217">
        <v>277</v>
      </c>
      <c r="P110" s="1761"/>
      <c r="Q110" s="1217">
        <v>303</v>
      </c>
      <c r="R110" s="1735"/>
      <c r="S110" s="1217">
        <v>286</v>
      </c>
      <c r="T110" s="1744"/>
      <c r="U110" s="1217">
        <v>346.18</v>
      </c>
      <c r="V110" s="1767"/>
      <c r="W110" s="1217">
        <v>325.29000000000002</v>
      </c>
      <c r="X110" s="1725"/>
      <c r="Y110" s="1217">
        <v>347.32</v>
      </c>
      <c r="Z110" s="1735"/>
      <c r="AA110" s="1215">
        <v>233.33</v>
      </c>
      <c r="AB110" s="1193">
        <f>SUM(C110:AA110)</f>
        <v>3853.1299999999997</v>
      </c>
      <c r="AC110" s="1193">
        <v>4</v>
      </c>
      <c r="AD110" s="1193">
        <v>2</v>
      </c>
      <c r="AE110" s="1193">
        <v>1</v>
      </c>
      <c r="AF110" s="1194">
        <v>0</v>
      </c>
      <c r="AG110" s="1191">
        <v>13</v>
      </c>
      <c r="AH110" s="1191">
        <f>AH102+AG110</f>
        <v>158</v>
      </c>
    </row>
    <row r="111" spans="1:34" s="1191" customFormat="1" ht="21">
      <c r="B111" s="1764"/>
      <c r="D111" s="1731"/>
      <c r="F111" s="1731"/>
      <c r="H111" s="1731"/>
      <c r="J111" s="1726"/>
      <c r="L111" s="1731"/>
      <c r="N111" s="1736"/>
      <c r="P111" s="1762"/>
      <c r="R111" s="1736"/>
      <c r="T111" s="1745"/>
      <c r="V111" s="1768"/>
      <c r="X111" s="1726"/>
      <c r="Z111" s="1736"/>
      <c r="AA111" s="1192"/>
      <c r="AB111" s="1189"/>
      <c r="AC111" s="1193"/>
      <c r="AD111" s="1193"/>
      <c r="AE111" s="1193"/>
      <c r="AF111" s="1190"/>
    </row>
    <row r="112" spans="1:34" s="1191" customFormat="1" ht="21">
      <c r="B112" s="1191" t="s">
        <v>1423</v>
      </c>
      <c r="D112" s="1191" t="s">
        <v>49</v>
      </c>
      <c r="F112" s="1191" t="s">
        <v>48</v>
      </c>
      <c r="H112" s="1191" t="s">
        <v>49</v>
      </c>
      <c r="J112" s="1191" t="s">
        <v>50</v>
      </c>
      <c r="L112" s="1191" t="s">
        <v>32</v>
      </c>
      <c r="N112" s="1191" t="s">
        <v>53</v>
      </c>
      <c r="P112" s="1191" t="s">
        <v>34</v>
      </c>
      <c r="R112" s="1191" t="s">
        <v>45</v>
      </c>
      <c r="T112" s="1191" t="s">
        <v>48</v>
      </c>
      <c r="V112" s="1191" t="s">
        <v>57</v>
      </c>
      <c r="X112" s="1191" t="s">
        <v>1423</v>
      </c>
      <c r="Z112" s="1191" t="s">
        <v>57</v>
      </c>
      <c r="AA112" s="1192"/>
      <c r="AB112" s="1189"/>
      <c r="AC112" s="1189"/>
      <c r="AD112" s="1189"/>
      <c r="AE112" s="1189"/>
      <c r="AF112" s="1190"/>
    </row>
    <row r="113" spans="1:34" s="1191" customFormat="1" ht="39">
      <c r="B113" s="1199" t="s">
        <v>952</v>
      </c>
      <c r="D113" s="1199" t="s">
        <v>1002</v>
      </c>
      <c r="F113" s="1199" t="s">
        <v>1002</v>
      </c>
      <c r="J113" s="1199"/>
      <c r="L113" s="1200" t="s">
        <v>977</v>
      </c>
      <c r="N113" s="1199"/>
      <c r="P113" s="1199"/>
      <c r="R113" s="1199"/>
      <c r="X113" s="1200" t="s">
        <v>977</v>
      </c>
      <c r="AA113" s="1192"/>
      <c r="AB113" s="1213"/>
      <c r="AC113" s="1193"/>
      <c r="AD113" s="1193"/>
      <c r="AE113" s="1193"/>
      <c r="AF113" s="1190"/>
    </row>
    <row r="114" spans="1:34" s="1191" customFormat="1" ht="21">
      <c r="A114" s="1195"/>
      <c r="B114" s="1212" t="s">
        <v>951</v>
      </c>
      <c r="C114" s="1195"/>
      <c r="D114" s="1212" t="s">
        <v>951</v>
      </c>
      <c r="E114" s="1195"/>
      <c r="F114" s="1195"/>
      <c r="G114" s="1195"/>
      <c r="H114" s="1195"/>
      <c r="I114" s="1195"/>
      <c r="J114" s="1195"/>
      <c r="K114" s="1195"/>
      <c r="L114" s="1195"/>
      <c r="M114" s="1195"/>
      <c r="N114" s="1195"/>
      <c r="O114" s="1195"/>
      <c r="P114" s="1195"/>
      <c r="Q114" s="1195"/>
      <c r="R114" s="1195"/>
      <c r="S114" s="1195"/>
      <c r="T114" s="1195"/>
      <c r="U114" s="1195"/>
      <c r="V114" s="1195"/>
      <c r="W114" s="1195"/>
      <c r="X114" s="1195"/>
      <c r="Y114" s="1195"/>
      <c r="Z114" s="1195"/>
      <c r="AA114" s="1197"/>
      <c r="AB114" s="1193"/>
      <c r="AC114" s="1193"/>
      <c r="AD114" s="1193"/>
      <c r="AE114" s="1193"/>
      <c r="AF114" s="1194"/>
    </row>
    <row r="115" spans="1:34" s="1191" customFormat="1" ht="21">
      <c r="A115" s="1201"/>
      <c r="B115" s="1201" t="s">
        <v>1272</v>
      </c>
      <c r="C115" s="1201"/>
      <c r="D115" s="1201" t="s">
        <v>1273</v>
      </c>
      <c r="E115" s="1201"/>
      <c r="F115" s="1201" t="s">
        <v>1274</v>
      </c>
      <c r="G115" s="1201"/>
      <c r="H115" s="1201" t="s">
        <v>1275</v>
      </c>
      <c r="I115" s="1201"/>
      <c r="J115" s="1201" t="s">
        <v>1276</v>
      </c>
      <c r="K115" s="1201"/>
      <c r="L115" s="1201" t="s">
        <v>1277</v>
      </c>
      <c r="M115" s="1201"/>
      <c r="N115" s="1201" t="s">
        <v>1278</v>
      </c>
      <c r="O115" s="1201"/>
      <c r="P115" s="1201" t="s">
        <v>1279</v>
      </c>
      <c r="Q115" s="1201"/>
      <c r="R115" s="1201" t="s">
        <v>1280</v>
      </c>
      <c r="S115" s="1201"/>
      <c r="T115" s="1201" t="s">
        <v>1281</v>
      </c>
      <c r="U115" s="1201"/>
      <c r="V115" s="1201" t="s">
        <v>1282</v>
      </c>
      <c r="W115" s="1201"/>
      <c r="X115" s="1201" t="s">
        <v>1195</v>
      </c>
      <c r="Y115" s="1201"/>
      <c r="Z115" s="1201" t="s">
        <v>1194</v>
      </c>
      <c r="AA115" s="1202"/>
      <c r="AB115" s="1189"/>
      <c r="AC115" s="1193"/>
      <c r="AD115" s="1193"/>
      <c r="AE115" s="1193"/>
      <c r="AF115" s="1190"/>
    </row>
    <row r="116" spans="1:34" s="1191" customFormat="1" ht="21">
      <c r="AA116" s="1192"/>
      <c r="AB116" s="1189"/>
      <c r="AC116" s="1193"/>
      <c r="AD116" s="1193"/>
      <c r="AE116" s="1193"/>
      <c r="AF116" s="1190"/>
    </row>
    <row r="117" spans="1:34" s="1191" customFormat="1" ht="21">
      <c r="AA117" s="1192"/>
      <c r="AB117" s="1193"/>
      <c r="AC117" s="1193"/>
      <c r="AD117" s="1193"/>
      <c r="AE117" s="1193"/>
      <c r="AF117" s="1194"/>
    </row>
    <row r="118" spans="1:34" s="1191" customFormat="1" ht="21">
      <c r="B118" s="1735"/>
      <c r="C118" s="1196">
        <v>338</v>
      </c>
      <c r="D118" s="1744"/>
      <c r="E118" s="1196">
        <v>320</v>
      </c>
      <c r="F118" s="1744"/>
      <c r="G118" s="1196">
        <v>290</v>
      </c>
      <c r="H118" s="1748"/>
      <c r="I118" s="1196">
        <v>284.92</v>
      </c>
      <c r="J118" s="1735"/>
      <c r="K118" s="1196">
        <v>365</v>
      </c>
      <c r="L118" s="1744"/>
      <c r="M118" s="1196">
        <v>328.9</v>
      </c>
      <c r="N118" s="1759" t="s">
        <v>1654</v>
      </c>
      <c r="O118" s="1196">
        <v>348.96</v>
      </c>
      <c r="P118" s="1765" t="s">
        <v>1823</v>
      </c>
      <c r="Q118" s="1196">
        <v>351</v>
      </c>
      <c r="R118" s="1744"/>
      <c r="S118" s="1196">
        <v>321.51</v>
      </c>
      <c r="T118" s="1769"/>
      <c r="U118" s="1196">
        <v>346.3</v>
      </c>
      <c r="V118" s="1735"/>
      <c r="W118" s="1196">
        <v>274</v>
      </c>
      <c r="X118" s="1737" t="s">
        <v>1653</v>
      </c>
      <c r="Y118" s="1196">
        <v>336.92</v>
      </c>
      <c r="Z118" s="1735"/>
      <c r="AA118" s="1203">
        <v>239</v>
      </c>
      <c r="AB118" s="1193">
        <f>SUM(C118:AA118)</f>
        <v>4144.51</v>
      </c>
      <c r="AC118" s="1193">
        <v>13</v>
      </c>
      <c r="AD118" s="1193">
        <v>10</v>
      </c>
      <c r="AE118" s="1193">
        <v>10</v>
      </c>
      <c r="AF118" s="1194">
        <v>0</v>
      </c>
      <c r="AG118" s="1191">
        <v>13</v>
      </c>
      <c r="AH118" s="1191">
        <f>AH110+AG118</f>
        <v>171</v>
      </c>
    </row>
    <row r="119" spans="1:34" s="1191" customFormat="1" ht="21">
      <c r="B119" s="1736"/>
      <c r="D119" s="1745"/>
      <c r="F119" s="1745"/>
      <c r="H119" s="1749"/>
      <c r="J119" s="1736"/>
      <c r="L119" s="1745"/>
      <c r="N119" s="1760"/>
      <c r="P119" s="1766"/>
      <c r="R119" s="1745"/>
      <c r="T119" s="1770"/>
      <c r="V119" s="1736"/>
      <c r="X119" s="1738"/>
      <c r="Z119" s="1736"/>
      <c r="AA119" s="1192"/>
      <c r="AB119" s="1189"/>
      <c r="AC119" s="1193"/>
      <c r="AD119" s="1193"/>
      <c r="AE119" s="1193"/>
      <c r="AF119" s="1190"/>
    </row>
    <row r="120" spans="1:34" s="1191" customFormat="1" ht="21">
      <c r="B120" s="1191" t="s">
        <v>1181</v>
      </c>
      <c r="D120" s="1191" t="s">
        <v>34</v>
      </c>
      <c r="F120" s="1191" t="s">
        <v>32</v>
      </c>
      <c r="H120" s="1191" t="s">
        <v>32</v>
      </c>
      <c r="J120" s="1191" t="s">
        <v>53</v>
      </c>
      <c r="L120" s="1191" t="s">
        <v>32</v>
      </c>
      <c r="N120" s="1218" t="s">
        <v>1423</v>
      </c>
      <c r="P120" s="1191" t="s">
        <v>50</v>
      </c>
      <c r="R120" s="1191" t="s">
        <v>34</v>
      </c>
      <c r="T120" s="1191" t="s">
        <v>1181</v>
      </c>
      <c r="V120" s="1191" t="s">
        <v>1423</v>
      </c>
      <c r="X120" s="1191" t="s">
        <v>32</v>
      </c>
      <c r="Z120" s="1191" t="s">
        <v>1181</v>
      </c>
      <c r="AA120" s="1192"/>
      <c r="AB120" s="1193"/>
      <c r="AC120" s="1193"/>
      <c r="AD120" s="1193"/>
      <c r="AE120" s="1193"/>
      <c r="AF120" s="1194"/>
    </row>
    <row r="121" spans="1:34" s="1191" customFormat="1" ht="39">
      <c r="B121" s="1199" t="s">
        <v>1002</v>
      </c>
      <c r="D121" s="1199" t="s">
        <v>1002</v>
      </c>
      <c r="F121" s="1199" t="s">
        <v>1002</v>
      </c>
      <c r="H121" s="1199" t="s">
        <v>1002</v>
      </c>
      <c r="J121" s="1199" t="s">
        <v>1002</v>
      </c>
      <c r="L121" s="1199" t="s">
        <v>1002</v>
      </c>
      <c r="N121" s="1199"/>
      <c r="P121" s="1199"/>
      <c r="R121" s="1199"/>
      <c r="AA121" s="1192"/>
      <c r="AB121" s="1213"/>
      <c r="AC121" s="1193"/>
      <c r="AD121" s="1193"/>
      <c r="AE121" s="1193"/>
      <c r="AF121" s="1190"/>
    </row>
    <row r="122" spans="1:34" s="1191" customFormat="1" ht="21">
      <c r="A122" s="1195"/>
      <c r="B122" s="1195"/>
      <c r="C122" s="1195"/>
      <c r="D122" s="1195"/>
      <c r="E122" s="1195"/>
      <c r="F122" s="1195"/>
      <c r="G122" s="1195"/>
      <c r="H122" s="1195"/>
      <c r="I122" s="1195"/>
      <c r="J122" s="1195"/>
      <c r="K122" s="1195"/>
      <c r="L122" s="1195"/>
      <c r="M122" s="1195"/>
      <c r="N122" s="1195"/>
      <c r="O122" s="1195"/>
      <c r="P122" s="1195"/>
      <c r="Q122" s="1195"/>
      <c r="R122" s="1195"/>
      <c r="S122" s="1195"/>
      <c r="T122" s="1195"/>
      <c r="U122" s="1195"/>
      <c r="V122" s="1195"/>
      <c r="W122" s="1195"/>
      <c r="X122" s="1195"/>
      <c r="Y122" s="1195"/>
      <c r="Z122" s="1195"/>
      <c r="AA122" s="1197"/>
      <c r="AB122" s="1193"/>
      <c r="AC122" s="1193"/>
      <c r="AD122" s="1193"/>
      <c r="AE122" s="1193"/>
      <c r="AF122" s="1194"/>
    </row>
    <row r="123" spans="1:34" s="1191" customFormat="1" ht="21">
      <c r="A123" s="1201"/>
      <c r="B123" s="1201" t="s">
        <v>1283</v>
      </c>
      <c r="C123" s="1201"/>
      <c r="D123" s="1201" t="s">
        <v>1193</v>
      </c>
      <c r="E123" s="1201"/>
      <c r="F123" s="1201" t="s">
        <v>1284</v>
      </c>
      <c r="G123" s="1201"/>
      <c r="H123" s="1201" t="s">
        <v>1285</v>
      </c>
      <c r="I123" s="1201"/>
      <c r="J123" s="1201" t="s">
        <v>1286</v>
      </c>
      <c r="K123" s="1201"/>
      <c r="L123" s="1201" t="s">
        <v>1287</v>
      </c>
      <c r="M123" s="1201"/>
      <c r="N123" s="1201" t="s">
        <v>1288</v>
      </c>
      <c r="O123" s="1201"/>
      <c r="P123" s="1201" t="s">
        <v>1192</v>
      </c>
      <c r="Q123" s="1201"/>
      <c r="R123" s="1201" t="s">
        <v>1289</v>
      </c>
      <c r="S123" s="1201"/>
      <c r="T123" s="1201" t="s">
        <v>1183</v>
      </c>
      <c r="U123" s="1201"/>
      <c r="V123" s="1201" t="s">
        <v>1290</v>
      </c>
      <c r="W123" s="1201"/>
      <c r="X123" s="1201" t="s">
        <v>1184</v>
      </c>
      <c r="Y123" s="1201"/>
      <c r="Z123" s="1201" t="s">
        <v>1185</v>
      </c>
      <c r="AA123" s="1202"/>
      <c r="AB123" s="1189"/>
      <c r="AC123" s="1189"/>
      <c r="AD123" s="1189"/>
      <c r="AE123" s="1189"/>
      <c r="AF123" s="1190"/>
    </row>
    <row r="124" spans="1:34" s="1191" customFormat="1" ht="21">
      <c r="AA124" s="1192"/>
      <c r="AB124" s="1193"/>
      <c r="AC124" s="1193"/>
      <c r="AD124" s="1193"/>
      <c r="AE124" s="1193"/>
      <c r="AF124" s="1194"/>
    </row>
    <row r="125" spans="1:34" s="1191" customFormat="1" ht="21">
      <c r="AA125" s="1192"/>
      <c r="AB125" s="1189"/>
      <c r="AC125" s="1193"/>
      <c r="AD125" s="1193"/>
      <c r="AE125" s="1193"/>
      <c r="AF125" s="1190"/>
    </row>
    <row r="126" spans="1:34" s="1191" customFormat="1" ht="21">
      <c r="B126" s="1771"/>
      <c r="C126" s="1217">
        <v>200.34</v>
      </c>
      <c r="D126" s="1735"/>
      <c r="E126" s="1217">
        <v>276</v>
      </c>
      <c r="F126" s="1773"/>
      <c r="G126" s="1217">
        <v>337</v>
      </c>
      <c r="H126" s="1744"/>
      <c r="I126" s="1217">
        <v>316.76</v>
      </c>
      <c r="J126" s="1735"/>
      <c r="K126" s="1217">
        <v>352</v>
      </c>
      <c r="L126" s="1744"/>
      <c r="M126" s="1217">
        <v>331.24</v>
      </c>
      <c r="N126" s="1735"/>
      <c r="O126" s="1217">
        <v>358</v>
      </c>
      <c r="P126" s="1744"/>
      <c r="Q126" s="1217">
        <v>341.04</v>
      </c>
      <c r="R126" s="1735"/>
      <c r="S126" s="1217">
        <v>286</v>
      </c>
      <c r="T126" s="1748"/>
      <c r="U126" s="1217">
        <v>357</v>
      </c>
      <c r="V126" s="1723"/>
      <c r="W126" s="1217">
        <v>337.63</v>
      </c>
      <c r="X126" s="1735"/>
      <c r="Y126" s="1217">
        <v>282</v>
      </c>
      <c r="Z126" s="1744"/>
      <c r="AA126" s="1215">
        <v>348.04</v>
      </c>
      <c r="AB126" s="1193">
        <f>SUM(C126:AA126)</f>
        <v>4123.05</v>
      </c>
      <c r="AC126" s="1193">
        <v>11</v>
      </c>
      <c r="AD126" s="1193">
        <v>7</v>
      </c>
      <c r="AE126" s="1193">
        <v>6</v>
      </c>
      <c r="AF126" s="1194">
        <v>0</v>
      </c>
      <c r="AG126" s="1191">
        <v>13</v>
      </c>
      <c r="AH126" s="1191">
        <f>AH118+AG126</f>
        <v>184</v>
      </c>
    </row>
    <row r="127" spans="1:34" s="1191" customFormat="1" ht="21">
      <c r="B127" s="1772"/>
      <c r="D127" s="1736"/>
      <c r="F127" s="1774"/>
      <c r="H127" s="1745"/>
      <c r="J127" s="1736"/>
      <c r="L127" s="1745"/>
      <c r="N127" s="1736"/>
      <c r="P127" s="1745"/>
      <c r="R127" s="1736"/>
      <c r="T127" s="1749"/>
      <c r="V127" s="1731"/>
      <c r="X127" s="1736"/>
      <c r="Z127" s="1745"/>
      <c r="AA127" s="1192"/>
      <c r="AB127" s="1189"/>
      <c r="AC127" s="1193"/>
      <c r="AD127" s="1193"/>
      <c r="AE127" s="1193"/>
      <c r="AF127" s="1190"/>
    </row>
    <row r="128" spans="1:34" s="1191" customFormat="1" ht="21">
      <c r="B128" s="1191" t="s">
        <v>32</v>
      </c>
      <c r="D128" s="1191" t="s">
        <v>50</v>
      </c>
      <c r="F128" s="1191" t="s">
        <v>32</v>
      </c>
      <c r="H128" s="1191" t="s">
        <v>48</v>
      </c>
      <c r="J128" s="1191" t="s">
        <v>43</v>
      </c>
      <c r="L128" s="1191" t="s">
        <v>48</v>
      </c>
      <c r="N128" s="1191" t="s">
        <v>1424</v>
      </c>
      <c r="P128" s="1191" t="s">
        <v>48</v>
      </c>
      <c r="R128" s="1191" t="s">
        <v>57</v>
      </c>
      <c r="T128" s="1191" t="s">
        <v>34</v>
      </c>
      <c r="V128" s="1191" t="s">
        <v>32</v>
      </c>
      <c r="X128" s="1191" t="s">
        <v>45</v>
      </c>
      <c r="Z128" s="1191" t="s">
        <v>49</v>
      </c>
      <c r="AA128" s="1192"/>
      <c r="AB128" s="1189"/>
      <c r="AC128" s="1189"/>
      <c r="AD128" s="1189"/>
      <c r="AE128" s="1189"/>
      <c r="AF128" s="1190"/>
    </row>
    <row r="129" spans="1:34" s="1191" customFormat="1" ht="21">
      <c r="B129" s="1200" t="s">
        <v>977</v>
      </c>
      <c r="D129" s="1199"/>
      <c r="F129" s="1199"/>
      <c r="H129" s="1199"/>
      <c r="J129" s="1199"/>
      <c r="L129" s="1199"/>
      <c r="N129" s="1199"/>
      <c r="P129" s="1199"/>
      <c r="R129" s="1199" t="s">
        <v>1002</v>
      </c>
      <c r="T129" s="1199" t="s">
        <v>1002</v>
      </c>
      <c r="V129" s="1199" t="s">
        <v>1002</v>
      </c>
      <c r="X129" s="1199" t="s">
        <v>1002</v>
      </c>
      <c r="AA129" s="1192"/>
      <c r="AB129" s="1213"/>
      <c r="AC129" s="1193"/>
      <c r="AD129" s="1193"/>
      <c r="AE129" s="1193"/>
      <c r="AF129" s="1190"/>
    </row>
    <row r="130" spans="1:34" s="1191" customFormat="1" ht="21">
      <c r="A130" s="1195"/>
      <c r="B130" s="1195"/>
      <c r="C130" s="1195"/>
      <c r="D130" s="1195"/>
      <c r="E130" s="1195"/>
      <c r="F130" s="1195"/>
      <c r="G130" s="1195"/>
      <c r="H130" s="1195"/>
      <c r="I130" s="1195"/>
      <c r="J130" s="1195"/>
      <c r="K130" s="1195"/>
      <c r="L130" s="1195"/>
      <c r="M130" s="1195"/>
      <c r="N130" s="1195"/>
      <c r="O130" s="1195"/>
      <c r="P130" s="1195"/>
      <c r="Q130" s="1195"/>
      <c r="R130" s="1195"/>
      <c r="S130" s="1195"/>
      <c r="T130" s="1195"/>
      <c r="U130" s="1195"/>
      <c r="V130" s="1195"/>
      <c r="W130" s="1195"/>
      <c r="X130" s="1195"/>
      <c r="Y130" s="1195"/>
      <c r="Z130" s="1195"/>
      <c r="AA130" s="1197"/>
      <c r="AB130" s="1189"/>
      <c r="AC130" s="1193"/>
      <c r="AD130" s="1193"/>
      <c r="AE130" s="1193"/>
      <c r="AF130" s="1190"/>
    </row>
    <row r="131" spans="1:34" s="1191" customFormat="1" ht="21">
      <c r="A131" s="1201"/>
      <c r="B131" s="1201" t="s">
        <v>1291</v>
      </c>
      <c r="C131" s="1201"/>
      <c r="D131" s="1201" t="s">
        <v>1292</v>
      </c>
      <c r="E131" s="1201"/>
      <c r="F131" s="1201" t="s">
        <v>1293</v>
      </c>
      <c r="G131" s="1201"/>
      <c r="H131" s="1201" t="s">
        <v>1294</v>
      </c>
      <c r="I131" s="1201"/>
      <c r="J131" s="1201" t="s">
        <v>1295</v>
      </c>
      <c r="K131" s="1201"/>
      <c r="L131" s="1201" t="s">
        <v>1296</v>
      </c>
      <c r="M131" s="1201"/>
      <c r="N131" s="1201" t="s">
        <v>1297</v>
      </c>
      <c r="O131" s="1201"/>
      <c r="P131" s="1201" t="s">
        <v>1298</v>
      </c>
      <c r="Q131" s="1201"/>
      <c r="R131" s="1201" t="s">
        <v>1299</v>
      </c>
      <c r="S131" s="1201"/>
      <c r="T131" s="1201" t="s">
        <v>1300</v>
      </c>
      <c r="U131" s="1201"/>
      <c r="V131" s="1201" t="s">
        <v>1172</v>
      </c>
      <c r="W131" s="1201"/>
      <c r="X131" s="1201" t="s">
        <v>1173</v>
      </c>
      <c r="Y131" s="1201"/>
      <c r="Z131" s="1201" t="s">
        <v>1174</v>
      </c>
      <c r="AA131" s="1202"/>
      <c r="AB131" s="1189"/>
      <c r="AC131" s="1193"/>
      <c r="AD131" s="1193"/>
      <c r="AE131" s="1193"/>
      <c r="AF131" s="1190"/>
    </row>
    <row r="132" spans="1:34" s="1191" customFormat="1" ht="21">
      <c r="AA132" s="1192"/>
      <c r="AB132" s="1189"/>
      <c r="AC132" s="1193"/>
      <c r="AD132" s="1193"/>
      <c r="AE132" s="1193"/>
      <c r="AF132" s="1190"/>
    </row>
    <row r="133" spans="1:34" s="1191" customFormat="1" ht="21">
      <c r="AA133" s="1192"/>
      <c r="AB133" s="1193"/>
      <c r="AC133" s="1193"/>
      <c r="AD133" s="1193"/>
      <c r="AE133" s="1193"/>
      <c r="AF133" s="1194"/>
    </row>
    <row r="134" spans="1:34" s="1191" customFormat="1" ht="21">
      <c r="B134" s="1725"/>
      <c r="C134" s="1219">
        <v>233.78</v>
      </c>
      <c r="D134" s="1725"/>
      <c r="E134" s="1217">
        <v>334</v>
      </c>
      <c r="F134" s="1723"/>
      <c r="G134" s="1217">
        <v>257.67</v>
      </c>
      <c r="H134" s="1725"/>
      <c r="I134" s="1217">
        <v>344.79</v>
      </c>
      <c r="J134" s="1725"/>
      <c r="K134" s="1217">
        <v>247</v>
      </c>
      <c r="L134" s="1723"/>
      <c r="M134" s="1217">
        <v>275</v>
      </c>
      <c r="N134" s="1723"/>
      <c r="O134" s="1217">
        <v>262</v>
      </c>
      <c r="P134" s="1723"/>
      <c r="Q134" s="1217">
        <v>236</v>
      </c>
      <c r="R134" s="1723"/>
      <c r="S134" s="1217">
        <v>233.07</v>
      </c>
      <c r="T134" s="1725"/>
      <c r="U134" s="1217">
        <v>256</v>
      </c>
      <c r="V134" s="1744" t="s">
        <v>1607</v>
      </c>
      <c r="W134" s="1217">
        <v>326</v>
      </c>
      <c r="X134" s="1737" t="s">
        <v>1608</v>
      </c>
      <c r="Y134" s="1217">
        <v>359</v>
      </c>
      <c r="Z134" s="1725"/>
      <c r="AA134" s="1215">
        <v>393</v>
      </c>
      <c r="AB134" s="1193">
        <f>SUM(C134:AA134)</f>
        <v>3757.31</v>
      </c>
      <c r="AC134" s="1193">
        <v>2</v>
      </c>
      <c r="AD134" s="1193">
        <v>2</v>
      </c>
      <c r="AE134" s="1193">
        <v>2</v>
      </c>
      <c r="AF134" s="1194">
        <v>0</v>
      </c>
      <c r="AG134" s="1191">
        <v>13</v>
      </c>
      <c r="AH134" s="1191">
        <f>AH126+AG134</f>
        <v>197</v>
      </c>
    </row>
    <row r="135" spans="1:34" s="1191" customFormat="1" ht="21">
      <c r="B135" s="1726"/>
      <c r="C135" s="1754" t="s">
        <v>1722</v>
      </c>
      <c r="D135" s="1726"/>
      <c r="F135" s="1731"/>
      <c r="H135" s="1726"/>
      <c r="J135" s="1726"/>
      <c r="L135" s="1731"/>
      <c r="N135" s="1731"/>
      <c r="P135" s="1731"/>
      <c r="R135" s="1731"/>
      <c r="T135" s="1726"/>
      <c r="V135" s="1745"/>
      <c r="X135" s="1738"/>
      <c r="Z135" s="1726"/>
      <c r="AA135" s="1192"/>
      <c r="AB135" s="1189"/>
      <c r="AC135" s="1189"/>
      <c r="AD135" s="1189"/>
      <c r="AE135" s="1189"/>
      <c r="AF135" s="1190"/>
    </row>
    <row r="136" spans="1:34" s="1191" customFormat="1" ht="21">
      <c r="B136" s="1220" t="s">
        <v>1427</v>
      </c>
      <c r="C136" s="1755"/>
      <c r="D136" s="1191" t="s">
        <v>1426</v>
      </c>
      <c r="F136" s="1191" t="s">
        <v>49</v>
      </c>
      <c r="H136" s="1191" t="s">
        <v>1181</v>
      </c>
      <c r="J136" s="1191" t="s">
        <v>50</v>
      </c>
      <c r="L136" s="1191" t="s">
        <v>32</v>
      </c>
      <c r="N136" s="1191" t="s">
        <v>34</v>
      </c>
      <c r="P136" s="1191" t="s">
        <v>34</v>
      </c>
      <c r="R136" s="1191" t="s">
        <v>34</v>
      </c>
      <c r="T136" s="1191" t="s">
        <v>1181</v>
      </c>
      <c r="V136" s="1191" t="s">
        <v>48</v>
      </c>
      <c r="X136" s="1191" t="s">
        <v>48</v>
      </c>
      <c r="Z136" s="1191" t="s">
        <v>1175</v>
      </c>
      <c r="AA136" s="1192"/>
      <c r="AB136" s="1189"/>
      <c r="AC136" s="1193"/>
      <c r="AD136" s="1193"/>
      <c r="AE136" s="1193"/>
      <c r="AF136" s="1190"/>
    </row>
    <row r="137" spans="1:34" s="1191" customFormat="1" ht="36" customHeight="1">
      <c r="B137" s="1199"/>
      <c r="C137" s="1755"/>
      <c r="D137" s="1199"/>
      <c r="F137" s="1199"/>
      <c r="H137" s="1200" t="s">
        <v>977</v>
      </c>
      <c r="J137" s="1200" t="s">
        <v>977</v>
      </c>
      <c r="L137" s="1199" t="s">
        <v>1002</v>
      </c>
      <c r="N137" s="1199" t="s">
        <v>1002</v>
      </c>
      <c r="P137" s="1199" t="s">
        <v>1002</v>
      </c>
      <c r="R137" s="1199" t="s">
        <v>1002</v>
      </c>
      <c r="T137" s="1199" t="s">
        <v>1002</v>
      </c>
      <c r="V137" s="1199"/>
      <c r="X137" s="1199"/>
      <c r="Z137" s="1200" t="s">
        <v>977</v>
      </c>
      <c r="AA137" s="1192"/>
      <c r="AB137" s="1213"/>
      <c r="AC137" s="1193"/>
      <c r="AD137" s="1193"/>
      <c r="AE137" s="1193"/>
      <c r="AF137" s="1190"/>
    </row>
    <row r="138" spans="1:34" s="1191" customFormat="1" ht="21">
      <c r="A138" s="1195"/>
      <c r="B138" s="1195"/>
      <c r="C138" s="1756"/>
      <c r="D138" s="1195"/>
      <c r="E138" s="1195"/>
      <c r="F138" s="1195"/>
      <c r="G138" s="1195"/>
      <c r="H138" s="1195"/>
      <c r="I138" s="1195"/>
      <c r="J138" s="1195"/>
      <c r="K138" s="1195"/>
      <c r="L138" s="1195"/>
      <c r="M138" s="1195"/>
      <c r="N138" s="1195"/>
      <c r="O138" s="1195"/>
      <c r="P138" s="1195"/>
      <c r="Q138" s="1195"/>
      <c r="R138" s="1195"/>
      <c r="S138" s="1195"/>
      <c r="T138" s="1195"/>
      <c r="U138" s="1195"/>
      <c r="V138" s="1195"/>
      <c r="W138" s="1195"/>
      <c r="X138" s="1195"/>
      <c r="Y138" s="1195"/>
      <c r="Z138" s="1195"/>
      <c r="AA138" s="1197"/>
      <c r="AB138" s="1189"/>
      <c r="AC138" s="1193"/>
      <c r="AD138" s="1193"/>
      <c r="AE138" s="1193"/>
      <c r="AF138" s="1190"/>
    </row>
    <row r="139" spans="1:34" s="1191" customFormat="1" ht="21">
      <c r="A139" s="1201"/>
      <c r="B139" s="1201" t="s">
        <v>1176</v>
      </c>
      <c r="C139" s="1201"/>
      <c r="D139" s="1201" t="s">
        <v>1166</v>
      </c>
      <c r="E139" s="1201"/>
      <c r="F139" s="1201" t="s">
        <v>1169</v>
      </c>
      <c r="G139" s="1201"/>
      <c r="H139" s="1201" t="s">
        <v>1210</v>
      </c>
      <c r="I139" s="1201"/>
      <c r="J139" s="1201" t="s">
        <v>1178</v>
      </c>
      <c r="K139" s="1201"/>
      <c r="L139" s="1201" t="s">
        <v>1179</v>
      </c>
      <c r="M139" s="1201"/>
      <c r="N139" s="1201" t="s">
        <v>1301</v>
      </c>
      <c r="O139" s="1201"/>
      <c r="P139" s="1201" t="s">
        <v>1180</v>
      </c>
      <c r="Q139" s="1201"/>
      <c r="R139" s="1201" t="s">
        <v>1190</v>
      </c>
      <c r="S139" s="1201"/>
      <c r="T139" s="1201" t="s">
        <v>1191</v>
      </c>
      <c r="U139" s="1201"/>
      <c r="V139" s="1201" t="s">
        <v>1196</v>
      </c>
      <c r="W139" s="1201"/>
      <c r="X139" s="1201" t="s">
        <v>1197</v>
      </c>
      <c r="Y139" s="1201"/>
      <c r="Z139" s="1201" t="s">
        <v>1198</v>
      </c>
      <c r="AA139" s="1202"/>
      <c r="AB139" s="1189"/>
      <c r="AC139" s="1193"/>
      <c r="AD139" s="1193"/>
      <c r="AE139" s="1193"/>
      <c r="AF139" s="1190"/>
    </row>
    <row r="140" spans="1:34" s="1191" customFormat="1" ht="21">
      <c r="AA140" s="1192"/>
      <c r="AB140" s="1189"/>
      <c r="AC140" s="1189"/>
      <c r="AD140" s="1189"/>
      <c r="AE140" s="1189"/>
      <c r="AF140" s="1190"/>
    </row>
    <row r="141" spans="1:34" s="1191" customFormat="1" ht="21">
      <c r="AA141" s="1192"/>
      <c r="AB141" s="1193"/>
      <c r="AC141" s="1193"/>
      <c r="AD141" s="1193"/>
      <c r="AE141" s="1193"/>
      <c r="AF141" s="1194"/>
    </row>
    <row r="142" spans="1:34" s="1191" customFormat="1" ht="21">
      <c r="B142" s="1723"/>
      <c r="C142" s="1217">
        <v>303</v>
      </c>
      <c r="D142" s="1729" t="s">
        <v>1609</v>
      </c>
      <c r="E142" s="1217">
        <v>395.2</v>
      </c>
      <c r="F142" s="1727" t="s">
        <v>1610</v>
      </c>
      <c r="G142" s="1217">
        <v>343.79</v>
      </c>
      <c r="H142" s="1775" t="s">
        <v>1618</v>
      </c>
      <c r="I142" s="1217">
        <v>351</v>
      </c>
      <c r="J142" s="1729" t="s">
        <v>1611</v>
      </c>
      <c r="K142" s="1217">
        <v>347</v>
      </c>
      <c r="L142" s="1729" t="s">
        <v>1612</v>
      </c>
      <c r="M142" s="1217">
        <v>351</v>
      </c>
      <c r="N142" s="1729" t="s">
        <v>1613</v>
      </c>
      <c r="O142" s="1217">
        <v>323.83</v>
      </c>
      <c r="P142" s="1735"/>
      <c r="Q142" s="1217">
        <v>253</v>
      </c>
      <c r="R142" s="1737" t="s">
        <v>1614</v>
      </c>
      <c r="S142" s="1217">
        <v>274</v>
      </c>
      <c r="T142" s="1737" t="s">
        <v>1615</v>
      </c>
      <c r="U142" s="1217">
        <v>282</v>
      </c>
      <c r="V142" s="1737" t="s">
        <v>1616</v>
      </c>
      <c r="W142" s="1217">
        <v>321</v>
      </c>
      <c r="X142" s="1737" t="s">
        <v>1617</v>
      </c>
      <c r="Y142" s="1217">
        <v>353.24</v>
      </c>
      <c r="Z142" s="1735"/>
      <c r="AA142" s="1215">
        <v>207</v>
      </c>
      <c r="AB142" s="1193">
        <f>SUM(C142:AA142)</f>
        <v>4105.0599999999995</v>
      </c>
      <c r="AC142" s="1193">
        <v>12</v>
      </c>
      <c r="AD142" s="1193">
        <v>11</v>
      </c>
      <c r="AE142" s="1193">
        <v>12</v>
      </c>
      <c r="AF142" s="1194">
        <f>G142+I142+K142+M142+O142+Q142+S142+U142+W142+Y142</f>
        <v>3199.8599999999997</v>
      </c>
      <c r="AG142" s="1191">
        <v>13</v>
      </c>
      <c r="AH142" s="1191">
        <f>AH134+AG142</f>
        <v>210</v>
      </c>
    </row>
    <row r="143" spans="1:34" s="1191" customFormat="1" ht="21">
      <c r="B143" s="1731"/>
      <c r="D143" s="1734"/>
      <c r="F143" s="1728"/>
      <c r="H143" s="1776"/>
      <c r="J143" s="1734"/>
      <c r="L143" s="1734"/>
      <c r="N143" s="1734"/>
      <c r="P143" s="1736"/>
      <c r="R143" s="1738"/>
      <c r="T143" s="1738"/>
      <c r="V143" s="1738"/>
      <c r="X143" s="1738"/>
      <c r="Z143" s="1736"/>
      <c r="AA143" s="1192"/>
      <c r="AB143" s="1189"/>
      <c r="AC143" s="1193"/>
      <c r="AD143" s="1193"/>
      <c r="AE143" s="1193"/>
      <c r="AF143" s="1190"/>
    </row>
    <row r="144" spans="1:34" s="1191" customFormat="1" ht="21">
      <c r="B144" s="1191" t="s">
        <v>32</v>
      </c>
      <c r="D144" s="1191" t="s">
        <v>32</v>
      </c>
      <c r="F144" s="1191" t="s">
        <v>43</v>
      </c>
      <c r="H144" s="1191" t="s">
        <v>43</v>
      </c>
      <c r="J144" s="1191" t="s">
        <v>34</v>
      </c>
      <c r="L144" s="1191" t="s">
        <v>32</v>
      </c>
      <c r="N144" s="1191" t="s">
        <v>48</v>
      </c>
      <c r="P144" s="1191" t="s">
        <v>53</v>
      </c>
      <c r="R144" s="1191" t="s">
        <v>48</v>
      </c>
      <c r="T144" s="1191" t="s">
        <v>32</v>
      </c>
      <c r="V144" s="1191" t="s">
        <v>32</v>
      </c>
      <c r="X144" s="1191" t="s">
        <v>32</v>
      </c>
      <c r="Z144" s="1191" t="s">
        <v>53</v>
      </c>
      <c r="AA144" s="1192"/>
      <c r="AB144" s="1221"/>
      <c r="AC144" s="1193"/>
      <c r="AD144" s="1193"/>
      <c r="AE144" s="1193"/>
      <c r="AF144" s="1190"/>
    </row>
    <row r="145" spans="1:34" s="1191" customFormat="1" ht="21">
      <c r="A145" s="1195"/>
      <c r="B145" s="1200" t="s">
        <v>977</v>
      </c>
      <c r="C145" s="1195"/>
      <c r="D145" s="1195"/>
      <c r="E145" s="1195"/>
      <c r="F145" s="1195"/>
      <c r="G145" s="1195"/>
      <c r="H145" s="1195"/>
      <c r="I145" s="1195"/>
      <c r="J145" s="1195"/>
      <c r="K145" s="1195"/>
      <c r="L145" s="1195"/>
      <c r="M145" s="1195"/>
      <c r="N145" s="1195"/>
      <c r="O145" s="1195"/>
      <c r="P145" s="1195"/>
      <c r="Q145" s="1195"/>
      <c r="R145" s="1195"/>
      <c r="S145" s="1195"/>
      <c r="T145" s="1195"/>
      <c r="U145" s="1195"/>
      <c r="V145" s="1195"/>
      <c r="W145" s="1195"/>
      <c r="X145" s="1195"/>
      <c r="Y145" s="1195"/>
      <c r="Z145" s="1195"/>
      <c r="AA145" s="1197"/>
      <c r="AB145" s="1189"/>
      <c r="AC145" s="1189"/>
      <c r="AD145" s="1189"/>
      <c r="AE145" s="1189"/>
      <c r="AF145" s="1190"/>
    </row>
    <row r="146" spans="1:34" s="1191" customFormat="1" ht="21">
      <c r="A146" s="1201"/>
      <c r="B146" s="1201" t="s">
        <v>1199</v>
      </c>
      <c r="C146" s="1201"/>
      <c r="D146" s="1201" t="s">
        <v>1200</v>
      </c>
      <c r="E146" s="1201"/>
      <c r="F146" s="1201" t="s">
        <v>1302</v>
      </c>
      <c r="G146" s="1201"/>
      <c r="H146" s="1201" t="s">
        <v>1303</v>
      </c>
      <c r="I146" s="1201"/>
      <c r="J146" s="1201" t="s">
        <v>1304</v>
      </c>
      <c r="K146" s="1201"/>
      <c r="L146" s="1201" t="s">
        <v>1202</v>
      </c>
      <c r="M146" s="1201"/>
      <c r="N146" s="1201" t="s">
        <v>1203</v>
      </c>
      <c r="O146" s="1201"/>
      <c r="P146" s="1201" t="s">
        <v>1305</v>
      </c>
      <c r="Q146" s="1201"/>
      <c r="R146" s="1201" t="s">
        <v>1306</v>
      </c>
      <c r="S146" s="1201"/>
      <c r="T146" s="1201" t="s">
        <v>1307</v>
      </c>
      <c r="U146" s="1201"/>
      <c r="V146" s="1201" t="s">
        <v>1308</v>
      </c>
      <c r="W146" s="1201"/>
      <c r="X146" s="1201" t="s">
        <v>1309</v>
      </c>
      <c r="Y146" s="1201"/>
      <c r="Z146" s="1201" t="s">
        <v>1310</v>
      </c>
      <c r="AA146" s="1202"/>
      <c r="AB146" s="1189"/>
      <c r="AC146" s="1189"/>
      <c r="AD146" s="1189"/>
      <c r="AE146" s="1189"/>
      <c r="AF146" s="1190"/>
    </row>
    <row r="147" spans="1:34" s="1191" customFormat="1" ht="21">
      <c r="AA147" s="1192"/>
      <c r="AB147" s="1193"/>
      <c r="AC147" s="1193"/>
      <c r="AD147" s="1193"/>
      <c r="AE147" s="1193"/>
      <c r="AF147" s="1194"/>
    </row>
    <row r="148" spans="1:34" s="1191" customFormat="1" ht="21">
      <c r="AA148" s="1192"/>
      <c r="AB148" s="1193"/>
      <c r="AC148" s="1193"/>
      <c r="AD148" s="1193"/>
      <c r="AE148" s="1193"/>
      <c r="AF148" s="1194"/>
    </row>
    <row r="149" spans="1:34" s="1191" customFormat="1" ht="21">
      <c r="B149" s="1737" t="s">
        <v>1619</v>
      </c>
      <c r="C149" s="1217">
        <v>329</v>
      </c>
      <c r="D149" s="1744"/>
      <c r="E149" s="1217">
        <v>334</v>
      </c>
      <c r="F149" s="1750"/>
      <c r="G149" s="1217">
        <v>331</v>
      </c>
      <c r="H149" s="1744"/>
      <c r="I149" s="1217">
        <v>209.59</v>
      </c>
      <c r="J149" s="1735"/>
      <c r="K149" s="1217">
        <v>304</v>
      </c>
      <c r="L149" s="1744"/>
      <c r="M149" s="1217">
        <v>302</v>
      </c>
      <c r="N149" s="1744"/>
      <c r="O149" s="1217">
        <v>315</v>
      </c>
      <c r="P149" s="1744"/>
      <c r="Q149" s="1217">
        <v>285</v>
      </c>
      <c r="R149" s="1744"/>
      <c r="S149" s="1217">
        <v>348.77</v>
      </c>
      <c r="T149" s="1735"/>
      <c r="U149" s="1217">
        <v>281.67</v>
      </c>
      <c r="V149" s="1735"/>
      <c r="W149" s="1217">
        <v>322</v>
      </c>
      <c r="X149" s="1744"/>
      <c r="Y149" s="1217">
        <v>293</v>
      </c>
      <c r="Z149" s="1771"/>
      <c r="AA149" s="1215">
        <v>314</v>
      </c>
      <c r="AB149" s="1193">
        <f>SUM(C149:AA149)</f>
        <v>3969.03</v>
      </c>
      <c r="AC149" s="1193">
        <v>12</v>
      </c>
      <c r="AD149" s="1193">
        <v>4</v>
      </c>
      <c r="AE149" s="1193">
        <v>8</v>
      </c>
      <c r="AF149" s="1194">
        <v>0</v>
      </c>
      <c r="AG149" s="1191">
        <v>13</v>
      </c>
      <c r="AH149" s="1191">
        <f>AH142+AG149</f>
        <v>223</v>
      </c>
    </row>
    <row r="150" spans="1:34" s="1191" customFormat="1" ht="21">
      <c r="B150" s="1738"/>
      <c r="D150" s="1745"/>
      <c r="F150" s="1751"/>
      <c r="H150" s="1745"/>
      <c r="J150" s="1736"/>
      <c r="L150" s="1745"/>
      <c r="N150" s="1745"/>
      <c r="P150" s="1745"/>
      <c r="R150" s="1745"/>
      <c r="T150" s="1736"/>
      <c r="V150" s="1736"/>
      <c r="X150" s="1745"/>
      <c r="Z150" s="1772"/>
      <c r="AA150" s="1192"/>
      <c r="AB150" s="1189"/>
      <c r="AC150" s="1193"/>
      <c r="AD150" s="1193"/>
      <c r="AE150" s="1193"/>
      <c r="AF150" s="1190"/>
    </row>
    <row r="151" spans="1:34" s="1191" customFormat="1" ht="21">
      <c r="B151" s="1191" t="s">
        <v>34</v>
      </c>
      <c r="D151" s="1191" t="s">
        <v>34</v>
      </c>
      <c r="F151" s="1191" t="s">
        <v>34</v>
      </c>
      <c r="H151" s="1191" t="s">
        <v>32</v>
      </c>
      <c r="J151" s="1191" t="s">
        <v>53</v>
      </c>
      <c r="L151" s="1191" t="s">
        <v>32</v>
      </c>
      <c r="N151" s="1191" t="s">
        <v>48</v>
      </c>
      <c r="P151" s="1191" t="s">
        <v>32</v>
      </c>
      <c r="R151" s="1191" t="s">
        <v>48</v>
      </c>
      <c r="T151" s="1191" t="s">
        <v>1423</v>
      </c>
      <c r="V151" s="1191" t="s">
        <v>1181</v>
      </c>
      <c r="X151" s="1191" t="s">
        <v>32</v>
      </c>
      <c r="Z151" s="1191" t="s">
        <v>48</v>
      </c>
      <c r="AA151" s="1192"/>
      <c r="AB151" s="1189"/>
      <c r="AC151" s="1189"/>
      <c r="AD151" s="1189"/>
      <c r="AE151" s="1189"/>
      <c r="AF151" s="1190"/>
    </row>
    <row r="152" spans="1:34" s="1191" customFormat="1" ht="38.25" customHeight="1">
      <c r="B152" s="1199"/>
      <c r="F152" s="1199" t="s">
        <v>1002</v>
      </c>
      <c r="H152" s="1199"/>
      <c r="J152" s="1199" t="s">
        <v>1002</v>
      </c>
      <c r="L152" s="1199" t="s">
        <v>1002</v>
      </c>
      <c r="N152" s="1199" t="s">
        <v>1002</v>
      </c>
      <c r="P152" s="1199" t="s">
        <v>1002</v>
      </c>
      <c r="R152" s="1199" t="s">
        <v>1002</v>
      </c>
      <c r="T152" s="1199" t="s">
        <v>1002</v>
      </c>
      <c r="X152" s="1199"/>
      <c r="Z152" s="2037" t="s">
        <v>977</v>
      </c>
      <c r="AA152" s="1192"/>
      <c r="AB152" s="1213"/>
      <c r="AC152" s="1193"/>
      <c r="AD152" s="1193"/>
      <c r="AE152" s="1193"/>
      <c r="AF152" s="1190"/>
    </row>
    <row r="153" spans="1:34" s="1191" customFormat="1" ht="21">
      <c r="B153" s="1199"/>
      <c r="D153" s="1199"/>
      <c r="H153" s="1199"/>
      <c r="L153" s="1199"/>
      <c r="N153" s="1199"/>
      <c r="P153" s="1199"/>
      <c r="R153" s="1199"/>
      <c r="T153" s="1199"/>
      <c r="V153" s="1199"/>
      <c r="X153" s="1199"/>
      <c r="AA153" s="1192"/>
      <c r="AB153" s="1213"/>
      <c r="AC153" s="1193"/>
      <c r="AD153" s="1193"/>
      <c r="AE153" s="1193"/>
      <c r="AF153" s="1190"/>
    </row>
    <row r="154" spans="1:34" s="1191" customFormat="1" ht="21">
      <c r="A154" s="1201"/>
      <c r="B154" s="1201" t="s">
        <v>1311</v>
      </c>
      <c r="C154" s="1201"/>
      <c r="D154" s="1201" t="s">
        <v>1312</v>
      </c>
      <c r="E154" s="1201"/>
      <c r="F154" s="1201" t="s">
        <v>1313</v>
      </c>
      <c r="G154" s="1201"/>
      <c r="H154" s="1201" t="s">
        <v>1314</v>
      </c>
      <c r="I154" s="1201"/>
      <c r="J154" s="1201" t="s">
        <v>1315</v>
      </c>
      <c r="K154" s="1201"/>
      <c r="L154" s="1201" t="s">
        <v>1316</v>
      </c>
      <c r="M154" s="1201"/>
      <c r="N154" s="1201" t="s">
        <v>1317</v>
      </c>
      <c r="O154" s="1201"/>
      <c r="P154" s="1201" t="s">
        <v>1318</v>
      </c>
      <c r="Q154" s="1201"/>
      <c r="R154" s="1201" t="s">
        <v>1319</v>
      </c>
      <c r="S154" s="1201"/>
      <c r="T154" s="1201" t="s">
        <v>1320</v>
      </c>
      <c r="U154" s="1201"/>
      <c r="V154" s="1201" t="s">
        <v>1321</v>
      </c>
      <c r="W154" s="1201"/>
      <c r="X154" s="1201" t="s">
        <v>1322</v>
      </c>
      <c r="Y154" s="1201"/>
      <c r="Z154" s="1201" t="s">
        <v>1323</v>
      </c>
      <c r="AA154" s="1202"/>
      <c r="AB154" s="1189"/>
      <c r="AC154" s="1193"/>
      <c r="AD154" s="1193"/>
      <c r="AE154" s="1193"/>
      <c r="AF154" s="1190"/>
    </row>
    <row r="155" spans="1:34" s="1191" customFormat="1" ht="21">
      <c r="AA155" s="1192"/>
      <c r="AB155" s="1189"/>
      <c r="AC155" s="1193"/>
      <c r="AD155" s="1193"/>
      <c r="AE155" s="1193"/>
      <c r="AF155" s="1190"/>
    </row>
    <row r="156" spans="1:34" s="1191" customFormat="1" ht="21">
      <c r="AA156" s="1192"/>
      <c r="AB156" s="1193"/>
      <c r="AC156" s="1193"/>
      <c r="AD156" s="1193"/>
      <c r="AE156" s="1193"/>
      <c r="AF156" s="1194"/>
    </row>
    <row r="157" spans="1:34" s="1191" customFormat="1" ht="21">
      <c r="B157" s="1761"/>
      <c r="C157" s="1217">
        <v>342</v>
      </c>
      <c r="D157" s="1744"/>
      <c r="E157" s="1217">
        <v>269</v>
      </c>
      <c r="F157" s="1744"/>
      <c r="G157" s="1217">
        <v>318.97000000000003</v>
      </c>
      <c r="H157" s="1735"/>
      <c r="I157" s="1217">
        <v>251</v>
      </c>
      <c r="J157" s="1744"/>
      <c r="K157" s="1217">
        <v>302</v>
      </c>
      <c r="L157" s="1744"/>
      <c r="M157" s="1217">
        <v>338.05</v>
      </c>
      <c r="N157" s="1735"/>
      <c r="O157" s="1217">
        <v>326</v>
      </c>
      <c r="P157" s="1744"/>
      <c r="Q157" s="1217">
        <v>291</v>
      </c>
      <c r="R157" s="1744"/>
      <c r="S157" s="1217">
        <v>288</v>
      </c>
      <c r="T157" s="1744"/>
      <c r="U157" s="1217">
        <v>202.34</v>
      </c>
      <c r="V157" s="1777" t="s">
        <v>1823</v>
      </c>
      <c r="W157" s="1217">
        <v>250</v>
      </c>
      <c r="X157" s="1744"/>
      <c r="Y157" s="1217">
        <v>186.62</v>
      </c>
      <c r="Z157" s="1735"/>
      <c r="AA157" s="1215">
        <v>277</v>
      </c>
      <c r="AB157" s="1193">
        <f>SUM(C157:AA157)</f>
        <v>3641.98</v>
      </c>
      <c r="AC157" s="1193">
        <v>12</v>
      </c>
      <c r="AD157" s="1193">
        <v>9</v>
      </c>
      <c r="AE157" s="1193">
        <v>8</v>
      </c>
      <c r="AF157" s="1194">
        <v>0</v>
      </c>
      <c r="AG157" s="1191">
        <v>13</v>
      </c>
      <c r="AH157" s="1191">
        <f>AH149+AG157</f>
        <v>236</v>
      </c>
    </row>
    <row r="158" spans="1:34" s="1191" customFormat="1" ht="21">
      <c r="B158" s="1762"/>
      <c r="D158" s="1745"/>
      <c r="F158" s="1745"/>
      <c r="H158" s="1736"/>
      <c r="J158" s="1745"/>
      <c r="L158" s="1745"/>
      <c r="N158" s="1736"/>
      <c r="P158" s="1745"/>
      <c r="R158" s="1745"/>
      <c r="T158" s="1745"/>
      <c r="V158" s="1778"/>
      <c r="X158" s="1745"/>
      <c r="Z158" s="1736"/>
      <c r="AA158" s="1192"/>
      <c r="AB158" s="1189"/>
      <c r="AC158" s="1193"/>
      <c r="AD158" s="1193"/>
      <c r="AE158" s="1193"/>
      <c r="AF158" s="1190"/>
    </row>
    <row r="159" spans="1:34" s="1191" customFormat="1" ht="21">
      <c r="B159" s="1191" t="s">
        <v>32</v>
      </c>
      <c r="D159" s="1191" t="s">
        <v>34</v>
      </c>
      <c r="F159" s="1191" t="s">
        <v>32</v>
      </c>
      <c r="H159" s="1191" t="s">
        <v>57</v>
      </c>
      <c r="J159" s="1191" t="s">
        <v>32</v>
      </c>
      <c r="L159" s="1191" t="s">
        <v>48</v>
      </c>
      <c r="N159" s="1191" t="s">
        <v>1423</v>
      </c>
      <c r="P159" s="1191" t="s">
        <v>34</v>
      </c>
      <c r="R159" s="1191" t="s">
        <v>34</v>
      </c>
      <c r="T159" s="1191" t="s">
        <v>34</v>
      </c>
      <c r="V159" s="1191" t="s">
        <v>1181</v>
      </c>
      <c r="X159" s="1191" t="s">
        <v>32</v>
      </c>
      <c r="Z159" s="1191" t="s">
        <v>50</v>
      </c>
      <c r="AA159" s="1192"/>
      <c r="AB159" s="1193"/>
      <c r="AC159" s="1193"/>
      <c r="AD159" s="1193"/>
      <c r="AE159" s="1193"/>
      <c r="AF159" s="1194"/>
    </row>
    <row r="160" spans="1:34" s="1191" customFormat="1" ht="21">
      <c r="D160" s="1199" t="s">
        <v>1002</v>
      </c>
      <c r="R160" s="1199" t="s">
        <v>1002</v>
      </c>
      <c r="T160" s="1199" t="s">
        <v>1002</v>
      </c>
      <c r="AA160" s="1192"/>
      <c r="AB160" s="1193"/>
      <c r="AC160" s="1193"/>
      <c r="AD160" s="1193"/>
      <c r="AE160" s="1193"/>
      <c r="AF160" s="1194"/>
    </row>
    <row r="161" spans="1:34" s="1191" customFormat="1" ht="21">
      <c r="A161" s="1201"/>
      <c r="B161" s="1201" t="s">
        <v>1324</v>
      </c>
      <c r="C161" s="1201"/>
      <c r="D161" s="1201" t="s">
        <v>1325</v>
      </c>
      <c r="E161" s="1201"/>
      <c r="F161" s="1201" t="s">
        <v>1326</v>
      </c>
      <c r="G161" s="1201"/>
      <c r="H161" s="1201" t="s">
        <v>1327</v>
      </c>
      <c r="I161" s="1201"/>
      <c r="J161" s="1201" t="s">
        <v>1328</v>
      </c>
      <c r="K161" s="1201"/>
      <c r="L161" s="1201" t="s">
        <v>1329</v>
      </c>
      <c r="M161" s="1201"/>
      <c r="N161" s="1201" t="s">
        <v>1330</v>
      </c>
      <c r="O161" s="1201"/>
      <c r="P161" s="1201" t="s">
        <v>1331</v>
      </c>
      <c r="Q161" s="1201"/>
      <c r="R161" s="1201" t="s">
        <v>1332</v>
      </c>
      <c r="S161" s="1201"/>
      <c r="T161" s="1201" t="s">
        <v>1333</v>
      </c>
      <c r="U161" s="1201"/>
      <c r="V161" s="1201" t="s">
        <v>1334</v>
      </c>
      <c r="W161" s="1201"/>
      <c r="X161" s="1201" t="s">
        <v>1335</v>
      </c>
      <c r="Y161" s="1201"/>
      <c r="Z161" s="1201" t="s">
        <v>1336</v>
      </c>
      <c r="AA161" s="1202"/>
      <c r="AB161" s="1189"/>
      <c r="AC161" s="1189"/>
      <c r="AD161" s="1189"/>
      <c r="AE161" s="1189"/>
      <c r="AF161" s="1190"/>
    </row>
    <row r="162" spans="1:34" s="1191" customFormat="1" ht="21">
      <c r="AA162" s="1192"/>
      <c r="AB162" s="1193"/>
      <c r="AC162" s="1193"/>
      <c r="AD162" s="1193"/>
      <c r="AE162" s="1193"/>
      <c r="AF162" s="1194"/>
    </row>
    <row r="163" spans="1:34" s="1191" customFormat="1" ht="21">
      <c r="E163" s="1781">
        <v>216.63</v>
      </c>
      <c r="AA163" s="1192"/>
      <c r="AB163" s="1189"/>
      <c r="AC163" s="1193"/>
      <c r="AD163" s="1193"/>
      <c r="AE163" s="1193"/>
      <c r="AF163" s="1190"/>
    </row>
    <row r="164" spans="1:34" s="1191" customFormat="1" ht="21">
      <c r="B164" s="1723"/>
      <c r="C164" s="1217">
        <v>229.01</v>
      </c>
      <c r="D164" s="1725"/>
      <c r="E164" s="1782"/>
      <c r="F164" s="1725"/>
      <c r="G164" s="1217">
        <v>260</v>
      </c>
      <c r="H164" s="1723"/>
      <c r="I164" s="1217">
        <v>296</v>
      </c>
      <c r="J164" s="1744"/>
      <c r="K164" s="1217">
        <v>287.11</v>
      </c>
      <c r="L164" s="1735"/>
      <c r="M164" s="1217">
        <v>241.7</v>
      </c>
      <c r="N164" s="1735"/>
      <c r="O164" s="1217">
        <v>143.96</v>
      </c>
      <c r="P164" s="1735"/>
      <c r="Q164" s="1217">
        <v>360.45</v>
      </c>
      <c r="R164" s="1735"/>
      <c r="S164" s="1217">
        <v>302</v>
      </c>
      <c r="T164" s="1744"/>
      <c r="U164" s="1217">
        <v>353</v>
      </c>
      <c r="V164" s="1748"/>
      <c r="W164" s="1217">
        <v>341</v>
      </c>
      <c r="X164" s="1744"/>
      <c r="Y164" s="1217">
        <v>353.1</v>
      </c>
      <c r="Z164" s="1735"/>
      <c r="AA164" s="1215">
        <v>343</v>
      </c>
      <c r="AB164" s="1193">
        <f>SUM(C164:AA164)</f>
        <v>3510.33</v>
      </c>
      <c r="AC164" s="1193">
        <v>9</v>
      </c>
      <c r="AD164" s="1193">
        <v>6</v>
      </c>
      <c r="AE164" s="1193">
        <v>0</v>
      </c>
      <c r="AF164" s="1194">
        <v>0</v>
      </c>
      <c r="AG164" s="1191">
        <v>13</v>
      </c>
      <c r="AH164" s="1191">
        <f>AH157+AG164</f>
        <v>249</v>
      </c>
    </row>
    <row r="165" spans="1:34" s="1191" customFormat="1" ht="21">
      <c r="B165" s="1731"/>
      <c r="D165" s="1726"/>
      <c r="E165" s="1783" t="s">
        <v>1724</v>
      </c>
      <c r="F165" s="1726"/>
      <c r="H165" s="1731"/>
      <c r="J165" s="1745"/>
      <c r="L165" s="1736"/>
      <c r="N165" s="1736"/>
      <c r="O165" s="1739" t="s">
        <v>1723</v>
      </c>
      <c r="P165" s="1736"/>
      <c r="R165" s="1736"/>
      <c r="T165" s="1745"/>
      <c r="V165" s="1749"/>
      <c r="X165" s="1745"/>
      <c r="Z165" s="1736"/>
      <c r="AA165" s="1192"/>
      <c r="AB165" s="1189"/>
      <c r="AC165" s="1193"/>
      <c r="AD165" s="1193"/>
      <c r="AE165" s="1193"/>
      <c r="AF165" s="1190"/>
    </row>
    <row r="166" spans="1:34" s="1191" customFormat="1" ht="21">
      <c r="B166" s="1191" t="s">
        <v>32</v>
      </c>
      <c r="D166" s="1191" t="s">
        <v>1181</v>
      </c>
      <c r="E166" s="1784"/>
      <c r="F166" s="1191" t="s">
        <v>50</v>
      </c>
      <c r="H166" s="1191" t="s">
        <v>32</v>
      </c>
      <c r="J166" s="1191" t="s">
        <v>32</v>
      </c>
      <c r="L166" s="1191" t="s">
        <v>45</v>
      </c>
      <c r="N166" s="1191" t="s">
        <v>1426</v>
      </c>
      <c r="O166" s="1740"/>
      <c r="P166" s="1191" t="s">
        <v>1426</v>
      </c>
      <c r="R166" s="1191" t="s">
        <v>50</v>
      </c>
      <c r="T166" s="1191" t="s">
        <v>48</v>
      </c>
      <c r="V166" s="1191" t="s">
        <v>48</v>
      </c>
      <c r="X166" s="1191" t="s">
        <v>34</v>
      </c>
      <c r="Z166" s="1191" t="s">
        <v>43</v>
      </c>
      <c r="AA166" s="1192"/>
      <c r="AB166" s="1189"/>
      <c r="AC166" s="1189"/>
      <c r="AD166" s="1189"/>
      <c r="AE166" s="1189"/>
      <c r="AF166" s="1190"/>
    </row>
    <row r="167" spans="1:34" s="1191" customFormat="1" ht="42" customHeight="1">
      <c r="D167" s="1199"/>
      <c r="L167" s="1199" t="s">
        <v>1002</v>
      </c>
      <c r="N167" s="1199" t="s">
        <v>1002</v>
      </c>
      <c r="O167" s="1741"/>
      <c r="P167" s="1199" t="s">
        <v>1002</v>
      </c>
      <c r="R167" s="1199" t="s">
        <v>1002</v>
      </c>
      <c r="T167" s="1199" t="s">
        <v>1002</v>
      </c>
      <c r="V167" s="1199" t="s">
        <v>1002</v>
      </c>
      <c r="X167" s="1199" t="s">
        <v>1002</v>
      </c>
      <c r="Z167" s="1199" t="s">
        <v>1002</v>
      </c>
      <c r="AA167" s="1192"/>
      <c r="AB167" s="1193"/>
      <c r="AC167" s="1193"/>
      <c r="AD167" s="1193"/>
      <c r="AE167" s="1193"/>
      <c r="AF167" s="1194"/>
    </row>
    <row r="168" spans="1:34" s="1191" customFormat="1" ht="21">
      <c r="A168" s="1201"/>
      <c r="B168" s="1201" t="s">
        <v>1337</v>
      </c>
      <c r="C168" s="1201"/>
      <c r="D168" s="1201" t="s">
        <v>1338</v>
      </c>
      <c r="E168" s="1201"/>
      <c r="F168" s="1201" t="s">
        <v>1339</v>
      </c>
      <c r="G168" s="1201"/>
      <c r="H168" s="1201" t="s">
        <v>1340</v>
      </c>
      <c r="I168" s="1201"/>
      <c r="J168" s="1201" t="s">
        <v>1341</v>
      </c>
      <c r="K168" s="1201"/>
      <c r="L168" s="1201" t="s">
        <v>1342</v>
      </c>
      <c r="M168" s="1201"/>
      <c r="N168" s="1201" t="s">
        <v>1343</v>
      </c>
      <c r="O168" s="1201"/>
      <c r="P168" s="1201" t="s">
        <v>1344</v>
      </c>
      <c r="Q168" s="1201"/>
      <c r="R168" s="1201" t="s">
        <v>1345</v>
      </c>
      <c r="S168" s="1201"/>
      <c r="T168" s="1201" t="s">
        <v>1346</v>
      </c>
      <c r="U168" s="1201"/>
      <c r="V168" s="1201" t="s">
        <v>1347</v>
      </c>
      <c r="W168" s="1201"/>
      <c r="X168" s="1201" t="s">
        <v>1348</v>
      </c>
      <c r="Y168" s="1201"/>
      <c r="Z168" s="1201" t="s">
        <v>1349</v>
      </c>
      <c r="AA168" s="1202"/>
      <c r="AB168" s="1189"/>
      <c r="AC168" s="1193"/>
      <c r="AD168" s="1193"/>
      <c r="AE168" s="1193"/>
      <c r="AF168" s="1190"/>
    </row>
    <row r="169" spans="1:34" s="1191" customFormat="1" ht="21">
      <c r="AA169" s="1192"/>
      <c r="AB169" s="1189"/>
      <c r="AC169" s="1193"/>
      <c r="AD169" s="1193"/>
      <c r="AE169" s="1193"/>
      <c r="AF169" s="1190"/>
    </row>
    <row r="170" spans="1:34" s="1191" customFormat="1" ht="21">
      <c r="AA170" s="1192"/>
      <c r="AB170" s="1189"/>
      <c r="AC170" s="1193"/>
      <c r="AD170" s="1193"/>
      <c r="AE170" s="1193"/>
      <c r="AF170" s="1190"/>
    </row>
    <row r="171" spans="1:34" s="1191" customFormat="1" ht="21">
      <c r="B171" s="1744"/>
      <c r="C171" s="1217">
        <v>352.08</v>
      </c>
      <c r="D171" s="1735" t="s">
        <v>42</v>
      </c>
      <c r="E171" s="1217">
        <v>330</v>
      </c>
      <c r="F171" s="1744"/>
      <c r="G171" s="1217">
        <v>349.25</v>
      </c>
      <c r="H171" s="1735"/>
      <c r="I171" s="1217">
        <v>246</v>
      </c>
      <c r="J171" s="1744"/>
      <c r="K171" s="1217">
        <v>237</v>
      </c>
      <c r="L171" s="1750"/>
      <c r="M171" s="1217">
        <v>240</v>
      </c>
      <c r="N171" s="1779" t="s">
        <v>1822</v>
      </c>
      <c r="O171" s="1217">
        <v>272</v>
      </c>
      <c r="P171" s="1779" t="s">
        <v>1734</v>
      </c>
      <c r="Q171" s="1217">
        <v>342.61</v>
      </c>
      <c r="R171" s="1735"/>
      <c r="S171" s="1217">
        <v>326</v>
      </c>
      <c r="T171" s="1750" t="s">
        <v>42</v>
      </c>
      <c r="U171" s="1217">
        <v>328.58</v>
      </c>
      <c r="V171" s="1735"/>
      <c r="W171" s="1217">
        <v>305</v>
      </c>
      <c r="X171" s="1723"/>
      <c r="Y171" s="1217">
        <v>372</v>
      </c>
      <c r="Z171" s="1744"/>
      <c r="AA171" s="1215">
        <v>290</v>
      </c>
      <c r="AB171" s="1193">
        <f>SUM(C171:AA171)</f>
        <v>3990.52</v>
      </c>
      <c r="AC171" s="1193">
        <v>12</v>
      </c>
      <c r="AD171" s="1193">
        <v>12</v>
      </c>
      <c r="AE171" s="1193">
        <v>9</v>
      </c>
      <c r="AF171" s="1194">
        <v>0</v>
      </c>
      <c r="AG171" s="1191">
        <v>13</v>
      </c>
      <c r="AH171" s="1191">
        <f>AH164+AG171</f>
        <v>262</v>
      </c>
    </row>
    <row r="172" spans="1:34" s="1191" customFormat="1" ht="21">
      <c r="B172" s="1745"/>
      <c r="D172" s="1736"/>
      <c r="F172" s="1745"/>
      <c r="H172" s="1736"/>
      <c r="J172" s="1745"/>
      <c r="L172" s="1751"/>
      <c r="N172" s="1780"/>
      <c r="P172" s="1780"/>
      <c r="R172" s="1736"/>
      <c r="T172" s="1751"/>
      <c r="V172" s="1736"/>
      <c r="X172" s="1731"/>
      <c r="Z172" s="1745"/>
      <c r="AA172" s="1192"/>
      <c r="AB172" s="1189"/>
      <c r="AC172" s="1189"/>
      <c r="AD172" s="1189"/>
      <c r="AE172" s="1189"/>
      <c r="AF172" s="1190"/>
    </row>
    <row r="173" spans="1:34" s="1191" customFormat="1" ht="21">
      <c r="B173" s="1191" t="s">
        <v>32</v>
      </c>
      <c r="D173" s="1191" t="s">
        <v>50</v>
      </c>
      <c r="F173" s="1191" t="s">
        <v>48</v>
      </c>
      <c r="H173" s="1191" t="s">
        <v>50</v>
      </c>
      <c r="J173" s="1191" t="s">
        <v>32</v>
      </c>
      <c r="L173" s="1191" t="s">
        <v>32</v>
      </c>
      <c r="N173" s="1191" t="s">
        <v>32</v>
      </c>
      <c r="P173" s="1191" t="s">
        <v>49</v>
      </c>
      <c r="R173" s="1191" t="s">
        <v>53</v>
      </c>
      <c r="T173" s="1191" t="s">
        <v>49</v>
      </c>
      <c r="V173" s="1191" t="s">
        <v>43</v>
      </c>
      <c r="X173" s="1191" t="s">
        <v>48</v>
      </c>
      <c r="Z173" s="1191" t="s">
        <v>49</v>
      </c>
      <c r="AA173" s="1192"/>
      <c r="AB173" s="1189"/>
      <c r="AC173" s="1193"/>
      <c r="AD173" s="1193"/>
      <c r="AE173" s="1193"/>
      <c r="AF173" s="1190"/>
    </row>
    <row r="174" spans="1:34" s="1191" customFormat="1" ht="21">
      <c r="A174" s="1195"/>
      <c r="B174" s="1195"/>
      <c r="C174" s="1195"/>
      <c r="D174" s="1195"/>
      <c r="E174" s="1195"/>
      <c r="F174" s="1195"/>
      <c r="G174" s="1195"/>
      <c r="H174" s="1195"/>
      <c r="I174" s="1195"/>
      <c r="J174" s="1195"/>
      <c r="K174" s="1195"/>
      <c r="L174" s="1195"/>
      <c r="M174" s="1195"/>
      <c r="N174" s="1195"/>
      <c r="O174" s="1195"/>
      <c r="P174" s="1195"/>
      <c r="Q174" s="1195"/>
      <c r="R174" s="1195"/>
      <c r="S174" s="1195"/>
      <c r="T174" s="1195"/>
      <c r="U174" s="1195"/>
      <c r="V174" s="1195"/>
      <c r="W174" s="1195"/>
      <c r="X174" s="1200" t="s">
        <v>977</v>
      </c>
      <c r="Y174" s="1195"/>
      <c r="Z174" s="1195"/>
      <c r="AA174" s="1197"/>
      <c r="AB174" s="1189"/>
      <c r="AC174" s="1193"/>
      <c r="AD174" s="1193"/>
      <c r="AE174" s="1193"/>
      <c r="AF174" s="1190"/>
    </row>
    <row r="175" spans="1:34" s="1191" customFormat="1" ht="21">
      <c r="A175" s="1201"/>
      <c r="B175" s="1201" t="s">
        <v>1350</v>
      </c>
      <c r="C175" s="1201"/>
      <c r="D175" s="1201" t="s">
        <v>1351</v>
      </c>
      <c r="E175" s="1201"/>
      <c r="F175" s="1201" t="s">
        <v>1352</v>
      </c>
      <c r="G175" s="1201"/>
      <c r="H175" s="1201" t="s">
        <v>1353</v>
      </c>
      <c r="I175" s="1201"/>
      <c r="J175" s="1201" t="s">
        <v>1354</v>
      </c>
      <c r="K175" s="1201"/>
      <c r="L175" s="1201" t="s">
        <v>1355</v>
      </c>
      <c r="M175" s="1201"/>
      <c r="N175" s="1201" t="s">
        <v>1356</v>
      </c>
      <c r="O175" s="1201"/>
      <c r="P175" s="1201" t="s">
        <v>1357</v>
      </c>
      <c r="Q175" s="1201"/>
      <c r="R175" s="1201" t="s">
        <v>1358</v>
      </c>
      <c r="S175" s="1201"/>
      <c r="T175" s="1201" t="s">
        <v>1359</v>
      </c>
      <c r="U175" s="1201"/>
      <c r="V175" s="1201" t="s">
        <v>1360</v>
      </c>
      <c r="W175" s="1201"/>
      <c r="X175" s="1201" t="s">
        <v>1361</v>
      </c>
      <c r="Y175" s="1201"/>
      <c r="Z175" s="1201" t="s">
        <v>1362</v>
      </c>
      <c r="AA175" s="1202"/>
      <c r="AB175" s="1189"/>
      <c r="AC175" s="1193"/>
      <c r="AD175" s="1193"/>
      <c r="AE175" s="1193"/>
      <c r="AF175" s="1190"/>
    </row>
    <row r="176" spans="1:34" s="1191" customFormat="1" ht="21">
      <c r="AA176" s="1192"/>
      <c r="AB176" s="1189"/>
      <c r="AC176" s="1193"/>
      <c r="AD176" s="1193"/>
      <c r="AE176" s="1193"/>
      <c r="AF176" s="1190"/>
    </row>
    <row r="177" spans="1:34" s="1191" customFormat="1" ht="21">
      <c r="AA177" s="1192"/>
      <c r="AB177" s="1189"/>
      <c r="AC177" s="1189"/>
      <c r="AD177" s="1189"/>
      <c r="AE177" s="1189"/>
      <c r="AF177" s="1190"/>
    </row>
    <row r="178" spans="1:34" s="1191" customFormat="1" ht="21">
      <c r="B178" s="1744"/>
      <c r="C178" s="1217">
        <v>388.98</v>
      </c>
      <c r="D178" s="1735" t="s">
        <v>61</v>
      </c>
      <c r="E178" s="1217">
        <v>219.95</v>
      </c>
      <c r="F178" s="1735"/>
      <c r="G178" s="1217">
        <v>284</v>
      </c>
      <c r="H178" s="1744"/>
      <c r="I178" s="1217">
        <v>325.20999999999998</v>
      </c>
      <c r="J178" s="1735"/>
      <c r="K178" s="1217">
        <v>273.11</v>
      </c>
      <c r="L178" s="1735"/>
      <c r="M178" s="1217">
        <v>269.49</v>
      </c>
      <c r="N178" s="1735"/>
      <c r="O178" s="1217">
        <v>350</v>
      </c>
      <c r="P178" s="1744"/>
      <c r="Q178" s="1217">
        <v>275.45999999999998</v>
      </c>
      <c r="R178" s="1735"/>
      <c r="S178" s="1217">
        <v>346</v>
      </c>
      <c r="T178" s="1723"/>
      <c r="U178" s="1217">
        <v>314.56</v>
      </c>
      <c r="V178" s="1725"/>
      <c r="W178" s="1217">
        <v>136.47999999999999</v>
      </c>
      <c r="X178" s="1725"/>
      <c r="Y178" s="1217">
        <v>155.65</v>
      </c>
      <c r="Z178" s="1725"/>
      <c r="AA178" s="1215">
        <v>211</v>
      </c>
      <c r="AB178" s="1193">
        <f>SUM(C178:AA178)</f>
        <v>3549.89</v>
      </c>
      <c r="AC178" s="1193">
        <v>9</v>
      </c>
      <c r="AD178" s="1193">
        <v>8</v>
      </c>
      <c r="AE178" s="1193">
        <v>2</v>
      </c>
      <c r="AF178" s="1194">
        <v>0</v>
      </c>
      <c r="AG178" s="1191">
        <v>13</v>
      </c>
      <c r="AH178" s="1191">
        <f>AH171+AG178</f>
        <v>275</v>
      </c>
    </row>
    <row r="179" spans="1:34" s="1191" customFormat="1" ht="21">
      <c r="B179" s="1745"/>
      <c r="D179" s="1736"/>
      <c r="F179" s="1736"/>
      <c r="H179" s="1745"/>
      <c r="J179" s="1736"/>
      <c r="K179" s="1739" t="s">
        <v>1726</v>
      </c>
      <c r="L179" s="1736"/>
      <c r="N179" s="1736"/>
      <c r="P179" s="1745"/>
      <c r="R179" s="1736"/>
      <c r="T179" s="1731"/>
      <c r="V179" s="1726"/>
      <c r="W179" s="1785" t="s">
        <v>1725</v>
      </c>
      <c r="X179" s="1726"/>
      <c r="Z179" s="1726"/>
      <c r="AA179" s="1192"/>
      <c r="AB179" s="1193"/>
      <c r="AC179" s="1193"/>
      <c r="AD179" s="1193"/>
      <c r="AE179" s="1193"/>
      <c r="AF179" s="1194"/>
    </row>
    <row r="180" spans="1:34" s="1191" customFormat="1" ht="21">
      <c r="B180" s="1191" t="s">
        <v>49</v>
      </c>
      <c r="D180" s="1191" t="s">
        <v>50</v>
      </c>
      <c r="F180" s="1191" t="s">
        <v>1181</v>
      </c>
      <c r="H180" s="1220" t="s">
        <v>48</v>
      </c>
      <c r="I180" s="1220"/>
      <c r="J180" s="1220" t="s">
        <v>1426</v>
      </c>
      <c r="K180" s="1740"/>
      <c r="L180" s="1220" t="s">
        <v>1427</v>
      </c>
      <c r="M180" s="1220"/>
      <c r="N180" s="1220" t="s">
        <v>1425</v>
      </c>
      <c r="P180" s="1191" t="s">
        <v>48</v>
      </c>
      <c r="R180" s="1191" t="s">
        <v>53</v>
      </c>
      <c r="T180" s="1191" t="s">
        <v>49</v>
      </c>
      <c r="V180" s="1191" t="s">
        <v>43</v>
      </c>
      <c r="W180" s="1786"/>
      <c r="X180" s="1191" t="s">
        <v>1181</v>
      </c>
      <c r="Z180" s="1191" t="s">
        <v>1181</v>
      </c>
      <c r="AA180" s="1192"/>
      <c r="AB180" s="1189"/>
      <c r="AC180" s="1193"/>
      <c r="AD180" s="1193"/>
      <c r="AE180" s="1193"/>
      <c r="AF180" s="1190"/>
    </row>
    <row r="181" spans="1:34" s="1191" customFormat="1" ht="21">
      <c r="B181" s="1199"/>
      <c r="D181" s="1199"/>
      <c r="K181" s="1740"/>
      <c r="R181" s="1199"/>
      <c r="T181" s="1200" t="s">
        <v>977</v>
      </c>
      <c r="V181" s="1200" t="s">
        <v>977</v>
      </c>
      <c r="X181" s="1200" t="s">
        <v>977</v>
      </c>
      <c r="Z181" s="1200" t="s">
        <v>977</v>
      </c>
      <c r="AA181" s="1192"/>
      <c r="AB181" s="1193"/>
      <c r="AC181" s="1193"/>
      <c r="AD181" s="1193"/>
      <c r="AE181" s="1193"/>
      <c r="AF181" s="1194"/>
    </row>
    <row r="182" spans="1:34" s="1191" customFormat="1" ht="21">
      <c r="A182" s="1195"/>
      <c r="B182" s="1195"/>
      <c r="C182" s="1195"/>
      <c r="D182" s="1195"/>
      <c r="E182" s="1195"/>
      <c r="F182" s="1195"/>
      <c r="G182" s="1195"/>
      <c r="H182" s="1195"/>
      <c r="I182" s="1195"/>
      <c r="J182" s="1195"/>
      <c r="K182" s="1741"/>
      <c r="L182" s="1195"/>
      <c r="M182" s="1195"/>
      <c r="N182" s="1195"/>
      <c r="O182" s="1195"/>
      <c r="P182" s="1195"/>
      <c r="Q182" s="1195"/>
      <c r="R182" s="1195"/>
      <c r="S182" s="1195"/>
      <c r="T182" s="1195"/>
      <c r="U182" s="1195"/>
      <c r="V182" s="1195"/>
      <c r="W182" s="1195"/>
      <c r="X182" s="1195"/>
      <c r="Y182" s="1195"/>
      <c r="Z182" s="1195"/>
      <c r="AA182" s="1197"/>
      <c r="AB182" s="1189"/>
      <c r="AC182" s="1193"/>
      <c r="AD182" s="1193"/>
      <c r="AE182" s="1193"/>
      <c r="AF182" s="1190"/>
    </row>
    <row r="183" spans="1:34" s="1191" customFormat="1" ht="21">
      <c r="A183" s="1201"/>
      <c r="B183" s="1201" t="s">
        <v>1363</v>
      </c>
      <c r="C183" s="1201"/>
      <c r="D183" s="1201" t="s">
        <v>1364</v>
      </c>
      <c r="E183" s="1201"/>
      <c r="F183" s="1201" t="s">
        <v>1365</v>
      </c>
      <c r="G183" s="1201"/>
      <c r="H183" s="1201" t="s">
        <v>1366</v>
      </c>
      <c r="I183" s="1201"/>
      <c r="J183" s="1201" t="s">
        <v>1367</v>
      </c>
      <c r="K183" s="1201"/>
      <c r="L183" s="1201" t="s">
        <v>1368</v>
      </c>
      <c r="M183" s="1201"/>
      <c r="N183" s="1201" t="s">
        <v>1369</v>
      </c>
      <c r="O183" s="1201"/>
      <c r="P183" s="1201" t="s">
        <v>1370</v>
      </c>
      <c r="Q183" s="1201"/>
      <c r="R183" s="1201" t="s">
        <v>1371</v>
      </c>
      <c r="S183" s="1201"/>
      <c r="T183" s="1201" t="s">
        <v>1372</v>
      </c>
      <c r="U183" s="1201"/>
      <c r="V183" s="1201" t="s">
        <v>1373</v>
      </c>
      <c r="W183" s="1201"/>
      <c r="X183" s="1201" t="s">
        <v>1374</v>
      </c>
      <c r="Y183" s="1201"/>
      <c r="Z183" s="1201" t="s">
        <v>1375</v>
      </c>
      <c r="AA183" s="1202"/>
      <c r="AB183" s="1189"/>
      <c r="AC183" s="1189"/>
      <c r="AD183" s="1189"/>
      <c r="AE183" s="1189"/>
      <c r="AF183" s="1190"/>
    </row>
    <row r="184" spans="1:34" s="1191" customFormat="1" ht="21">
      <c r="AA184" s="1192"/>
      <c r="AB184" s="1189"/>
      <c r="AC184" s="1189"/>
      <c r="AD184" s="1189"/>
      <c r="AE184" s="1189"/>
      <c r="AF184" s="1190"/>
    </row>
    <row r="185" spans="1:34" s="1191" customFormat="1" ht="21">
      <c r="AA185" s="1192"/>
      <c r="AB185" s="1193"/>
      <c r="AC185" s="1193"/>
      <c r="AD185" s="1193"/>
      <c r="AE185" s="1193"/>
      <c r="AF185" s="1194"/>
    </row>
    <row r="186" spans="1:34" s="1191" customFormat="1" ht="21">
      <c r="B186" s="1723"/>
      <c r="C186" s="1217">
        <v>293.25</v>
      </c>
      <c r="D186" s="1725"/>
      <c r="E186" s="1219">
        <v>154.27000000000001</v>
      </c>
      <c r="F186" s="1725"/>
      <c r="G186" s="1217">
        <v>340.86</v>
      </c>
      <c r="H186" s="1735"/>
      <c r="I186" s="1217">
        <v>302</v>
      </c>
      <c r="J186" s="1744"/>
      <c r="K186" s="1217">
        <v>329</v>
      </c>
      <c r="L186" s="1744"/>
      <c r="M186" s="1217">
        <v>338.16</v>
      </c>
      <c r="N186" s="1735"/>
      <c r="O186" s="1217">
        <v>317</v>
      </c>
      <c r="P186" s="1744"/>
      <c r="Q186" s="1217">
        <v>364</v>
      </c>
      <c r="R186" s="1744"/>
      <c r="S186" s="1217">
        <v>311.74</v>
      </c>
      <c r="T186" s="1746"/>
      <c r="U186" s="1217">
        <v>308</v>
      </c>
      <c r="V186" s="1744"/>
      <c r="W186" s="1217">
        <v>335</v>
      </c>
      <c r="X186" s="1723"/>
      <c r="Y186" s="1217">
        <v>320</v>
      </c>
      <c r="Z186" s="1744"/>
      <c r="AA186" s="1215">
        <v>356</v>
      </c>
      <c r="AB186" s="1193">
        <f>SUM(C186:AA186)</f>
        <v>4069.2799999999997</v>
      </c>
      <c r="AC186" s="1193">
        <v>9</v>
      </c>
      <c r="AD186" s="1193">
        <v>7</v>
      </c>
      <c r="AE186" s="1193">
        <v>0</v>
      </c>
      <c r="AF186" s="1194">
        <v>0</v>
      </c>
      <c r="AG186" s="1191">
        <v>13</v>
      </c>
      <c r="AH186" s="1191">
        <f>AH178+AG186</f>
        <v>288</v>
      </c>
    </row>
    <row r="187" spans="1:34" s="1191" customFormat="1" ht="21">
      <c r="B187" s="1731"/>
      <c r="D187" s="1726"/>
      <c r="E187" s="1787" t="s">
        <v>1727</v>
      </c>
      <c r="F187" s="1726"/>
      <c r="H187" s="1736"/>
      <c r="J187" s="1745"/>
      <c r="L187" s="1745"/>
      <c r="N187" s="1736"/>
      <c r="P187" s="1745"/>
      <c r="R187" s="1745"/>
      <c r="T187" s="1747"/>
      <c r="V187" s="1745"/>
      <c r="X187" s="1731"/>
      <c r="Z187" s="1745"/>
      <c r="AA187" s="1192"/>
      <c r="AB187" s="1189"/>
      <c r="AC187" s="1193"/>
      <c r="AD187" s="1193"/>
      <c r="AE187" s="1193"/>
      <c r="AF187" s="1190"/>
    </row>
    <row r="188" spans="1:34" s="1191" customFormat="1" ht="21">
      <c r="B188" s="1191" t="s">
        <v>32</v>
      </c>
      <c r="D188" s="1191" t="s">
        <v>1423</v>
      </c>
      <c r="E188" s="1788"/>
      <c r="F188" s="1191" t="s">
        <v>1423</v>
      </c>
      <c r="H188" s="1191" t="s">
        <v>1425</v>
      </c>
      <c r="J188" s="1191" t="s">
        <v>32</v>
      </c>
      <c r="L188" s="1191" t="s">
        <v>34</v>
      </c>
      <c r="N188" s="1191" t="s">
        <v>1175</v>
      </c>
      <c r="P188" s="1191" t="s">
        <v>48</v>
      </c>
      <c r="R188" s="1191" t="s">
        <v>32</v>
      </c>
      <c r="T188" s="1191" t="s">
        <v>43</v>
      </c>
      <c r="V188" s="1191" t="s">
        <v>32</v>
      </c>
      <c r="X188" s="1191" t="s">
        <v>48</v>
      </c>
      <c r="Z188" s="1191" t="s">
        <v>48</v>
      </c>
      <c r="AA188" s="1192"/>
      <c r="AB188" s="1189"/>
      <c r="AC188" s="1189"/>
      <c r="AD188" s="1189"/>
      <c r="AE188" s="1189"/>
      <c r="AF188" s="1190"/>
    </row>
    <row r="189" spans="1:34" s="1191" customFormat="1" ht="21">
      <c r="B189" s="1212" t="s">
        <v>951</v>
      </c>
      <c r="D189" s="1212" t="s">
        <v>951</v>
      </c>
      <c r="E189" s="1222"/>
      <c r="F189" s="1212" t="s">
        <v>951</v>
      </c>
      <c r="AA189" s="1192"/>
      <c r="AB189" s="1189"/>
      <c r="AC189" s="1189"/>
      <c r="AD189" s="1189"/>
      <c r="AE189" s="1189"/>
      <c r="AF189" s="1190"/>
    </row>
    <row r="190" spans="1:34" s="1191" customFormat="1" ht="39">
      <c r="A190" s="1195"/>
      <c r="B190" s="1199" t="s">
        <v>1002</v>
      </c>
      <c r="C190" s="1195"/>
      <c r="D190" s="1195"/>
      <c r="E190" s="1195"/>
      <c r="F190" s="1195"/>
      <c r="G190" s="1195"/>
      <c r="H190" s="1195"/>
      <c r="I190" s="1195"/>
      <c r="J190" s="1195"/>
      <c r="K190" s="1195"/>
      <c r="L190" s="1195"/>
      <c r="M190" s="1195"/>
      <c r="N190" s="1195"/>
      <c r="O190" s="1195"/>
      <c r="P190" s="1195"/>
      <c r="Q190" s="1195"/>
      <c r="R190" s="1195"/>
      <c r="S190" s="1195"/>
      <c r="T190" s="1195"/>
      <c r="U190" s="1195"/>
      <c r="V190" s="1195"/>
      <c r="W190" s="1195"/>
      <c r="X190" s="1195"/>
      <c r="Y190" s="1195"/>
      <c r="Z190" s="1195"/>
      <c r="AA190" s="1197"/>
      <c r="AB190" s="1189"/>
      <c r="AC190" s="1189"/>
      <c r="AD190" s="1189"/>
      <c r="AE190" s="1189"/>
      <c r="AF190" s="1190"/>
    </row>
    <row r="191" spans="1:34" s="1191" customFormat="1" ht="21">
      <c r="A191" s="1201"/>
      <c r="B191" s="1201" t="s">
        <v>1376</v>
      </c>
      <c r="C191" s="1201"/>
      <c r="D191" s="1201" t="s">
        <v>1377</v>
      </c>
      <c r="E191" s="1201"/>
      <c r="F191" s="1201" t="s">
        <v>1378</v>
      </c>
      <c r="G191" s="1201"/>
      <c r="H191" s="1201" t="s">
        <v>1379</v>
      </c>
      <c r="I191" s="1201"/>
      <c r="J191" s="1201" t="s">
        <v>1380</v>
      </c>
      <c r="K191" s="1201"/>
      <c r="L191" s="1201" t="s">
        <v>1381</v>
      </c>
      <c r="M191" s="1201"/>
      <c r="N191" s="1201" t="s">
        <v>1382</v>
      </c>
      <c r="O191" s="1201"/>
      <c r="P191" s="1201" t="s">
        <v>1383</v>
      </c>
      <c r="Q191" s="1201"/>
      <c r="R191" s="1201" t="s">
        <v>1384</v>
      </c>
      <c r="S191" s="1201"/>
      <c r="T191" s="1201" t="s">
        <v>1385</v>
      </c>
      <c r="U191" s="1201"/>
      <c r="V191" s="1201" t="s">
        <v>1386</v>
      </c>
      <c r="W191" s="1201"/>
      <c r="X191" s="1201" t="s">
        <v>1387</v>
      </c>
      <c r="Y191" s="1201"/>
      <c r="Z191" s="1201" t="s">
        <v>1388</v>
      </c>
      <c r="AA191" s="1202"/>
      <c r="AB191" s="1193"/>
      <c r="AC191" s="1193"/>
      <c r="AD191" s="1193"/>
      <c r="AE191" s="1193"/>
      <c r="AF191" s="1194"/>
    </row>
    <row r="192" spans="1:34" s="1191" customFormat="1" ht="21">
      <c r="AA192" s="1192"/>
      <c r="AB192" s="1189"/>
      <c r="AC192" s="1193"/>
      <c r="AD192" s="1193"/>
      <c r="AE192" s="1193"/>
      <c r="AF192" s="1190"/>
    </row>
    <row r="193" spans="1:34" s="1191" customFormat="1" ht="21">
      <c r="AA193" s="1192"/>
      <c r="AB193" s="1189"/>
      <c r="AC193" s="1193"/>
      <c r="AD193" s="1193"/>
      <c r="AE193" s="1193"/>
      <c r="AF193" s="1190"/>
    </row>
    <row r="194" spans="1:34" s="1191" customFormat="1" ht="21">
      <c r="B194" s="1744"/>
      <c r="C194" s="1217">
        <v>306</v>
      </c>
      <c r="D194" s="1744"/>
      <c r="E194" s="1217">
        <v>302</v>
      </c>
      <c r="F194" s="1744"/>
      <c r="G194" s="1217">
        <v>336.74</v>
      </c>
      <c r="H194" s="1735"/>
      <c r="I194" s="1217">
        <v>340</v>
      </c>
      <c r="J194" s="1744"/>
      <c r="K194" s="1217">
        <v>357</v>
      </c>
      <c r="L194" s="1744"/>
      <c r="M194" s="1217">
        <v>341.48</v>
      </c>
      <c r="N194" s="1735"/>
      <c r="O194" s="1217">
        <v>376.98</v>
      </c>
      <c r="P194" s="1746"/>
      <c r="Q194" s="1217">
        <v>391.22</v>
      </c>
      <c r="R194" s="1725"/>
      <c r="S194" s="1217">
        <v>320</v>
      </c>
      <c r="T194" s="1744"/>
      <c r="U194" s="1217">
        <v>364</v>
      </c>
      <c r="V194" s="1744"/>
      <c r="W194" s="1217">
        <v>305.39999999999998</v>
      </c>
      <c r="X194" s="1735"/>
      <c r="Y194" s="1217">
        <v>283</v>
      </c>
      <c r="Z194" s="1789"/>
      <c r="AA194" s="1215">
        <v>279.69</v>
      </c>
      <c r="AB194" s="1193">
        <f>SUM(C194:AA194)</f>
        <v>4303.51</v>
      </c>
      <c r="AC194" s="1193">
        <v>12</v>
      </c>
      <c r="AD194" s="1193">
        <v>8</v>
      </c>
      <c r="AE194" s="1193">
        <v>0</v>
      </c>
      <c r="AF194" s="1194">
        <v>0</v>
      </c>
      <c r="AG194" s="1191">
        <v>13</v>
      </c>
      <c r="AH194" s="1191">
        <f>AH186+AG194</f>
        <v>301</v>
      </c>
    </row>
    <row r="195" spans="1:34" s="1191" customFormat="1" ht="21">
      <c r="B195" s="1745"/>
      <c r="D195" s="1745"/>
      <c r="F195" s="1745"/>
      <c r="H195" s="1736"/>
      <c r="J195" s="1745"/>
      <c r="L195" s="1745"/>
      <c r="N195" s="1736"/>
      <c r="P195" s="1747"/>
      <c r="R195" s="1726"/>
      <c r="T195" s="1745"/>
      <c r="V195" s="1745"/>
      <c r="X195" s="1736"/>
      <c r="Z195" s="1790"/>
      <c r="AA195" s="1192"/>
      <c r="AB195" s="1189"/>
      <c r="AC195" s="1193"/>
      <c r="AD195" s="1193"/>
      <c r="AE195" s="1193"/>
      <c r="AF195" s="1190"/>
    </row>
    <row r="196" spans="1:34" s="1191" customFormat="1" ht="21">
      <c r="B196" s="1191" t="s">
        <v>49</v>
      </c>
      <c r="D196" s="1191" t="s">
        <v>32</v>
      </c>
      <c r="F196" s="1191" t="s">
        <v>32</v>
      </c>
      <c r="H196" s="1191" t="s">
        <v>45</v>
      </c>
      <c r="J196" s="1191" t="s">
        <v>32</v>
      </c>
      <c r="L196" s="1191" t="s">
        <v>32</v>
      </c>
      <c r="N196" s="1191" t="s">
        <v>1425</v>
      </c>
      <c r="P196" s="1191" t="s">
        <v>1423</v>
      </c>
      <c r="R196" s="1191" t="s">
        <v>45</v>
      </c>
      <c r="T196" s="1191" t="s">
        <v>32</v>
      </c>
      <c r="V196" s="1191" t="s">
        <v>48</v>
      </c>
      <c r="X196" s="1191" t="s">
        <v>1181</v>
      </c>
      <c r="Z196" s="1191" t="s">
        <v>1175</v>
      </c>
      <c r="AA196" s="1192"/>
      <c r="AB196" s="1189"/>
      <c r="AC196" s="1189"/>
      <c r="AD196" s="1189"/>
      <c r="AE196" s="1189"/>
      <c r="AF196" s="1190"/>
    </row>
    <row r="197" spans="1:34" s="1191" customFormat="1" ht="21">
      <c r="A197" s="1195"/>
      <c r="B197" s="1195"/>
      <c r="C197" s="1195"/>
      <c r="D197" s="1195"/>
      <c r="E197" s="1195"/>
      <c r="F197" s="1195"/>
      <c r="G197" s="1195"/>
      <c r="H197" s="1195"/>
      <c r="I197" s="1195"/>
      <c r="J197" s="1195"/>
      <c r="K197" s="1195"/>
      <c r="L197" s="1195"/>
      <c r="M197" s="1195"/>
      <c r="N197" s="1195"/>
      <c r="O197" s="1195"/>
      <c r="P197" s="1195"/>
      <c r="Q197" s="1195"/>
      <c r="R197" s="1195"/>
      <c r="S197" s="1195"/>
      <c r="T197" s="1195"/>
      <c r="U197" s="1195"/>
      <c r="V197" s="1195"/>
      <c r="W197" s="1195"/>
      <c r="X197" s="1195"/>
      <c r="Y197" s="1195"/>
      <c r="Z197" s="1195"/>
      <c r="AA197" s="1197"/>
      <c r="AB197" s="1193"/>
      <c r="AC197" s="1193"/>
      <c r="AD197" s="1193"/>
      <c r="AE197" s="1193"/>
      <c r="AF197" s="1194"/>
    </row>
    <row r="198" spans="1:34" s="1191" customFormat="1" ht="21">
      <c r="A198" s="1201"/>
      <c r="B198" s="1201" t="s">
        <v>1428</v>
      </c>
      <c r="C198" s="1201"/>
      <c r="D198" s="1201" t="s">
        <v>1389</v>
      </c>
      <c r="E198" s="1201"/>
      <c r="F198" s="1201" t="s">
        <v>1390</v>
      </c>
      <c r="G198" s="1201"/>
      <c r="H198" s="1201" t="s">
        <v>1391</v>
      </c>
      <c r="I198" s="1201"/>
      <c r="J198" s="1201" t="s">
        <v>1433</v>
      </c>
      <c r="K198" s="1201"/>
      <c r="L198" s="1201" t="s">
        <v>1392</v>
      </c>
      <c r="M198" s="1201"/>
      <c r="N198" s="1201" t="s">
        <v>1393</v>
      </c>
      <c r="O198" s="1201"/>
      <c r="P198" s="1201" t="s">
        <v>1394</v>
      </c>
      <c r="Q198" s="1201"/>
      <c r="R198" s="1201" t="s">
        <v>1395</v>
      </c>
      <c r="S198" s="1201"/>
      <c r="T198" s="1201" t="s">
        <v>1396</v>
      </c>
      <c r="U198" s="1201"/>
      <c r="V198" s="1201" t="s">
        <v>1397</v>
      </c>
      <c r="W198" s="1201"/>
      <c r="X198" s="1201" t="s">
        <v>1398</v>
      </c>
      <c r="Y198" s="1201"/>
      <c r="Z198" s="1201" t="s">
        <v>1434</v>
      </c>
      <c r="AA198" s="1202"/>
      <c r="AB198" s="1189"/>
      <c r="AC198" s="1189"/>
      <c r="AD198" s="1189"/>
      <c r="AE198" s="1189"/>
      <c r="AF198" s="1190"/>
    </row>
    <row r="199" spans="1:34" s="1191" customFormat="1" ht="21">
      <c r="AA199" s="1192"/>
      <c r="AB199" s="1189"/>
      <c r="AC199" s="1189"/>
      <c r="AD199" s="1189"/>
      <c r="AE199" s="1189"/>
      <c r="AF199" s="1190"/>
    </row>
    <row r="200" spans="1:34" s="1191" customFormat="1" ht="21">
      <c r="AA200" s="1192"/>
      <c r="AB200" s="1193"/>
      <c r="AC200" s="1193"/>
      <c r="AD200" s="1193"/>
      <c r="AE200" s="1193"/>
      <c r="AF200" s="1194"/>
    </row>
    <row r="201" spans="1:34" s="1191" customFormat="1" ht="21">
      <c r="B201" s="1735"/>
      <c r="C201" s="1217">
        <v>221.09</v>
      </c>
      <c r="D201" s="1735"/>
      <c r="E201" s="1217">
        <v>326.43</v>
      </c>
      <c r="F201" s="1735"/>
      <c r="G201" s="1217">
        <v>367.89</v>
      </c>
      <c r="H201" s="1767"/>
      <c r="I201" s="1217">
        <v>206.08</v>
      </c>
      <c r="J201" s="1735"/>
      <c r="K201" s="1217">
        <v>300</v>
      </c>
      <c r="L201" s="1735"/>
      <c r="M201" s="1217">
        <v>307.98</v>
      </c>
      <c r="N201" s="1767"/>
      <c r="O201" s="1217">
        <v>303.20999999999998</v>
      </c>
      <c r="P201" s="1769"/>
      <c r="Q201" s="1217">
        <v>348.78</v>
      </c>
      <c r="R201" s="1769"/>
      <c r="S201" s="1217">
        <v>265</v>
      </c>
      <c r="T201" s="1744"/>
      <c r="U201" s="1217">
        <v>255</v>
      </c>
      <c r="V201" s="1744"/>
      <c r="W201" s="1217">
        <v>235.13</v>
      </c>
      <c r="X201" s="1746"/>
      <c r="Y201" s="1217">
        <v>347.38</v>
      </c>
      <c r="Z201" s="1735"/>
      <c r="AA201" s="1215">
        <v>341.94</v>
      </c>
      <c r="AB201" s="1193">
        <f>SUM(C201:AA201)</f>
        <v>3825.9100000000003</v>
      </c>
      <c r="AC201" s="1193">
        <v>11</v>
      </c>
      <c r="AD201" s="1193">
        <v>9</v>
      </c>
      <c r="AE201" s="1193">
        <v>0</v>
      </c>
      <c r="AF201" s="1194">
        <v>0</v>
      </c>
      <c r="AG201" s="1191">
        <v>13</v>
      </c>
      <c r="AH201" s="1191">
        <f>AH194+AG201</f>
        <v>314</v>
      </c>
    </row>
    <row r="202" spans="1:34" s="1191" customFormat="1" ht="21">
      <c r="B202" s="1736"/>
      <c r="C202" s="1754" t="s">
        <v>1728</v>
      </c>
      <c r="D202" s="1736"/>
      <c r="F202" s="1736"/>
      <c r="H202" s="1768"/>
      <c r="I202" s="1754" t="s">
        <v>1729</v>
      </c>
      <c r="J202" s="1736"/>
      <c r="L202" s="1736"/>
      <c r="N202" s="1768"/>
      <c r="P202" s="1770"/>
      <c r="R202" s="1770"/>
      <c r="T202" s="1745"/>
      <c r="V202" s="1745"/>
      <c r="X202" s="1747"/>
      <c r="Z202" s="1736"/>
      <c r="AA202" s="1192"/>
      <c r="AB202" s="1189"/>
      <c r="AC202" s="1193"/>
      <c r="AD202" s="1193"/>
      <c r="AE202" s="1193"/>
      <c r="AF202" s="1190"/>
    </row>
    <row r="203" spans="1:34" s="1191" customFormat="1" ht="21">
      <c r="B203" s="1191" t="s">
        <v>1427</v>
      </c>
      <c r="C203" s="1755"/>
      <c r="D203" s="1191" t="s">
        <v>1427</v>
      </c>
      <c r="F203" s="1191" t="s">
        <v>50</v>
      </c>
      <c r="H203" s="1191" t="s">
        <v>1427</v>
      </c>
      <c r="I203" s="1755"/>
      <c r="J203" s="1191" t="s">
        <v>1427</v>
      </c>
      <c r="L203" s="1191" t="s">
        <v>1175</v>
      </c>
      <c r="N203" s="1191" t="s">
        <v>43</v>
      </c>
      <c r="P203" s="1191" t="s">
        <v>1423</v>
      </c>
      <c r="R203" s="1191" t="s">
        <v>1181</v>
      </c>
      <c r="T203" s="1191" t="s">
        <v>34</v>
      </c>
      <c r="V203" s="1191" t="s">
        <v>32</v>
      </c>
      <c r="X203" s="1191" t="s">
        <v>57</v>
      </c>
      <c r="Z203" s="1191" t="s">
        <v>1425</v>
      </c>
      <c r="AA203" s="1192"/>
      <c r="AB203" s="1189"/>
      <c r="AC203" s="1189"/>
      <c r="AD203" s="1189"/>
      <c r="AE203" s="1189"/>
      <c r="AF203" s="1190"/>
    </row>
    <row r="204" spans="1:34" s="1191" customFormat="1" ht="21">
      <c r="A204" s="1195"/>
      <c r="B204" s="1195"/>
      <c r="C204" s="1756"/>
      <c r="D204" s="1195"/>
      <c r="E204" s="1195"/>
      <c r="F204" s="1195"/>
      <c r="G204" s="1195"/>
      <c r="H204" s="1195"/>
      <c r="I204" s="1756"/>
      <c r="J204" s="1195"/>
      <c r="K204" s="1195"/>
      <c r="L204" s="1195"/>
      <c r="M204" s="1195"/>
      <c r="N204" s="1200" t="s">
        <v>977</v>
      </c>
      <c r="O204" s="1195"/>
      <c r="P204" s="1195"/>
      <c r="Q204" s="1195"/>
      <c r="R204" s="1195"/>
      <c r="S204" s="1195"/>
      <c r="T204" s="1195"/>
      <c r="U204" s="1195"/>
      <c r="V204" s="1195"/>
      <c r="W204" s="1195"/>
      <c r="X204" s="1195"/>
      <c r="Y204" s="1195"/>
      <c r="Z204" s="1195"/>
      <c r="AA204" s="1197"/>
      <c r="AB204" s="1189"/>
      <c r="AC204" s="1189"/>
      <c r="AD204" s="1189"/>
      <c r="AE204" s="1189"/>
      <c r="AF204" s="1190"/>
    </row>
    <row r="205" spans="1:34" s="1191" customFormat="1" ht="21">
      <c r="A205" s="1201"/>
      <c r="B205" s="1201" t="s">
        <v>1400</v>
      </c>
      <c r="C205" s="1201"/>
      <c r="D205" s="1201" t="s">
        <v>1401</v>
      </c>
      <c r="E205" s="1201"/>
      <c r="F205" s="1201" t="s">
        <v>1402</v>
      </c>
      <c r="G205" s="1201"/>
      <c r="H205" s="1201" t="s">
        <v>1403</v>
      </c>
      <c r="I205" s="1201"/>
      <c r="J205" s="1201" t="s">
        <v>1404</v>
      </c>
      <c r="K205" s="1201"/>
      <c r="L205" s="1201" t="s">
        <v>1405</v>
      </c>
      <c r="M205" s="1201"/>
      <c r="N205" s="1201" t="s">
        <v>1406</v>
      </c>
      <c r="O205" s="1201"/>
      <c r="P205" s="1201" t="s">
        <v>1407</v>
      </c>
      <c r="Q205" s="1201"/>
      <c r="R205" s="1201" t="s">
        <v>1408</v>
      </c>
      <c r="S205" s="1201"/>
      <c r="T205" s="1201" t="s">
        <v>1409</v>
      </c>
      <c r="U205" s="1201"/>
      <c r="V205" s="1201" t="s">
        <v>1410</v>
      </c>
      <c r="W205" s="1201"/>
      <c r="X205" s="1201" t="s">
        <v>1411</v>
      </c>
      <c r="Y205" s="1201"/>
      <c r="Z205" s="1201" t="s">
        <v>1412</v>
      </c>
      <c r="AA205" s="1202"/>
      <c r="AB205" s="1193"/>
      <c r="AC205" s="1193"/>
      <c r="AD205" s="1193"/>
      <c r="AE205" s="1193"/>
      <c r="AF205" s="1194"/>
    </row>
    <row r="206" spans="1:34" s="1191" customFormat="1" ht="21">
      <c r="AA206" s="1192"/>
      <c r="AB206" s="1189"/>
      <c r="AC206" s="1193"/>
      <c r="AD206" s="1193"/>
      <c r="AE206" s="1193"/>
      <c r="AF206" s="1190"/>
    </row>
    <row r="207" spans="1:34" s="1191" customFormat="1" ht="21">
      <c r="AA207" s="1192"/>
      <c r="AB207" s="1189"/>
      <c r="AC207" s="1193"/>
      <c r="AD207" s="1193"/>
      <c r="AE207" s="1193"/>
      <c r="AF207" s="1190"/>
    </row>
    <row r="208" spans="1:34" s="1191" customFormat="1" ht="21">
      <c r="B208" s="1735"/>
      <c r="C208" s="1217">
        <v>97.17</v>
      </c>
      <c r="D208" s="1735"/>
      <c r="E208" s="1217">
        <v>280</v>
      </c>
      <c r="F208" s="1744"/>
      <c r="G208" s="1217">
        <v>315</v>
      </c>
      <c r="H208" s="1744"/>
      <c r="I208" s="1217">
        <v>347</v>
      </c>
      <c r="J208" s="1744"/>
      <c r="K208" s="1217">
        <v>351.91</v>
      </c>
      <c r="L208" s="1735"/>
      <c r="M208" s="1217">
        <v>220</v>
      </c>
      <c r="N208" s="1744"/>
      <c r="O208" s="1217">
        <v>260.02999999999997</v>
      </c>
      <c r="P208" s="1735"/>
      <c r="Q208" s="1217">
        <v>251</v>
      </c>
      <c r="R208" s="1744"/>
      <c r="S208" s="1217">
        <v>193.67</v>
      </c>
      <c r="T208" s="1735"/>
      <c r="U208" s="1217">
        <v>325</v>
      </c>
      <c r="V208" s="1744"/>
      <c r="W208" s="1217">
        <v>341</v>
      </c>
      <c r="X208" s="1744"/>
      <c r="Y208" s="1217">
        <v>343.38</v>
      </c>
      <c r="Z208" s="1746"/>
      <c r="AA208" s="1215">
        <v>261</v>
      </c>
      <c r="AB208" s="1193">
        <f>SUM(C208:AA208)</f>
        <v>3586.1600000000003</v>
      </c>
      <c r="AC208" s="1193">
        <v>13</v>
      </c>
      <c r="AD208" s="1193">
        <v>4</v>
      </c>
      <c r="AE208" s="1193">
        <v>0</v>
      </c>
      <c r="AF208" s="1194">
        <v>0</v>
      </c>
      <c r="AG208" s="1191">
        <v>13</v>
      </c>
      <c r="AH208" s="1191">
        <f>AH201+AG208</f>
        <v>327</v>
      </c>
    </row>
    <row r="209" spans="1:34" s="1191" customFormat="1" ht="21">
      <c r="B209" s="1736"/>
      <c r="D209" s="1736"/>
      <c r="F209" s="1745"/>
      <c r="H209" s="1745"/>
      <c r="J209" s="1745"/>
      <c r="L209" s="1736"/>
      <c r="N209" s="1745"/>
      <c r="P209" s="1736"/>
      <c r="R209" s="1745"/>
      <c r="T209" s="1736"/>
      <c r="V209" s="1745"/>
      <c r="X209" s="1745"/>
      <c r="Z209" s="1747"/>
      <c r="AA209" s="1192"/>
      <c r="AB209" s="1189"/>
      <c r="AC209" s="1193"/>
      <c r="AD209" s="1193"/>
      <c r="AE209" s="1193"/>
      <c r="AF209" s="1190"/>
    </row>
    <row r="210" spans="1:34" s="1191" customFormat="1" ht="21">
      <c r="B210" s="1191" t="s">
        <v>45</v>
      </c>
      <c r="D210" s="1191" t="s">
        <v>43</v>
      </c>
      <c r="F210" s="1191" t="s">
        <v>32</v>
      </c>
      <c r="H210" s="1191" t="s">
        <v>32</v>
      </c>
      <c r="J210" s="1191" t="s">
        <v>48</v>
      </c>
      <c r="L210" s="1191" t="s">
        <v>1181</v>
      </c>
      <c r="N210" s="1191" t="s">
        <v>32</v>
      </c>
      <c r="P210" s="1191" t="s">
        <v>1181</v>
      </c>
      <c r="R210" s="1191" t="s">
        <v>32</v>
      </c>
      <c r="T210" s="1191" t="s">
        <v>45</v>
      </c>
      <c r="V210" s="1191" t="s">
        <v>49</v>
      </c>
      <c r="X210" s="1191" t="s">
        <v>48</v>
      </c>
      <c r="Z210" s="1191" t="s">
        <v>1170</v>
      </c>
      <c r="AA210" s="1192"/>
      <c r="AB210" s="1189"/>
      <c r="AC210" s="1189"/>
      <c r="AD210" s="1189"/>
      <c r="AE210" s="1189"/>
      <c r="AF210" s="1190"/>
    </row>
    <row r="211" spans="1:34" s="1191" customFormat="1" ht="21">
      <c r="A211" s="1195"/>
      <c r="B211" s="1195"/>
      <c r="C211" s="1195"/>
      <c r="D211" s="1195"/>
      <c r="E211" s="1195"/>
      <c r="F211" s="1195"/>
      <c r="G211" s="1195"/>
      <c r="H211" s="1195"/>
      <c r="I211" s="1195"/>
      <c r="J211" s="1195"/>
      <c r="K211" s="1195"/>
      <c r="L211" s="1195"/>
      <c r="M211" s="1195"/>
      <c r="N211" s="1195"/>
      <c r="O211" s="1195"/>
      <c r="P211" s="1195"/>
      <c r="Q211" s="1195"/>
      <c r="R211" s="1195"/>
      <c r="S211" s="1195"/>
      <c r="T211" s="1195"/>
      <c r="U211" s="1195"/>
      <c r="V211" s="1195"/>
      <c r="W211" s="1195"/>
      <c r="X211" s="1195"/>
      <c r="Y211" s="1195"/>
      <c r="Z211" s="1195"/>
      <c r="AA211" s="1197"/>
      <c r="AB211" s="1193"/>
      <c r="AC211" s="1193"/>
      <c r="AD211" s="1193"/>
      <c r="AE211" s="1193"/>
      <c r="AF211" s="1194"/>
    </row>
    <row r="212" spans="1:34" s="1191" customFormat="1" ht="21">
      <c r="A212" s="1201"/>
      <c r="B212" s="1201" t="s">
        <v>1413</v>
      </c>
      <c r="C212" s="1201"/>
      <c r="D212" s="1201" t="s">
        <v>1414</v>
      </c>
      <c r="E212" s="1201"/>
      <c r="F212" s="1201" t="s">
        <v>1415</v>
      </c>
      <c r="G212" s="1201"/>
      <c r="H212" s="1201" t="s">
        <v>1416</v>
      </c>
      <c r="I212" s="1201"/>
      <c r="J212" s="1201" t="s">
        <v>1417</v>
      </c>
      <c r="K212" s="1201"/>
      <c r="L212" s="1201" t="s">
        <v>1418</v>
      </c>
      <c r="M212" s="1201"/>
      <c r="N212" s="1201" t="s">
        <v>1419</v>
      </c>
      <c r="O212" s="1201"/>
      <c r="P212" s="1201" t="s">
        <v>1420</v>
      </c>
      <c r="Q212" s="1201"/>
      <c r="R212" s="1201" t="s">
        <v>1421</v>
      </c>
      <c r="S212" s="1201"/>
      <c r="T212" s="1201" t="s">
        <v>1422</v>
      </c>
      <c r="U212" s="1201"/>
      <c r="V212" s="1201" t="s">
        <v>1713</v>
      </c>
      <c r="W212" s="1201"/>
      <c r="X212" s="1201" t="s">
        <v>1714</v>
      </c>
      <c r="Y212" s="1201" t="s">
        <v>1715</v>
      </c>
      <c r="Z212" s="1201" t="s">
        <v>1716</v>
      </c>
      <c r="AA212" s="1202" t="s">
        <v>1214</v>
      </c>
      <c r="AB212" s="1193"/>
      <c r="AC212" s="1193"/>
      <c r="AD212" s="1193"/>
      <c r="AE212" s="1193"/>
      <c r="AF212" s="1194"/>
    </row>
    <row r="213" spans="1:34" s="1191" customFormat="1" ht="21">
      <c r="AA213" s="1192"/>
      <c r="AB213" s="1189"/>
      <c r="AC213" s="1193"/>
      <c r="AD213" s="1193"/>
      <c r="AE213" s="1193"/>
      <c r="AF213" s="1190"/>
    </row>
    <row r="214" spans="1:34" s="1191" customFormat="1" ht="21">
      <c r="AA214" s="1192"/>
      <c r="AB214" s="1189"/>
      <c r="AC214" s="1193"/>
      <c r="AD214" s="1193"/>
      <c r="AE214" s="1193"/>
      <c r="AF214" s="1190"/>
    </row>
    <row r="215" spans="1:34" s="1191" customFormat="1" ht="21">
      <c r="B215" s="1744"/>
      <c r="C215" s="1209">
        <v>307</v>
      </c>
      <c r="D215" s="1744"/>
      <c r="E215" s="1209">
        <v>341</v>
      </c>
      <c r="F215" s="1744"/>
      <c r="G215" s="1209">
        <v>355.57</v>
      </c>
      <c r="H215" s="1735"/>
      <c r="I215" s="1209">
        <v>232.9</v>
      </c>
      <c r="J215" s="1735"/>
      <c r="K215" s="1209">
        <v>364</v>
      </c>
      <c r="L215" s="1748"/>
      <c r="M215" s="1209">
        <v>280</v>
      </c>
      <c r="N215" s="1744"/>
      <c r="O215" s="1209">
        <v>253</v>
      </c>
      <c r="P215" s="1744"/>
      <c r="Q215" s="1209">
        <v>291.60000000000002</v>
      </c>
      <c r="R215" s="1767"/>
      <c r="S215" s="1209">
        <v>270.60000000000002</v>
      </c>
      <c r="T215" s="1725"/>
      <c r="U215" s="1209">
        <v>225</v>
      </c>
      <c r="V215" s="1723"/>
      <c r="W215" s="1209">
        <v>304.23</v>
      </c>
      <c r="X215" s="1721"/>
      <c r="Y215" s="1209">
        <v>254.29</v>
      </c>
      <c r="Z215" s="1209">
        <v>177.25</v>
      </c>
      <c r="AA215" s="1192">
        <v>89.74</v>
      </c>
      <c r="AB215" s="1193">
        <f>SUM(C215:AA215)</f>
        <v>3746.18</v>
      </c>
      <c r="AC215" s="1193">
        <v>8</v>
      </c>
      <c r="AD215" s="1193">
        <v>2</v>
      </c>
      <c r="AE215" s="1193">
        <v>0</v>
      </c>
      <c r="AF215" s="1194">
        <v>0</v>
      </c>
      <c r="AG215" s="1191">
        <v>9</v>
      </c>
      <c r="AH215" s="1191">
        <f>AH208+AG215</f>
        <v>336</v>
      </c>
    </row>
    <row r="216" spans="1:34" s="1191" customFormat="1" ht="21">
      <c r="B216" s="1745"/>
      <c r="D216" s="1745"/>
      <c r="F216" s="1745"/>
      <c r="H216" s="1736"/>
      <c r="I216" s="1754" t="s">
        <v>1730</v>
      </c>
      <c r="J216" s="1736"/>
      <c r="L216" s="1749"/>
      <c r="N216" s="1745"/>
      <c r="P216" s="1745"/>
      <c r="R216" s="1768"/>
      <c r="T216" s="1726"/>
      <c r="V216" s="1731"/>
      <c r="X216" s="1722"/>
      <c r="AA216" s="1192"/>
      <c r="AB216" s="1189"/>
      <c r="AC216" s="1193"/>
      <c r="AD216" s="1193"/>
      <c r="AE216" s="1193"/>
      <c r="AF216" s="1190"/>
    </row>
    <row r="217" spans="1:34" s="1191" customFormat="1" ht="21">
      <c r="B217" s="1191" t="s">
        <v>32</v>
      </c>
      <c r="D217" s="1191" t="s">
        <v>48</v>
      </c>
      <c r="F217" s="1191" t="s">
        <v>48</v>
      </c>
      <c r="H217" s="1191" t="s">
        <v>1426</v>
      </c>
      <c r="I217" s="1755"/>
      <c r="J217" s="1191" t="s">
        <v>1426</v>
      </c>
      <c r="L217" s="1191" t="s">
        <v>48</v>
      </c>
      <c r="N217" s="1191" t="s">
        <v>32</v>
      </c>
      <c r="P217" s="1191" t="s">
        <v>34</v>
      </c>
      <c r="R217" s="1191" t="s">
        <v>50</v>
      </c>
      <c r="T217" s="1191" t="s">
        <v>50</v>
      </c>
      <c r="V217" s="1191" t="s">
        <v>49</v>
      </c>
      <c r="X217" s="1191" t="s">
        <v>1712</v>
      </c>
      <c r="AA217" s="1192"/>
      <c r="AB217" s="1189"/>
      <c r="AC217" s="1189"/>
      <c r="AD217" s="1189"/>
      <c r="AE217" s="1189"/>
      <c r="AF217" s="1190"/>
    </row>
    <row r="218" spans="1:34" s="1191" customFormat="1" ht="21.75" thickBot="1">
      <c r="A218" s="1223"/>
      <c r="B218" s="1223"/>
      <c r="C218" s="1223"/>
      <c r="D218" s="1223"/>
      <c r="E218" s="1223"/>
      <c r="F218" s="1223"/>
      <c r="G218" s="1223"/>
      <c r="H218" s="1223"/>
      <c r="I218" s="1791"/>
      <c r="J218" s="1223"/>
      <c r="K218" s="1223"/>
      <c r="L218" s="1223"/>
      <c r="M218" s="1223"/>
      <c r="N218" s="1223"/>
      <c r="O218" s="1223"/>
      <c r="P218" s="1223"/>
      <c r="Q218" s="1223"/>
      <c r="R218" s="1223"/>
      <c r="S218" s="1224"/>
      <c r="T218" s="1198" t="s">
        <v>951</v>
      </c>
      <c r="U218" s="1223"/>
      <c r="V218" s="1198" t="s">
        <v>951</v>
      </c>
      <c r="W218" s="1223"/>
      <c r="X218" s="1198" t="s">
        <v>951</v>
      </c>
      <c r="Y218" s="1224"/>
      <c r="Z218" s="1223"/>
      <c r="AA218" s="1225"/>
      <c r="AB218" s="1193"/>
      <c r="AC218" s="1193"/>
      <c r="AD218" s="1193"/>
      <c r="AE218" s="1193"/>
      <c r="AF218" s="1194"/>
    </row>
    <row r="219" spans="1:34" s="1065" customFormat="1" ht="32.25" customHeight="1">
      <c r="A219" s="1792"/>
      <c r="B219" s="1792"/>
      <c r="C219" s="1792"/>
      <c r="D219" s="1792"/>
      <c r="E219" s="1792"/>
      <c r="F219" s="1792"/>
      <c r="G219" s="1792"/>
      <c r="H219" s="1792"/>
      <c r="I219" s="1792"/>
      <c r="J219" s="1792"/>
      <c r="K219" s="1792"/>
      <c r="L219" s="1792"/>
      <c r="M219" s="1792"/>
      <c r="N219" s="1792"/>
      <c r="O219" s="1792"/>
      <c r="P219" s="1792"/>
      <c r="Q219" s="1792"/>
      <c r="R219" s="1792"/>
      <c r="S219" s="1792"/>
      <c r="T219" s="1792"/>
      <c r="U219" s="1792"/>
      <c r="V219" s="1792"/>
      <c r="W219" s="1792"/>
      <c r="X219" s="1792"/>
      <c r="Y219" s="1792"/>
      <c r="Z219" s="1792"/>
      <c r="AA219" s="1793"/>
      <c r="AB219" s="388">
        <f>SUM(AB20:AB218)/1000</f>
        <v>101.10105999999999</v>
      </c>
      <c r="AC219" s="389">
        <f>SUM(AC20:AC218)</f>
        <v>202</v>
      </c>
      <c r="AD219" s="389">
        <f>SUM(AD20:AD218)</f>
        <v>144</v>
      </c>
      <c r="AE219" s="389">
        <f>SUM(AE20:AE218)</f>
        <v>84</v>
      </c>
      <c r="AF219" s="848">
        <f>SUM(AF20:AF218)</f>
        <v>3199.8599999999997</v>
      </c>
      <c r="AG219" s="848">
        <f>SUM(AG20:AG218)</f>
        <v>336</v>
      </c>
    </row>
    <row r="220" spans="1:34" s="1065" customFormat="1" ht="18.75" customHeight="1">
      <c r="A220" s="1794"/>
      <c r="B220" s="1794"/>
      <c r="C220" s="1794"/>
      <c r="D220" s="1794"/>
      <c r="E220" s="1794"/>
      <c r="F220" s="1794"/>
      <c r="G220" s="1794"/>
      <c r="H220" s="1794"/>
      <c r="I220" s="1794"/>
      <c r="J220" s="1794"/>
      <c r="K220" s="1794"/>
      <c r="L220" s="1794"/>
      <c r="M220" s="1794"/>
      <c r="N220" s="1794"/>
      <c r="O220" s="1794"/>
      <c r="P220" s="1794"/>
      <c r="Q220" s="1794"/>
      <c r="R220" s="1794"/>
      <c r="S220" s="1794"/>
      <c r="T220" s="1794"/>
      <c r="U220" s="1794"/>
      <c r="V220" s="1794"/>
      <c r="W220" s="1794"/>
      <c r="X220" s="1794"/>
      <c r="Y220" s="1794"/>
      <c r="Z220" s="1794"/>
      <c r="AA220" s="1794"/>
      <c r="AB220" s="1794"/>
      <c r="AC220" s="1794"/>
      <c r="AD220" s="1794"/>
      <c r="AE220" s="1794"/>
      <c r="AF220" s="1794"/>
    </row>
    <row r="221" spans="1:34" s="584" customFormat="1" ht="12.75">
      <c r="H221" s="584" t="s">
        <v>951</v>
      </c>
      <c r="L221" s="585"/>
      <c r="M221" s="585"/>
    </row>
    <row r="222" spans="1:34" s="1079" customFormat="1">
      <c r="H222" s="1081"/>
      <c r="I222" s="1082" t="s">
        <v>2037</v>
      </c>
    </row>
    <row r="223" spans="1:34" s="1079" customFormat="1">
      <c r="H223" s="1083"/>
      <c r="I223" s="1082" t="s">
        <v>977</v>
      </c>
    </row>
    <row r="224" spans="1:34" s="1079" customFormat="1">
      <c r="H224" s="1535" t="s">
        <v>2022</v>
      </c>
      <c r="I224" s="1079" t="s">
        <v>2023</v>
      </c>
    </row>
    <row r="225" spans="8:9" s="1079" customFormat="1">
      <c r="H225" s="1535"/>
      <c r="I225" s="1079" t="s">
        <v>2024</v>
      </c>
    </row>
    <row r="226" spans="8:9" s="1079" customFormat="1">
      <c r="H226" s="1535"/>
      <c r="I226" s="1079" t="s">
        <v>2025</v>
      </c>
    </row>
    <row r="227" spans="8:9" s="1079" customFormat="1">
      <c r="H227" s="1535"/>
      <c r="I227" s="1079" t="s">
        <v>2026</v>
      </c>
    </row>
    <row r="228" spans="8:9" s="1079" customFormat="1"/>
    <row r="229" spans="8:9" s="1079" customFormat="1"/>
    <row r="230" spans="8:9" s="1079" customFormat="1"/>
  </sheetData>
  <mergeCells count="397">
    <mergeCell ref="H224:H227"/>
    <mergeCell ref="T215:T216"/>
    <mergeCell ref="V215:V216"/>
    <mergeCell ref="X215:X216"/>
    <mergeCell ref="I216:I218"/>
    <mergeCell ref="A219:AA219"/>
    <mergeCell ref="A220:AF220"/>
    <mergeCell ref="Z208:Z209"/>
    <mergeCell ref="B215:B216"/>
    <mergeCell ref="D215:D216"/>
    <mergeCell ref="F215:F216"/>
    <mergeCell ref="H215:H216"/>
    <mergeCell ref="J215:J216"/>
    <mergeCell ref="L215:L216"/>
    <mergeCell ref="N215:N216"/>
    <mergeCell ref="P215:P216"/>
    <mergeCell ref="R215:R216"/>
    <mergeCell ref="N208:N209"/>
    <mergeCell ref="P208:P209"/>
    <mergeCell ref="R208:R209"/>
    <mergeCell ref="T208:T209"/>
    <mergeCell ref="V208:V209"/>
    <mergeCell ref="X208:X209"/>
    <mergeCell ref="B208:B209"/>
    <mergeCell ref="D208:D209"/>
    <mergeCell ref="F208:F209"/>
    <mergeCell ref="H208:H209"/>
    <mergeCell ref="J208:J209"/>
    <mergeCell ref="L208:L209"/>
    <mergeCell ref="R201:R202"/>
    <mergeCell ref="T201:T202"/>
    <mergeCell ref="V201:V202"/>
    <mergeCell ref="X201:X202"/>
    <mergeCell ref="Z201:Z202"/>
    <mergeCell ref="C202:C204"/>
    <mergeCell ref="I202:I204"/>
    <mergeCell ref="X194:X195"/>
    <mergeCell ref="Z194:Z195"/>
    <mergeCell ref="B201:B202"/>
    <mergeCell ref="D201:D202"/>
    <mergeCell ref="F201:F202"/>
    <mergeCell ref="H201:H202"/>
    <mergeCell ref="J201:J202"/>
    <mergeCell ref="L201:L202"/>
    <mergeCell ref="N201:N202"/>
    <mergeCell ref="P201:P202"/>
    <mergeCell ref="L194:L195"/>
    <mergeCell ref="N194:N195"/>
    <mergeCell ref="P194:P195"/>
    <mergeCell ref="R194:R195"/>
    <mergeCell ref="T194:T195"/>
    <mergeCell ref="V194:V195"/>
    <mergeCell ref="E187:E188"/>
    <mergeCell ref="B194:B195"/>
    <mergeCell ref="D194:D195"/>
    <mergeCell ref="F194:F195"/>
    <mergeCell ref="H194:H195"/>
    <mergeCell ref="J194:J195"/>
    <mergeCell ref="P186:P187"/>
    <mergeCell ref="R186:R187"/>
    <mergeCell ref="T186:T187"/>
    <mergeCell ref="V186:V187"/>
    <mergeCell ref="X186:X187"/>
    <mergeCell ref="Z186:Z187"/>
    <mergeCell ref="Z178:Z179"/>
    <mergeCell ref="K179:K182"/>
    <mergeCell ref="W179:W180"/>
    <mergeCell ref="B186:B187"/>
    <mergeCell ref="D186:D187"/>
    <mergeCell ref="F186:F187"/>
    <mergeCell ref="H186:H187"/>
    <mergeCell ref="J186:J187"/>
    <mergeCell ref="L186:L187"/>
    <mergeCell ref="N186:N187"/>
    <mergeCell ref="N178:N179"/>
    <mergeCell ref="P178:P179"/>
    <mergeCell ref="R178:R179"/>
    <mergeCell ref="T178:T179"/>
    <mergeCell ref="V178:V179"/>
    <mergeCell ref="X178:X179"/>
    <mergeCell ref="B178:B179"/>
    <mergeCell ref="D178:D179"/>
    <mergeCell ref="F178:F179"/>
    <mergeCell ref="H178:H179"/>
    <mergeCell ref="J178:J179"/>
    <mergeCell ref="L178:L179"/>
    <mergeCell ref="P171:P172"/>
    <mergeCell ref="R171:R172"/>
    <mergeCell ref="T171:T172"/>
    <mergeCell ref="V171:V172"/>
    <mergeCell ref="X171:X172"/>
    <mergeCell ref="Z171:Z172"/>
    <mergeCell ref="E165:E166"/>
    <mergeCell ref="O165:O167"/>
    <mergeCell ref="T164:T165"/>
    <mergeCell ref="V164:V165"/>
    <mergeCell ref="X164:X165"/>
    <mergeCell ref="Z164:Z165"/>
    <mergeCell ref="B171:B172"/>
    <mergeCell ref="D171:D172"/>
    <mergeCell ref="F171:F172"/>
    <mergeCell ref="H171:H172"/>
    <mergeCell ref="J171:J172"/>
    <mergeCell ref="L171:L172"/>
    <mergeCell ref="N171:N172"/>
    <mergeCell ref="P164:P165"/>
    <mergeCell ref="R164:R165"/>
    <mergeCell ref="E163:E164"/>
    <mergeCell ref="B164:B165"/>
    <mergeCell ref="D164:D165"/>
    <mergeCell ref="F164:F165"/>
    <mergeCell ref="H164:H165"/>
    <mergeCell ref="J164:J165"/>
    <mergeCell ref="L164:L165"/>
    <mergeCell ref="N164:N165"/>
    <mergeCell ref="L157:L158"/>
    <mergeCell ref="N157:N158"/>
    <mergeCell ref="R149:R150"/>
    <mergeCell ref="T149:T150"/>
    <mergeCell ref="V149:V150"/>
    <mergeCell ref="X149:X150"/>
    <mergeCell ref="Z149:Z150"/>
    <mergeCell ref="B157:B158"/>
    <mergeCell ref="D157:D158"/>
    <mergeCell ref="F157:F158"/>
    <mergeCell ref="H157:H158"/>
    <mergeCell ref="J157:J158"/>
    <mergeCell ref="X157:X158"/>
    <mergeCell ref="Z157:Z158"/>
    <mergeCell ref="P157:P158"/>
    <mergeCell ref="R157:R158"/>
    <mergeCell ref="T157:T158"/>
    <mergeCell ref="V157:V158"/>
    <mergeCell ref="B149:B150"/>
    <mergeCell ref="D149:D150"/>
    <mergeCell ref="F149:F150"/>
    <mergeCell ref="H149:H150"/>
    <mergeCell ref="J149:J150"/>
    <mergeCell ref="L149:L150"/>
    <mergeCell ref="N149:N150"/>
    <mergeCell ref="P149:P150"/>
    <mergeCell ref="L142:L143"/>
    <mergeCell ref="N142:N143"/>
    <mergeCell ref="P142:P143"/>
    <mergeCell ref="X134:X135"/>
    <mergeCell ref="Z134:Z135"/>
    <mergeCell ref="C135:C138"/>
    <mergeCell ref="B142:B143"/>
    <mergeCell ref="D142:D143"/>
    <mergeCell ref="F142:F143"/>
    <mergeCell ref="H142:H143"/>
    <mergeCell ref="J142:J143"/>
    <mergeCell ref="X142:X143"/>
    <mergeCell ref="Z142:Z143"/>
    <mergeCell ref="R142:R143"/>
    <mergeCell ref="T142:T143"/>
    <mergeCell ref="V142:V143"/>
    <mergeCell ref="B126:B127"/>
    <mergeCell ref="D126:D127"/>
    <mergeCell ref="F126:F127"/>
    <mergeCell ref="H126:H127"/>
    <mergeCell ref="J126:J127"/>
    <mergeCell ref="L126:L127"/>
    <mergeCell ref="Z126:Z127"/>
    <mergeCell ref="B134:B135"/>
    <mergeCell ref="D134:D135"/>
    <mergeCell ref="F134:F135"/>
    <mergeCell ref="H134:H135"/>
    <mergeCell ref="J134:J135"/>
    <mergeCell ref="L134:L135"/>
    <mergeCell ref="N134:N135"/>
    <mergeCell ref="P134:P135"/>
    <mergeCell ref="R134:R135"/>
    <mergeCell ref="N126:N127"/>
    <mergeCell ref="P126:P127"/>
    <mergeCell ref="R126:R127"/>
    <mergeCell ref="T126:T127"/>
    <mergeCell ref="V126:V127"/>
    <mergeCell ref="X126:X127"/>
    <mergeCell ref="T134:T135"/>
    <mergeCell ref="V134:V135"/>
    <mergeCell ref="Z110:Z111"/>
    <mergeCell ref="B118:B119"/>
    <mergeCell ref="D118:D119"/>
    <mergeCell ref="F118:F119"/>
    <mergeCell ref="H118:H119"/>
    <mergeCell ref="J118:J119"/>
    <mergeCell ref="L118:L119"/>
    <mergeCell ref="N118:N119"/>
    <mergeCell ref="P118:P119"/>
    <mergeCell ref="R118:R119"/>
    <mergeCell ref="N110:N111"/>
    <mergeCell ref="P110:P111"/>
    <mergeCell ref="R110:R111"/>
    <mergeCell ref="T110:T111"/>
    <mergeCell ref="V110:V111"/>
    <mergeCell ref="X110:X111"/>
    <mergeCell ref="T118:T119"/>
    <mergeCell ref="V118:V119"/>
    <mergeCell ref="X118:X119"/>
    <mergeCell ref="Z118:Z119"/>
    <mergeCell ref="D104:D105"/>
    <mergeCell ref="F104:F105"/>
    <mergeCell ref="T104:T105"/>
    <mergeCell ref="V104:V105"/>
    <mergeCell ref="B110:B111"/>
    <mergeCell ref="D110:D111"/>
    <mergeCell ref="F110:F111"/>
    <mergeCell ref="H110:H111"/>
    <mergeCell ref="J110:J111"/>
    <mergeCell ref="L110:L111"/>
    <mergeCell ref="T102:T103"/>
    <mergeCell ref="V102:V103"/>
    <mergeCell ref="X102:X103"/>
    <mergeCell ref="Z102:Z103"/>
    <mergeCell ref="E103:E106"/>
    <mergeCell ref="U103:U106"/>
    <mergeCell ref="Z95:Z96"/>
    <mergeCell ref="B102:B103"/>
    <mergeCell ref="D102:D103"/>
    <mergeCell ref="F102:F103"/>
    <mergeCell ref="H102:H103"/>
    <mergeCell ref="J102:J103"/>
    <mergeCell ref="L102:L103"/>
    <mergeCell ref="N102:N103"/>
    <mergeCell ref="P102:P103"/>
    <mergeCell ref="R102:R103"/>
    <mergeCell ref="N95:N96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Z81:Z82"/>
    <mergeCell ref="O82:O86"/>
    <mergeCell ref="B88:B89"/>
    <mergeCell ref="D88:D89"/>
    <mergeCell ref="F88:F89"/>
    <mergeCell ref="H88:H89"/>
    <mergeCell ref="N81:N82"/>
    <mergeCell ref="P81:P82"/>
    <mergeCell ref="R81:R82"/>
    <mergeCell ref="T81:T82"/>
    <mergeCell ref="V81:V82"/>
    <mergeCell ref="X81:X82"/>
    <mergeCell ref="T74:T75"/>
    <mergeCell ref="V74:V75"/>
    <mergeCell ref="X74:X75"/>
    <mergeCell ref="Z74:Z75"/>
    <mergeCell ref="B81:B82"/>
    <mergeCell ref="D81:D82"/>
    <mergeCell ref="F81:F82"/>
    <mergeCell ref="H81:H82"/>
    <mergeCell ref="J81:J82"/>
    <mergeCell ref="L81:L82"/>
    <mergeCell ref="B74:B75"/>
    <mergeCell ref="D74:D75"/>
    <mergeCell ref="F74:F75"/>
    <mergeCell ref="H74:H75"/>
    <mergeCell ref="J74:J75"/>
    <mergeCell ref="L74:L75"/>
    <mergeCell ref="N74:N75"/>
    <mergeCell ref="P74:P75"/>
    <mergeCell ref="R74:R75"/>
    <mergeCell ref="X60:X61"/>
    <mergeCell ref="Z60:Z61"/>
    <mergeCell ref="B67:B68"/>
    <mergeCell ref="D67:D68"/>
    <mergeCell ref="F67:F68"/>
    <mergeCell ref="H67:H68"/>
    <mergeCell ref="J67:J68"/>
    <mergeCell ref="L67:L68"/>
    <mergeCell ref="Z67:Z68"/>
    <mergeCell ref="N67:N68"/>
    <mergeCell ref="P67:P68"/>
    <mergeCell ref="R67:R68"/>
    <mergeCell ref="T67:T68"/>
    <mergeCell ref="V67:V68"/>
    <mergeCell ref="X67:X68"/>
    <mergeCell ref="Z53:Z54"/>
    <mergeCell ref="B60:B61"/>
    <mergeCell ref="D60:D61"/>
    <mergeCell ref="F60:F61"/>
    <mergeCell ref="H60:H61"/>
    <mergeCell ref="J60:J61"/>
    <mergeCell ref="L60:L61"/>
    <mergeCell ref="N60:N61"/>
    <mergeCell ref="P60:P61"/>
    <mergeCell ref="R60:R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T60:T61"/>
    <mergeCell ref="V60:V61"/>
    <mergeCell ref="P46:P47"/>
    <mergeCell ref="R46:R47"/>
    <mergeCell ref="T46:T47"/>
    <mergeCell ref="V46:V47"/>
    <mergeCell ref="X46:X47"/>
    <mergeCell ref="Z46:Z47"/>
    <mergeCell ref="X39:X40"/>
    <mergeCell ref="Z39:Z40"/>
    <mergeCell ref="K40:K42"/>
    <mergeCell ref="P39:P40"/>
    <mergeCell ref="R39:R40"/>
    <mergeCell ref="T39:T40"/>
    <mergeCell ref="V39:V40"/>
    <mergeCell ref="B46:B47"/>
    <mergeCell ref="D46:D47"/>
    <mergeCell ref="F46:F47"/>
    <mergeCell ref="H46:H47"/>
    <mergeCell ref="J46:J47"/>
    <mergeCell ref="L46:L47"/>
    <mergeCell ref="N46:N47"/>
    <mergeCell ref="L39:L40"/>
    <mergeCell ref="N39:N40"/>
    <mergeCell ref="T32:T33"/>
    <mergeCell ref="V32:V33"/>
    <mergeCell ref="X32:X33"/>
    <mergeCell ref="Z32:Z33"/>
    <mergeCell ref="AA33:AA34"/>
    <mergeCell ref="B39:B40"/>
    <mergeCell ref="D39:D40"/>
    <mergeCell ref="F39:F40"/>
    <mergeCell ref="H39:H40"/>
    <mergeCell ref="J39:J40"/>
    <mergeCell ref="B32:B33"/>
    <mergeCell ref="D32:D33"/>
    <mergeCell ref="F32:F33"/>
    <mergeCell ref="H32:H33"/>
    <mergeCell ref="J32:J33"/>
    <mergeCell ref="L32:L33"/>
    <mergeCell ref="N32:N33"/>
    <mergeCell ref="P32:P33"/>
    <mergeCell ref="R32:R33"/>
    <mergeCell ref="AC17:AC18"/>
    <mergeCell ref="AD17:AD18"/>
    <mergeCell ref="AE17:AE18"/>
    <mergeCell ref="AF17:AF18"/>
    <mergeCell ref="B23:B24"/>
    <mergeCell ref="D23:D24"/>
    <mergeCell ref="F23:F24"/>
    <mergeCell ref="H23:H24"/>
    <mergeCell ref="J23:J24"/>
    <mergeCell ref="L23:L24"/>
    <mergeCell ref="Z23:Z24"/>
    <mergeCell ref="N23:N24"/>
    <mergeCell ref="P23:P24"/>
    <mergeCell ref="R23:R24"/>
    <mergeCell ref="T23:T24"/>
    <mergeCell ref="V23:V24"/>
    <mergeCell ref="X23:X24"/>
    <mergeCell ref="R13:S13"/>
    <mergeCell ref="U13:U15"/>
    <mergeCell ref="V14:V15"/>
    <mergeCell ref="C15:F15"/>
    <mergeCell ref="R15:S15"/>
    <mergeCell ref="AB17:AB18"/>
    <mergeCell ref="W10:W11"/>
    <mergeCell ref="B11:F11"/>
    <mergeCell ref="G11:H11"/>
    <mergeCell ref="I11:K11"/>
    <mergeCell ref="B12:F12"/>
    <mergeCell ref="G12:H12"/>
    <mergeCell ref="I12:K12"/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</mergeCells>
  <printOptions horizontalCentered="1"/>
  <pageMargins left="0.31496062992125984" right="0.11811023622047245" top="0.74803149606299213" bottom="0.74803149606299213" header="0.31496062992125984" footer="0.31496062992125984"/>
  <pageSetup paperSize="9" scale="30" fitToHeight="4" orientation="landscape" horizontalDpi="300" verticalDpi="300" r:id="rId1"/>
  <rowBreaks count="2" manualBreakCount="2">
    <brk id="77" max="31" man="1"/>
    <brk id="153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zoomScale="95" workbookViewId="0">
      <selection activeCell="C7" sqref="C7"/>
    </sheetView>
  </sheetViews>
  <sheetFormatPr defaultRowHeight="15"/>
  <cols>
    <col min="1" max="1" width="9.140625" style="567"/>
    <col min="2" max="2" width="12" style="1179" bestFit="1" customWidth="1"/>
    <col min="3" max="3" width="146.28515625" customWidth="1"/>
  </cols>
  <sheetData>
    <row r="1" spans="1:3" ht="15.75" thickBot="1">
      <c r="A1" s="1795" t="s">
        <v>2089</v>
      </c>
      <c r="B1" s="1796"/>
      <c r="C1" s="1797"/>
    </row>
    <row r="2" spans="1:3" ht="15.75" thickBot="1">
      <c r="A2" s="1149" t="s">
        <v>2090</v>
      </c>
      <c r="B2" s="1176" t="s">
        <v>2091</v>
      </c>
      <c r="C2" s="1150" t="s">
        <v>2092</v>
      </c>
    </row>
    <row r="3" spans="1:3" ht="15.75" thickBot="1">
      <c r="A3" s="1173"/>
      <c r="B3" s="1177"/>
      <c r="C3" s="1151" t="s">
        <v>2093</v>
      </c>
    </row>
    <row r="4" spans="1:3" ht="15.75" thickBot="1">
      <c r="A4" s="1174">
        <v>1</v>
      </c>
      <c r="B4" s="1178" t="s">
        <v>2094</v>
      </c>
      <c r="C4" s="1152" t="s">
        <v>2095</v>
      </c>
    </row>
    <row r="5" spans="1:3" ht="30" thickBot="1">
      <c r="A5" s="1174">
        <v>2</v>
      </c>
      <c r="B5" s="1178" t="s">
        <v>2094</v>
      </c>
      <c r="C5" s="1152" t="s">
        <v>2096</v>
      </c>
    </row>
    <row r="6" spans="1:3" ht="30" thickBot="1">
      <c r="A6" s="1174">
        <v>3</v>
      </c>
      <c r="B6" s="1178" t="s">
        <v>2097</v>
      </c>
      <c r="C6" s="1152" t="s">
        <v>2098</v>
      </c>
    </row>
    <row r="7" spans="1:3" ht="15.75" thickBot="1">
      <c r="A7" s="1174">
        <v>4</v>
      </c>
      <c r="B7" s="1178" t="s">
        <v>2097</v>
      </c>
      <c r="C7" s="1152" t="s">
        <v>2099</v>
      </c>
    </row>
    <row r="8" spans="1:3" ht="15.75" thickBot="1">
      <c r="A8" s="1174">
        <v>5</v>
      </c>
      <c r="B8" s="1178" t="s">
        <v>2097</v>
      </c>
      <c r="C8" s="1152" t="s">
        <v>2100</v>
      </c>
    </row>
    <row r="9" spans="1:3" ht="15.75" thickBot="1">
      <c r="A9" s="1174">
        <v>6</v>
      </c>
      <c r="B9" s="1178" t="s">
        <v>2097</v>
      </c>
      <c r="C9" s="1152" t="s">
        <v>2101</v>
      </c>
    </row>
    <row r="10" spans="1:3" ht="30" thickBot="1">
      <c r="A10" s="1174">
        <v>7</v>
      </c>
      <c r="B10" s="1178" t="s">
        <v>2097</v>
      </c>
      <c r="C10" s="1152" t="s">
        <v>2102</v>
      </c>
    </row>
    <row r="11" spans="1:3" ht="30" thickBot="1">
      <c r="A11" s="1174">
        <v>8</v>
      </c>
      <c r="B11" s="1178" t="s">
        <v>2097</v>
      </c>
      <c r="C11" s="1152" t="s">
        <v>2103</v>
      </c>
    </row>
    <row r="12" spans="1:3" ht="15.75" thickBot="1">
      <c r="A12" s="1174">
        <v>9</v>
      </c>
      <c r="B12" s="1178" t="s">
        <v>2097</v>
      </c>
      <c r="C12" s="1152" t="s">
        <v>2104</v>
      </c>
    </row>
    <row r="13" spans="1:3" ht="15.75" thickBot="1">
      <c r="A13" s="1174">
        <v>10</v>
      </c>
      <c r="B13" s="1178" t="s">
        <v>2097</v>
      </c>
      <c r="C13" s="1152" t="s">
        <v>2105</v>
      </c>
    </row>
    <row r="14" spans="1:3" ht="15.75" thickBot="1">
      <c r="A14" s="1174">
        <v>11</v>
      </c>
      <c r="B14" s="1178" t="s">
        <v>2097</v>
      </c>
      <c r="C14" s="1152" t="s">
        <v>2106</v>
      </c>
    </row>
    <row r="15" spans="1:3" ht="15.75" thickBot="1">
      <c r="A15" s="1174">
        <v>12</v>
      </c>
      <c r="B15" s="1178" t="s">
        <v>2097</v>
      </c>
      <c r="C15" s="1152" t="s">
        <v>2107</v>
      </c>
    </row>
    <row r="16" spans="1:3" ht="30" thickBot="1">
      <c r="A16" s="1174">
        <v>13</v>
      </c>
      <c r="B16" s="1178" t="s">
        <v>2108</v>
      </c>
      <c r="C16" s="1152" t="s">
        <v>2109</v>
      </c>
    </row>
    <row r="17" spans="1:3" ht="15.75" thickBot="1">
      <c r="A17" s="1174">
        <v>14</v>
      </c>
      <c r="B17" s="1178" t="s">
        <v>2108</v>
      </c>
      <c r="C17" s="1152" t="s">
        <v>2110</v>
      </c>
    </row>
    <row r="18" spans="1:3" ht="30" thickBot="1">
      <c r="A18" s="1174">
        <v>15</v>
      </c>
      <c r="B18" s="1178" t="s">
        <v>2097</v>
      </c>
      <c r="C18" s="1152" t="s">
        <v>2111</v>
      </c>
    </row>
    <row r="19" spans="1:3" ht="15.75" thickBot="1">
      <c r="A19" s="1174">
        <v>16</v>
      </c>
      <c r="B19" s="1178" t="s">
        <v>2097</v>
      </c>
      <c r="C19" s="1152" t="s">
        <v>2112</v>
      </c>
    </row>
    <row r="20" spans="1:3" ht="30" thickBot="1">
      <c r="A20" s="1174">
        <v>17</v>
      </c>
      <c r="B20" s="1178" t="s">
        <v>2108</v>
      </c>
      <c r="C20" s="1152" t="s">
        <v>2113</v>
      </c>
    </row>
    <row r="21" spans="1:3" ht="15.75" thickBot="1">
      <c r="A21" s="1174">
        <v>18</v>
      </c>
      <c r="B21" s="1178" t="s">
        <v>2108</v>
      </c>
      <c r="C21" s="1152" t="s">
        <v>2114</v>
      </c>
    </row>
    <row r="22" spans="1:3" ht="30" thickBot="1">
      <c r="A22" s="1174">
        <v>19</v>
      </c>
      <c r="B22" s="1178" t="s">
        <v>2108</v>
      </c>
      <c r="C22" s="1152" t="s">
        <v>2115</v>
      </c>
    </row>
    <row r="23" spans="1:3" ht="44.25" thickBot="1">
      <c r="A23" s="1174">
        <v>20</v>
      </c>
      <c r="B23" s="1178" t="s">
        <v>2108</v>
      </c>
      <c r="C23" s="1152" t="s">
        <v>2116</v>
      </c>
    </row>
    <row r="24" spans="1:3" ht="15.75" thickBot="1">
      <c r="A24" s="1174">
        <v>21</v>
      </c>
      <c r="B24" s="1178" t="s">
        <v>2108</v>
      </c>
      <c r="C24" s="1152" t="s">
        <v>2117</v>
      </c>
    </row>
    <row r="25" spans="1:3" ht="15.75" thickBot="1">
      <c r="A25" s="1174">
        <v>22</v>
      </c>
      <c r="B25" s="1178" t="s">
        <v>2108</v>
      </c>
      <c r="C25" s="1152" t="s">
        <v>2118</v>
      </c>
    </row>
    <row r="26" spans="1:3" ht="15.75" thickBot="1">
      <c r="A26" s="1173"/>
      <c r="B26" s="1177"/>
      <c r="C26" s="1151" t="s">
        <v>2119</v>
      </c>
    </row>
    <row r="27" spans="1:3" ht="30" thickBot="1">
      <c r="A27" s="1174">
        <v>1</v>
      </c>
      <c r="B27" s="1178" t="s">
        <v>2108</v>
      </c>
      <c r="C27" s="1152" t="s">
        <v>2120</v>
      </c>
    </row>
    <row r="28" spans="1:3" ht="15" customHeight="1" thickBot="1">
      <c r="A28" s="1173"/>
      <c r="B28" s="1177"/>
      <c r="C28" s="1151" t="s">
        <v>2121</v>
      </c>
    </row>
    <row r="29" spans="1:3" ht="30" thickBot="1">
      <c r="A29" s="1174">
        <v>1</v>
      </c>
      <c r="B29" s="1178" t="s">
        <v>2108</v>
      </c>
      <c r="C29" s="1152" t="s">
        <v>2122</v>
      </c>
    </row>
    <row r="30" spans="1:3" ht="30" thickBot="1">
      <c r="A30" s="1174">
        <v>2</v>
      </c>
      <c r="B30" s="1178" t="s">
        <v>2108</v>
      </c>
      <c r="C30" s="1152" t="s">
        <v>2123</v>
      </c>
    </row>
    <row r="31" spans="1:3" ht="30" thickBot="1">
      <c r="A31" s="1174">
        <v>3</v>
      </c>
      <c r="B31" s="1178" t="s">
        <v>2108</v>
      </c>
      <c r="C31" s="1152" t="s">
        <v>2124</v>
      </c>
    </row>
    <row r="32" spans="1:3" ht="15.75" thickBot="1">
      <c r="A32" s="1174">
        <v>4</v>
      </c>
      <c r="B32" s="1178" t="s">
        <v>2108</v>
      </c>
      <c r="C32" s="1152" t="s">
        <v>2125</v>
      </c>
    </row>
    <row r="33" spans="1:3" ht="30" thickBot="1">
      <c r="A33" s="1174">
        <v>5</v>
      </c>
      <c r="B33" s="1178" t="s">
        <v>2108</v>
      </c>
      <c r="C33" s="1152" t="s">
        <v>2126</v>
      </c>
    </row>
    <row r="34" spans="1:3" ht="15.75" thickBot="1">
      <c r="A34" s="1174">
        <v>6</v>
      </c>
      <c r="B34" s="1178" t="s">
        <v>2108</v>
      </c>
      <c r="C34" s="1152" t="s">
        <v>2127</v>
      </c>
    </row>
    <row r="35" spans="1:3" ht="15.75" thickBot="1">
      <c r="A35" s="1174">
        <v>7</v>
      </c>
      <c r="B35" s="1178" t="s">
        <v>2108</v>
      </c>
      <c r="C35" s="1152" t="s">
        <v>2128</v>
      </c>
    </row>
    <row r="36" spans="1:3" ht="30" thickBot="1">
      <c r="A36" s="1174">
        <v>8</v>
      </c>
      <c r="B36" s="1178" t="s">
        <v>2108</v>
      </c>
      <c r="C36" s="1152" t="s">
        <v>2201</v>
      </c>
    </row>
    <row r="37" spans="1:3" ht="30" thickBot="1">
      <c r="A37" s="1174">
        <v>9</v>
      </c>
      <c r="B37" s="1178" t="s">
        <v>2108</v>
      </c>
      <c r="C37" s="1152" t="s">
        <v>2202</v>
      </c>
    </row>
    <row r="38" spans="1:3" ht="30" thickBot="1">
      <c r="A38" s="1174">
        <v>10</v>
      </c>
      <c r="B38" s="1178" t="s">
        <v>2108</v>
      </c>
      <c r="C38" s="1152" t="s">
        <v>2203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799" t="s">
        <v>62</v>
      </c>
      <c r="B1" s="1800" t="s">
        <v>1439</v>
      </c>
      <c r="C1" s="1802" t="s">
        <v>63</v>
      </c>
      <c r="D1" s="1804" t="s">
        <v>38</v>
      </c>
      <c r="E1" s="1805" t="s">
        <v>1440</v>
      </c>
      <c r="F1" s="1798" t="s">
        <v>35</v>
      </c>
      <c r="G1" s="1798"/>
      <c r="H1" s="1798"/>
      <c r="I1" s="1798"/>
    </row>
    <row r="2" spans="1:9" ht="15.75" thickBot="1">
      <c r="A2" s="1799"/>
      <c r="B2" s="1800"/>
      <c r="C2" s="1802"/>
      <c r="D2" s="1804"/>
      <c r="E2" s="1805"/>
      <c r="F2" s="1798"/>
      <c r="G2" s="1798"/>
      <c r="H2" s="1798"/>
      <c r="I2" s="1798"/>
    </row>
    <row r="3" spans="1:9">
      <c r="A3" s="1799"/>
      <c r="B3" s="1801"/>
      <c r="C3" s="1803"/>
      <c r="D3" s="1804"/>
      <c r="E3" s="1805"/>
      <c r="F3" s="594" t="s">
        <v>1441</v>
      </c>
      <c r="G3" s="595" t="s">
        <v>940</v>
      </c>
      <c r="H3" s="595" t="s">
        <v>1442</v>
      </c>
      <c r="I3" s="595" t="s">
        <v>1443</v>
      </c>
    </row>
    <row r="4" spans="1:9" ht="15.75">
      <c r="A4" s="596"/>
      <c r="B4" s="597"/>
      <c r="C4" s="597"/>
      <c r="D4" s="598"/>
      <c r="E4" s="76"/>
      <c r="F4" s="1"/>
      <c r="G4" s="1"/>
      <c r="H4" s="1"/>
      <c r="I4" s="1"/>
    </row>
    <row r="5" spans="1:9">
      <c r="A5" s="69">
        <v>1</v>
      </c>
      <c r="B5" s="69" t="s">
        <v>1444</v>
      </c>
      <c r="C5" s="599" t="s">
        <v>213</v>
      </c>
      <c r="D5" s="76" t="s">
        <v>43</v>
      </c>
      <c r="E5" s="600">
        <v>0</v>
      </c>
      <c r="F5" s="1"/>
      <c r="G5" s="1"/>
      <c r="H5" s="1"/>
      <c r="I5" s="1"/>
    </row>
    <row r="6" spans="1:9">
      <c r="A6" s="69">
        <v>2</v>
      </c>
      <c r="B6" s="69"/>
      <c r="C6" s="566" t="s">
        <v>1211</v>
      </c>
      <c r="D6" s="76" t="s">
        <v>49</v>
      </c>
      <c r="E6" s="601">
        <v>360</v>
      </c>
      <c r="F6" s="1"/>
      <c r="G6" s="1"/>
      <c r="H6" s="1"/>
      <c r="I6" s="1"/>
    </row>
    <row r="7" spans="1:9">
      <c r="A7" s="69">
        <v>3</v>
      </c>
      <c r="B7" s="69" t="s">
        <v>1445</v>
      </c>
      <c r="C7" s="566" t="s">
        <v>1212</v>
      </c>
      <c r="D7" s="76" t="s">
        <v>39</v>
      </c>
      <c r="E7" s="601">
        <v>328</v>
      </c>
      <c r="F7" s="1"/>
      <c r="G7" s="1"/>
      <c r="H7" s="1"/>
      <c r="I7" s="1"/>
    </row>
    <row r="8" spans="1:9">
      <c r="A8" s="69">
        <v>4</v>
      </c>
      <c r="B8" s="69" t="s">
        <v>1446</v>
      </c>
      <c r="C8" s="602" t="s">
        <v>66</v>
      </c>
      <c r="D8" s="76" t="s">
        <v>39</v>
      </c>
      <c r="E8" s="601">
        <v>360</v>
      </c>
      <c r="F8" s="1"/>
      <c r="G8" s="1"/>
      <c r="H8" s="1"/>
      <c r="I8" s="1"/>
    </row>
    <row r="9" spans="1:9">
      <c r="A9" s="69">
        <v>5</v>
      </c>
      <c r="B9" s="69" t="s">
        <v>1447</v>
      </c>
      <c r="C9" s="602" t="s">
        <v>224</v>
      </c>
      <c r="D9" s="76" t="s">
        <v>39</v>
      </c>
      <c r="E9" s="601">
        <v>409</v>
      </c>
      <c r="F9" s="1"/>
      <c r="G9" s="1"/>
      <c r="H9" s="1"/>
      <c r="I9" s="1"/>
    </row>
    <row r="10" spans="1:9">
      <c r="A10" s="69">
        <v>6</v>
      </c>
      <c r="B10" s="69"/>
      <c r="C10" s="566" t="s">
        <v>230</v>
      </c>
      <c r="D10" s="76" t="s">
        <v>34</v>
      </c>
      <c r="E10" s="601">
        <v>360</v>
      </c>
      <c r="F10" s="1"/>
      <c r="G10" s="1"/>
      <c r="H10" s="1"/>
      <c r="I10" s="1"/>
    </row>
    <row r="11" spans="1:9">
      <c r="A11" s="69">
        <v>7</v>
      </c>
      <c r="B11" s="69"/>
      <c r="C11" s="566" t="s">
        <v>234</v>
      </c>
      <c r="D11" s="76" t="s">
        <v>48</v>
      </c>
      <c r="E11" s="601">
        <v>340</v>
      </c>
      <c r="F11" s="1"/>
      <c r="G11" s="1"/>
      <c r="H11" s="1"/>
      <c r="I11" s="1"/>
    </row>
    <row r="12" spans="1:9">
      <c r="A12" s="69">
        <v>8</v>
      </c>
      <c r="B12" s="69"/>
      <c r="C12" s="566" t="s">
        <v>239</v>
      </c>
      <c r="D12" s="76" t="s">
        <v>49</v>
      </c>
      <c r="E12" s="601">
        <v>360</v>
      </c>
      <c r="F12" s="1"/>
      <c r="G12" s="1"/>
      <c r="H12" s="1"/>
      <c r="I12" s="1"/>
    </row>
    <row r="13" spans="1:9">
      <c r="A13" s="69">
        <v>9</v>
      </c>
      <c r="B13" s="69" t="s">
        <v>1448</v>
      </c>
      <c r="C13" s="566" t="s">
        <v>67</v>
      </c>
      <c r="D13" s="76" t="s">
        <v>43</v>
      </c>
      <c r="E13" s="601">
        <v>314</v>
      </c>
      <c r="F13" s="1"/>
      <c r="G13" s="1"/>
      <c r="H13" s="1"/>
      <c r="I13" s="1"/>
    </row>
    <row r="14" spans="1:9">
      <c r="A14" s="69">
        <v>10</v>
      </c>
      <c r="B14" s="69" t="s">
        <v>1449</v>
      </c>
      <c r="C14" s="566" t="s">
        <v>68</v>
      </c>
      <c r="D14" s="76" t="s">
        <v>45</v>
      </c>
      <c r="E14" s="601">
        <v>341</v>
      </c>
      <c r="F14" s="1"/>
      <c r="G14" s="1"/>
      <c r="H14" s="1"/>
      <c r="I14" s="1"/>
    </row>
    <row r="15" spans="1:9">
      <c r="A15" s="69">
        <v>11</v>
      </c>
      <c r="B15" s="69"/>
      <c r="C15" s="566" t="s">
        <v>564</v>
      </c>
      <c r="D15" s="76" t="s">
        <v>48</v>
      </c>
      <c r="E15" s="601">
        <v>307</v>
      </c>
      <c r="F15" s="69" t="s">
        <v>29</v>
      </c>
      <c r="G15" s="69" t="s">
        <v>29</v>
      </c>
      <c r="H15" s="1"/>
      <c r="I15" s="1"/>
    </row>
    <row r="16" spans="1:9">
      <c r="A16" s="69">
        <v>12</v>
      </c>
      <c r="B16" s="69"/>
      <c r="C16" s="566" t="s">
        <v>563</v>
      </c>
      <c r="D16" s="76" t="s">
        <v>49</v>
      </c>
      <c r="E16" s="601">
        <v>287</v>
      </c>
      <c r="F16" s="69" t="s">
        <v>29</v>
      </c>
      <c r="G16" s="69" t="s">
        <v>29</v>
      </c>
      <c r="H16" s="1"/>
      <c r="I16" s="1"/>
    </row>
    <row r="17" spans="1:9">
      <c r="A17" s="69">
        <v>13</v>
      </c>
      <c r="B17" s="69" t="s">
        <v>1450</v>
      </c>
      <c r="C17" s="566" t="s">
        <v>56</v>
      </c>
      <c r="D17" s="76" t="s">
        <v>43</v>
      </c>
      <c r="E17" s="601">
        <v>319</v>
      </c>
      <c r="F17" s="69" t="s">
        <v>29</v>
      </c>
      <c r="G17" s="69" t="s">
        <v>29</v>
      </c>
      <c r="H17" s="1"/>
      <c r="I17" s="1"/>
    </row>
    <row r="18" spans="1:9">
      <c r="A18" s="69">
        <v>14</v>
      </c>
      <c r="B18" s="69"/>
      <c r="C18" s="69" t="s">
        <v>561</v>
      </c>
      <c r="D18" s="76" t="s">
        <v>34</v>
      </c>
      <c r="E18" s="601">
        <v>320</v>
      </c>
      <c r="F18" s="69" t="s">
        <v>29</v>
      </c>
      <c r="G18" s="69" t="s">
        <v>29</v>
      </c>
      <c r="H18" s="1"/>
      <c r="I18" s="1"/>
    </row>
    <row r="19" spans="1:9">
      <c r="A19" s="69">
        <v>15</v>
      </c>
      <c r="B19" s="69" t="s">
        <v>1451</v>
      </c>
      <c r="C19" s="69" t="s">
        <v>60</v>
      </c>
      <c r="D19" s="76" t="s">
        <v>45</v>
      </c>
      <c r="E19" s="601">
        <v>320</v>
      </c>
      <c r="F19" s="69" t="s">
        <v>29</v>
      </c>
      <c r="G19" s="69" t="s">
        <v>29</v>
      </c>
      <c r="H19" s="1"/>
      <c r="I19" s="1"/>
    </row>
    <row r="20" spans="1:9">
      <c r="A20" s="69">
        <v>16</v>
      </c>
      <c r="B20" s="69" t="s">
        <v>1452</v>
      </c>
      <c r="C20" s="69" t="s">
        <v>55</v>
      </c>
      <c r="D20" s="76" t="s">
        <v>45</v>
      </c>
      <c r="E20" s="601">
        <v>341</v>
      </c>
      <c r="F20" s="69" t="s">
        <v>29</v>
      </c>
      <c r="G20" s="69" t="s">
        <v>29</v>
      </c>
      <c r="H20" s="1"/>
      <c r="I20" s="1"/>
    </row>
    <row r="21" spans="1:9">
      <c r="A21" s="69">
        <v>17</v>
      </c>
      <c r="B21" s="69" t="s">
        <v>1453</v>
      </c>
      <c r="C21" s="69" t="s">
        <v>59</v>
      </c>
      <c r="D21" s="76" t="s">
        <v>50</v>
      </c>
      <c r="E21" s="601">
        <v>309</v>
      </c>
      <c r="F21" s="69" t="s">
        <v>29</v>
      </c>
      <c r="G21" s="69" t="s">
        <v>29</v>
      </c>
      <c r="H21" s="1"/>
      <c r="I21" s="1"/>
    </row>
    <row r="22" spans="1:9">
      <c r="A22" s="69">
        <v>18</v>
      </c>
      <c r="B22" s="69"/>
      <c r="C22" s="69" t="s">
        <v>565</v>
      </c>
      <c r="D22" s="76" t="s">
        <v>48</v>
      </c>
      <c r="E22" s="601">
        <v>326</v>
      </c>
      <c r="F22" s="69" t="s">
        <v>29</v>
      </c>
      <c r="G22" s="69" t="s">
        <v>29</v>
      </c>
      <c r="H22" s="1"/>
      <c r="I22" s="1"/>
    </row>
    <row r="23" spans="1:9">
      <c r="A23" s="69">
        <v>19</v>
      </c>
      <c r="B23" s="69" t="s">
        <v>1454</v>
      </c>
      <c r="C23" s="69" t="s">
        <v>58</v>
      </c>
      <c r="D23" s="76" t="s">
        <v>57</v>
      </c>
      <c r="E23" s="601">
        <v>325</v>
      </c>
      <c r="F23" s="69" t="s">
        <v>29</v>
      </c>
      <c r="G23" s="69" t="s">
        <v>29</v>
      </c>
      <c r="H23" s="1"/>
      <c r="I23" s="1"/>
    </row>
    <row r="24" spans="1:9">
      <c r="A24" s="69">
        <v>20</v>
      </c>
      <c r="B24" s="69"/>
      <c r="C24" s="69" t="s">
        <v>296</v>
      </c>
      <c r="D24" s="76" t="s">
        <v>49</v>
      </c>
      <c r="E24" s="601">
        <v>340</v>
      </c>
      <c r="F24" s="69" t="s">
        <v>29</v>
      </c>
      <c r="G24" s="69" t="s">
        <v>29</v>
      </c>
      <c r="H24" s="1"/>
      <c r="I24" s="1"/>
    </row>
    <row r="25" spans="1:9">
      <c r="A25" s="69">
        <v>21</v>
      </c>
      <c r="B25" s="69" t="s">
        <v>1455</v>
      </c>
      <c r="C25" s="69" t="s">
        <v>46</v>
      </c>
      <c r="D25" s="76" t="s">
        <v>45</v>
      </c>
      <c r="E25" s="601">
        <v>350</v>
      </c>
      <c r="F25" s="69" t="s">
        <v>29</v>
      </c>
      <c r="G25" s="69" t="s">
        <v>29</v>
      </c>
      <c r="H25" s="1"/>
      <c r="I25" s="1"/>
    </row>
    <row r="26" spans="1:9">
      <c r="A26" s="69">
        <v>22</v>
      </c>
      <c r="B26" s="69"/>
      <c r="C26" s="69" t="s">
        <v>310</v>
      </c>
      <c r="D26" s="76" t="s">
        <v>48</v>
      </c>
      <c r="E26" s="601">
        <v>330</v>
      </c>
      <c r="F26" s="1"/>
      <c r="G26" s="1"/>
      <c r="H26" s="1"/>
      <c r="I26" s="1"/>
    </row>
    <row r="27" spans="1:9">
      <c r="A27" s="69">
        <v>23</v>
      </c>
      <c r="B27" s="69" t="s">
        <v>1456</v>
      </c>
      <c r="C27" s="69" t="s">
        <v>47</v>
      </c>
      <c r="D27" s="76" t="s">
        <v>43</v>
      </c>
      <c r="E27" s="601">
        <v>330</v>
      </c>
      <c r="F27" s="69" t="s">
        <v>29</v>
      </c>
      <c r="G27" s="69" t="s">
        <v>29</v>
      </c>
      <c r="H27" s="1"/>
      <c r="I27" s="1"/>
    </row>
    <row r="28" spans="1:9">
      <c r="A28" s="69">
        <v>24</v>
      </c>
      <c r="B28" s="69" t="s">
        <v>1457</v>
      </c>
      <c r="C28" s="69" t="s">
        <v>69</v>
      </c>
      <c r="D28" s="76" t="s">
        <v>45</v>
      </c>
      <c r="E28" s="601">
        <v>369</v>
      </c>
      <c r="F28" s="1"/>
      <c r="G28" s="1"/>
      <c r="H28" s="1"/>
      <c r="I28" s="1"/>
    </row>
    <row r="29" spans="1:9">
      <c r="A29" s="69">
        <v>25</v>
      </c>
      <c r="B29" s="69" t="s">
        <v>1458</v>
      </c>
      <c r="C29" s="69" t="s">
        <v>356</v>
      </c>
      <c r="D29" s="76" t="s">
        <v>1181</v>
      </c>
      <c r="E29" s="601">
        <v>375</v>
      </c>
      <c r="F29" s="1"/>
      <c r="G29" s="1"/>
      <c r="H29" s="1"/>
      <c r="I29" s="1"/>
    </row>
    <row r="30" spans="1:9">
      <c r="A30" s="69">
        <v>26</v>
      </c>
      <c r="B30" s="69"/>
      <c r="C30" s="69" t="s">
        <v>1213</v>
      </c>
      <c r="D30" s="76" t="s">
        <v>1214</v>
      </c>
      <c r="E30" s="601">
        <v>72</v>
      </c>
      <c r="F30" s="1"/>
      <c r="G30" s="1"/>
      <c r="H30" s="1"/>
      <c r="I30" s="1"/>
    </row>
    <row r="31" spans="1:9">
      <c r="A31" s="69">
        <v>27</v>
      </c>
      <c r="B31" s="69"/>
      <c r="C31" s="69" t="s">
        <v>1215</v>
      </c>
      <c r="D31" s="76" t="s">
        <v>1214</v>
      </c>
      <c r="E31" s="601">
        <v>50</v>
      </c>
      <c r="F31" s="1"/>
      <c r="G31" s="1"/>
      <c r="H31" s="1"/>
      <c r="I31" s="1"/>
    </row>
    <row r="32" spans="1:9">
      <c r="A32" s="69">
        <v>28</v>
      </c>
      <c r="B32" s="69" t="s">
        <v>1459</v>
      </c>
      <c r="C32" s="69" t="s">
        <v>364</v>
      </c>
      <c r="D32" s="76" t="s">
        <v>1181</v>
      </c>
      <c r="E32" s="601">
        <v>48</v>
      </c>
      <c r="F32" s="1"/>
      <c r="G32" s="1"/>
      <c r="H32" s="1"/>
      <c r="I32" s="1"/>
    </row>
    <row r="33" spans="1:9">
      <c r="A33" s="69">
        <v>29</v>
      </c>
      <c r="B33" s="69" t="s">
        <v>1460</v>
      </c>
      <c r="C33" s="69" t="s">
        <v>371</v>
      </c>
      <c r="D33" s="76" t="s">
        <v>43</v>
      </c>
      <c r="E33" s="601">
        <v>263</v>
      </c>
      <c r="F33" s="1"/>
      <c r="G33" s="1"/>
      <c r="H33" s="1"/>
      <c r="I33" s="1"/>
    </row>
    <row r="34" spans="1:9">
      <c r="A34" s="69">
        <v>30</v>
      </c>
      <c r="B34" s="69" t="s">
        <v>1461</v>
      </c>
      <c r="C34" s="69" t="s">
        <v>70</v>
      </c>
      <c r="D34" s="76" t="s">
        <v>1181</v>
      </c>
      <c r="E34" s="601">
        <v>231</v>
      </c>
      <c r="F34" s="1"/>
      <c r="G34" s="1"/>
      <c r="H34" s="1"/>
      <c r="I34" s="1"/>
    </row>
    <row r="35" spans="1:9">
      <c r="A35" s="69">
        <v>31</v>
      </c>
      <c r="B35" s="69"/>
      <c r="C35" s="69" t="s">
        <v>1216</v>
      </c>
      <c r="D35" s="76" t="s">
        <v>1214</v>
      </c>
      <c r="E35" s="601">
        <v>84</v>
      </c>
      <c r="F35" s="1"/>
      <c r="G35" s="1"/>
      <c r="H35" s="1"/>
      <c r="I35" s="1"/>
    </row>
    <row r="36" spans="1:9">
      <c r="A36" s="69">
        <v>32</v>
      </c>
      <c r="B36" s="69"/>
      <c r="C36" s="69" t="s">
        <v>1217</v>
      </c>
      <c r="D36" s="76" t="s">
        <v>1214</v>
      </c>
      <c r="E36" s="601">
        <v>50</v>
      </c>
      <c r="F36" s="1"/>
      <c r="G36" s="1"/>
      <c r="H36" s="1"/>
      <c r="I36" s="1"/>
    </row>
    <row r="37" spans="1:9">
      <c r="A37" s="69">
        <v>33</v>
      </c>
      <c r="B37" s="69" t="s">
        <v>1462</v>
      </c>
      <c r="C37" s="69" t="s">
        <v>393</v>
      </c>
      <c r="D37" s="76" t="s">
        <v>1181</v>
      </c>
      <c r="E37" s="601">
        <v>56</v>
      </c>
      <c r="F37" s="1"/>
      <c r="G37" s="1"/>
      <c r="H37" s="1"/>
      <c r="I37" s="1"/>
    </row>
    <row r="38" spans="1:9">
      <c r="A38" s="69">
        <v>34</v>
      </c>
      <c r="B38" s="69" t="s">
        <v>1463</v>
      </c>
      <c r="C38" s="69" t="s">
        <v>416</v>
      </c>
      <c r="D38" s="76" t="s">
        <v>45</v>
      </c>
      <c r="E38" s="601">
        <v>333</v>
      </c>
      <c r="F38" s="1"/>
      <c r="G38" s="1"/>
      <c r="H38" s="1"/>
      <c r="I38" s="1"/>
    </row>
    <row r="39" spans="1:9">
      <c r="A39" s="69">
        <v>35</v>
      </c>
      <c r="B39" s="69" t="s">
        <v>1464</v>
      </c>
      <c r="C39" s="69" t="s">
        <v>71</v>
      </c>
      <c r="D39" s="76" t="s">
        <v>1175</v>
      </c>
      <c r="E39" s="601">
        <v>337</v>
      </c>
      <c r="F39" s="1"/>
      <c r="G39" s="1"/>
      <c r="H39" s="1"/>
      <c r="I39" s="1"/>
    </row>
    <row r="40" spans="1:9">
      <c r="A40" s="69">
        <v>36</v>
      </c>
      <c r="B40" s="69" t="s">
        <v>1465</v>
      </c>
      <c r="C40" s="69" t="s">
        <v>436</v>
      </c>
      <c r="D40" s="76" t="s">
        <v>43</v>
      </c>
      <c r="E40" s="601">
        <v>342</v>
      </c>
      <c r="F40" s="1"/>
      <c r="G40" s="1"/>
      <c r="H40" s="1"/>
      <c r="I40" s="1"/>
    </row>
    <row r="41" spans="1:9">
      <c r="A41" s="69">
        <v>37</v>
      </c>
      <c r="B41" s="69" t="s">
        <v>1466</v>
      </c>
      <c r="C41" s="69" t="s">
        <v>443</v>
      </c>
      <c r="D41" s="76" t="s">
        <v>45</v>
      </c>
      <c r="E41" s="601">
        <v>307</v>
      </c>
      <c r="F41" s="1"/>
      <c r="G41" s="1"/>
      <c r="H41" s="1"/>
      <c r="I41" s="1"/>
    </row>
    <row r="42" spans="1:9">
      <c r="A42" s="69">
        <v>38</v>
      </c>
      <c r="B42" s="69"/>
      <c r="C42" s="69" t="s">
        <v>1218</v>
      </c>
      <c r="D42" s="76" t="s">
        <v>49</v>
      </c>
      <c r="E42" s="601">
        <v>344</v>
      </c>
      <c r="F42" s="1"/>
      <c r="G42" s="1"/>
      <c r="H42" s="1"/>
      <c r="I42" s="1"/>
    </row>
    <row r="43" spans="1:9">
      <c r="A43" s="69">
        <v>39</v>
      </c>
      <c r="B43" s="69"/>
      <c r="C43" s="69" t="s">
        <v>1219</v>
      </c>
      <c r="D43" s="76" t="s">
        <v>48</v>
      </c>
      <c r="E43" s="601">
        <v>265</v>
      </c>
      <c r="F43" s="1"/>
      <c r="G43" s="1"/>
      <c r="H43" s="1"/>
      <c r="I43" s="1"/>
    </row>
    <row r="44" spans="1:9">
      <c r="A44" s="69">
        <v>40</v>
      </c>
      <c r="B44" s="69" t="s">
        <v>1467</v>
      </c>
      <c r="C44" s="69" t="s">
        <v>457</v>
      </c>
      <c r="D44" s="76" t="s">
        <v>57</v>
      </c>
      <c r="E44" s="601">
        <v>265</v>
      </c>
      <c r="F44" s="1"/>
      <c r="G44" s="1"/>
      <c r="H44" s="1"/>
      <c r="I44" s="1"/>
    </row>
    <row r="45" spans="1:9">
      <c r="A45" s="69">
        <v>41</v>
      </c>
      <c r="B45" s="69" t="s">
        <v>1468</v>
      </c>
      <c r="C45" s="69" t="s">
        <v>73</v>
      </c>
      <c r="D45" s="76" t="s">
        <v>1181</v>
      </c>
      <c r="E45" s="601">
        <v>335</v>
      </c>
      <c r="F45" s="1"/>
      <c r="G45" s="1"/>
      <c r="H45" s="1"/>
      <c r="I45" s="1"/>
    </row>
    <row r="46" spans="1:9">
      <c r="A46" s="69">
        <v>42</v>
      </c>
      <c r="B46" s="69" t="s">
        <v>1469</v>
      </c>
      <c r="C46" s="69" t="s">
        <v>1168</v>
      </c>
      <c r="D46" s="76" t="s">
        <v>1181</v>
      </c>
      <c r="E46" s="601">
        <v>308</v>
      </c>
      <c r="F46" s="69" t="s">
        <v>29</v>
      </c>
      <c r="G46" s="1"/>
      <c r="H46" s="1"/>
      <c r="I46" s="1"/>
    </row>
    <row r="47" spans="1:9">
      <c r="A47" s="69">
        <v>43</v>
      </c>
      <c r="B47" s="69" t="s">
        <v>1470</v>
      </c>
      <c r="C47" s="69" t="s">
        <v>1206</v>
      </c>
      <c r="D47" s="76" t="s">
        <v>50</v>
      </c>
      <c r="E47" s="601">
        <v>293</v>
      </c>
      <c r="F47" s="603" t="s">
        <v>978</v>
      </c>
      <c r="G47" s="1"/>
      <c r="H47" s="1"/>
      <c r="I47" s="1"/>
    </row>
    <row r="48" spans="1:9">
      <c r="A48" s="69">
        <v>44</v>
      </c>
      <c r="B48" s="69" t="s">
        <v>1471</v>
      </c>
      <c r="C48" s="69" t="s">
        <v>44</v>
      </c>
      <c r="D48" s="76" t="s">
        <v>43</v>
      </c>
      <c r="E48" s="601">
        <v>290</v>
      </c>
      <c r="F48" s="69" t="s">
        <v>29</v>
      </c>
      <c r="G48" s="69" t="s">
        <v>29</v>
      </c>
      <c r="H48" s="1"/>
      <c r="I48" s="1"/>
    </row>
    <row r="49" spans="1:9">
      <c r="A49" s="69">
        <v>45</v>
      </c>
      <c r="B49" s="69" t="s">
        <v>1472</v>
      </c>
      <c r="C49" s="69" t="s">
        <v>40</v>
      </c>
      <c r="D49" s="76" t="s">
        <v>39</v>
      </c>
      <c r="E49" s="601">
        <v>329</v>
      </c>
      <c r="F49" s="69" t="s">
        <v>29</v>
      </c>
      <c r="G49" s="69" t="s">
        <v>29</v>
      </c>
      <c r="H49" s="1"/>
      <c r="I49" s="1"/>
    </row>
    <row r="50" spans="1:9">
      <c r="A50" s="69">
        <v>46</v>
      </c>
      <c r="B50" s="69"/>
      <c r="C50" s="69" t="s">
        <v>1182</v>
      </c>
      <c r="D50" s="76" t="s">
        <v>34</v>
      </c>
      <c r="E50" s="601">
        <v>320</v>
      </c>
      <c r="F50" s="603" t="s">
        <v>978</v>
      </c>
      <c r="G50" s="1"/>
      <c r="H50" s="1"/>
      <c r="I50" s="1"/>
    </row>
    <row r="51" spans="1:9">
      <c r="A51" s="69">
        <v>47</v>
      </c>
      <c r="B51" s="69"/>
      <c r="C51" s="69" t="s">
        <v>1220</v>
      </c>
      <c r="D51" s="76" t="s">
        <v>34</v>
      </c>
      <c r="E51" s="601">
        <v>318</v>
      </c>
      <c r="F51" s="1"/>
      <c r="G51" s="1"/>
      <c r="H51" s="1"/>
      <c r="I51" s="1"/>
    </row>
    <row r="52" spans="1:9">
      <c r="A52" s="69">
        <v>48</v>
      </c>
      <c r="B52" s="69"/>
      <c r="C52" s="69" t="s">
        <v>1221</v>
      </c>
      <c r="D52" s="76" t="s">
        <v>32</v>
      </c>
      <c r="E52" s="601">
        <v>325</v>
      </c>
      <c r="F52" s="1"/>
      <c r="G52" s="1"/>
      <c r="H52" s="1"/>
      <c r="I52" s="1"/>
    </row>
    <row r="53" spans="1:9">
      <c r="A53" s="69">
        <v>49</v>
      </c>
      <c r="B53" s="69"/>
      <c r="C53" s="69" t="s">
        <v>1222</v>
      </c>
      <c r="D53" s="76" t="s">
        <v>34</v>
      </c>
      <c r="E53" s="601">
        <v>340</v>
      </c>
      <c r="F53" s="1"/>
      <c r="G53" s="1"/>
      <c r="H53" s="1"/>
      <c r="I53" s="1"/>
    </row>
    <row r="54" spans="1:9">
      <c r="A54" s="69">
        <v>50</v>
      </c>
      <c r="B54" s="69"/>
      <c r="C54" s="69" t="s">
        <v>1223</v>
      </c>
      <c r="D54" s="76" t="s">
        <v>32</v>
      </c>
      <c r="E54" s="601">
        <v>335</v>
      </c>
      <c r="F54" s="1"/>
      <c r="G54" s="1"/>
      <c r="H54" s="1"/>
      <c r="I54" s="1"/>
    </row>
    <row r="55" spans="1:9">
      <c r="A55" s="69">
        <v>51</v>
      </c>
      <c r="B55" s="69" t="s">
        <v>1473</v>
      </c>
      <c r="C55" s="69" t="s">
        <v>74</v>
      </c>
      <c r="D55" s="76" t="s">
        <v>53</v>
      </c>
      <c r="E55" s="601">
        <v>340</v>
      </c>
      <c r="F55" s="1"/>
      <c r="G55" s="1"/>
      <c r="H55" s="1"/>
      <c r="I55" s="1"/>
    </row>
    <row r="56" spans="1:9">
      <c r="A56" s="69">
        <v>52</v>
      </c>
      <c r="B56" s="69" t="s">
        <v>1474</v>
      </c>
      <c r="C56" s="69" t="s">
        <v>54</v>
      </c>
      <c r="D56" s="76" t="s">
        <v>53</v>
      </c>
      <c r="E56" s="601">
        <v>332</v>
      </c>
      <c r="F56" s="69" t="s">
        <v>29</v>
      </c>
      <c r="G56" s="69" t="s">
        <v>29</v>
      </c>
      <c r="H56" s="1"/>
      <c r="I56" s="1"/>
    </row>
    <row r="57" spans="1:9">
      <c r="A57" s="69">
        <v>53</v>
      </c>
      <c r="B57" s="69" t="s">
        <v>1475</v>
      </c>
      <c r="C57" s="69" t="s">
        <v>704</v>
      </c>
      <c r="D57" s="76" t="s">
        <v>50</v>
      </c>
      <c r="E57" s="601">
        <v>325</v>
      </c>
      <c r="F57" s="1"/>
      <c r="G57" s="1"/>
      <c r="H57" s="1"/>
      <c r="I57" s="1"/>
    </row>
    <row r="58" spans="1:9">
      <c r="A58" s="69">
        <v>54</v>
      </c>
      <c r="B58" s="69" t="s">
        <v>1476</v>
      </c>
      <c r="C58" s="69" t="s">
        <v>75</v>
      </c>
      <c r="D58" s="76" t="s">
        <v>50</v>
      </c>
      <c r="E58" s="601">
        <v>350</v>
      </c>
      <c r="F58" s="1"/>
      <c r="G58" s="1"/>
      <c r="H58" s="1"/>
      <c r="I58" s="1"/>
    </row>
    <row r="59" spans="1:9">
      <c r="A59" s="69">
        <v>55</v>
      </c>
      <c r="B59" s="69" t="s">
        <v>1477</v>
      </c>
      <c r="C59" s="69" t="s">
        <v>689</v>
      </c>
      <c r="D59" s="76" t="s">
        <v>50</v>
      </c>
      <c r="E59" s="601">
        <v>344</v>
      </c>
      <c r="F59" s="1"/>
      <c r="G59" s="1"/>
      <c r="H59" s="1"/>
      <c r="I59" s="1"/>
    </row>
    <row r="60" spans="1:9">
      <c r="A60" s="69">
        <v>56</v>
      </c>
      <c r="B60" s="69" t="s">
        <v>1478</v>
      </c>
      <c r="C60" s="69" t="s">
        <v>51</v>
      </c>
      <c r="D60" s="76" t="s">
        <v>50</v>
      </c>
      <c r="E60" s="601">
        <v>343</v>
      </c>
      <c r="F60" s="604" t="s">
        <v>29</v>
      </c>
      <c r="G60" s="604" t="s">
        <v>29</v>
      </c>
      <c r="H60" s="1"/>
      <c r="I60" s="1"/>
    </row>
    <row r="61" spans="1:9">
      <c r="A61" s="69">
        <v>57</v>
      </c>
      <c r="B61" s="69"/>
      <c r="C61" s="69" t="s">
        <v>1224</v>
      </c>
      <c r="D61" s="76" t="s">
        <v>32</v>
      </c>
      <c r="E61" s="601">
        <v>334</v>
      </c>
      <c r="F61" s="1"/>
      <c r="G61" s="1"/>
      <c r="H61" s="1"/>
      <c r="I61" s="1"/>
    </row>
    <row r="62" spans="1:9">
      <c r="A62" s="69">
        <v>58</v>
      </c>
      <c r="B62" s="69"/>
      <c r="C62" s="69" t="s">
        <v>1225</v>
      </c>
      <c r="D62" s="76" t="s">
        <v>34</v>
      </c>
      <c r="E62" s="601">
        <v>350</v>
      </c>
      <c r="F62" s="1"/>
      <c r="G62" s="1"/>
      <c r="H62" s="1"/>
      <c r="I62" s="1"/>
    </row>
    <row r="63" spans="1:9">
      <c r="A63" s="69">
        <v>59</v>
      </c>
      <c r="B63" s="69" t="s">
        <v>1479</v>
      </c>
      <c r="C63" s="69" t="s">
        <v>76</v>
      </c>
      <c r="D63" s="76" t="s">
        <v>50</v>
      </c>
      <c r="E63" s="601">
        <v>350</v>
      </c>
      <c r="F63" s="1"/>
      <c r="G63" s="1"/>
      <c r="H63" s="1"/>
      <c r="I63" s="1"/>
    </row>
    <row r="64" spans="1:9">
      <c r="A64" s="69">
        <v>60</v>
      </c>
      <c r="B64" s="69"/>
      <c r="C64" s="69" t="s">
        <v>1226</v>
      </c>
      <c r="D64" s="76" t="s">
        <v>32</v>
      </c>
      <c r="E64" s="601">
        <v>345</v>
      </c>
      <c r="F64" s="1"/>
      <c r="G64" s="1"/>
      <c r="H64" s="1"/>
      <c r="I64" s="1"/>
    </row>
    <row r="65" spans="1:9">
      <c r="A65" s="69">
        <v>61</v>
      </c>
      <c r="B65" s="69"/>
      <c r="C65" s="69" t="s">
        <v>1227</v>
      </c>
      <c r="D65" s="76" t="s">
        <v>32</v>
      </c>
      <c r="E65" s="601">
        <v>348</v>
      </c>
      <c r="F65" s="1"/>
      <c r="G65" s="1"/>
      <c r="H65" s="1"/>
      <c r="I65" s="1"/>
    </row>
    <row r="66" spans="1:9">
      <c r="A66" s="69">
        <v>62</v>
      </c>
      <c r="B66" s="69"/>
      <c r="C66" s="69" t="s">
        <v>1228</v>
      </c>
      <c r="D66" s="76" t="s">
        <v>34</v>
      </c>
      <c r="E66" s="601">
        <v>340</v>
      </c>
      <c r="F66" s="1"/>
      <c r="G66" s="1"/>
      <c r="H66" s="1"/>
      <c r="I66" s="1"/>
    </row>
    <row r="67" spans="1:9">
      <c r="A67" s="69">
        <v>63</v>
      </c>
      <c r="B67" s="69"/>
      <c r="C67" s="69" t="s">
        <v>1229</v>
      </c>
      <c r="D67" s="76" t="s">
        <v>34</v>
      </c>
      <c r="E67" s="601">
        <v>315</v>
      </c>
      <c r="F67" s="1"/>
      <c r="G67" s="1"/>
      <c r="H67" s="1"/>
      <c r="I67" s="1"/>
    </row>
    <row r="68" spans="1:9">
      <c r="A68" s="69">
        <v>64</v>
      </c>
      <c r="B68" s="69" t="s">
        <v>1480</v>
      </c>
      <c r="C68" s="69" t="s">
        <v>77</v>
      </c>
      <c r="D68" s="76" t="s">
        <v>50</v>
      </c>
      <c r="E68" s="601">
        <v>315</v>
      </c>
      <c r="F68" s="1"/>
      <c r="G68" s="1"/>
      <c r="H68" s="1"/>
      <c r="I68" s="1"/>
    </row>
    <row r="69" spans="1:9">
      <c r="A69" s="69">
        <v>65</v>
      </c>
      <c r="B69" s="69"/>
      <c r="C69" s="69" t="s">
        <v>1230</v>
      </c>
      <c r="D69" s="76" t="s">
        <v>32</v>
      </c>
      <c r="E69" s="601">
        <v>359</v>
      </c>
      <c r="F69" s="1"/>
      <c r="G69" s="1"/>
      <c r="H69" s="1"/>
      <c r="I69" s="1"/>
    </row>
    <row r="70" spans="1:9">
      <c r="A70" s="69">
        <v>66</v>
      </c>
      <c r="B70" s="69"/>
      <c r="C70" s="69" t="s">
        <v>1231</v>
      </c>
      <c r="D70" s="76" t="s">
        <v>48</v>
      </c>
      <c r="E70" s="601">
        <v>322</v>
      </c>
      <c r="F70" s="1"/>
      <c r="G70" s="1"/>
      <c r="H70" s="1"/>
      <c r="I70" s="1"/>
    </row>
    <row r="71" spans="1:9">
      <c r="A71" s="69">
        <v>67</v>
      </c>
      <c r="B71" s="69" t="s">
        <v>1481</v>
      </c>
      <c r="C71" s="69" t="s">
        <v>78</v>
      </c>
      <c r="D71" s="76" t="s">
        <v>57</v>
      </c>
      <c r="E71" s="601">
        <v>335</v>
      </c>
      <c r="F71" s="1"/>
      <c r="G71" s="1"/>
      <c r="H71" s="1"/>
      <c r="I71" s="1"/>
    </row>
    <row r="72" spans="1:9">
      <c r="A72" s="69">
        <v>68</v>
      </c>
      <c r="B72" s="605"/>
      <c r="C72" s="606"/>
      <c r="D72" s="603"/>
      <c r="E72" s="69"/>
      <c r="F72" s="1"/>
      <c r="G72" s="1"/>
      <c r="H72" s="1"/>
      <c r="I72" s="1"/>
    </row>
    <row r="73" spans="1:9">
      <c r="A73" s="69">
        <v>69</v>
      </c>
      <c r="B73" s="605"/>
      <c r="C73" s="607"/>
      <c r="D73" s="603"/>
      <c r="E73" s="69"/>
      <c r="F73" s="1"/>
      <c r="G73" s="1"/>
      <c r="H73" s="1"/>
      <c r="I73" s="1"/>
    </row>
    <row r="74" spans="1:9">
      <c r="A74" s="69">
        <v>70</v>
      </c>
      <c r="B74" s="605"/>
      <c r="C74" s="607"/>
      <c r="D74" s="603"/>
      <c r="E74" s="69"/>
      <c r="F74" s="1"/>
      <c r="G74" s="1"/>
      <c r="H74" s="1"/>
      <c r="I74" s="1"/>
    </row>
    <row r="75" spans="1:9">
      <c r="A75" s="69">
        <v>71</v>
      </c>
      <c r="B75" s="605"/>
      <c r="C75" s="607"/>
      <c r="D75" s="603"/>
      <c r="E75" s="69"/>
      <c r="F75" s="1"/>
      <c r="G75" s="1"/>
      <c r="H75" s="1"/>
      <c r="I75" s="1"/>
    </row>
    <row r="76" spans="1:9">
      <c r="A76" s="69">
        <v>72</v>
      </c>
      <c r="B76" s="29" t="s">
        <v>1482</v>
      </c>
      <c r="C76" s="69" t="s">
        <v>1232</v>
      </c>
      <c r="D76" s="69" t="s">
        <v>1171</v>
      </c>
      <c r="E76" s="567">
        <v>0</v>
      </c>
      <c r="F76" s="1"/>
      <c r="G76" s="1"/>
      <c r="H76" s="1"/>
      <c r="I76" s="1"/>
    </row>
    <row r="77" spans="1:9">
      <c r="A77" s="69">
        <v>73</v>
      </c>
      <c r="B77" s="29"/>
      <c r="C77" s="29" t="s">
        <v>1233</v>
      </c>
      <c r="D77" s="69" t="s">
        <v>1167</v>
      </c>
      <c r="E77" s="69">
        <v>356</v>
      </c>
      <c r="F77" s="1"/>
      <c r="G77" s="1"/>
      <c r="H77" s="1"/>
      <c r="I77" s="1"/>
    </row>
    <row r="78" spans="1:9">
      <c r="A78" s="69">
        <v>74</v>
      </c>
      <c r="B78" s="29"/>
      <c r="C78" s="69" t="s">
        <v>1234</v>
      </c>
      <c r="D78" s="69" t="s">
        <v>1167</v>
      </c>
      <c r="E78" s="69">
        <v>311</v>
      </c>
      <c r="F78" s="1"/>
      <c r="G78" s="1"/>
      <c r="H78" s="1"/>
      <c r="I78" s="1"/>
    </row>
    <row r="79" spans="1:9">
      <c r="A79" s="69">
        <v>75</v>
      </c>
      <c r="B79" s="29" t="s">
        <v>1483</v>
      </c>
      <c r="C79" s="69" t="s">
        <v>1235</v>
      </c>
      <c r="D79" s="69" t="s">
        <v>1438</v>
      </c>
      <c r="E79" s="69">
        <v>324.56</v>
      </c>
      <c r="F79" s="1"/>
      <c r="G79" s="1"/>
      <c r="H79" s="1"/>
      <c r="I79" s="1"/>
    </row>
    <row r="80" spans="1:9">
      <c r="A80" s="69">
        <v>76</v>
      </c>
      <c r="B80" s="29"/>
      <c r="C80" s="69" t="s">
        <v>1236</v>
      </c>
      <c r="D80" s="69" t="s">
        <v>1205</v>
      </c>
      <c r="E80" s="69">
        <v>356</v>
      </c>
      <c r="F80" s="1"/>
      <c r="G80" s="1"/>
      <c r="H80" s="1"/>
      <c r="I80" s="1"/>
    </row>
    <row r="81" spans="1:9">
      <c r="A81" s="69">
        <v>77</v>
      </c>
      <c r="B81" s="29"/>
      <c r="C81" s="69" t="s">
        <v>1237</v>
      </c>
      <c r="D81" s="69" t="s">
        <v>1205</v>
      </c>
      <c r="E81" s="69">
        <v>340</v>
      </c>
      <c r="F81" s="1"/>
      <c r="G81" s="1"/>
      <c r="H81" s="1"/>
      <c r="I81" s="1"/>
    </row>
    <row r="82" spans="1:9">
      <c r="A82" s="69">
        <v>78</v>
      </c>
      <c r="B82" s="29" t="s">
        <v>1484</v>
      </c>
      <c r="C82" s="69" t="s">
        <v>1238</v>
      </c>
      <c r="D82" s="69" t="s">
        <v>1438</v>
      </c>
      <c r="E82" s="69">
        <v>357.17</v>
      </c>
      <c r="F82" s="1"/>
      <c r="G82" s="1"/>
      <c r="H82" s="1"/>
      <c r="I82" s="1"/>
    </row>
    <row r="83" spans="1:9">
      <c r="A83" s="69">
        <v>79</v>
      </c>
      <c r="B83" s="29" t="s">
        <v>1485</v>
      </c>
      <c r="C83" s="69" t="s">
        <v>1239</v>
      </c>
      <c r="D83" s="69" t="s">
        <v>1438</v>
      </c>
      <c r="E83" s="69">
        <v>262.52</v>
      </c>
      <c r="F83" s="1"/>
      <c r="G83" s="1"/>
      <c r="H83" s="1"/>
      <c r="I83" s="1"/>
    </row>
    <row r="84" spans="1:9">
      <c r="A84" s="69">
        <v>80</v>
      </c>
      <c r="B84" s="29"/>
      <c r="C84" s="69" t="s">
        <v>1240</v>
      </c>
      <c r="D84" s="69" t="s">
        <v>1167</v>
      </c>
      <c r="E84" s="69">
        <v>251</v>
      </c>
      <c r="F84" s="1"/>
      <c r="G84" s="1"/>
      <c r="H84" s="1"/>
      <c r="I84" s="1"/>
    </row>
    <row r="85" spans="1:9">
      <c r="A85" s="69">
        <v>81</v>
      </c>
      <c r="B85" s="29"/>
      <c r="C85" s="69" t="s">
        <v>1241</v>
      </c>
      <c r="D85" s="69" t="s">
        <v>1167</v>
      </c>
      <c r="E85" s="69">
        <v>222</v>
      </c>
      <c r="F85" s="1"/>
      <c r="G85" s="1"/>
      <c r="H85" s="1"/>
      <c r="I85" s="1"/>
    </row>
    <row r="86" spans="1:9">
      <c r="A86" s="69">
        <v>82</v>
      </c>
      <c r="B86" s="29" t="s">
        <v>1486</v>
      </c>
      <c r="C86" s="69" t="s">
        <v>1242</v>
      </c>
      <c r="D86" s="69" t="s">
        <v>1170</v>
      </c>
      <c r="E86" s="69">
        <v>228.52</v>
      </c>
      <c r="F86" s="1"/>
      <c r="G86" s="1"/>
      <c r="H86" s="1"/>
      <c r="I86" s="1"/>
    </row>
    <row r="87" spans="1:9">
      <c r="A87" s="69">
        <v>83</v>
      </c>
      <c r="B87" s="29"/>
      <c r="C87" s="69" t="s">
        <v>1243</v>
      </c>
      <c r="D87" s="69" t="s">
        <v>1436</v>
      </c>
      <c r="E87" s="69">
        <v>333</v>
      </c>
      <c r="F87" s="1"/>
      <c r="G87" s="1"/>
      <c r="H87" s="1"/>
      <c r="I87" s="1"/>
    </row>
    <row r="88" spans="1:9">
      <c r="A88" s="69">
        <v>84</v>
      </c>
      <c r="B88" s="29"/>
      <c r="C88" s="69" t="s">
        <v>1244</v>
      </c>
      <c r="D88" s="69" t="s">
        <v>1436</v>
      </c>
      <c r="E88" s="70">
        <v>363.3</v>
      </c>
      <c r="F88" s="1"/>
      <c r="G88" s="1"/>
      <c r="H88" s="1"/>
      <c r="I88" s="1"/>
    </row>
    <row r="89" spans="1:9">
      <c r="A89" s="69">
        <v>85</v>
      </c>
      <c r="B89" s="29" t="s">
        <v>1487</v>
      </c>
      <c r="C89" s="69" t="s">
        <v>1245</v>
      </c>
      <c r="D89" s="69" t="s">
        <v>1438</v>
      </c>
      <c r="E89" s="70">
        <v>327.2</v>
      </c>
      <c r="F89" s="1"/>
      <c r="G89" s="1"/>
      <c r="H89" s="1"/>
      <c r="I89" s="1"/>
    </row>
    <row r="90" spans="1:9">
      <c r="A90" s="69">
        <v>86</v>
      </c>
      <c r="B90" s="29"/>
      <c r="C90" s="69" t="s">
        <v>1246</v>
      </c>
      <c r="D90" s="69" t="s">
        <v>1258</v>
      </c>
      <c r="E90" s="69">
        <v>90</v>
      </c>
      <c r="F90" s="1"/>
      <c r="G90" s="1"/>
      <c r="H90" s="1"/>
      <c r="I90" s="1"/>
    </row>
    <row r="91" spans="1:9">
      <c r="A91" s="69">
        <v>87</v>
      </c>
      <c r="B91" s="29"/>
      <c r="C91" s="69" t="s">
        <v>1247</v>
      </c>
      <c r="D91" s="69" t="s">
        <v>1258</v>
      </c>
      <c r="E91" s="69">
        <v>90</v>
      </c>
      <c r="F91" s="1"/>
      <c r="G91" s="1"/>
      <c r="H91" s="1"/>
      <c r="I91" s="1"/>
    </row>
    <row r="92" spans="1:9">
      <c r="A92" s="69">
        <v>88</v>
      </c>
      <c r="B92" s="29" t="s">
        <v>1488</v>
      </c>
      <c r="C92" s="69" t="s">
        <v>1248</v>
      </c>
      <c r="D92" s="69" t="s">
        <v>1438</v>
      </c>
      <c r="E92" s="69">
        <v>97</v>
      </c>
      <c r="F92" s="1"/>
      <c r="G92" s="1"/>
      <c r="H92" s="1"/>
      <c r="I92" s="1"/>
    </row>
    <row r="93" spans="1:9">
      <c r="A93" s="69">
        <v>89</v>
      </c>
      <c r="B93" s="29" t="s">
        <v>1489</v>
      </c>
      <c r="C93" s="69" t="s">
        <v>1249</v>
      </c>
      <c r="D93" s="69" t="s">
        <v>1490</v>
      </c>
      <c r="E93" s="69">
        <v>266.75</v>
      </c>
      <c r="F93" s="1"/>
      <c r="G93" s="1"/>
      <c r="H93" s="1"/>
      <c r="I93" s="1"/>
    </row>
    <row r="94" spans="1:9">
      <c r="A94" s="69">
        <v>90</v>
      </c>
      <c r="B94" s="29"/>
      <c r="C94" s="69" t="s">
        <v>1250</v>
      </c>
      <c r="D94" s="69" t="s">
        <v>1167</v>
      </c>
      <c r="E94" s="69">
        <v>290</v>
      </c>
      <c r="F94" s="1"/>
      <c r="G94" s="1"/>
      <c r="H94" s="1"/>
      <c r="I94" s="1"/>
    </row>
    <row r="95" spans="1:9">
      <c r="A95" s="69">
        <v>91</v>
      </c>
      <c r="B95" s="29"/>
      <c r="C95" s="69" t="s">
        <v>1251</v>
      </c>
      <c r="D95" s="69" t="s">
        <v>1167</v>
      </c>
      <c r="E95" s="69">
        <v>338</v>
      </c>
      <c r="F95" s="1"/>
      <c r="G95" s="1"/>
      <c r="H95" s="1"/>
      <c r="I95" s="1"/>
    </row>
    <row r="96" spans="1:9">
      <c r="A96" s="69">
        <v>92</v>
      </c>
      <c r="B96" s="29"/>
      <c r="C96" s="69" t="s">
        <v>1252</v>
      </c>
      <c r="D96" s="69" t="s">
        <v>1437</v>
      </c>
      <c r="E96" s="69">
        <v>344</v>
      </c>
      <c r="F96" s="1"/>
      <c r="G96" s="1"/>
      <c r="H96" s="1"/>
      <c r="I96" s="1"/>
    </row>
    <row r="97" spans="1:9">
      <c r="A97" s="69">
        <v>93</v>
      </c>
      <c r="B97" s="29" t="s">
        <v>1491</v>
      </c>
      <c r="C97" s="69" t="s">
        <v>1253</v>
      </c>
      <c r="D97" s="69" t="s">
        <v>1171</v>
      </c>
      <c r="E97" s="69">
        <v>303.12</v>
      </c>
      <c r="F97" s="1"/>
      <c r="G97" s="1"/>
      <c r="H97" s="1"/>
      <c r="I97" s="1"/>
    </row>
    <row r="98" spans="1:9">
      <c r="A98" s="69">
        <v>94</v>
      </c>
      <c r="B98" s="29" t="s">
        <v>1492</v>
      </c>
      <c r="C98" s="69" t="s">
        <v>1254</v>
      </c>
      <c r="D98" s="69" t="s">
        <v>1258</v>
      </c>
      <c r="E98" s="69">
        <v>90.48</v>
      </c>
      <c r="F98" s="1"/>
      <c r="G98" s="1"/>
      <c r="H98" s="1"/>
      <c r="I98" s="1"/>
    </row>
    <row r="99" spans="1:9">
      <c r="A99" s="69">
        <v>95</v>
      </c>
      <c r="B99" s="29" t="s">
        <v>1493</v>
      </c>
      <c r="C99" s="69" t="s">
        <v>1255</v>
      </c>
      <c r="D99" s="69" t="s">
        <v>1258</v>
      </c>
      <c r="E99" s="69">
        <v>71.959999999999994</v>
      </c>
      <c r="F99" s="1"/>
      <c r="G99" s="1"/>
      <c r="H99" s="1"/>
      <c r="I99" s="1"/>
    </row>
    <row r="100" spans="1:9">
      <c r="A100" s="69">
        <v>96</v>
      </c>
      <c r="B100" s="29" t="s">
        <v>1494</v>
      </c>
      <c r="C100" s="69" t="s">
        <v>1256</v>
      </c>
      <c r="D100" s="69" t="s">
        <v>1435</v>
      </c>
      <c r="E100" s="69">
        <v>124.51</v>
      </c>
      <c r="F100" s="1"/>
      <c r="G100" s="1"/>
      <c r="H100" s="1"/>
      <c r="I100" s="1"/>
    </row>
    <row r="101" spans="1:9">
      <c r="A101" s="69">
        <v>97</v>
      </c>
      <c r="B101" s="29" t="s">
        <v>1495</v>
      </c>
      <c r="C101" s="69" t="s">
        <v>1257</v>
      </c>
      <c r="D101" s="69" t="s">
        <v>648</v>
      </c>
      <c r="E101" s="69">
        <v>92.34</v>
      </c>
      <c r="F101" s="1"/>
      <c r="G101" s="1"/>
      <c r="H101" s="1"/>
      <c r="I101" s="1"/>
    </row>
    <row r="102" spans="1:9">
      <c r="A102" s="69">
        <v>98</v>
      </c>
      <c r="B102" s="29" t="s">
        <v>1496</v>
      </c>
      <c r="C102" s="69" t="s">
        <v>1259</v>
      </c>
      <c r="D102" s="69" t="s">
        <v>1497</v>
      </c>
      <c r="E102" s="69">
        <v>244.97</v>
      </c>
      <c r="F102" s="1"/>
      <c r="G102" s="1"/>
      <c r="H102" s="1"/>
      <c r="I102" s="1"/>
    </row>
    <row r="103" spans="1:9">
      <c r="A103" s="69">
        <v>99</v>
      </c>
      <c r="B103" s="29"/>
      <c r="C103" s="69" t="s">
        <v>1260</v>
      </c>
      <c r="D103" s="69" t="s">
        <v>1437</v>
      </c>
      <c r="E103" s="69">
        <v>275</v>
      </c>
      <c r="F103" s="1"/>
      <c r="G103" s="1"/>
      <c r="H103" s="1"/>
      <c r="I103" s="1"/>
    </row>
    <row r="104" spans="1:9">
      <c r="A104" s="69">
        <v>100</v>
      </c>
      <c r="B104" s="29"/>
      <c r="C104" s="69" t="s">
        <v>1261</v>
      </c>
      <c r="D104" s="69" t="s">
        <v>1436</v>
      </c>
      <c r="E104" s="69">
        <v>367</v>
      </c>
      <c r="F104" s="1"/>
      <c r="G104" s="1"/>
      <c r="H104" s="1"/>
      <c r="I104" s="1"/>
    </row>
    <row r="105" spans="1:9">
      <c r="A105" s="69">
        <v>101</v>
      </c>
      <c r="B105" s="29"/>
      <c r="C105" s="69" t="s">
        <v>1262</v>
      </c>
      <c r="D105" s="69" t="s">
        <v>1437</v>
      </c>
      <c r="E105" s="69">
        <v>331</v>
      </c>
      <c r="F105" s="1"/>
      <c r="G105" s="1"/>
      <c r="H105" s="1"/>
      <c r="I105" s="1"/>
    </row>
    <row r="106" spans="1:9">
      <c r="A106" s="69">
        <v>102</v>
      </c>
      <c r="B106" s="29" t="s">
        <v>1498</v>
      </c>
      <c r="C106" s="69" t="s">
        <v>1263</v>
      </c>
      <c r="D106" s="69" t="s">
        <v>1438</v>
      </c>
      <c r="E106" s="69">
        <v>299.87</v>
      </c>
      <c r="F106" s="1"/>
      <c r="G106" s="1"/>
      <c r="H106" s="1"/>
      <c r="I106" s="1"/>
    </row>
    <row r="107" spans="1:9">
      <c r="A107" s="69">
        <v>103</v>
      </c>
      <c r="B107" s="29"/>
      <c r="C107" s="69" t="s">
        <v>1264</v>
      </c>
      <c r="D107" s="69" t="s">
        <v>1167</v>
      </c>
      <c r="E107" s="69">
        <v>229</v>
      </c>
      <c r="F107" s="1"/>
      <c r="G107" s="1"/>
      <c r="H107" s="1"/>
      <c r="I107" s="1"/>
    </row>
    <row r="108" spans="1:9">
      <c r="A108" s="69">
        <v>104</v>
      </c>
      <c r="B108" s="29" t="s">
        <v>1499</v>
      </c>
      <c r="C108" s="69" t="s">
        <v>1265</v>
      </c>
      <c r="D108" s="69" t="s">
        <v>1500</v>
      </c>
      <c r="E108" s="69">
        <v>233.14</v>
      </c>
      <c r="F108" s="1"/>
      <c r="G108" s="1"/>
      <c r="H108" s="1"/>
      <c r="I108" s="1"/>
    </row>
    <row r="109" spans="1:9">
      <c r="A109" s="69">
        <v>105</v>
      </c>
      <c r="B109" s="29"/>
      <c r="C109" s="69" t="s">
        <v>1266</v>
      </c>
      <c r="D109" s="69" t="s">
        <v>1205</v>
      </c>
      <c r="E109" s="69">
        <v>280</v>
      </c>
      <c r="F109" s="1"/>
      <c r="G109" s="1"/>
      <c r="H109" s="1"/>
      <c r="I109" s="1"/>
    </row>
    <row r="110" spans="1:9">
      <c r="A110" s="69">
        <v>106</v>
      </c>
      <c r="B110" s="29" t="s">
        <v>1501</v>
      </c>
      <c r="C110" s="69" t="s">
        <v>1267</v>
      </c>
      <c r="D110" s="69" t="s">
        <v>1435</v>
      </c>
      <c r="E110" s="69">
        <v>293.92</v>
      </c>
      <c r="F110" s="1"/>
      <c r="G110" s="1"/>
      <c r="H110" s="1"/>
      <c r="I110" s="1"/>
    </row>
    <row r="111" spans="1:9">
      <c r="A111" s="69">
        <v>107</v>
      </c>
      <c r="B111" s="29"/>
      <c r="C111" s="69" t="s">
        <v>1268</v>
      </c>
      <c r="D111" s="69" t="s">
        <v>1436</v>
      </c>
      <c r="E111" s="69">
        <v>312</v>
      </c>
      <c r="F111" s="1"/>
      <c r="G111" s="1"/>
      <c r="H111" s="1"/>
      <c r="I111" s="1"/>
    </row>
    <row r="112" spans="1:9">
      <c r="A112" s="69">
        <v>108</v>
      </c>
      <c r="B112" s="29" t="s">
        <v>1502</v>
      </c>
      <c r="C112" s="69" t="s">
        <v>1269</v>
      </c>
      <c r="D112" s="69" t="s">
        <v>1503</v>
      </c>
      <c r="E112" s="69">
        <v>346.18</v>
      </c>
      <c r="F112" s="1"/>
      <c r="G112" s="1"/>
      <c r="H112" s="1"/>
      <c r="I112" s="1"/>
    </row>
    <row r="113" spans="1:9">
      <c r="A113" s="69">
        <v>109</v>
      </c>
      <c r="B113" s="29" t="s">
        <v>1504</v>
      </c>
      <c r="C113" s="69" t="s">
        <v>1270</v>
      </c>
      <c r="D113" s="69" t="s">
        <v>1497</v>
      </c>
      <c r="E113" s="69">
        <v>325.29000000000002</v>
      </c>
      <c r="F113" s="1"/>
      <c r="G113" s="1"/>
      <c r="H113" s="1"/>
      <c r="I113" s="1"/>
    </row>
    <row r="114" spans="1:9">
      <c r="A114" s="69">
        <v>110</v>
      </c>
      <c r="B114" s="29" t="s">
        <v>1505</v>
      </c>
      <c r="C114" s="69" t="s">
        <v>1271</v>
      </c>
      <c r="D114" s="69" t="s">
        <v>1503</v>
      </c>
      <c r="E114" s="69">
        <v>347.32</v>
      </c>
      <c r="F114" s="1"/>
      <c r="G114" s="1"/>
      <c r="H114" s="1"/>
      <c r="I114" s="1"/>
    </row>
    <row r="115" spans="1:9">
      <c r="A115" s="69">
        <v>111</v>
      </c>
      <c r="B115" s="29" t="s">
        <v>1506</v>
      </c>
      <c r="C115" s="69" t="s">
        <v>1272</v>
      </c>
      <c r="D115" s="69" t="s">
        <v>1171</v>
      </c>
      <c r="E115" s="69">
        <v>233.33</v>
      </c>
      <c r="F115" s="1"/>
      <c r="G115" s="1"/>
      <c r="H115" s="1"/>
      <c r="I115" s="1"/>
    </row>
    <row r="116" spans="1:9">
      <c r="A116" s="69">
        <v>112</v>
      </c>
      <c r="B116" s="29"/>
      <c r="C116" s="69" t="s">
        <v>1273</v>
      </c>
      <c r="D116" s="69" t="s">
        <v>1205</v>
      </c>
      <c r="E116" s="69">
        <v>338</v>
      </c>
      <c r="F116" s="1"/>
      <c r="G116" s="1"/>
      <c r="H116" s="1"/>
      <c r="I116" s="1"/>
    </row>
    <row r="117" spans="1:9">
      <c r="A117" s="69">
        <v>113</v>
      </c>
      <c r="B117" s="29"/>
      <c r="C117" s="69" t="s">
        <v>1274</v>
      </c>
      <c r="D117" s="69" t="s">
        <v>1167</v>
      </c>
      <c r="E117" s="69">
        <v>320</v>
      </c>
      <c r="F117" s="1"/>
      <c r="G117" s="1"/>
      <c r="H117" s="1"/>
      <c r="I117" s="1"/>
    </row>
    <row r="118" spans="1:9">
      <c r="A118" s="69">
        <v>114</v>
      </c>
      <c r="B118" s="29"/>
      <c r="C118" s="69" t="s">
        <v>1275</v>
      </c>
      <c r="D118" s="69" t="s">
        <v>1167</v>
      </c>
      <c r="E118" s="69">
        <v>290</v>
      </c>
      <c r="F118" s="1"/>
      <c r="G118" s="1"/>
      <c r="H118" s="1"/>
      <c r="I118" s="1"/>
    </row>
    <row r="119" spans="1:9">
      <c r="A119" s="69">
        <v>115</v>
      </c>
      <c r="B119" s="29" t="s">
        <v>1507</v>
      </c>
      <c r="C119" s="69" t="s">
        <v>1276</v>
      </c>
      <c r="D119" s="69" t="s">
        <v>1500</v>
      </c>
      <c r="E119" s="69">
        <v>284.92</v>
      </c>
      <c r="F119" s="1"/>
      <c r="G119" s="1"/>
      <c r="H119" s="1"/>
      <c r="I119" s="1"/>
    </row>
    <row r="120" spans="1:9">
      <c r="A120" s="69">
        <v>116</v>
      </c>
      <c r="B120" s="29"/>
      <c r="C120" s="69" t="s">
        <v>1277</v>
      </c>
      <c r="D120" s="69" t="s">
        <v>1167</v>
      </c>
      <c r="E120" s="69">
        <v>365</v>
      </c>
      <c r="F120" s="1"/>
      <c r="G120" s="1"/>
      <c r="H120" s="1"/>
      <c r="I120" s="1"/>
    </row>
    <row r="121" spans="1:9">
      <c r="A121" s="69">
        <v>117</v>
      </c>
      <c r="B121" s="29" t="s">
        <v>1508</v>
      </c>
      <c r="C121" s="69" t="s">
        <v>1278</v>
      </c>
      <c r="D121" s="69" t="s">
        <v>1497</v>
      </c>
      <c r="E121" s="70">
        <v>328.9</v>
      </c>
      <c r="F121" s="1"/>
      <c r="G121" s="1"/>
      <c r="H121" s="1"/>
      <c r="I121" s="1"/>
    </row>
    <row r="122" spans="1:9">
      <c r="A122" s="69">
        <v>118</v>
      </c>
      <c r="B122" s="29" t="s">
        <v>1509</v>
      </c>
      <c r="C122" s="69" t="s">
        <v>1279</v>
      </c>
      <c r="D122" s="69" t="s">
        <v>1438</v>
      </c>
      <c r="E122" s="69">
        <v>348.96</v>
      </c>
      <c r="F122" s="1"/>
      <c r="G122" s="1"/>
      <c r="H122" s="1"/>
      <c r="I122" s="1"/>
    </row>
    <row r="123" spans="1:9">
      <c r="A123" s="69">
        <v>119</v>
      </c>
      <c r="B123" s="29"/>
      <c r="C123" s="69" t="s">
        <v>1280</v>
      </c>
      <c r="D123" s="69" t="s">
        <v>1205</v>
      </c>
      <c r="E123" s="69">
        <v>351</v>
      </c>
      <c r="F123" s="1"/>
      <c r="G123" s="1"/>
      <c r="H123" s="1"/>
      <c r="I123" s="1"/>
    </row>
    <row r="124" spans="1:9">
      <c r="A124" s="69">
        <v>120</v>
      </c>
      <c r="B124" s="29" t="s">
        <v>1510</v>
      </c>
      <c r="C124" s="69" t="s">
        <v>1281</v>
      </c>
      <c r="D124" s="69" t="s">
        <v>1171</v>
      </c>
      <c r="E124" s="69">
        <v>321.51</v>
      </c>
      <c r="F124" s="1"/>
      <c r="G124" s="1"/>
      <c r="H124" s="1"/>
      <c r="I124" s="1"/>
    </row>
    <row r="125" spans="1:9">
      <c r="A125" s="69">
        <v>121</v>
      </c>
      <c r="B125" s="29" t="s">
        <v>1511</v>
      </c>
      <c r="C125" s="69" t="s">
        <v>1282</v>
      </c>
      <c r="D125" s="69" t="s">
        <v>1497</v>
      </c>
      <c r="E125" s="70">
        <v>346.3</v>
      </c>
      <c r="F125" s="1"/>
      <c r="G125" s="1"/>
      <c r="H125" s="1"/>
      <c r="I125" s="1"/>
    </row>
    <row r="126" spans="1:9">
      <c r="A126" s="69">
        <v>122</v>
      </c>
      <c r="B126" s="29"/>
      <c r="C126" s="69" t="s">
        <v>1195</v>
      </c>
      <c r="D126" s="69" t="s">
        <v>1167</v>
      </c>
      <c r="E126" s="69">
        <v>274</v>
      </c>
      <c r="F126" s="1"/>
      <c r="G126" s="1"/>
      <c r="H126" s="1"/>
      <c r="I126" s="1"/>
    </row>
    <row r="127" spans="1:9">
      <c r="A127" s="69">
        <v>123</v>
      </c>
      <c r="B127" s="29" t="s">
        <v>1512</v>
      </c>
      <c r="C127" s="69" t="s">
        <v>1194</v>
      </c>
      <c r="D127" s="69" t="s">
        <v>1171</v>
      </c>
      <c r="E127" s="69">
        <v>336.92</v>
      </c>
      <c r="F127" s="1"/>
      <c r="G127" s="1"/>
      <c r="H127" s="1"/>
      <c r="I127" s="1"/>
    </row>
    <row r="128" spans="1:9">
      <c r="A128" s="69">
        <v>124</v>
      </c>
      <c r="B128" s="29"/>
      <c r="C128" s="69" t="s">
        <v>1283</v>
      </c>
      <c r="D128" s="69" t="s">
        <v>1167</v>
      </c>
      <c r="E128" s="69">
        <v>239</v>
      </c>
      <c r="F128" s="1"/>
      <c r="G128" s="1"/>
      <c r="H128" s="1"/>
      <c r="I128" s="1"/>
    </row>
    <row r="129" spans="1:9">
      <c r="A129" s="69">
        <v>125</v>
      </c>
      <c r="B129" s="29" t="s">
        <v>1513</v>
      </c>
      <c r="C129" s="69" t="s">
        <v>1193</v>
      </c>
      <c r="D129" s="69" t="s">
        <v>1438</v>
      </c>
      <c r="E129" s="69">
        <v>200.34</v>
      </c>
      <c r="F129" s="1"/>
      <c r="G129" s="1"/>
      <c r="H129" s="1"/>
      <c r="I129" s="1"/>
    </row>
    <row r="130" spans="1:9">
      <c r="A130" s="69">
        <v>126</v>
      </c>
      <c r="B130" s="29"/>
      <c r="C130" s="69" t="s">
        <v>1284</v>
      </c>
      <c r="D130" s="69" t="s">
        <v>1167</v>
      </c>
      <c r="E130" s="69">
        <v>276</v>
      </c>
      <c r="F130" s="1"/>
      <c r="G130" s="1"/>
      <c r="H130" s="1"/>
      <c r="I130" s="1"/>
    </row>
    <row r="131" spans="1:9">
      <c r="A131" s="69">
        <v>127</v>
      </c>
      <c r="B131" s="29"/>
      <c r="C131" s="69" t="s">
        <v>1285</v>
      </c>
      <c r="D131" s="69" t="s">
        <v>1436</v>
      </c>
      <c r="E131" s="69">
        <v>337</v>
      </c>
      <c r="F131" s="1"/>
      <c r="G131" s="1"/>
      <c r="H131" s="1"/>
      <c r="I131" s="1"/>
    </row>
    <row r="132" spans="1:9">
      <c r="A132" s="69">
        <v>128</v>
      </c>
      <c r="B132" s="29" t="s">
        <v>1514</v>
      </c>
      <c r="C132" s="69" t="s">
        <v>1286</v>
      </c>
      <c r="D132" s="69" t="s">
        <v>1170</v>
      </c>
      <c r="E132" s="69">
        <v>316.76</v>
      </c>
      <c r="F132" s="1"/>
      <c r="G132" s="1"/>
      <c r="H132" s="1"/>
      <c r="I132" s="1"/>
    </row>
    <row r="133" spans="1:9">
      <c r="A133" s="69">
        <v>129</v>
      </c>
      <c r="B133" s="29"/>
      <c r="C133" s="69" t="s">
        <v>1287</v>
      </c>
      <c r="D133" s="69" t="s">
        <v>1436</v>
      </c>
      <c r="E133" s="69">
        <v>352</v>
      </c>
      <c r="F133" s="1"/>
      <c r="G133" s="1"/>
      <c r="H133" s="1"/>
      <c r="I133" s="1"/>
    </row>
    <row r="134" spans="1:9">
      <c r="A134" s="69">
        <v>130</v>
      </c>
      <c r="B134" s="29" t="s">
        <v>1515</v>
      </c>
      <c r="C134" s="69" t="s">
        <v>1288</v>
      </c>
      <c r="D134" s="69" t="s">
        <v>1516</v>
      </c>
      <c r="E134" s="69">
        <v>331.24</v>
      </c>
      <c r="F134" s="1"/>
      <c r="G134" s="1"/>
      <c r="H134" s="1"/>
      <c r="I134" s="1"/>
    </row>
    <row r="135" spans="1:9">
      <c r="A135" s="69">
        <v>131</v>
      </c>
      <c r="B135" s="29"/>
      <c r="C135" s="69" t="s">
        <v>1192</v>
      </c>
      <c r="D135" s="69" t="s">
        <v>1436</v>
      </c>
      <c r="E135" s="69">
        <v>358</v>
      </c>
      <c r="F135" s="1"/>
      <c r="G135" s="1"/>
      <c r="H135" s="1"/>
      <c r="I135" s="1"/>
    </row>
    <row r="136" spans="1:9">
      <c r="A136" s="69">
        <v>132</v>
      </c>
      <c r="B136" s="29" t="s">
        <v>1517</v>
      </c>
      <c r="C136" s="69" t="s">
        <v>1289</v>
      </c>
      <c r="D136" s="69" t="s">
        <v>1503</v>
      </c>
      <c r="E136" s="69">
        <v>341.04</v>
      </c>
      <c r="F136" s="1"/>
      <c r="G136" s="1"/>
      <c r="H136" s="1"/>
      <c r="I136" s="1"/>
    </row>
    <row r="137" spans="1:9">
      <c r="A137" s="69">
        <v>133</v>
      </c>
      <c r="B137" s="29"/>
      <c r="C137" s="69" t="s">
        <v>1183</v>
      </c>
      <c r="D137" s="69" t="s">
        <v>1205</v>
      </c>
      <c r="E137" s="69">
        <v>286</v>
      </c>
      <c r="F137" s="1"/>
      <c r="G137" s="1"/>
      <c r="H137" s="1"/>
      <c r="I137" s="1"/>
    </row>
    <row r="138" spans="1:9">
      <c r="A138" s="69">
        <v>134</v>
      </c>
      <c r="B138" s="29"/>
      <c r="C138" s="69" t="s">
        <v>1290</v>
      </c>
      <c r="D138" s="69" t="s">
        <v>1167</v>
      </c>
      <c r="E138" s="69">
        <v>357</v>
      </c>
      <c r="F138" s="1"/>
      <c r="G138" s="1"/>
      <c r="H138" s="1"/>
      <c r="I138" s="1"/>
    </row>
    <row r="139" spans="1:9">
      <c r="A139" s="69">
        <v>135</v>
      </c>
      <c r="B139" s="29"/>
      <c r="C139" s="69" t="s">
        <v>1184</v>
      </c>
      <c r="D139" s="69" t="s">
        <v>1435</v>
      </c>
      <c r="E139" s="69">
        <v>337.63</v>
      </c>
      <c r="F139" s="1"/>
      <c r="G139" s="1"/>
      <c r="H139" s="1"/>
      <c r="I139" s="1"/>
    </row>
    <row r="140" spans="1:9">
      <c r="A140" s="69">
        <v>136</v>
      </c>
      <c r="B140" s="29"/>
      <c r="C140" s="69" t="s">
        <v>1185</v>
      </c>
      <c r="D140" s="69" t="s">
        <v>1437</v>
      </c>
      <c r="E140" s="69">
        <v>282</v>
      </c>
      <c r="F140" s="1"/>
      <c r="G140" s="1"/>
      <c r="H140" s="1"/>
      <c r="I140" s="1"/>
    </row>
    <row r="141" spans="1:9">
      <c r="A141" s="69">
        <v>137</v>
      </c>
      <c r="B141" s="29"/>
      <c r="C141" s="69" t="s">
        <v>1291</v>
      </c>
      <c r="D141" s="69" t="s">
        <v>648</v>
      </c>
      <c r="E141" s="69">
        <v>348.04</v>
      </c>
      <c r="F141" s="1"/>
      <c r="G141" s="1"/>
      <c r="H141" s="1"/>
      <c r="I141" s="1"/>
    </row>
    <row r="142" spans="1:9">
      <c r="A142" s="69">
        <v>138</v>
      </c>
      <c r="B142" s="29" t="s">
        <v>1518</v>
      </c>
      <c r="C142" s="69" t="s">
        <v>1292</v>
      </c>
      <c r="D142" s="69" t="s">
        <v>648</v>
      </c>
      <c r="E142" s="69">
        <v>233.78</v>
      </c>
      <c r="F142" s="1"/>
      <c r="G142" s="1"/>
      <c r="H142" s="1"/>
      <c r="I142" s="1"/>
    </row>
    <row r="143" spans="1:9">
      <c r="A143" s="69">
        <v>139</v>
      </c>
      <c r="B143" s="29"/>
      <c r="C143" s="69" t="s">
        <v>1293</v>
      </c>
      <c r="D143" s="69" t="s">
        <v>1437</v>
      </c>
      <c r="E143" s="69">
        <v>334</v>
      </c>
      <c r="F143" s="1"/>
      <c r="G143" s="1"/>
      <c r="H143" s="1"/>
      <c r="I143" s="1"/>
    </row>
    <row r="144" spans="1:9">
      <c r="A144" s="69">
        <v>140</v>
      </c>
      <c r="B144" s="29" t="s">
        <v>1519</v>
      </c>
      <c r="C144" s="69" t="s">
        <v>1294</v>
      </c>
      <c r="D144" s="69" t="s">
        <v>1171</v>
      </c>
      <c r="E144" s="69">
        <v>257.67</v>
      </c>
      <c r="F144" s="1"/>
      <c r="G144" s="1"/>
      <c r="H144" s="1"/>
      <c r="I144" s="1"/>
    </row>
    <row r="145" spans="1:9">
      <c r="A145" s="69">
        <v>141</v>
      </c>
      <c r="B145" s="29" t="s">
        <v>1520</v>
      </c>
      <c r="C145" s="69" t="s">
        <v>1295</v>
      </c>
      <c r="D145" s="69" t="s">
        <v>1438</v>
      </c>
      <c r="E145" s="69">
        <v>344.79</v>
      </c>
      <c r="F145" s="1"/>
      <c r="G145" s="1"/>
      <c r="H145" s="1"/>
      <c r="I145" s="1"/>
    </row>
    <row r="146" spans="1:9">
      <c r="A146" s="69">
        <v>142</v>
      </c>
      <c r="B146" s="29"/>
      <c r="C146" s="69" t="s">
        <v>1296</v>
      </c>
      <c r="D146" s="69" t="s">
        <v>1167</v>
      </c>
      <c r="E146" s="69">
        <v>247</v>
      </c>
      <c r="F146" s="1"/>
      <c r="G146" s="1"/>
      <c r="H146" s="1"/>
      <c r="I146" s="1"/>
    </row>
    <row r="147" spans="1:9">
      <c r="A147" s="69">
        <v>143</v>
      </c>
      <c r="B147" s="29"/>
      <c r="C147" s="69" t="s">
        <v>1297</v>
      </c>
      <c r="D147" s="69" t="s">
        <v>1205</v>
      </c>
      <c r="E147" s="69">
        <v>275</v>
      </c>
      <c r="F147" s="1"/>
      <c r="G147" s="1"/>
      <c r="H147" s="1"/>
      <c r="I147" s="1"/>
    </row>
    <row r="148" spans="1:9">
      <c r="A148" s="69">
        <v>144</v>
      </c>
      <c r="B148" s="29"/>
      <c r="C148" s="69" t="s">
        <v>1298</v>
      </c>
      <c r="D148" s="69" t="s">
        <v>1205</v>
      </c>
      <c r="E148" s="69">
        <v>262</v>
      </c>
      <c r="F148" s="1"/>
      <c r="G148" s="1"/>
      <c r="H148" s="1"/>
      <c r="I148" s="1"/>
    </row>
    <row r="149" spans="1:9">
      <c r="A149" s="69">
        <v>145</v>
      </c>
      <c r="B149" s="29"/>
      <c r="C149" s="69" t="s">
        <v>1299</v>
      </c>
      <c r="D149" s="69" t="s">
        <v>1205</v>
      </c>
      <c r="E149" s="69">
        <v>236</v>
      </c>
      <c r="F149" s="1"/>
      <c r="G149" s="1"/>
      <c r="H149" s="1"/>
      <c r="I149" s="1"/>
    </row>
    <row r="150" spans="1:9">
      <c r="A150" s="69">
        <v>146</v>
      </c>
      <c r="B150" s="29" t="s">
        <v>1521</v>
      </c>
      <c r="C150" s="69" t="s">
        <v>1300</v>
      </c>
      <c r="D150" s="69" t="s">
        <v>1171</v>
      </c>
      <c r="E150" s="69">
        <v>233.07</v>
      </c>
      <c r="F150" s="1"/>
      <c r="G150" s="1"/>
      <c r="H150" s="1"/>
      <c r="I150" s="1"/>
    </row>
    <row r="151" spans="1:9">
      <c r="A151" s="69">
        <v>147</v>
      </c>
      <c r="B151" s="29"/>
      <c r="C151" s="69" t="s">
        <v>1172</v>
      </c>
      <c r="D151" s="69" t="s">
        <v>1436</v>
      </c>
      <c r="E151" s="69">
        <v>256</v>
      </c>
      <c r="F151" s="1"/>
      <c r="G151" s="1"/>
      <c r="H151" s="1"/>
      <c r="I151" s="1"/>
    </row>
    <row r="152" spans="1:9">
      <c r="A152" s="69">
        <v>148</v>
      </c>
      <c r="B152" s="29"/>
      <c r="C152" s="69" t="s">
        <v>1173</v>
      </c>
      <c r="D152" s="69" t="s">
        <v>1436</v>
      </c>
      <c r="E152" s="69">
        <v>326</v>
      </c>
      <c r="F152" s="1"/>
      <c r="G152" s="1"/>
      <c r="H152" s="1"/>
      <c r="I152" s="1"/>
    </row>
    <row r="153" spans="1:9">
      <c r="A153" s="69">
        <v>149</v>
      </c>
      <c r="B153" s="29" t="s">
        <v>1522</v>
      </c>
      <c r="C153" s="69" t="s">
        <v>1174</v>
      </c>
      <c r="D153" s="69" t="s">
        <v>1490</v>
      </c>
      <c r="E153" s="69">
        <v>359</v>
      </c>
      <c r="F153" s="1"/>
      <c r="G153" s="1"/>
      <c r="H153" s="1"/>
      <c r="I153" s="1"/>
    </row>
    <row r="154" spans="1:9">
      <c r="A154" s="69">
        <v>150</v>
      </c>
      <c r="B154" s="29"/>
      <c r="C154" s="69" t="s">
        <v>1176</v>
      </c>
      <c r="D154" s="69" t="s">
        <v>1167</v>
      </c>
      <c r="E154" s="69">
        <v>393</v>
      </c>
      <c r="F154" s="1"/>
      <c r="G154" s="1"/>
      <c r="H154" s="1"/>
      <c r="I154" s="1"/>
    </row>
    <row r="155" spans="1:9">
      <c r="A155" s="69">
        <v>151</v>
      </c>
      <c r="B155" s="29"/>
      <c r="C155" s="69" t="s">
        <v>1166</v>
      </c>
      <c r="D155" s="69" t="s">
        <v>1167</v>
      </c>
      <c r="E155" s="69">
        <v>303</v>
      </c>
      <c r="F155" s="69" t="s">
        <v>29</v>
      </c>
      <c r="G155" s="69" t="s">
        <v>29</v>
      </c>
      <c r="H155" s="1"/>
      <c r="I155" s="1"/>
    </row>
    <row r="156" spans="1:9">
      <c r="A156" s="69">
        <v>152</v>
      </c>
      <c r="B156" s="29" t="s">
        <v>1523</v>
      </c>
      <c r="C156" s="69" t="s">
        <v>1169</v>
      </c>
      <c r="D156" s="69" t="s">
        <v>1170</v>
      </c>
      <c r="E156" s="70">
        <v>395.2</v>
      </c>
      <c r="F156" s="69" t="s">
        <v>29</v>
      </c>
      <c r="G156" s="69" t="s">
        <v>29</v>
      </c>
      <c r="H156" s="1"/>
      <c r="I156" s="1"/>
    </row>
    <row r="157" spans="1:9">
      <c r="A157" s="69">
        <v>153</v>
      </c>
      <c r="B157" s="29" t="s">
        <v>1524</v>
      </c>
      <c r="C157" s="69" t="s">
        <v>1210</v>
      </c>
      <c r="D157" s="69" t="s">
        <v>1170</v>
      </c>
      <c r="E157" s="69">
        <v>343.79</v>
      </c>
      <c r="F157" s="603" t="s">
        <v>978</v>
      </c>
      <c r="G157" s="1"/>
      <c r="H157" s="1"/>
      <c r="I157" s="1"/>
    </row>
    <row r="158" spans="1:9">
      <c r="A158" s="69">
        <v>154</v>
      </c>
      <c r="B158" s="29"/>
      <c r="C158" s="69" t="s">
        <v>1178</v>
      </c>
      <c r="D158" s="69" t="s">
        <v>1205</v>
      </c>
      <c r="E158" s="69">
        <v>351</v>
      </c>
      <c r="F158" s="69" t="s">
        <v>29</v>
      </c>
      <c r="G158" s="69" t="s">
        <v>29</v>
      </c>
      <c r="H158" s="1"/>
      <c r="I158" s="1"/>
    </row>
    <row r="159" spans="1:9">
      <c r="A159" s="69">
        <v>155</v>
      </c>
      <c r="B159" s="29"/>
      <c r="C159" s="69" t="s">
        <v>1179</v>
      </c>
      <c r="D159" s="69" t="s">
        <v>1167</v>
      </c>
      <c r="E159" s="69">
        <v>347</v>
      </c>
      <c r="F159" s="69" t="s">
        <v>29</v>
      </c>
      <c r="G159" s="69" t="s">
        <v>29</v>
      </c>
      <c r="H159" s="1"/>
      <c r="I159" s="1"/>
    </row>
    <row r="160" spans="1:9">
      <c r="A160" s="69">
        <v>156</v>
      </c>
      <c r="B160" s="29"/>
      <c r="C160" s="69" t="s">
        <v>1301</v>
      </c>
      <c r="D160" s="69" t="s">
        <v>1436</v>
      </c>
      <c r="E160" s="69">
        <v>351</v>
      </c>
      <c r="F160" s="603" t="s">
        <v>978</v>
      </c>
      <c r="G160" s="1"/>
      <c r="H160" s="1"/>
      <c r="I160" s="1"/>
    </row>
    <row r="161" spans="1:9">
      <c r="A161" s="69">
        <v>157</v>
      </c>
      <c r="B161" s="29" t="s">
        <v>1525</v>
      </c>
      <c r="C161" s="69" t="s">
        <v>1180</v>
      </c>
      <c r="D161" s="69" t="s">
        <v>1500</v>
      </c>
      <c r="E161" s="69">
        <v>323.83</v>
      </c>
      <c r="F161" s="1"/>
      <c r="G161" s="1"/>
      <c r="H161" s="1"/>
      <c r="I161" s="1"/>
    </row>
    <row r="162" spans="1:9">
      <c r="A162" s="69">
        <v>158</v>
      </c>
      <c r="B162" s="29"/>
      <c r="C162" s="69" t="s">
        <v>1190</v>
      </c>
      <c r="D162" s="69" t="s">
        <v>1436</v>
      </c>
      <c r="E162" s="69">
        <v>253</v>
      </c>
      <c r="F162" s="1"/>
      <c r="G162" s="1"/>
      <c r="H162" s="1"/>
      <c r="I162" s="1"/>
    </row>
    <row r="163" spans="1:9">
      <c r="A163" s="69">
        <v>159</v>
      </c>
      <c r="B163" s="29"/>
      <c r="C163" s="69" t="s">
        <v>1191</v>
      </c>
      <c r="D163" s="69" t="s">
        <v>1167</v>
      </c>
      <c r="E163" s="69">
        <v>274</v>
      </c>
      <c r="F163" s="1"/>
      <c r="G163" s="1"/>
      <c r="H163" s="1"/>
      <c r="I163" s="1"/>
    </row>
    <row r="164" spans="1:9">
      <c r="A164" s="69">
        <v>160</v>
      </c>
      <c r="B164" s="29"/>
      <c r="C164" s="69" t="s">
        <v>1196</v>
      </c>
      <c r="D164" s="69" t="s">
        <v>1167</v>
      </c>
      <c r="E164" s="69">
        <v>282</v>
      </c>
      <c r="F164" s="1"/>
      <c r="G164" s="1"/>
      <c r="H164" s="1"/>
      <c r="I164" s="1"/>
    </row>
    <row r="165" spans="1:9">
      <c r="A165" s="69">
        <v>161</v>
      </c>
      <c r="B165" s="29"/>
      <c r="C165" s="69" t="s">
        <v>1197</v>
      </c>
      <c r="D165" s="69" t="s">
        <v>1167</v>
      </c>
      <c r="E165" s="69">
        <v>321</v>
      </c>
      <c r="F165" s="1"/>
      <c r="G165" s="1"/>
      <c r="H165" s="1"/>
      <c r="I165" s="1"/>
    </row>
    <row r="166" spans="1:9">
      <c r="A166" s="69">
        <v>162</v>
      </c>
      <c r="B166" s="29"/>
      <c r="C166" s="69" t="s">
        <v>1198</v>
      </c>
      <c r="D166" s="69" t="s">
        <v>1500</v>
      </c>
      <c r="E166" s="69">
        <v>353.24</v>
      </c>
      <c r="F166" s="1"/>
      <c r="G166" s="1"/>
      <c r="H166" s="1"/>
      <c r="I166" s="1"/>
    </row>
    <row r="167" spans="1:9">
      <c r="A167" s="69">
        <v>163</v>
      </c>
      <c r="B167" s="29"/>
      <c r="C167" s="69" t="s">
        <v>1199</v>
      </c>
      <c r="D167" s="69" t="s">
        <v>1205</v>
      </c>
      <c r="E167" s="69">
        <v>207</v>
      </c>
      <c r="F167" s="1"/>
      <c r="G167" s="1"/>
      <c r="H167" s="1"/>
      <c r="I167" s="1"/>
    </row>
    <row r="168" spans="1:9">
      <c r="A168" s="69">
        <v>164</v>
      </c>
      <c r="B168" s="29"/>
      <c r="C168" s="69" t="s">
        <v>1200</v>
      </c>
      <c r="D168" s="69" t="s">
        <v>1205</v>
      </c>
      <c r="E168" s="69">
        <v>329</v>
      </c>
      <c r="F168" s="1"/>
      <c r="G168" s="1"/>
      <c r="H168" s="1"/>
      <c r="I168" s="1"/>
    </row>
    <row r="169" spans="1:9">
      <c r="A169" s="69">
        <v>165</v>
      </c>
      <c r="B169" s="29"/>
      <c r="C169" s="69" t="s">
        <v>1302</v>
      </c>
      <c r="D169" s="69" t="s">
        <v>1205</v>
      </c>
      <c r="E169" s="69">
        <v>334</v>
      </c>
      <c r="F169" s="1"/>
      <c r="G169" s="1"/>
      <c r="H169" s="1"/>
      <c r="I169" s="1"/>
    </row>
    <row r="170" spans="1:9">
      <c r="A170" s="69">
        <v>166</v>
      </c>
      <c r="B170" s="29"/>
      <c r="C170" s="69" t="s">
        <v>1303</v>
      </c>
      <c r="D170" s="69" t="s">
        <v>1167</v>
      </c>
      <c r="E170" s="69">
        <v>331</v>
      </c>
      <c r="F170" s="1"/>
      <c r="G170" s="1"/>
      <c r="H170" s="1"/>
      <c r="I170" s="1"/>
    </row>
    <row r="171" spans="1:9">
      <c r="A171" s="69">
        <v>167</v>
      </c>
      <c r="B171" s="29" t="s">
        <v>1526</v>
      </c>
      <c r="C171" s="69" t="s">
        <v>1304</v>
      </c>
      <c r="D171" s="69" t="s">
        <v>1500</v>
      </c>
      <c r="E171" s="69">
        <v>209.59</v>
      </c>
      <c r="F171" s="1"/>
      <c r="G171" s="1"/>
      <c r="H171" s="1"/>
      <c r="I171" s="1"/>
    </row>
    <row r="172" spans="1:9">
      <c r="A172" s="69">
        <v>168</v>
      </c>
      <c r="B172" s="29"/>
      <c r="C172" s="69" t="s">
        <v>1202</v>
      </c>
      <c r="D172" s="69" t="s">
        <v>1167</v>
      </c>
      <c r="E172" s="69">
        <v>304</v>
      </c>
      <c r="F172" s="1"/>
      <c r="G172" s="1"/>
      <c r="H172" s="1"/>
      <c r="I172" s="1"/>
    </row>
    <row r="173" spans="1:9">
      <c r="A173" s="69">
        <v>169</v>
      </c>
      <c r="B173" s="29"/>
      <c r="C173" s="69" t="s">
        <v>1203</v>
      </c>
      <c r="D173" s="69" t="s">
        <v>1436</v>
      </c>
      <c r="E173" s="69">
        <v>302</v>
      </c>
      <c r="F173" s="1"/>
      <c r="G173" s="1"/>
      <c r="H173" s="1"/>
      <c r="I173" s="1"/>
    </row>
    <row r="174" spans="1:9">
      <c r="A174" s="69">
        <v>170</v>
      </c>
      <c r="B174" s="29"/>
      <c r="C174" s="69" t="s">
        <v>1305</v>
      </c>
      <c r="D174" s="69" t="s">
        <v>1167</v>
      </c>
      <c r="E174" s="69">
        <v>315</v>
      </c>
      <c r="F174" s="1"/>
      <c r="G174" s="1"/>
      <c r="H174" s="1"/>
      <c r="I174" s="1"/>
    </row>
    <row r="175" spans="1:9">
      <c r="A175" s="69">
        <v>171</v>
      </c>
      <c r="B175" s="29"/>
      <c r="C175" s="69" t="s">
        <v>1306</v>
      </c>
      <c r="D175" s="69" t="s">
        <v>1436</v>
      </c>
      <c r="E175" s="69">
        <v>285</v>
      </c>
      <c r="F175" s="1"/>
      <c r="G175" s="1"/>
      <c r="H175" s="1"/>
      <c r="I175" s="1"/>
    </row>
    <row r="176" spans="1:9">
      <c r="A176" s="69">
        <v>172</v>
      </c>
      <c r="B176" s="29" t="s">
        <v>1527</v>
      </c>
      <c r="C176" s="69" t="s">
        <v>1307</v>
      </c>
      <c r="D176" s="69" t="s">
        <v>1497</v>
      </c>
      <c r="E176" s="69">
        <v>348.77</v>
      </c>
      <c r="F176" s="1"/>
      <c r="G176" s="1"/>
      <c r="H176" s="1"/>
      <c r="I176" s="1"/>
    </row>
    <row r="177" spans="1:9">
      <c r="A177" s="69">
        <v>173</v>
      </c>
      <c r="B177" s="29" t="s">
        <v>1528</v>
      </c>
      <c r="C177" s="69" t="s">
        <v>1308</v>
      </c>
      <c r="D177" s="69" t="s">
        <v>1171</v>
      </c>
      <c r="E177" s="69">
        <v>281.67</v>
      </c>
      <c r="F177" s="1"/>
      <c r="G177" s="1"/>
      <c r="H177" s="1"/>
      <c r="I177" s="1"/>
    </row>
    <row r="178" spans="1:9">
      <c r="A178" s="69">
        <v>174</v>
      </c>
      <c r="B178" s="29"/>
      <c r="C178" s="69" t="s">
        <v>1309</v>
      </c>
      <c r="D178" s="69" t="s">
        <v>1167</v>
      </c>
      <c r="E178" s="69">
        <v>322</v>
      </c>
      <c r="F178" s="1"/>
      <c r="G178" s="1"/>
      <c r="H178" s="1"/>
      <c r="I178" s="1"/>
    </row>
    <row r="179" spans="1:9">
      <c r="A179" s="69">
        <v>175</v>
      </c>
      <c r="B179" s="29"/>
      <c r="C179" s="69" t="s">
        <v>1310</v>
      </c>
      <c r="D179" s="69" t="s">
        <v>1436</v>
      </c>
      <c r="E179" s="69">
        <v>293</v>
      </c>
      <c r="F179" s="1"/>
      <c r="G179" s="1"/>
      <c r="H179" s="1"/>
      <c r="I179" s="1"/>
    </row>
    <row r="180" spans="1:9">
      <c r="A180" s="69">
        <v>176</v>
      </c>
      <c r="B180" s="29"/>
      <c r="C180" s="69" t="s">
        <v>1311</v>
      </c>
      <c r="D180" s="69" t="s">
        <v>1167</v>
      </c>
      <c r="E180" s="69">
        <v>314</v>
      </c>
      <c r="F180" s="1"/>
      <c r="G180" s="1"/>
      <c r="H180" s="1"/>
      <c r="I180" s="1"/>
    </row>
    <row r="181" spans="1:9">
      <c r="A181" s="69">
        <v>177</v>
      </c>
      <c r="B181" s="29"/>
      <c r="C181" s="69" t="s">
        <v>1312</v>
      </c>
      <c r="D181" s="69" t="s">
        <v>1205</v>
      </c>
      <c r="E181" s="69">
        <v>342</v>
      </c>
      <c r="F181" s="1"/>
      <c r="G181" s="1"/>
      <c r="H181" s="1"/>
      <c r="I181" s="1"/>
    </row>
    <row r="182" spans="1:9">
      <c r="A182" s="69">
        <v>178</v>
      </c>
      <c r="B182" s="29"/>
      <c r="C182" s="69" t="s">
        <v>1313</v>
      </c>
      <c r="D182" s="69" t="s">
        <v>1167</v>
      </c>
      <c r="E182" s="69">
        <v>269</v>
      </c>
      <c r="F182" s="1"/>
      <c r="G182" s="1"/>
      <c r="H182" s="1"/>
      <c r="I182" s="1"/>
    </row>
    <row r="183" spans="1:9">
      <c r="A183" s="69">
        <v>179</v>
      </c>
      <c r="B183" s="29" t="s">
        <v>1529</v>
      </c>
      <c r="C183" s="69" t="s">
        <v>1314</v>
      </c>
      <c r="D183" s="69" t="s">
        <v>1503</v>
      </c>
      <c r="E183" s="69">
        <v>318.97000000000003</v>
      </c>
      <c r="F183" s="1"/>
      <c r="G183" s="1"/>
      <c r="H183" s="1"/>
      <c r="I183" s="1"/>
    </row>
    <row r="184" spans="1:9">
      <c r="A184" s="69">
        <v>180</v>
      </c>
      <c r="B184" s="29"/>
      <c r="C184" s="69" t="s">
        <v>1315</v>
      </c>
      <c r="D184" s="69" t="s">
        <v>1167</v>
      </c>
      <c r="E184" s="69">
        <v>251</v>
      </c>
      <c r="F184" s="1"/>
      <c r="G184" s="1"/>
      <c r="H184" s="1"/>
      <c r="I184" s="1"/>
    </row>
    <row r="185" spans="1:9">
      <c r="A185" s="69">
        <v>181</v>
      </c>
      <c r="B185" s="29"/>
      <c r="C185" s="69" t="s">
        <v>1316</v>
      </c>
      <c r="D185" s="69" t="s">
        <v>1436</v>
      </c>
      <c r="E185" s="69">
        <v>302</v>
      </c>
      <c r="F185" s="1"/>
      <c r="G185" s="1"/>
      <c r="H185" s="1"/>
      <c r="I185" s="1"/>
    </row>
    <row r="186" spans="1:9">
      <c r="A186" s="69">
        <v>182</v>
      </c>
      <c r="B186" s="29" t="s">
        <v>1530</v>
      </c>
      <c r="C186" s="69" t="s">
        <v>1317</v>
      </c>
      <c r="D186" s="69" t="s">
        <v>1497</v>
      </c>
      <c r="E186" s="69">
        <v>338.05</v>
      </c>
      <c r="F186" s="1"/>
      <c r="G186" s="1"/>
      <c r="H186" s="1"/>
      <c r="I186" s="1"/>
    </row>
    <row r="187" spans="1:9">
      <c r="A187" s="69">
        <v>183</v>
      </c>
      <c r="B187" s="29"/>
      <c r="C187" s="69" t="s">
        <v>1318</v>
      </c>
      <c r="D187" s="69" t="s">
        <v>1205</v>
      </c>
      <c r="E187" s="69">
        <v>326</v>
      </c>
      <c r="F187" s="1"/>
      <c r="G187" s="1"/>
      <c r="H187" s="1"/>
      <c r="I187" s="1"/>
    </row>
    <row r="188" spans="1:9">
      <c r="A188" s="69">
        <v>184</v>
      </c>
      <c r="B188" s="29"/>
      <c r="C188" s="69" t="s">
        <v>1319</v>
      </c>
      <c r="D188" s="69" t="s">
        <v>1205</v>
      </c>
      <c r="E188" s="69">
        <v>291</v>
      </c>
      <c r="F188" s="1"/>
      <c r="G188" s="1"/>
      <c r="H188" s="1"/>
      <c r="I188" s="1"/>
    </row>
    <row r="189" spans="1:9">
      <c r="A189" s="69">
        <v>185</v>
      </c>
      <c r="B189" s="29"/>
      <c r="C189" s="69" t="s">
        <v>1320</v>
      </c>
      <c r="D189" s="69" t="s">
        <v>1205</v>
      </c>
      <c r="E189" s="69">
        <v>288</v>
      </c>
      <c r="F189" s="1"/>
      <c r="G189" s="1"/>
      <c r="H189" s="1"/>
      <c r="I189" s="1"/>
    </row>
    <row r="190" spans="1:9">
      <c r="A190" s="69">
        <v>186</v>
      </c>
      <c r="B190" s="29" t="s">
        <v>1531</v>
      </c>
      <c r="C190" s="69" t="s">
        <v>1321</v>
      </c>
      <c r="D190" s="69" t="s">
        <v>1171</v>
      </c>
      <c r="E190" s="69">
        <v>202.34</v>
      </c>
      <c r="F190" s="1"/>
      <c r="G190" s="1"/>
      <c r="H190" s="1"/>
      <c r="I190" s="1"/>
    </row>
    <row r="191" spans="1:9">
      <c r="A191" s="69">
        <v>187</v>
      </c>
      <c r="B191" s="29"/>
      <c r="C191" s="69" t="s">
        <v>1322</v>
      </c>
      <c r="D191" s="69" t="s">
        <v>1167</v>
      </c>
      <c r="E191" s="69">
        <v>250</v>
      </c>
      <c r="F191" s="1"/>
      <c r="G191" s="1"/>
      <c r="H191" s="1"/>
      <c r="I191" s="1"/>
    </row>
    <row r="192" spans="1:9">
      <c r="A192" s="69">
        <v>188</v>
      </c>
      <c r="B192" s="29" t="s">
        <v>1532</v>
      </c>
      <c r="C192" s="69" t="s">
        <v>1323</v>
      </c>
      <c r="D192" s="69" t="s">
        <v>1438</v>
      </c>
      <c r="E192" s="69">
        <v>186.62</v>
      </c>
      <c r="F192" s="1"/>
      <c r="G192" s="1"/>
      <c r="H192" s="1"/>
      <c r="I192" s="1"/>
    </row>
    <row r="193" spans="1:9">
      <c r="A193" s="69">
        <v>189</v>
      </c>
      <c r="B193" s="29"/>
      <c r="C193" s="69" t="s">
        <v>1324</v>
      </c>
      <c r="D193" s="69" t="s">
        <v>1167</v>
      </c>
      <c r="E193" s="69">
        <v>277</v>
      </c>
      <c r="F193" s="1"/>
      <c r="G193" s="1"/>
      <c r="H193" s="1"/>
      <c r="I193" s="1"/>
    </row>
    <row r="194" spans="1:9">
      <c r="A194" s="69">
        <v>190</v>
      </c>
      <c r="B194" s="29" t="s">
        <v>1533</v>
      </c>
      <c r="C194" s="69" t="s">
        <v>1325</v>
      </c>
      <c r="D194" s="69" t="s">
        <v>1171</v>
      </c>
      <c r="E194" s="69">
        <v>229.01</v>
      </c>
      <c r="F194" s="1"/>
      <c r="G194" s="1"/>
      <c r="H194" s="1"/>
      <c r="I194" s="1"/>
    </row>
    <row r="195" spans="1:9">
      <c r="A195" s="69">
        <v>191</v>
      </c>
      <c r="B195" s="29" t="s">
        <v>1534</v>
      </c>
      <c r="C195" s="69" t="s">
        <v>1326</v>
      </c>
      <c r="D195" s="69" t="s">
        <v>1438</v>
      </c>
      <c r="E195" s="69">
        <v>216.63</v>
      </c>
      <c r="F195" s="1"/>
      <c r="G195" s="1"/>
      <c r="H195" s="1"/>
      <c r="I195" s="1"/>
    </row>
    <row r="196" spans="1:9">
      <c r="A196" s="69">
        <v>192</v>
      </c>
      <c r="B196" s="29"/>
      <c r="C196" s="69" t="s">
        <v>1327</v>
      </c>
      <c r="D196" s="69" t="s">
        <v>1167</v>
      </c>
      <c r="E196" s="69">
        <v>260</v>
      </c>
      <c r="F196" s="1"/>
      <c r="G196" s="1"/>
      <c r="H196" s="1"/>
      <c r="I196" s="1"/>
    </row>
    <row r="197" spans="1:9">
      <c r="A197" s="69">
        <v>193</v>
      </c>
      <c r="B197" s="29"/>
      <c r="C197" s="69" t="s">
        <v>1328</v>
      </c>
      <c r="D197" s="69" t="s">
        <v>1167</v>
      </c>
      <c r="E197" s="69">
        <v>296</v>
      </c>
      <c r="F197" s="1"/>
      <c r="G197" s="1"/>
      <c r="H197" s="1"/>
      <c r="I197" s="1"/>
    </row>
    <row r="198" spans="1:9">
      <c r="A198" s="69">
        <v>194</v>
      </c>
      <c r="B198" s="29" t="s">
        <v>1535</v>
      </c>
      <c r="C198" s="69" t="s">
        <v>1329</v>
      </c>
      <c r="D198" s="69" t="s">
        <v>1435</v>
      </c>
      <c r="E198" s="69">
        <v>287.11</v>
      </c>
      <c r="F198" s="1"/>
      <c r="G198" s="1"/>
      <c r="H198" s="1"/>
      <c r="I198" s="1"/>
    </row>
    <row r="199" spans="1:9">
      <c r="A199" s="69">
        <v>195</v>
      </c>
      <c r="B199" s="29" t="s">
        <v>1536</v>
      </c>
      <c r="C199" s="69" t="s">
        <v>1330</v>
      </c>
      <c r="D199" s="69" t="s">
        <v>648</v>
      </c>
      <c r="E199" s="70">
        <v>241.7</v>
      </c>
      <c r="F199" s="1"/>
      <c r="G199" s="1"/>
      <c r="H199" s="1"/>
      <c r="I199" s="1"/>
    </row>
    <row r="200" spans="1:9">
      <c r="A200" s="69">
        <v>196</v>
      </c>
      <c r="B200" s="29" t="s">
        <v>1537</v>
      </c>
      <c r="C200" s="69" t="s">
        <v>1331</v>
      </c>
      <c r="D200" s="69" t="s">
        <v>648</v>
      </c>
      <c r="E200" s="69">
        <v>143.96</v>
      </c>
      <c r="F200" s="1"/>
      <c r="G200" s="1"/>
      <c r="H200" s="1"/>
      <c r="I200" s="1"/>
    </row>
    <row r="201" spans="1:9">
      <c r="A201" s="69">
        <v>197</v>
      </c>
      <c r="B201" s="29" t="s">
        <v>1538</v>
      </c>
      <c r="C201" s="69" t="s">
        <v>1332</v>
      </c>
      <c r="D201" s="69" t="s">
        <v>1438</v>
      </c>
      <c r="E201" s="69">
        <v>360.45</v>
      </c>
      <c r="F201" s="1"/>
      <c r="G201" s="1"/>
      <c r="H201" s="1"/>
      <c r="I201" s="1"/>
    </row>
    <row r="202" spans="1:9">
      <c r="A202" s="69">
        <v>198</v>
      </c>
      <c r="B202" s="29"/>
      <c r="C202" s="69" t="s">
        <v>1333</v>
      </c>
      <c r="D202" s="69" t="s">
        <v>1436</v>
      </c>
      <c r="E202" s="69">
        <v>302</v>
      </c>
      <c r="F202" s="1"/>
      <c r="G202" s="1"/>
      <c r="H202" s="1"/>
      <c r="I202" s="1"/>
    </row>
    <row r="203" spans="1:9">
      <c r="A203" s="69">
        <v>199</v>
      </c>
      <c r="B203" s="29"/>
      <c r="C203" s="69" t="s">
        <v>1334</v>
      </c>
      <c r="D203" s="69" t="s">
        <v>1436</v>
      </c>
      <c r="E203" s="69">
        <v>353</v>
      </c>
      <c r="F203" s="1"/>
      <c r="G203" s="1"/>
      <c r="H203" s="1"/>
      <c r="I203" s="1"/>
    </row>
    <row r="204" spans="1:9">
      <c r="A204" s="69">
        <v>200</v>
      </c>
      <c r="B204" s="29"/>
      <c r="C204" s="69" t="s">
        <v>1335</v>
      </c>
      <c r="D204" s="69" t="s">
        <v>1205</v>
      </c>
      <c r="E204" s="69">
        <v>341</v>
      </c>
      <c r="F204" s="1"/>
      <c r="G204" s="1"/>
      <c r="H204" s="1"/>
      <c r="I204" s="1"/>
    </row>
    <row r="205" spans="1:9">
      <c r="A205" s="69">
        <v>201</v>
      </c>
      <c r="B205" s="29" t="s">
        <v>1539</v>
      </c>
      <c r="C205" s="69" t="s">
        <v>1336</v>
      </c>
      <c r="D205" s="69" t="s">
        <v>1170</v>
      </c>
      <c r="E205" s="70">
        <v>353.1</v>
      </c>
      <c r="F205" s="1"/>
      <c r="G205" s="1"/>
      <c r="H205" s="1"/>
      <c r="I205" s="1"/>
    </row>
    <row r="206" spans="1:9">
      <c r="A206" s="69">
        <v>202</v>
      </c>
      <c r="B206" s="29"/>
      <c r="C206" s="69" t="s">
        <v>1337</v>
      </c>
      <c r="D206" s="69" t="s">
        <v>1167</v>
      </c>
      <c r="E206" s="69">
        <v>343</v>
      </c>
      <c r="F206" s="1"/>
      <c r="G206" s="1"/>
      <c r="H206" s="1"/>
      <c r="I206" s="1"/>
    </row>
    <row r="207" spans="1:9">
      <c r="A207" s="69">
        <v>203</v>
      </c>
      <c r="B207" s="29" t="s">
        <v>1540</v>
      </c>
      <c r="C207" s="69" t="s">
        <v>1338</v>
      </c>
      <c r="D207" s="69" t="s">
        <v>1438</v>
      </c>
      <c r="E207" s="69">
        <v>352.08</v>
      </c>
      <c r="F207" s="1"/>
      <c r="G207" s="1"/>
      <c r="H207" s="1"/>
      <c r="I207" s="1"/>
    </row>
    <row r="208" spans="1:9">
      <c r="A208" s="69">
        <v>204</v>
      </c>
      <c r="B208" s="29"/>
      <c r="C208" s="69" t="s">
        <v>1339</v>
      </c>
      <c r="D208" s="69" t="s">
        <v>1436</v>
      </c>
      <c r="E208" s="69">
        <v>330</v>
      </c>
      <c r="F208" s="1"/>
      <c r="G208" s="1"/>
      <c r="H208" s="1"/>
      <c r="I208" s="1"/>
    </row>
    <row r="209" spans="1:9">
      <c r="A209" s="69">
        <v>205</v>
      </c>
      <c r="B209" s="29" t="s">
        <v>1541</v>
      </c>
      <c r="C209" s="69" t="s">
        <v>1340</v>
      </c>
      <c r="D209" s="69" t="s">
        <v>1438</v>
      </c>
      <c r="E209" s="69">
        <v>349.25</v>
      </c>
      <c r="F209" s="1"/>
      <c r="G209" s="1"/>
      <c r="H209" s="1"/>
      <c r="I209" s="1"/>
    </row>
    <row r="210" spans="1:9">
      <c r="A210" s="69">
        <v>206</v>
      </c>
      <c r="B210" s="29"/>
      <c r="C210" s="69" t="s">
        <v>1341</v>
      </c>
      <c r="D210" s="69" t="s">
        <v>1167</v>
      </c>
      <c r="E210" s="69">
        <v>246</v>
      </c>
      <c r="F210" s="1"/>
      <c r="G210" s="1"/>
      <c r="H210" s="1"/>
      <c r="I210" s="1"/>
    </row>
    <row r="211" spans="1:9">
      <c r="A211" s="69">
        <v>207</v>
      </c>
      <c r="B211" s="29"/>
      <c r="C211" s="69" t="s">
        <v>1342</v>
      </c>
      <c r="D211" s="69" t="s">
        <v>1167</v>
      </c>
      <c r="E211" s="69">
        <v>237</v>
      </c>
      <c r="F211" s="1"/>
      <c r="G211" s="1"/>
      <c r="H211" s="1"/>
      <c r="I211" s="1"/>
    </row>
    <row r="212" spans="1:9">
      <c r="A212" s="69">
        <v>208</v>
      </c>
      <c r="B212" s="29"/>
      <c r="C212" s="69" t="s">
        <v>1343</v>
      </c>
      <c r="D212" s="69" t="s">
        <v>1167</v>
      </c>
      <c r="E212" s="69">
        <v>240</v>
      </c>
      <c r="F212" s="1"/>
      <c r="G212" s="1"/>
      <c r="H212" s="1"/>
      <c r="I212" s="1"/>
    </row>
    <row r="213" spans="1:9">
      <c r="A213" s="69">
        <v>209</v>
      </c>
      <c r="B213" s="29"/>
      <c r="C213" s="69" t="s">
        <v>1344</v>
      </c>
      <c r="D213" s="69" t="s">
        <v>1437</v>
      </c>
      <c r="E213" s="69">
        <v>272</v>
      </c>
      <c r="F213" s="1"/>
      <c r="G213" s="1"/>
      <c r="H213" s="1"/>
      <c r="I213" s="1"/>
    </row>
    <row r="214" spans="1:9">
      <c r="A214" s="69">
        <v>210</v>
      </c>
      <c r="B214" s="29" t="s">
        <v>1542</v>
      </c>
      <c r="C214" s="69" t="s">
        <v>1345</v>
      </c>
      <c r="D214" s="69" t="s">
        <v>1500</v>
      </c>
      <c r="E214" s="69">
        <v>342.61</v>
      </c>
      <c r="F214" s="1"/>
      <c r="G214" s="1"/>
      <c r="H214" s="1"/>
      <c r="I214" s="1"/>
    </row>
    <row r="215" spans="1:9">
      <c r="A215" s="69">
        <v>211</v>
      </c>
      <c r="B215" s="29"/>
      <c r="C215" s="69" t="s">
        <v>1346</v>
      </c>
      <c r="D215" s="69" t="s">
        <v>1437</v>
      </c>
      <c r="E215" s="69">
        <v>326</v>
      </c>
      <c r="F215" s="1"/>
      <c r="G215" s="1"/>
      <c r="H215" s="1"/>
      <c r="I215" s="1"/>
    </row>
    <row r="216" spans="1:9">
      <c r="A216" s="69">
        <v>212</v>
      </c>
      <c r="B216" s="29" t="s">
        <v>1543</v>
      </c>
      <c r="C216" s="69" t="s">
        <v>1347</v>
      </c>
      <c r="D216" s="69" t="s">
        <v>1170</v>
      </c>
      <c r="E216" s="69">
        <v>328.58</v>
      </c>
      <c r="F216" s="1"/>
      <c r="G216" s="1"/>
      <c r="H216" s="1"/>
      <c r="I216" s="1"/>
    </row>
    <row r="217" spans="1:9">
      <c r="A217" s="69">
        <v>213</v>
      </c>
      <c r="B217" s="29"/>
      <c r="C217" s="69" t="s">
        <v>1348</v>
      </c>
      <c r="D217" s="69" t="s">
        <v>1436</v>
      </c>
      <c r="E217" s="69">
        <v>305</v>
      </c>
      <c r="F217" s="1"/>
      <c r="G217" s="1"/>
      <c r="H217" s="1"/>
      <c r="I217" s="1"/>
    </row>
    <row r="218" spans="1:9">
      <c r="A218" s="69">
        <v>214</v>
      </c>
      <c r="B218" s="29"/>
      <c r="C218" s="69" t="s">
        <v>1349</v>
      </c>
      <c r="D218" s="69" t="s">
        <v>1437</v>
      </c>
      <c r="E218" s="69">
        <v>372</v>
      </c>
      <c r="F218" s="1"/>
      <c r="G218" s="1"/>
      <c r="H218" s="1"/>
      <c r="I218" s="1"/>
    </row>
    <row r="219" spans="1:9">
      <c r="A219" s="69">
        <v>215</v>
      </c>
      <c r="B219" s="29"/>
      <c r="C219" s="69" t="s">
        <v>1350</v>
      </c>
      <c r="D219" s="69" t="s">
        <v>1437</v>
      </c>
      <c r="E219" s="69">
        <v>290</v>
      </c>
      <c r="F219" s="1"/>
      <c r="G219" s="1"/>
      <c r="H219" s="1"/>
      <c r="I219" s="1"/>
    </row>
    <row r="220" spans="1:9">
      <c r="A220" s="69">
        <v>216</v>
      </c>
      <c r="B220" s="29" t="s">
        <v>1544</v>
      </c>
      <c r="C220" s="69" t="s">
        <v>1351</v>
      </c>
      <c r="D220" s="69" t="s">
        <v>1438</v>
      </c>
      <c r="E220" s="69">
        <v>388.98</v>
      </c>
      <c r="F220" s="1"/>
      <c r="G220" s="1"/>
      <c r="H220" s="1"/>
      <c r="I220" s="1"/>
    </row>
    <row r="221" spans="1:9">
      <c r="A221" s="69">
        <v>217</v>
      </c>
      <c r="B221" s="29" t="s">
        <v>1545</v>
      </c>
      <c r="C221" s="69" t="s">
        <v>1352</v>
      </c>
      <c r="D221" s="69" t="s">
        <v>1171</v>
      </c>
      <c r="E221" s="69">
        <v>219.95</v>
      </c>
      <c r="F221" s="1"/>
      <c r="G221" s="1"/>
      <c r="H221" s="1"/>
      <c r="I221" s="1"/>
    </row>
    <row r="222" spans="1:9">
      <c r="A222" s="69">
        <v>218</v>
      </c>
      <c r="B222" s="29"/>
      <c r="C222" s="69" t="s">
        <v>1353</v>
      </c>
      <c r="D222" s="69" t="s">
        <v>1490</v>
      </c>
      <c r="E222" s="69">
        <v>284</v>
      </c>
      <c r="F222" s="1"/>
      <c r="G222" s="1"/>
      <c r="H222" s="1"/>
      <c r="I222" s="1"/>
    </row>
    <row r="223" spans="1:9">
      <c r="A223" s="69">
        <v>219</v>
      </c>
      <c r="B223" s="29" t="s">
        <v>1546</v>
      </c>
      <c r="C223" s="69" t="s">
        <v>1354</v>
      </c>
      <c r="D223" s="69" t="s">
        <v>653</v>
      </c>
      <c r="E223" s="69">
        <v>325.20999999999998</v>
      </c>
      <c r="F223" s="1"/>
      <c r="G223" s="1"/>
      <c r="H223" s="1"/>
      <c r="I223" s="1"/>
    </row>
    <row r="224" spans="1:9">
      <c r="A224" s="69">
        <v>220</v>
      </c>
      <c r="B224" s="29" t="s">
        <v>1547</v>
      </c>
      <c r="C224" s="69" t="s">
        <v>1355</v>
      </c>
      <c r="D224" s="69" t="s">
        <v>648</v>
      </c>
      <c r="E224" s="69">
        <v>273.11</v>
      </c>
      <c r="F224" s="1"/>
      <c r="G224" s="1"/>
      <c r="H224" s="1"/>
      <c r="I224" s="1"/>
    </row>
    <row r="225" spans="1:9">
      <c r="A225" s="69">
        <v>221</v>
      </c>
      <c r="B225" s="29" t="s">
        <v>1548</v>
      </c>
      <c r="C225" s="69" t="s">
        <v>1356</v>
      </c>
      <c r="D225" s="69" t="s">
        <v>1170</v>
      </c>
      <c r="E225" s="69">
        <v>269.49</v>
      </c>
      <c r="F225" s="1"/>
      <c r="G225" s="1"/>
      <c r="H225" s="1"/>
      <c r="I225" s="1"/>
    </row>
    <row r="226" spans="1:9">
      <c r="A226" s="69">
        <v>222</v>
      </c>
      <c r="B226" s="29"/>
      <c r="C226" s="69" t="s">
        <v>1357</v>
      </c>
      <c r="D226" s="69" t="s">
        <v>1436</v>
      </c>
      <c r="E226" s="69">
        <v>350</v>
      </c>
      <c r="F226" s="1"/>
      <c r="G226" s="1"/>
      <c r="H226" s="1"/>
      <c r="I226" s="1"/>
    </row>
    <row r="227" spans="1:9">
      <c r="A227" s="69">
        <v>223</v>
      </c>
      <c r="B227" s="29" t="s">
        <v>1549</v>
      </c>
      <c r="C227" s="69" t="s">
        <v>1358</v>
      </c>
      <c r="D227" s="69" t="s">
        <v>1500</v>
      </c>
      <c r="E227" s="69">
        <v>275.45999999999998</v>
      </c>
      <c r="F227" s="1"/>
      <c r="G227" s="1"/>
      <c r="H227" s="1"/>
      <c r="I227" s="1"/>
    </row>
    <row r="228" spans="1:9">
      <c r="A228" s="69">
        <v>224</v>
      </c>
      <c r="B228" s="29"/>
      <c r="C228" s="69" t="s">
        <v>1359</v>
      </c>
      <c r="D228" s="69" t="s">
        <v>1437</v>
      </c>
      <c r="E228" s="69">
        <v>346</v>
      </c>
      <c r="F228" s="1"/>
      <c r="G228" s="1"/>
      <c r="H228" s="1"/>
      <c r="I228" s="1"/>
    </row>
    <row r="229" spans="1:9">
      <c r="A229" s="69">
        <v>225</v>
      </c>
      <c r="B229" s="29" t="s">
        <v>1550</v>
      </c>
      <c r="C229" s="69" t="s">
        <v>1360</v>
      </c>
      <c r="D229" s="69" t="s">
        <v>1170</v>
      </c>
      <c r="E229" s="69">
        <v>314.56</v>
      </c>
      <c r="F229" s="1"/>
      <c r="G229" s="1"/>
      <c r="H229" s="1"/>
      <c r="I229" s="1"/>
    </row>
    <row r="230" spans="1:9">
      <c r="A230" s="69">
        <v>226</v>
      </c>
      <c r="B230" s="29" t="s">
        <v>1551</v>
      </c>
      <c r="C230" s="69" t="s">
        <v>1361</v>
      </c>
      <c r="D230" s="69" t="s">
        <v>1171</v>
      </c>
      <c r="E230" s="69">
        <v>136.47999999999999</v>
      </c>
      <c r="F230" s="1"/>
      <c r="G230" s="1"/>
      <c r="H230" s="1"/>
      <c r="I230" s="1"/>
    </row>
    <row r="231" spans="1:9">
      <c r="A231" s="69">
        <v>227</v>
      </c>
      <c r="B231" s="29" t="s">
        <v>1552</v>
      </c>
      <c r="C231" s="69" t="s">
        <v>1362</v>
      </c>
      <c r="D231" s="69" t="s">
        <v>1171</v>
      </c>
      <c r="E231" s="69">
        <v>155.65</v>
      </c>
      <c r="F231" s="1"/>
      <c r="G231" s="1"/>
      <c r="H231" s="1"/>
      <c r="I231" s="1"/>
    </row>
    <row r="232" spans="1:9">
      <c r="A232" s="69">
        <v>228</v>
      </c>
      <c r="B232" s="29"/>
      <c r="C232" s="69" t="s">
        <v>1363</v>
      </c>
      <c r="D232" s="69" t="s">
        <v>1167</v>
      </c>
      <c r="E232" s="69">
        <v>211</v>
      </c>
      <c r="F232" s="1"/>
      <c r="G232" s="1"/>
      <c r="H232" s="1"/>
      <c r="I232" s="1"/>
    </row>
    <row r="233" spans="1:9">
      <c r="A233" s="69">
        <v>229</v>
      </c>
      <c r="B233" s="29" t="s">
        <v>1553</v>
      </c>
      <c r="C233" s="69" t="s">
        <v>1364</v>
      </c>
      <c r="D233" s="69" t="s">
        <v>1497</v>
      </c>
      <c r="E233" s="69">
        <v>293.25</v>
      </c>
      <c r="F233" s="1"/>
      <c r="G233" s="1"/>
      <c r="H233" s="1"/>
      <c r="I233" s="1"/>
    </row>
    <row r="234" spans="1:9">
      <c r="A234" s="69">
        <v>230</v>
      </c>
      <c r="B234" s="29" t="s">
        <v>1554</v>
      </c>
      <c r="C234" s="69" t="s">
        <v>1365</v>
      </c>
      <c r="D234" s="69" t="s">
        <v>1497</v>
      </c>
      <c r="E234" s="69">
        <v>154.27000000000001</v>
      </c>
      <c r="F234" s="1"/>
      <c r="G234" s="1"/>
      <c r="H234" s="1"/>
      <c r="I234" s="1"/>
    </row>
    <row r="235" spans="1:9">
      <c r="A235" s="69">
        <v>231</v>
      </c>
      <c r="B235" s="29" t="s">
        <v>1555</v>
      </c>
      <c r="C235" s="69" t="s">
        <v>1366</v>
      </c>
      <c r="D235" s="69" t="s">
        <v>1556</v>
      </c>
      <c r="E235" s="69">
        <v>340.86</v>
      </c>
      <c r="F235" s="1"/>
      <c r="G235" s="1"/>
      <c r="H235" s="1"/>
      <c r="I235" s="1"/>
    </row>
    <row r="236" spans="1:9">
      <c r="A236" s="69">
        <v>232</v>
      </c>
      <c r="B236" s="29"/>
      <c r="C236" s="69" t="s">
        <v>1367</v>
      </c>
      <c r="D236" s="69" t="s">
        <v>1167</v>
      </c>
      <c r="E236" s="69">
        <v>302</v>
      </c>
      <c r="F236" s="1"/>
      <c r="G236" s="1"/>
      <c r="H236" s="1"/>
      <c r="I236" s="1"/>
    </row>
    <row r="237" spans="1:9">
      <c r="A237" s="69">
        <v>233</v>
      </c>
      <c r="B237" s="29"/>
      <c r="C237" s="69" t="s">
        <v>1368</v>
      </c>
      <c r="D237" s="69" t="s">
        <v>1205</v>
      </c>
      <c r="E237" s="69">
        <v>329</v>
      </c>
      <c r="F237" s="1"/>
      <c r="G237" s="1"/>
      <c r="H237" s="1"/>
      <c r="I237" s="1"/>
    </row>
    <row r="238" spans="1:9">
      <c r="A238" s="69">
        <v>234</v>
      </c>
      <c r="B238" s="29" t="s">
        <v>1557</v>
      </c>
      <c r="C238" s="69" t="s">
        <v>1369</v>
      </c>
      <c r="D238" s="69" t="s">
        <v>1490</v>
      </c>
      <c r="E238" s="69">
        <v>338.16</v>
      </c>
      <c r="F238" s="1"/>
      <c r="G238" s="1"/>
      <c r="H238" s="1"/>
      <c r="I238" s="1"/>
    </row>
    <row r="239" spans="1:9">
      <c r="A239" s="69">
        <v>235</v>
      </c>
      <c r="B239" s="29"/>
      <c r="C239" s="69" t="s">
        <v>1370</v>
      </c>
      <c r="D239" s="69" t="s">
        <v>1436</v>
      </c>
      <c r="E239" s="69">
        <v>317</v>
      </c>
      <c r="F239" s="1"/>
      <c r="G239" s="1"/>
      <c r="H239" s="1"/>
      <c r="I239" s="1"/>
    </row>
    <row r="240" spans="1:9">
      <c r="A240" s="69">
        <v>236</v>
      </c>
      <c r="B240" s="29"/>
      <c r="C240" s="69" t="s">
        <v>1371</v>
      </c>
      <c r="D240" s="69" t="s">
        <v>1167</v>
      </c>
      <c r="E240" s="69">
        <v>364</v>
      </c>
      <c r="F240" s="1"/>
      <c r="G240" s="1"/>
      <c r="H240" s="1"/>
      <c r="I240" s="1"/>
    </row>
    <row r="241" spans="1:9">
      <c r="A241" s="69">
        <v>237</v>
      </c>
      <c r="B241" s="29" t="s">
        <v>1558</v>
      </c>
      <c r="C241" s="69" t="s">
        <v>1372</v>
      </c>
      <c r="D241" s="69" t="s">
        <v>1170</v>
      </c>
      <c r="E241" s="69">
        <v>311.74</v>
      </c>
      <c r="F241" s="1"/>
      <c r="G241" s="1"/>
      <c r="H241" s="1"/>
      <c r="I241" s="1"/>
    </row>
    <row r="242" spans="1:9">
      <c r="A242" s="69">
        <v>238</v>
      </c>
      <c r="B242" s="29"/>
      <c r="C242" s="69" t="s">
        <v>1373</v>
      </c>
      <c r="D242" s="69" t="s">
        <v>1167</v>
      </c>
      <c r="E242" s="69">
        <v>308</v>
      </c>
      <c r="F242" s="1"/>
      <c r="G242" s="1"/>
      <c r="H242" s="1"/>
      <c r="I242" s="1"/>
    </row>
    <row r="243" spans="1:9">
      <c r="A243" s="69">
        <v>239</v>
      </c>
      <c r="B243" s="29"/>
      <c r="C243" s="69" t="s">
        <v>1374</v>
      </c>
      <c r="D243" s="69" t="s">
        <v>1436</v>
      </c>
      <c r="E243" s="69">
        <v>335</v>
      </c>
      <c r="F243" s="1"/>
      <c r="G243" s="1"/>
      <c r="H243" s="1"/>
      <c r="I243" s="1"/>
    </row>
    <row r="244" spans="1:9">
      <c r="A244" s="69">
        <v>240</v>
      </c>
      <c r="B244" s="29"/>
      <c r="C244" s="69" t="s">
        <v>1375</v>
      </c>
      <c r="D244" s="69" t="s">
        <v>1436</v>
      </c>
      <c r="E244" s="69">
        <v>320</v>
      </c>
      <c r="F244" s="1"/>
      <c r="G244" s="1"/>
      <c r="H244" s="1"/>
      <c r="I244" s="1"/>
    </row>
    <row r="245" spans="1:9">
      <c r="A245" s="69">
        <v>241</v>
      </c>
      <c r="B245" s="29"/>
      <c r="C245" s="69" t="s">
        <v>1376</v>
      </c>
      <c r="D245" s="69" t="s">
        <v>1436</v>
      </c>
      <c r="E245" s="69">
        <v>356</v>
      </c>
      <c r="F245" s="1"/>
      <c r="G245" s="1"/>
      <c r="H245" s="1"/>
      <c r="I245" s="1"/>
    </row>
    <row r="246" spans="1:9">
      <c r="A246" s="69">
        <v>242</v>
      </c>
      <c r="B246" s="29"/>
      <c r="C246" s="69" t="s">
        <v>1377</v>
      </c>
      <c r="D246" s="69" t="s">
        <v>1167</v>
      </c>
      <c r="E246" s="69">
        <v>306</v>
      </c>
      <c r="F246" s="1"/>
      <c r="G246" s="1"/>
      <c r="H246" s="1"/>
      <c r="I246" s="1"/>
    </row>
    <row r="247" spans="1:9">
      <c r="A247" s="69">
        <v>243</v>
      </c>
      <c r="B247" s="29"/>
      <c r="C247" s="69" t="s">
        <v>1378</v>
      </c>
      <c r="D247" s="69" t="s">
        <v>1167</v>
      </c>
      <c r="E247" s="69">
        <v>302</v>
      </c>
      <c r="F247" s="1"/>
      <c r="G247" s="1"/>
      <c r="H247" s="1"/>
      <c r="I247" s="1"/>
    </row>
    <row r="248" spans="1:9">
      <c r="A248" s="69">
        <v>244</v>
      </c>
      <c r="B248" s="29" t="s">
        <v>1559</v>
      </c>
      <c r="C248" s="69" t="s">
        <v>1379</v>
      </c>
      <c r="D248" s="69" t="s">
        <v>1435</v>
      </c>
      <c r="E248" s="69">
        <v>336.74</v>
      </c>
      <c r="F248" s="1"/>
      <c r="G248" s="1"/>
      <c r="H248" s="1"/>
      <c r="I248" s="1"/>
    </row>
    <row r="249" spans="1:9">
      <c r="A249" s="69">
        <v>245</v>
      </c>
      <c r="B249" s="29"/>
      <c r="C249" s="69" t="s">
        <v>1380</v>
      </c>
      <c r="D249" s="69" t="s">
        <v>1167</v>
      </c>
      <c r="E249" s="69">
        <v>340</v>
      </c>
      <c r="F249" s="1"/>
      <c r="G249" s="1"/>
      <c r="H249" s="1"/>
      <c r="I249" s="1"/>
    </row>
    <row r="250" spans="1:9">
      <c r="A250" s="69">
        <v>246</v>
      </c>
      <c r="B250" s="29"/>
      <c r="C250" s="69" t="s">
        <v>1381</v>
      </c>
      <c r="D250" s="69" t="s">
        <v>1167</v>
      </c>
      <c r="E250" s="69">
        <v>357</v>
      </c>
      <c r="F250" s="1"/>
      <c r="G250" s="1"/>
      <c r="H250" s="1"/>
      <c r="I250" s="1"/>
    </row>
    <row r="251" spans="1:9">
      <c r="A251" s="69">
        <v>247</v>
      </c>
      <c r="B251" s="29" t="s">
        <v>1560</v>
      </c>
      <c r="C251" s="69" t="s">
        <v>1382</v>
      </c>
      <c r="D251" s="69" t="s">
        <v>1556</v>
      </c>
      <c r="E251" s="69">
        <v>341.48</v>
      </c>
      <c r="F251" s="1"/>
      <c r="G251" s="1"/>
      <c r="H251" s="1"/>
      <c r="I251" s="1"/>
    </row>
    <row r="252" spans="1:9">
      <c r="A252" s="69">
        <v>248</v>
      </c>
      <c r="B252" s="29" t="s">
        <v>1561</v>
      </c>
      <c r="C252" s="69" t="s">
        <v>1383</v>
      </c>
      <c r="D252" s="69" t="s">
        <v>1497</v>
      </c>
      <c r="E252" s="69">
        <v>376.98</v>
      </c>
      <c r="F252" s="1"/>
      <c r="G252" s="1"/>
      <c r="H252" s="1"/>
      <c r="I252" s="1"/>
    </row>
    <row r="253" spans="1:9">
      <c r="A253" s="69">
        <v>249</v>
      </c>
      <c r="B253" s="29" t="s">
        <v>1562</v>
      </c>
      <c r="C253" s="69" t="s">
        <v>1384</v>
      </c>
      <c r="D253" s="69" t="s">
        <v>1435</v>
      </c>
      <c r="E253" s="69">
        <v>391.22</v>
      </c>
      <c r="F253" s="1"/>
      <c r="G253" s="1"/>
      <c r="H253" s="1"/>
      <c r="I253" s="1"/>
    </row>
    <row r="254" spans="1:9">
      <c r="A254" s="69">
        <v>250</v>
      </c>
      <c r="B254" s="29"/>
      <c r="C254" s="69" t="s">
        <v>1385</v>
      </c>
      <c r="D254" s="69" t="s">
        <v>1167</v>
      </c>
      <c r="E254" s="69">
        <v>320</v>
      </c>
      <c r="F254" s="1"/>
      <c r="G254" s="1"/>
      <c r="H254" s="1"/>
      <c r="I254" s="1"/>
    </row>
    <row r="255" spans="1:9">
      <c r="A255" s="69">
        <v>251</v>
      </c>
      <c r="B255" s="29"/>
      <c r="C255" s="69" t="s">
        <v>1386</v>
      </c>
      <c r="D255" s="69" t="s">
        <v>1436</v>
      </c>
      <c r="E255" s="69">
        <v>364</v>
      </c>
      <c r="F255" s="1"/>
      <c r="G255" s="1"/>
      <c r="H255" s="1"/>
      <c r="I255" s="1"/>
    </row>
    <row r="256" spans="1:9">
      <c r="A256" s="69">
        <v>252</v>
      </c>
      <c r="B256" s="29" t="s">
        <v>1563</v>
      </c>
      <c r="C256" s="69" t="s">
        <v>1387</v>
      </c>
      <c r="D256" s="69" t="s">
        <v>1171</v>
      </c>
      <c r="E256" s="70">
        <v>305.39999999999998</v>
      </c>
      <c r="F256" s="1"/>
      <c r="G256" s="1"/>
      <c r="H256" s="1"/>
      <c r="I256" s="1"/>
    </row>
    <row r="257" spans="1:9">
      <c r="A257" s="69">
        <v>253</v>
      </c>
      <c r="B257" s="29"/>
      <c r="C257" s="69" t="s">
        <v>1388</v>
      </c>
      <c r="D257" s="69" t="s">
        <v>1490</v>
      </c>
      <c r="E257" s="69">
        <v>283</v>
      </c>
      <c r="F257" s="1"/>
      <c r="G257" s="1"/>
      <c r="H257" s="1"/>
      <c r="I257" s="1"/>
    </row>
    <row r="258" spans="1:9">
      <c r="A258" s="69">
        <v>254</v>
      </c>
      <c r="B258" s="29" t="s">
        <v>1564</v>
      </c>
      <c r="C258" s="69" t="s">
        <v>1428</v>
      </c>
      <c r="D258" s="69" t="s">
        <v>653</v>
      </c>
      <c r="E258" s="69">
        <v>279.69</v>
      </c>
      <c r="F258" s="1"/>
      <c r="G258" s="1"/>
      <c r="H258" s="1"/>
      <c r="I258" s="1"/>
    </row>
    <row r="259" spans="1:9">
      <c r="A259" s="69">
        <v>255</v>
      </c>
      <c r="B259" s="29" t="s">
        <v>1565</v>
      </c>
      <c r="C259" s="69" t="s">
        <v>1389</v>
      </c>
      <c r="D259" s="69" t="s">
        <v>653</v>
      </c>
      <c r="E259" s="69">
        <v>221.09</v>
      </c>
      <c r="F259" s="1"/>
      <c r="G259" s="1"/>
      <c r="H259" s="1"/>
      <c r="I259" s="1"/>
    </row>
    <row r="260" spans="1:9">
      <c r="A260" s="69">
        <v>256</v>
      </c>
      <c r="B260" s="29" t="s">
        <v>1566</v>
      </c>
      <c r="C260" s="69" t="s">
        <v>1390</v>
      </c>
      <c r="D260" s="69" t="s">
        <v>1438</v>
      </c>
      <c r="E260" s="69">
        <v>326.43</v>
      </c>
      <c r="F260" s="1"/>
      <c r="G260" s="1"/>
      <c r="H260" s="1"/>
      <c r="I260" s="1"/>
    </row>
    <row r="261" spans="1:9">
      <c r="A261" s="69">
        <v>257</v>
      </c>
      <c r="B261" s="29" t="s">
        <v>1567</v>
      </c>
      <c r="C261" s="69" t="s">
        <v>1391</v>
      </c>
      <c r="D261" s="69" t="s">
        <v>653</v>
      </c>
      <c r="E261" s="69">
        <v>367.89</v>
      </c>
      <c r="F261" s="1"/>
      <c r="G261" s="1"/>
      <c r="H261" s="1"/>
      <c r="I261" s="1"/>
    </row>
    <row r="262" spans="1:9">
      <c r="A262" s="69">
        <v>258</v>
      </c>
      <c r="B262" s="29" t="s">
        <v>1568</v>
      </c>
      <c r="C262" s="69" t="s">
        <v>1433</v>
      </c>
      <c r="D262" s="69" t="s">
        <v>653</v>
      </c>
      <c r="E262" s="69">
        <v>206.08</v>
      </c>
      <c r="F262" s="1"/>
      <c r="G262" s="1"/>
      <c r="H262" s="1"/>
      <c r="I262" s="1"/>
    </row>
    <row r="263" spans="1:9">
      <c r="A263" s="69">
        <v>259</v>
      </c>
      <c r="B263" s="29"/>
      <c r="C263" s="69" t="s">
        <v>1392</v>
      </c>
      <c r="D263" s="69" t="s">
        <v>1490</v>
      </c>
      <c r="E263" s="69">
        <v>300</v>
      </c>
      <c r="F263" s="1"/>
      <c r="G263" s="1"/>
      <c r="H263" s="1"/>
      <c r="I263" s="1"/>
    </row>
    <row r="264" spans="1:9">
      <c r="A264" s="69">
        <v>260</v>
      </c>
      <c r="B264" s="29" t="s">
        <v>1569</v>
      </c>
      <c r="C264" s="69" t="s">
        <v>1393</v>
      </c>
      <c r="D264" s="69" t="s">
        <v>1170</v>
      </c>
      <c r="E264" s="69">
        <v>307.98</v>
      </c>
      <c r="F264" s="1"/>
      <c r="G264" s="1"/>
      <c r="H264" s="1"/>
      <c r="I264" s="1"/>
    </row>
    <row r="265" spans="1:9">
      <c r="A265" s="69">
        <v>261</v>
      </c>
      <c r="B265" s="29" t="s">
        <v>1570</v>
      </c>
      <c r="C265" s="69" t="s">
        <v>1394</v>
      </c>
      <c r="D265" s="69" t="s">
        <v>1497</v>
      </c>
      <c r="E265" s="69">
        <v>303.20999999999998</v>
      </c>
      <c r="F265" s="1"/>
      <c r="G265" s="1"/>
      <c r="H265" s="1"/>
      <c r="I265" s="1"/>
    </row>
    <row r="266" spans="1:9">
      <c r="A266" s="69">
        <v>262</v>
      </c>
      <c r="B266" s="29" t="s">
        <v>1571</v>
      </c>
      <c r="C266" s="69" t="s">
        <v>1395</v>
      </c>
      <c r="D266" s="69" t="s">
        <v>1171</v>
      </c>
      <c r="E266" s="69">
        <v>348.78</v>
      </c>
      <c r="F266" s="1"/>
      <c r="G266" s="1"/>
      <c r="H266" s="1"/>
      <c r="I266" s="1"/>
    </row>
    <row r="267" spans="1:9">
      <c r="A267" s="69">
        <v>263</v>
      </c>
      <c r="B267" s="29"/>
      <c r="C267" s="69" t="s">
        <v>1396</v>
      </c>
      <c r="D267" s="69" t="s">
        <v>1205</v>
      </c>
      <c r="E267" s="69">
        <v>265</v>
      </c>
      <c r="F267" s="1"/>
      <c r="G267" s="1"/>
      <c r="H267" s="1"/>
      <c r="I267" s="1"/>
    </row>
    <row r="268" spans="1:9">
      <c r="A268" s="69">
        <v>264</v>
      </c>
      <c r="B268" s="29"/>
      <c r="C268" s="69" t="s">
        <v>1397</v>
      </c>
      <c r="D268" s="69" t="s">
        <v>1167</v>
      </c>
      <c r="E268" s="69">
        <v>255</v>
      </c>
      <c r="F268" s="1"/>
      <c r="G268" s="1"/>
      <c r="H268" s="1"/>
      <c r="I268" s="1"/>
    </row>
    <row r="269" spans="1:9">
      <c r="A269" s="69">
        <v>265</v>
      </c>
      <c r="B269" s="29"/>
      <c r="C269" s="69" t="s">
        <v>1398</v>
      </c>
      <c r="D269" s="69" t="s">
        <v>1503</v>
      </c>
      <c r="E269" s="69">
        <v>235.13</v>
      </c>
      <c r="F269" s="1"/>
      <c r="G269" s="1"/>
      <c r="H269" s="1"/>
      <c r="I269" s="1"/>
    </row>
    <row r="270" spans="1:9">
      <c r="A270" s="69">
        <v>266</v>
      </c>
      <c r="B270" s="29" t="s">
        <v>1572</v>
      </c>
      <c r="C270" s="69" t="s">
        <v>1399</v>
      </c>
      <c r="D270" s="69" t="s">
        <v>1556</v>
      </c>
      <c r="E270" s="69">
        <v>347.38</v>
      </c>
      <c r="F270" s="1"/>
      <c r="G270" s="1"/>
      <c r="H270" s="1"/>
      <c r="I270" s="1"/>
    </row>
    <row r="271" spans="1:9">
      <c r="A271" s="69">
        <v>267</v>
      </c>
      <c r="B271" s="29" t="s">
        <v>1573</v>
      </c>
      <c r="C271" s="69" t="s">
        <v>1400</v>
      </c>
      <c r="D271" s="69" t="s">
        <v>1435</v>
      </c>
      <c r="E271" s="69">
        <v>341.94</v>
      </c>
      <c r="F271" s="1"/>
      <c r="G271" s="1"/>
      <c r="H271" s="1"/>
      <c r="I271" s="1"/>
    </row>
    <row r="272" spans="1:9">
      <c r="A272" s="69">
        <v>268</v>
      </c>
      <c r="B272" s="29" t="s">
        <v>1574</v>
      </c>
      <c r="C272" s="69" t="s">
        <v>1401</v>
      </c>
      <c r="D272" s="69" t="s">
        <v>1170</v>
      </c>
      <c r="E272" s="69">
        <v>97.17</v>
      </c>
      <c r="F272" s="1"/>
      <c r="G272" s="1"/>
      <c r="H272" s="1"/>
      <c r="I272" s="1"/>
    </row>
    <row r="273" spans="1:9">
      <c r="A273" s="69">
        <v>269</v>
      </c>
      <c r="B273" s="29"/>
      <c r="C273" s="69" t="s">
        <v>1402</v>
      </c>
      <c r="D273" s="69" t="s">
        <v>1167</v>
      </c>
      <c r="E273" s="69">
        <v>280</v>
      </c>
      <c r="F273" s="1"/>
      <c r="G273" s="1"/>
      <c r="H273" s="1"/>
      <c r="I273" s="1"/>
    </row>
    <row r="274" spans="1:9">
      <c r="A274" s="69">
        <v>270</v>
      </c>
      <c r="B274" s="29"/>
      <c r="C274" s="69" t="s">
        <v>1403</v>
      </c>
      <c r="D274" s="69" t="s">
        <v>1167</v>
      </c>
      <c r="E274" s="69">
        <v>315</v>
      </c>
      <c r="F274" s="1"/>
      <c r="G274" s="1"/>
      <c r="H274" s="1"/>
      <c r="I274" s="1"/>
    </row>
    <row r="275" spans="1:9">
      <c r="A275" s="69">
        <v>271</v>
      </c>
      <c r="B275" s="29"/>
      <c r="C275" s="69" t="s">
        <v>1404</v>
      </c>
      <c r="D275" s="69" t="s">
        <v>1436</v>
      </c>
      <c r="E275" s="69">
        <v>347</v>
      </c>
      <c r="F275" s="1"/>
      <c r="G275" s="1"/>
      <c r="H275" s="1"/>
      <c r="I275" s="1"/>
    </row>
    <row r="276" spans="1:9">
      <c r="A276" s="69">
        <v>272</v>
      </c>
      <c r="B276" s="29" t="s">
        <v>1575</v>
      </c>
      <c r="C276" s="69" t="s">
        <v>1405</v>
      </c>
      <c r="D276" s="69" t="s">
        <v>1171</v>
      </c>
      <c r="E276" s="69">
        <v>351.91</v>
      </c>
      <c r="F276" s="1"/>
      <c r="G276" s="1"/>
      <c r="H276" s="1"/>
      <c r="I276" s="1"/>
    </row>
    <row r="277" spans="1:9">
      <c r="A277" s="69">
        <v>273</v>
      </c>
      <c r="B277" s="29"/>
      <c r="C277" s="69" t="s">
        <v>1406</v>
      </c>
      <c r="D277" s="69" t="s">
        <v>1167</v>
      </c>
      <c r="E277" s="69">
        <v>220</v>
      </c>
      <c r="F277" s="1"/>
      <c r="G277" s="1"/>
      <c r="H277" s="1"/>
      <c r="I277" s="1"/>
    </row>
    <row r="278" spans="1:9">
      <c r="A278" s="69">
        <v>274</v>
      </c>
      <c r="B278" s="29" t="s">
        <v>1576</v>
      </c>
      <c r="C278" s="69" t="s">
        <v>1407</v>
      </c>
      <c r="D278" s="69" t="s">
        <v>1171</v>
      </c>
      <c r="E278" s="69">
        <v>260.02999999999997</v>
      </c>
      <c r="F278" s="1"/>
      <c r="G278" s="1"/>
      <c r="H278" s="1"/>
      <c r="I278" s="1"/>
    </row>
    <row r="279" spans="1:9">
      <c r="A279" s="69">
        <v>275</v>
      </c>
      <c r="B279" s="29"/>
      <c r="C279" s="69" t="s">
        <v>1408</v>
      </c>
      <c r="D279" s="69" t="s">
        <v>1167</v>
      </c>
      <c r="E279" s="69">
        <v>251</v>
      </c>
      <c r="F279" s="1"/>
      <c r="G279" s="1"/>
      <c r="H279" s="1"/>
      <c r="I279" s="1"/>
    </row>
    <row r="280" spans="1:9">
      <c r="A280" s="69">
        <v>276</v>
      </c>
      <c r="B280" s="29" t="s">
        <v>1577</v>
      </c>
      <c r="C280" s="69" t="s">
        <v>1409</v>
      </c>
      <c r="D280" s="69" t="s">
        <v>1435</v>
      </c>
      <c r="E280" s="69">
        <v>193.67</v>
      </c>
      <c r="F280" s="1"/>
      <c r="G280" s="1"/>
      <c r="H280" s="1"/>
      <c r="I280" s="1"/>
    </row>
    <row r="281" spans="1:9">
      <c r="A281" s="69">
        <v>277</v>
      </c>
      <c r="B281" s="29"/>
      <c r="C281" s="69" t="s">
        <v>1410</v>
      </c>
      <c r="D281" s="69" t="s">
        <v>1437</v>
      </c>
      <c r="E281" s="69">
        <v>325</v>
      </c>
      <c r="F281" s="1"/>
      <c r="G281" s="1"/>
      <c r="H281" s="1"/>
      <c r="I281" s="1"/>
    </row>
    <row r="282" spans="1:9">
      <c r="A282" s="69">
        <v>278</v>
      </c>
      <c r="B282" s="29"/>
      <c r="C282" s="69" t="s">
        <v>1411</v>
      </c>
      <c r="D282" s="69" t="s">
        <v>1436</v>
      </c>
      <c r="E282" s="69">
        <v>341</v>
      </c>
      <c r="F282" s="1"/>
      <c r="G282" s="1"/>
      <c r="H282" s="1"/>
      <c r="I282" s="1"/>
    </row>
    <row r="283" spans="1:9">
      <c r="A283" s="69">
        <v>279</v>
      </c>
      <c r="B283" s="29" t="s">
        <v>1578</v>
      </c>
      <c r="C283" s="69" t="s">
        <v>1412</v>
      </c>
      <c r="D283" s="69" t="s">
        <v>1170</v>
      </c>
      <c r="E283" s="69">
        <v>343.38</v>
      </c>
      <c r="F283" s="1"/>
      <c r="G283" s="1"/>
      <c r="H283" s="1"/>
      <c r="I283" s="1"/>
    </row>
    <row r="284" spans="1:9">
      <c r="A284" s="69">
        <v>280</v>
      </c>
      <c r="B284" s="29"/>
      <c r="C284" s="69" t="s">
        <v>1413</v>
      </c>
      <c r="D284" s="69" t="s">
        <v>1167</v>
      </c>
      <c r="E284" s="69">
        <v>261</v>
      </c>
      <c r="F284" s="1"/>
      <c r="G284" s="1"/>
      <c r="H284" s="1"/>
      <c r="I284" s="1"/>
    </row>
    <row r="285" spans="1:9">
      <c r="A285" s="69">
        <v>281</v>
      </c>
      <c r="B285" s="29"/>
      <c r="C285" s="69" t="s">
        <v>1414</v>
      </c>
      <c r="D285" s="69" t="s">
        <v>1436</v>
      </c>
      <c r="E285" s="69">
        <v>307</v>
      </c>
      <c r="F285" s="1"/>
      <c r="G285" s="1"/>
      <c r="H285" s="1"/>
      <c r="I285" s="1"/>
    </row>
    <row r="286" spans="1:9">
      <c r="A286" s="69">
        <v>282</v>
      </c>
      <c r="B286" s="29"/>
      <c r="C286" s="69" t="s">
        <v>1415</v>
      </c>
      <c r="D286" s="69" t="s">
        <v>1436</v>
      </c>
      <c r="E286" s="69">
        <v>341</v>
      </c>
      <c r="F286" s="1"/>
      <c r="G286" s="1"/>
      <c r="H286" s="1"/>
      <c r="I286" s="1"/>
    </row>
    <row r="287" spans="1:9">
      <c r="A287" s="69">
        <v>283</v>
      </c>
      <c r="B287" s="29" t="s">
        <v>1579</v>
      </c>
      <c r="C287" s="69" t="s">
        <v>1416</v>
      </c>
      <c r="D287" s="69" t="s">
        <v>648</v>
      </c>
      <c r="E287" s="69">
        <v>355.57</v>
      </c>
      <c r="F287" s="1"/>
      <c r="G287" s="1"/>
      <c r="H287" s="1"/>
      <c r="I287" s="1"/>
    </row>
    <row r="288" spans="1:9">
      <c r="A288" s="69">
        <v>284</v>
      </c>
      <c r="B288" s="29" t="s">
        <v>1580</v>
      </c>
      <c r="C288" s="69" t="s">
        <v>1417</v>
      </c>
      <c r="D288" s="69" t="s">
        <v>648</v>
      </c>
      <c r="E288" s="70">
        <v>232.9</v>
      </c>
      <c r="F288" s="1"/>
      <c r="G288" s="1"/>
      <c r="H288" s="1"/>
      <c r="I288" s="1"/>
    </row>
    <row r="289" spans="1:9">
      <c r="A289" s="69">
        <v>285</v>
      </c>
      <c r="B289" s="29"/>
      <c r="C289" s="69" t="s">
        <v>1418</v>
      </c>
      <c r="D289" s="69" t="s">
        <v>1436</v>
      </c>
      <c r="E289" s="69">
        <v>364</v>
      </c>
      <c r="F289" s="1"/>
      <c r="G289" s="1"/>
      <c r="H289" s="1"/>
      <c r="I289" s="1"/>
    </row>
    <row r="290" spans="1:9">
      <c r="A290" s="69">
        <v>286</v>
      </c>
      <c r="B290" s="29"/>
      <c r="C290" s="69" t="s">
        <v>1419</v>
      </c>
      <c r="D290" s="69" t="s">
        <v>1167</v>
      </c>
      <c r="E290" s="69">
        <v>280</v>
      </c>
      <c r="F290" s="1"/>
      <c r="G290" s="1"/>
      <c r="H290" s="1"/>
      <c r="I290" s="1"/>
    </row>
    <row r="291" spans="1:9">
      <c r="A291" s="69">
        <v>287</v>
      </c>
      <c r="B291" s="29"/>
      <c r="C291" s="69" t="s">
        <v>1420</v>
      </c>
      <c r="D291" s="69" t="s">
        <v>1205</v>
      </c>
      <c r="E291" s="69">
        <v>253</v>
      </c>
      <c r="F291" s="1"/>
      <c r="G291" s="1"/>
      <c r="H291" s="1"/>
      <c r="I291" s="1"/>
    </row>
    <row r="292" spans="1:9">
      <c r="A292" s="69">
        <v>288</v>
      </c>
      <c r="B292" s="29" t="s">
        <v>1581</v>
      </c>
      <c r="C292" s="69" t="s">
        <v>1421</v>
      </c>
      <c r="D292" s="69" t="s">
        <v>1438</v>
      </c>
      <c r="E292" s="70">
        <v>291.60000000000002</v>
      </c>
      <c r="F292" s="1"/>
      <c r="G292" s="1"/>
      <c r="H292" s="1"/>
      <c r="I292" s="1"/>
    </row>
    <row r="293" spans="1:9">
      <c r="A293" s="69">
        <v>289</v>
      </c>
      <c r="B293" s="29" t="s">
        <v>1582</v>
      </c>
      <c r="C293" s="69" t="s">
        <v>1422</v>
      </c>
      <c r="D293" s="69" t="s">
        <v>1438</v>
      </c>
      <c r="E293" s="70">
        <v>270.60000000000002</v>
      </c>
      <c r="F293" s="1"/>
      <c r="G293" s="1"/>
      <c r="H293" s="1"/>
      <c r="I293" s="1"/>
    </row>
    <row r="294" spans="1:9">
      <c r="A294" s="567"/>
      <c r="B294" s="567"/>
      <c r="C294" s="567"/>
      <c r="D294" s="567"/>
      <c r="E294" s="600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10" priority="3" operator="containsText" text="Completed">
      <formula>NOT(ISERROR(SEARCH("Completed",F46)))</formula>
    </cfRule>
  </conditionalFormatting>
  <conditionalFormatting sqref="F15:G25">
    <cfRule type="containsText" dxfId="109" priority="7" operator="containsText" text="Completed">
      <formula>NOT(ISERROR(SEARCH("Completed",F15)))</formula>
    </cfRule>
  </conditionalFormatting>
  <conditionalFormatting sqref="F27:G27">
    <cfRule type="containsText" dxfId="108" priority="11" operator="containsText" text="Completed">
      <formula>NOT(ISERROR(SEARCH("Completed",F27)))</formula>
    </cfRule>
  </conditionalFormatting>
  <conditionalFormatting sqref="F48:G49">
    <cfRule type="containsText" dxfId="107" priority="10" operator="containsText" text="Completed">
      <formula>NOT(ISERROR(SEARCH("Completed",F48)))</formula>
    </cfRule>
  </conditionalFormatting>
  <conditionalFormatting sqref="F56:G56">
    <cfRule type="containsText" dxfId="106" priority="9" operator="containsText" text="Completed">
      <formula>NOT(ISERROR(SEARCH("Completed",F56)))</formula>
    </cfRule>
  </conditionalFormatting>
  <conditionalFormatting sqref="F60:G60">
    <cfRule type="containsText" dxfId="105" priority="8" operator="containsText" text="Completed">
      <formula>NOT(ISERROR(SEARCH("Completed",F60)))</formula>
    </cfRule>
  </conditionalFormatting>
  <conditionalFormatting sqref="F155:G156">
    <cfRule type="containsText" dxfId="104" priority="2" operator="containsText" text="Completed">
      <formula>NOT(ISERROR(SEARCH("Completed",F155)))</formula>
    </cfRule>
  </conditionalFormatting>
  <conditionalFormatting sqref="F158:G159">
    <cfRule type="containsText" dxfId="103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2" customWidth="1"/>
    <col min="2" max="3" width="9.140625" style="112"/>
    <col min="4" max="4" width="14.140625" style="112" bestFit="1" customWidth="1"/>
    <col min="5" max="5" width="11.7109375" style="112" bestFit="1" customWidth="1"/>
    <col min="6" max="6" width="11.28515625" style="112" customWidth="1"/>
    <col min="7" max="7" width="17" style="112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2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808" t="s">
        <v>566</v>
      </c>
      <c r="B1" s="1809"/>
      <c r="C1" s="1809"/>
      <c r="D1" s="1809"/>
      <c r="E1" s="1809"/>
      <c r="F1" s="1809"/>
      <c r="G1" s="1809"/>
      <c r="H1" s="1809"/>
      <c r="I1" s="1809"/>
      <c r="J1" s="1809"/>
      <c r="K1" s="1809"/>
      <c r="L1" s="1809"/>
      <c r="M1" s="1809"/>
      <c r="N1" s="1809"/>
      <c r="O1" s="1809"/>
      <c r="P1" s="1809"/>
      <c r="Q1" s="1809"/>
      <c r="R1" s="1809"/>
      <c r="S1" s="1809"/>
      <c r="T1" s="1809"/>
      <c r="U1" s="1809"/>
      <c r="V1" s="1809"/>
      <c r="W1" s="1809"/>
      <c r="X1" s="1809"/>
      <c r="Y1" s="1809"/>
      <c r="Z1" s="1809"/>
      <c r="AA1" s="1809"/>
      <c r="AB1" s="1809"/>
      <c r="AC1" s="1809"/>
      <c r="AD1" s="1809"/>
      <c r="AE1" s="1809"/>
      <c r="AF1" s="1809"/>
      <c r="AG1" s="1809"/>
      <c r="AH1" s="1809"/>
      <c r="AI1" s="1809"/>
      <c r="AJ1" s="1809"/>
      <c r="AK1" s="129"/>
      <c r="AL1" s="130"/>
      <c r="AM1" s="129"/>
    </row>
    <row r="2" spans="1:39" ht="20.25">
      <c r="A2" s="1810" t="s">
        <v>88</v>
      </c>
      <c r="B2" s="1811"/>
      <c r="C2" s="1811"/>
      <c r="D2" s="1811"/>
      <c r="E2" s="1811"/>
      <c r="F2" s="1811"/>
      <c r="G2" s="1811"/>
      <c r="H2" s="1811"/>
      <c r="I2" s="1811"/>
      <c r="J2" s="1811"/>
      <c r="K2" s="1811"/>
      <c r="L2" s="1811"/>
      <c r="M2" s="1811"/>
      <c r="N2" s="1811"/>
      <c r="O2" s="1811"/>
      <c r="P2" s="1811"/>
      <c r="Q2" s="1811"/>
      <c r="R2" s="1811"/>
      <c r="S2" s="1811"/>
      <c r="T2" s="1811"/>
      <c r="U2" s="1811"/>
      <c r="V2" s="1811"/>
      <c r="W2" s="1811"/>
      <c r="X2" s="1811"/>
      <c r="Y2" s="1811"/>
      <c r="Z2" s="1811"/>
      <c r="AA2" s="1811"/>
      <c r="AB2" s="1811"/>
      <c r="AC2" s="1811"/>
      <c r="AD2" s="1811"/>
      <c r="AE2" s="1811"/>
      <c r="AF2" s="1811"/>
      <c r="AG2" s="1811"/>
      <c r="AH2" s="1811"/>
      <c r="AI2" s="1811"/>
      <c r="AJ2" s="1811"/>
      <c r="AK2" s="131" t="s">
        <v>90</v>
      </c>
      <c r="AL2" s="132"/>
      <c r="AM2" s="133"/>
    </row>
    <row r="3" spans="1:39" ht="21.6" customHeight="1">
      <c r="A3" s="1810" t="s">
        <v>89</v>
      </c>
      <c r="B3" s="1811"/>
      <c r="C3" s="1811"/>
      <c r="D3" s="1811"/>
      <c r="E3" s="1811"/>
      <c r="F3" s="1811"/>
      <c r="G3" s="1811"/>
      <c r="H3" s="1811"/>
      <c r="I3" s="1811"/>
      <c r="J3" s="1811"/>
      <c r="K3" s="1811"/>
      <c r="L3" s="1811"/>
      <c r="M3" s="1811"/>
      <c r="N3" s="1811"/>
      <c r="O3" s="1811"/>
      <c r="P3" s="1811"/>
      <c r="Q3" s="1811"/>
      <c r="R3" s="1811"/>
      <c r="S3" s="1811"/>
      <c r="T3" s="1811"/>
      <c r="U3" s="1811"/>
      <c r="V3" s="1811"/>
      <c r="W3" s="1811"/>
      <c r="X3" s="1811"/>
      <c r="Y3" s="1811"/>
      <c r="Z3" s="1811"/>
      <c r="AA3" s="1811"/>
      <c r="AB3" s="1811"/>
      <c r="AC3" s="1811"/>
      <c r="AD3" s="1811"/>
      <c r="AE3" s="1811"/>
      <c r="AF3" s="1811"/>
      <c r="AG3" s="1811"/>
      <c r="AH3" s="1811"/>
      <c r="AI3" s="1811"/>
      <c r="AJ3" s="1811"/>
      <c r="AK3" s="131" t="s">
        <v>567</v>
      </c>
      <c r="AL3" s="132"/>
      <c r="AM3" s="133"/>
    </row>
    <row r="4" spans="1:39" ht="20.25">
      <c r="A4" s="1810" t="s">
        <v>91</v>
      </c>
      <c r="B4" s="1811"/>
      <c r="C4" s="1811"/>
      <c r="D4" s="1811"/>
      <c r="E4" s="1811"/>
      <c r="F4" s="1811"/>
      <c r="G4" s="1811"/>
      <c r="H4" s="1811"/>
      <c r="I4" s="1811"/>
      <c r="J4" s="1811"/>
      <c r="K4" s="1811"/>
      <c r="L4" s="1811"/>
      <c r="M4" s="1811"/>
      <c r="N4" s="1811"/>
      <c r="O4" s="1811"/>
      <c r="P4" s="1811"/>
      <c r="Q4" s="1811"/>
      <c r="R4" s="1811"/>
      <c r="S4" s="1811"/>
      <c r="T4" s="1811"/>
      <c r="U4" s="1811"/>
      <c r="V4" s="1811"/>
      <c r="W4" s="1811"/>
      <c r="X4" s="1811"/>
      <c r="Y4" s="1811"/>
      <c r="Z4" s="1811"/>
      <c r="AA4" s="1811"/>
      <c r="AB4" s="1811"/>
      <c r="AC4" s="1811"/>
      <c r="AD4" s="1811"/>
      <c r="AE4" s="1811"/>
      <c r="AF4" s="1811"/>
      <c r="AG4" s="1811"/>
      <c r="AH4" s="1811"/>
      <c r="AI4" s="1811"/>
      <c r="AJ4" s="1811"/>
      <c r="AK4" s="131" t="s">
        <v>94</v>
      </c>
      <c r="AL4" s="132"/>
      <c r="AM4" s="133"/>
    </row>
    <row r="5" spans="1:39" ht="20.25">
      <c r="A5" s="1810" t="s">
        <v>93</v>
      </c>
      <c r="B5" s="1811"/>
      <c r="C5" s="1811"/>
      <c r="D5" s="1811"/>
      <c r="E5" s="1811"/>
      <c r="F5" s="1811"/>
      <c r="G5" s="1811"/>
      <c r="H5" s="1811"/>
      <c r="I5" s="1811"/>
      <c r="J5" s="1811"/>
      <c r="K5" s="1811"/>
      <c r="L5" s="1811"/>
      <c r="M5" s="1811"/>
      <c r="N5" s="1811"/>
      <c r="O5" s="1811"/>
      <c r="P5" s="1811"/>
      <c r="Q5" s="1811"/>
      <c r="R5" s="1811"/>
      <c r="S5" s="1811"/>
      <c r="T5" s="1811"/>
      <c r="U5" s="1811"/>
      <c r="V5" s="1811"/>
      <c r="W5" s="1811"/>
      <c r="X5" s="1811"/>
      <c r="Y5" s="1811"/>
      <c r="Z5" s="1811"/>
      <c r="AA5" s="1811"/>
      <c r="AB5" s="1811"/>
      <c r="AC5" s="1811"/>
      <c r="AD5" s="1811"/>
      <c r="AE5" s="1811"/>
      <c r="AF5" s="1811"/>
      <c r="AG5" s="1811"/>
      <c r="AH5" s="1811"/>
      <c r="AI5" s="1811"/>
      <c r="AJ5" s="1811"/>
      <c r="AK5" s="133"/>
      <c r="AL5" s="132"/>
      <c r="AM5" s="133"/>
    </row>
    <row r="6" spans="1:39" ht="31.15" customHeight="1" thickBot="1">
      <c r="A6" s="1806" t="s">
        <v>568</v>
      </c>
      <c r="B6" s="1807"/>
      <c r="C6" s="1807"/>
      <c r="D6" s="1807"/>
      <c r="E6" s="1807"/>
      <c r="F6" s="1807"/>
      <c r="G6" s="1807"/>
      <c r="H6" s="1807"/>
      <c r="I6" s="1807"/>
      <c r="J6" s="1807"/>
      <c r="K6" s="1807"/>
      <c r="L6" s="1807"/>
      <c r="M6" s="1807"/>
      <c r="N6" s="1807"/>
      <c r="O6" s="1807"/>
      <c r="P6" s="1807"/>
      <c r="Q6" s="1807"/>
      <c r="R6" s="1807"/>
      <c r="S6" s="1807"/>
      <c r="T6" s="1807"/>
      <c r="U6" s="1807"/>
      <c r="V6" s="1807"/>
      <c r="W6" s="1807"/>
      <c r="X6" s="1807"/>
      <c r="Y6" s="1807"/>
      <c r="Z6" s="1807"/>
      <c r="AA6" s="1807"/>
      <c r="AB6" s="1807"/>
      <c r="AC6" s="1807"/>
      <c r="AD6" s="1807"/>
      <c r="AE6" s="1807"/>
      <c r="AF6" s="1807"/>
      <c r="AG6" s="1807"/>
      <c r="AH6" s="1807"/>
      <c r="AI6" s="1807"/>
      <c r="AJ6" s="1807"/>
      <c r="AK6" s="134"/>
      <c r="AL6" s="135"/>
      <c r="AM6" s="136"/>
    </row>
    <row r="7" spans="1:39" ht="28.15" customHeight="1" thickBot="1">
      <c r="A7" s="1817" t="s">
        <v>569</v>
      </c>
      <c r="B7" s="1818"/>
      <c r="C7" s="1818"/>
      <c r="D7" s="1818"/>
      <c r="E7" s="1818"/>
      <c r="F7" s="1818"/>
      <c r="G7" s="1819"/>
      <c r="H7" s="1817" t="s">
        <v>570</v>
      </c>
      <c r="I7" s="1818"/>
      <c r="J7" s="1818"/>
      <c r="K7" s="1818"/>
      <c r="L7" s="1818"/>
      <c r="M7" s="1818"/>
      <c r="N7" s="1818"/>
      <c r="O7" s="1818"/>
      <c r="P7" s="1818"/>
      <c r="Q7" s="1818"/>
      <c r="R7" s="1818"/>
      <c r="S7" s="1818"/>
      <c r="T7" s="1818"/>
      <c r="U7" s="1818"/>
      <c r="V7" s="1818"/>
      <c r="W7" s="1818"/>
      <c r="X7" s="1818"/>
      <c r="Y7" s="1818"/>
      <c r="Z7" s="1818"/>
      <c r="AA7" s="1818"/>
      <c r="AB7" s="1818"/>
      <c r="AC7" s="1818"/>
      <c r="AD7" s="1818"/>
      <c r="AE7" s="1818"/>
      <c r="AF7" s="1818"/>
      <c r="AG7" s="1818"/>
      <c r="AH7" s="1818"/>
      <c r="AI7" s="1818"/>
      <c r="AJ7" s="1818"/>
      <c r="AK7" s="1819"/>
      <c r="AL7" s="137"/>
      <c r="AM7" s="138"/>
    </row>
    <row r="8" spans="1:39" ht="33" customHeight="1" thickBot="1">
      <c r="A8" s="1815" t="s">
        <v>97</v>
      </c>
      <c r="B8" s="1815" t="s">
        <v>98</v>
      </c>
      <c r="C8" s="1815" t="s">
        <v>99</v>
      </c>
      <c r="D8" s="1815" t="s">
        <v>100</v>
      </c>
      <c r="E8" s="1815" t="s">
        <v>106</v>
      </c>
      <c r="F8" s="1815" t="s">
        <v>102</v>
      </c>
      <c r="G8" s="1815" t="s">
        <v>104</v>
      </c>
      <c r="H8" s="1815" t="s">
        <v>98</v>
      </c>
      <c r="I8" s="1815" t="s">
        <v>99</v>
      </c>
      <c r="J8" s="1815" t="s">
        <v>100</v>
      </c>
      <c r="K8" s="1815" t="s">
        <v>101</v>
      </c>
      <c r="L8" s="1815" t="s">
        <v>102</v>
      </c>
      <c r="M8" s="1815" t="s">
        <v>104</v>
      </c>
      <c r="N8" s="1815" t="s">
        <v>103</v>
      </c>
      <c r="O8" s="1820" t="s">
        <v>105</v>
      </c>
      <c r="P8" s="1824"/>
      <c r="Q8" s="1824"/>
      <c r="R8" s="1822"/>
      <c r="S8" s="1815" t="s">
        <v>106</v>
      </c>
      <c r="T8" s="1820" t="s">
        <v>107</v>
      </c>
      <c r="U8" s="1822" t="s">
        <v>108</v>
      </c>
      <c r="V8" s="1815" t="s">
        <v>109</v>
      </c>
      <c r="W8" s="1815" t="s">
        <v>110</v>
      </c>
      <c r="X8" s="1815" t="s">
        <v>111</v>
      </c>
      <c r="Y8" s="1815" t="s">
        <v>112</v>
      </c>
      <c r="Z8" s="1825" t="s">
        <v>113</v>
      </c>
      <c r="AA8" s="1826"/>
      <c r="AB8" s="1827"/>
      <c r="AC8" s="1825" t="s">
        <v>114</v>
      </c>
      <c r="AD8" s="1826"/>
      <c r="AE8" s="1827"/>
      <c r="AF8" s="1820" t="s">
        <v>115</v>
      </c>
      <c r="AG8" s="1822" t="s">
        <v>116</v>
      </c>
      <c r="AH8" s="1825" t="s">
        <v>571</v>
      </c>
      <c r="AI8" s="1828"/>
      <c r="AJ8" s="1815" t="s">
        <v>572</v>
      </c>
      <c r="AK8" s="1829" t="s">
        <v>119</v>
      </c>
      <c r="AL8" s="1831" t="s">
        <v>120</v>
      </c>
      <c r="AM8" s="1833" t="s">
        <v>121</v>
      </c>
    </row>
    <row r="9" spans="1:39" ht="36" customHeight="1" thickBot="1">
      <c r="A9" s="1816"/>
      <c r="B9" s="1816"/>
      <c r="C9" s="1816"/>
      <c r="D9" s="1816"/>
      <c r="E9" s="1816"/>
      <c r="F9" s="1816"/>
      <c r="G9" s="1816"/>
      <c r="H9" s="1816"/>
      <c r="I9" s="1816"/>
      <c r="J9" s="1816"/>
      <c r="K9" s="1816"/>
      <c r="L9" s="1816"/>
      <c r="M9" s="1816"/>
      <c r="N9" s="1816"/>
      <c r="O9" s="139" t="s">
        <v>123</v>
      </c>
      <c r="P9" s="140" t="s">
        <v>124</v>
      </c>
      <c r="Q9" s="140" t="s">
        <v>125</v>
      </c>
      <c r="R9" s="141"/>
      <c r="S9" s="1816"/>
      <c r="T9" s="1821"/>
      <c r="U9" s="1823"/>
      <c r="V9" s="1816"/>
      <c r="W9" s="1816"/>
      <c r="X9" s="1816"/>
      <c r="Y9" s="1816"/>
      <c r="Z9" s="142" t="s">
        <v>126</v>
      </c>
      <c r="AA9" s="142" t="s">
        <v>127</v>
      </c>
      <c r="AB9" s="142" t="s">
        <v>128</v>
      </c>
      <c r="AC9" s="142" t="s">
        <v>126</v>
      </c>
      <c r="AD9" s="142" t="s">
        <v>127</v>
      </c>
      <c r="AE9" s="142" t="s">
        <v>128</v>
      </c>
      <c r="AF9" s="1821"/>
      <c r="AG9" s="1823"/>
      <c r="AH9" s="142" t="s">
        <v>129</v>
      </c>
      <c r="AI9" s="142" t="s">
        <v>130</v>
      </c>
      <c r="AJ9" s="1816"/>
      <c r="AK9" s="1830"/>
      <c r="AL9" s="1832"/>
      <c r="AM9" s="1834"/>
    </row>
    <row r="10" spans="1:39" ht="31.5">
      <c r="A10" s="143">
        <v>1</v>
      </c>
      <c r="B10" s="144" t="s">
        <v>173</v>
      </c>
      <c r="C10" s="144" t="s">
        <v>174</v>
      </c>
      <c r="D10" s="144" t="s">
        <v>573</v>
      </c>
      <c r="E10" s="145" t="s">
        <v>134</v>
      </c>
      <c r="F10" s="146"/>
      <c r="G10" s="147">
        <v>0</v>
      </c>
      <c r="H10" s="143" t="s">
        <v>173</v>
      </c>
      <c r="I10" s="144" t="s">
        <v>174</v>
      </c>
      <c r="J10" s="144" t="s">
        <v>573</v>
      </c>
      <c r="K10" s="144">
        <v>38.33</v>
      </c>
      <c r="L10" s="146"/>
      <c r="M10" s="146">
        <v>0</v>
      </c>
      <c r="N10" s="146">
        <v>0</v>
      </c>
      <c r="O10" s="148"/>
      <c r="P10" s="148"/>
      <c r="Q10" s="148"/>
      <c r="R10" s="148"/>
      <c r="S10" s="149" t="s">
        <v>134</v>
      </c>
      <c r="T10" s="150"/>
      <c r="U10" s="151"/>
      <c r="V10" s="152">
        <v>55.383000000000003</v>
      </c>
      <c r="W10" s="153" t="s">
        <v>574</v>
      </c>
      <c r="X10" s="152">
        <v>592.31200000000001</v>
      </c>
      <c r="Y10" s="147">
        <v>296.15600000000001</v>
      </c>
      <c r="Z10" s="143">
        <v>135</v>
      </c>
      <c r="AA10" s="144">
        <v>161</v>
      </c>
      <c r="AB10" s="154">
        <v>296</v>
      </c>
      <c r="AC10" s="143">
        <v>137</v>
      </c>
      <c r="AD10" s="144">
        <v>160</v>
      </c>
      <c r="AE10" s="154">
        <v>297</v>
      </c>
      <c r="AF10" s="155" t="s">
        <v>575</v>
      </c>
      <c r="AG10" s="156" t="s">
        <v>576</v>
      </c>
      <c r="AH10" s="157">
        <v>289518.57199999999</v>
      </c>
      <c r="AI10" s="157">
        <v>2864336.1290000002</v>
      </c>
      <c r="AJ10" s="158"/>
      <c r="AK10" s="159" t="s">
        <v>577</v>
      </c>
      <c r="AL10" s="160"/>
      <c r="AM10" s="161"/>
    </row>
    <row r="11" spans="1:39" ht="15.75">
      <c r="A11" s="162"/>
      <c r="B11" s="163" t="s">
        <v>134</v>
      </c>
      <c r="C11" s="163"/>
      <c r="D11" s="163"/>
      <c r="E11" s="164"/>
      <c r="F11" s="165">
        <v>314.77300000000002</v>
      </c>
      <c r="G11" s="166"/>
      <c r="H11" s="162" t="s">
        <v>134</v>
      </c>
      <c r="I11" s="163"/>
      <c r="J11" s="163"/>
      <c r="K11" s="163"/>
      <c r="L11" s="165">
        <v>314.77300000000002</v>
      </c>
      <c r="M11" s="163"/>
      <c r="N11" s="163"/>
      <c r="O11" s="167"/>
      <c r="P11" s="167"/>
      <c r="Q11" s="167"/>
      <c r="R11" s="167"/>
      <c r="S11" s="168"/>
      <c r="T11" s="169"/>
      <c r="U11" s="170"/>
      <c r="V11" s="171"/>
      <c r="W11" s="166"/>
      <c r="X11" s="171"/>
      <c r="Y11" s="172"/>
      <c r="Z11" s="162"/>
      <c r="AA11" s="163"/>
      <c r="AB11" s="166"/>
      <c r="AC11" s="162"/>
      <c r="AD11" s="163"/>
      <c r="AE11" s="166"/>
      <c r="AF11" s="173"/>
      <c r="AG11" s="174"/>
      <c r="AH11" s="175"/>
      <c r="AI11" s="175"/>
      <c r="AJ11" s="176" t="s">
        <v>578</v>
      </c>
      <c r="AK11" s="177"/>
      <c r="AL11" s="160"/>
      <c r="AM11" s="161"/>
    </row>
    <row r="12" spans="1:39" ht="15.75">
      <c r="A12" s="178">
        <v>2</v>
      </c>
      <c r="B12" s="179" t="s">
        <v>180</v>
      </c>
      <c r="C12" s="179" t="s">
        <v>181</v>
      </c>
      <c r="D12" s="179" t="s">
        <v>573</v>
      </c>
      <c r="E12" s="180" t="s">
        <v>134</v>
      </c>
      <c r="F12" s="181"/>
      <c r="G12" s="182">
        <f t="shared" ref="G12" si="0">G10+F11</f>
        <v>314.77300000000002</v>
      </c>
      <c r="H12" s="178" t="s">
        <v>180</v>
      </c>
      <c r="I12" s="179" t="s">
        <v>181</v>
      </c>
      <c r="J12" s="179" t="s">
        <v>573</v>
      </c>
      <c r="K12" s="179">
        <v>38.33</v>
      </c>
      <c r="L12" s="181"/>
      <c r="M12" s="181">
        <f t="shared" ref="M12" si="1">M10+L11</f>
        <v>314.77300000000002</v>
      </c>
      <c r="N12" s="181">
        <f>SUM(L10:L11)</f>
        <v>314.77300000000002</v>
      </c>
      <c r="O12" s="183"/>
      <c r="P12" s="183"/>
      <c r="Q12" s="183"/>
      <c r="R12" s="183"/>
      <c r="S12" s="184" t="s">
        <v>134</v>
      </c>
      <c r="T12" s="185"/>
      <c r="U12" s="186"/>
      <c r="V12" s="187">
        <v>54.869</v>
      </c>
      <c r="W12" s="188" t="s">
        <v>579</v>
      </c>
      <c r="X12" s="187">
        <v>567.77300000000002</v>
      </c>
      <c r="Y12" s="182">
        <v>283.88650000000001</v>
      </c>
      <c r="Z12" s="178">
        <v>154</v>
      </c>
      <c r="AA12" s="179">
        <v>97</v>
      </c>
      <c r="AB12" s="188">
        <v>251</v>
      </c>
      <c r="AC12" s="178">
        <v>155</v>
      </c>
      <c r="AD12" s="179">
        <v>109</v>
      </c>
      <c r="AE12" s="188">
        <v>264</v>
      </c>
      <c r="AF12" s="189" t="s">
        <v>580</v>
      </c>
      <c r="AG12" s="190" t="s">
        <v>581</v>
      </c>
      <c r="AH12" s="191">
        <v>289225.28899999999</v>
      </c>
      <c r="AI12" s="191">
        <v>2864221.818</v>
      </c>
      <c r="AJ12" s="192"/>
      <c r="AK12" s="193" t="s">
        <v>577</v>
      </c>
      <c r="AL12" s="160"/>
      <c r="AM12" s="161"/>
    </row>
    <row r="13" spans="1:39" ht="15.75">
      <c r="A13" s="162"/>
      <c r="B13" s="163" t="s">
        <v>134</v>
      </c>
      <c r="C13" s="163"/>
      <c r="D13" s="163"/>
      <c r="E13" s="164"/>
      <c r="F13" s="165">
        <v>253</v>
      </c>
      <c r="G13" s="166"/>
      <c r="H13" s="162" t="s">
        <v>134</v>
      </c>
      <c r="I13" s="163"/>
      <c r="J13" s="163"/>
      <c r="K13" s="163"/>
      <c r="L13" s="165">
        <v>253</v>
      </c>
      <c r="M13" s="163"/>
      <c r="N13" s="163"/>
      <c r="O13" s="167"/>
      <c r="P13" s="167"/>
      <c r="Q13" s="167"/>
      <c r="R13" s="167"/>
      <c r="S13" s="168"/>
      <c r="T13" s="169"/>
      <c r="U13" s="170"/>
      <c r="V13" s="171"/>
      <c r="W13" s="166"/>
      <c r="X13" s="171"/>
      <c r="Y13" s="172"/>
      <c r="Z13" s="162"/>
      <c r="AA13" s="163"/>
      <c r="AB13" s="166"/>
      <c r="AC13" s="162"/>
      <c r="AD13" s="163"/>
      <c r="AE13" s="166"/>
      <c r="AF13" s="173"/>
      <c r="AG13" s="174"/>
      <c r="AH13" s="175"/>
      <c r="AI13" s="175"/>
      <c r="AJ13" s="176" t="s">
        <v>313</v>
      </c>
      <c r="AK13" s="177"/>
      <c r="AL13" s="160"/>
      <c r="AM13" s="161"/>
    </row>
    <row r="14" spans="1:39" ht="15.75">
      <c r="A14" s="162">
        <v>3</v>
      </c>
      <c r="B14" s="163" t="s">
        <v>134</v>
      </c>
      <c r="C14" s="163" t="s">
        <v>186</v>
      </c>
      <c r="D14" s="163" t="s">
        <v>582</v>
      </c>
      <c r="E14" s="164" t="s">
        <v>134</v>
      </c>
      <c r="F14" s="165"/>
      <c r="G14" s="172">
        <f t="shared" ref="G14" si="2">G12+F13</f>
        <v>567.77300000000002</v>
      </c>
      <c r="H14" s="162" t="s">
        <v>134</v>
      </c>
      <c r="I14" s="163" t="s">
        <v>186</v>
      </c>
      <c r="J14" s="163" t="s">
        <v>582</v>
      </c>
      <c r="K14" s="163">
        <v>40.53</v>
      </c>
      <c r="L14" s="165"/>
      <c r="M14" s="165">
        <f t="shared" ref="M14" si="3">M12+L13</f>
        <v>567.77300000000002</v>
      </c>
      <c r="N14" s="163" t="s">
        <v>134</v>
      </c>
      <c r="O14" s="167"/>
      <c r="P14" s="167"/>
      <c r="Q14" s="167"/>
      <c r="R14" s="167"/>
      <c r="S14" s="168" t="s">
        <v>134</v>
      </c>
      <c r="T14" s="169"/>
      <c r="U14" s="170"/>
      <c r="V14" s="171">
        <v>55.082000000000001</v>
      </c>
      <c r="W14" s="166" t="s">
        <v>134</v>
      </c>
      <c r="X14" s="171">
        <v>583.79999999999995</v>
      </c>
      <c r="Y14" s="172">
        <v>291.89999999999998</v>
      </c>
      <c r="Z14" s="162">
        <v>156</v>
      </c>
      <c r="AA14" s="163">
        <v>184</v>
      </c>
      <c r="AB14" s="166">
        <v>340</v>
      </c>
      <c r="AC14" s="162">
        <v>145</v>
      </c>
      <c r="AD14" s="163">
        <v>177</v>
      </c>
      <c r="AE14" s="166">
        <v>322</v>
      </c>
      <c r="AF14" s="173" t="s">
        <v>583</v>
      </c>
      <c r="AG14" s="174" t="s">
        <v>584</v>
      </c>
      <c r="AH14" s="175">
        <v>288972.71799999999</v>
      </c>
      <c r="AI14" s="175">
        <v>2864236.5389999999</v>
      </c>
      <c r="AJ14" s="194"/>
      <c r="AK14" s="177" t="s">
        <v>577</v>
      </c>
      <c r="AL14" s="160"/>
      <c r="AM14" s="161"/>
    </row>
    <row r="15" spans="1:39" ht="31.15" customHeight="1">
      <c r="A15" s="162"/>
      <c r="B15" s="163" t="s">
        <v>134</v>
      </c>
      <c r="C15" s="163"/>
      <c r="D15" s="163"/>
      <c r="E15" s="164"/>
      <c r="F15" s="165">
        <v>330.8</v>
      </c>
      <c r="G15" s="166"/>
      <c r="H15" s="162" t="s">
        <v>134</v>
      </c>
      <c r="I15" s="163"/>
      <c r="J15" s="163"/>
      <c r="K15" s="163"/>
      <c r="L15" s="165">
        <v>330.8</v>
      </c>
      <c r="M15" s="163"/>
      <c r="N15" s="163"/>
      <c r="O15" s="167"/>
      <c r="P15" s="167"/>
      <c r="Q15" s="167"/>
      <c r="R15" s="167"/>
      <c r="S15" s="168"/>
      <c r="T15" s="169"/>
      <c r="U15" s="170"/>
      <c r="V15" s="171"/>
      <c r="W15" s="166"/>
      <c r="X15" s="171"/>
      <c r="Y15" s="172"/>
      <c r="Z15" s="162"/>
      <c r="AA15" s="163"/>
      <c r="AB15" s="166"/>
      <c r="AC15" s="162"/>
      <c r="AD15" s="163"/>
      <c r="AE15" s="166"/>
      <c r="AF15" s="173"/>
      <c r="AG15" s="174"/>
      <c r="AH15" s="175"/>
      <c r="AI15" s="175"/>
      <c r="AJ15" s="176" t="s">
        <v>585</v>
      </c>
      <c r="AK15" s="177"/>
      <c r="AL15" s="160"/>
      <c r="AM15" s="161"/>
    </row>
    <row r="16" spans="1:39" ht="15.75">
      <c r="A16" s="178">
        <v>4</v>
      </c>
      <c r="B16" s="179" t="s">
        <v>192</v>
      </c>
      <c r="C16" s="179" t="s">
        <v>64</v>
      </c>
      <c r="D16" s="179" t="s">
        <v>586</v>
      </c>
      <c r="E16" s="180" t="s">
        <v>134</v>
      </c>
      <c r="F16" s="181"/>
      <c r="G16" s="182">
        <f t="shared" ref="G16" si="4">G14+F15</f>
        <v>898.57300000000009</v>
      </c>
      <c r="H16" s="178" t="s">
        <v>192</v>
      </c>
      <c r="I16" s="179" t="s">
        <v>64</v>
      </c>
      <c r="J16" s="179" t="s">
        <v>586</v>
      </c>
      <c r="K16" s="179">
        <v>38.33</v>
      </c>
      <c r="L16" s="181"/>
      <c r="M16" s="181">
        <f t="shared" ref="M16" si="5">M14+L15</f>
        <v>898.57300000000009</v>
      </c>
      <c r="N16" s="181">
        <f>SUM(L12:L15)</f>
        <v>583.79999999999995</v>
      </c>
      <c r="O16" s="183"/>
      <c r="P16" s="183"/>
      <c r="Q16" s="183"/>
      <c r="R16" s="183"/>
      <c r="S16" s="184" t="s">
        <v>134</v>
      </c>
      <c r="T16" s="185"/>
      <c r="U16" s="186"/>
      <c r="V16" s="187">
        <v>55.472000000000001</v>
      </c>
      <c r="W16" s="188" t="s">
        <v>587</v>
      </c>
      <c r="X16" s="187">
        <v>548.79999999999995</v>
      </c>
      <c r="Y16" s="182">
        <v>274.39999999999998</v>
      </c>
      <c r="Z16" s="178">
        <v>147</v>
      </c>
      <c r="AA16" s="179">
        <v>95</v>
      </c>
      <c r="AB16" s="188">
        <v>242</v>
      </c>
      <c r="AC16" s="178">
        <v>154</v>
      </c>
      <c r="AD16" s="179">
        <v>102</v>
      </c>
      <c r="AE16" s="188">
        <v>257</v>
      </c>
      <c r="AF16" s="189" t="s">
        <v>588</v>
      </c>
      <c r="AG16" s="190" t="s">
        <v>589</v>
      </c>
      <c r="AH16" s="191">
        <v>288642.478</v>
      </c>
      <c r="AI16" s="191">
        <v>2864255.7880000002</v>
      </c>
      <c r="AJ16" s="192"/>
      <c r="AK16" s="193" t="s">
        <v>590</v>
      </c>
      <c r="AL16" s="160"/>
      <c r="AM16" s="161"/>
    </row>
    <row r="17" spans="1:39" ht="15.75">
      <c r="A17" s="162"/>
      <c r="B17" s="163" t="s">
        <v>134</v>
      </c>
      <c r="C17" s="163"/>
      <c r="D17" s="163"/>
      <c r="E17" s="164"/>
      <c r="F17" s="165">
        <v>218</v>
      </c>
      <c r="G17" s="166"/>
      <c r="H17" s="162" t="s">
        <v>134</v>
      </c>
      <c r="I17" s="163"/>
      <c r="J17" s="163"/>
      <c r="K17" s="163"/>
      <c r="L17" s="165">
        <v>218</v>
      </c>
      <c r="M17" s="163"/>
      <c r="N17" s="163"/>
      <c r="O17" s="167"/>
      <c r="P17" s="167"/>
      <c r="Q17" s="167"/>
      <c r="R17" s="167"/>
      <c r="S17" s="168"/>
      <c r="T17" s="169"/>
      <c r="U17" s="170"/>
      <c r="V17" s="171"/>
      <c r="W17" s="166"/>
      <c r="X17" s="171"/>
      <c r="Y17" s="172"/>
      <c r="Z17" s="162"/>
      <c r="AA17" s="163"/>
      <c r="AB17" s="166"/>
      <c r="AC17" s="162"/>
      <c r="AD17" s="163"/>
      <c r="AE17" s="166"/>
      <c r="AF17" s="173"/>
      <c r="AG17" s="174"/>
      <c r="AH17" s="175"/>
      <c r="AI17" s="175"/>
      <c r="AJ17" s="176"/>
      <c r="AK17" s="177"/>
      <c r="AL17" s="160"/>
      <c r="AM17" s="161"/>
    </row>
    <row r="18" spans="1:39" ht="15.75">
      <c r="A18" s="162">
        <v>5</v>
      </c>
      <c r="B18" s="163" t="s">
        <v>134</v>
      </c>
      <c r="C18" s="163" t="s">
        <v>198</v>
      </c>
      <c r="D18" s="163" t="s">
        <v>591</v>
      </c>
      <c r="E18" s="164" t="s">
        <v>134</v>
      </c>
      <c r="F18" s="165"/>
      <c r="G18" s="172">
        <f t="shared" ref="G18" si="6">G16+F17</f>
        <v>1116.5730000000001</v>
      </c>
      <c r="H18" s="162" t="s">
        <v>134</v>
      </c>
      <c r="I18" s="163" t="s">
        <v>198</v>
      </c>
      <c r="J18" s="163" t="s">
        <v>591</v>
      </c>
      <c r="K18" s="163">
        <v>37.53</v>
      </c>
      <c r="L18" s="165"/>
      <c r="M18" s="165">
        <f t="shared" ref="M18" si="7">M16+L17</f>
        <v>1116.5730000000001</v>
      </c>
      <c r="N18" s="163" t="s">
        <v>134</v>
      </c>
      <c r="O18" s="167"/>
      <c r="P18" s="167"/>
      <c r="Q18" s="167"/>
      <c r="R18" s="167"/>
      <c r="S18" s="168" t="s">
        <v>134</v>
      </c>
      <c r="T18" s="169"/>
      <c r="U18" s="170"/>
      <c r="V18" s="171">
        <v>56.622</v>
      </c>
      <c r="W18" s="166" t="s">
        <v>134</v>
      </c>
      <c r="X18" s="171">
        <v>438.351</v>
      </c>
      <c r="Y18" s="172">
        <v>219.1755</v>
      </c>
      <c r="Z18" s="162">
        <v>123</v>
      </c>
      <c r="AA18" s="163">
        <v>120</v>
      </c>
      <c r="AB18" s="166">
        <v>243</v>
      </c>
      <c r="AC18" s="162">
        <v>116</v>
      </c>
      <c r="AD18" s="163">
        <v>115</v>
      </c>
      <c r="AE18" s="166">
        <v>231</v>
      </c>
      <c r="AF18" s="173" t="s">
        <v>592</v>
      </c>
      <c r="AG18" s="174" t="s">
        <v>593</v>
      </c>
      <c r="AH18" s="175">
        <v>288466.79800000001</v>
      </c>
      <c r="AI18" s="175">
        <v>2864384.8640000001</v>
      </c>
      <c r="AJ18" s="194"/>
      <c r="AK18" s="177" t="s">
        <v>594</v>
      </c>
      <c r="AL18" s="160"/>
      <c r="AM18" s="161"/>
    </row>
    <row r="19" spans="1:39" ht="15.75">
      <c r="A19" s="162"/>
      <c r="B19" s="163" t="s">
        <v>134</v>
      </c>
      <c r="C19" s="163"/>
      <c r="D19" s="163"/>
      <c r="E19" s="164"/>
      <c r="F19" s="165">
        <v>220.351</v>
      </c>
      <c r="G19" s="166"/>
      <c r="H19" s="162" t="s">
        <v>134</v>
      </c>
      <c r="I19" s="163"/>
      <c r="J19" s="163"/>
      <c r="K19" s="163"/>
      <c r="L19" s="165">
        <v>220.351</v>
      </c>
      <c r="M19" s="163"/>
      <c r="N19" s="163"/>
      <c r="O19" s="167"/>
      <c r="P19" s="167"/>
      <c r="Q19" s="167"/>
      <c r="R19" s="167"/>
      <c r="S19" s="168"/>
      <c r="T19" s="169"/>
      <c r="U19" s="170"/>
      <c r="V19" s="171"/>
      <c r="W19" s="166"/>
      <c r="X19" s="171"/>
      <c r="Y19" s="172"/>
      <c r="Z19" s="162"/>
      <c r="AA19" s="163"/>
      <c r="AB19" s="166"/>
      <c r="AC19" s="162"/>
      <c r="AD19" s="163"/>
      <c r="AE19" s="166"/>
      <c r="AF19" s="173"/>
      <c r="AG19" s="174"/>
      <c r="AH19" s="175"/>
      <c r="AI19" s="175"/>
      <c r="AJ19" s="176"/>
      <c r="AK19" s="177"/>
      <c r="AL19" s="160"/>
      <c r="AM19" s="161"/>
    </row>
    <row r="20" spans="1:39" ht="15.75">
      <c r="A20" s="178">
        <v>6</v>
      </c>
      <c r="B20" s="179" t="s">
        <v>207</v>
      </c>
      <c r="C20" s="179" t="s">
        <v>65</v>
      </c>
      <c r="D20" s="179" t="s">
        <v>573</v>
      </c>
      <c r="E20" s="180" t="s">
        <v>134</v>
      </c>
      <c r="F20" s="181"/>
      <c r="G20" s="182">
        <f t="shared" ref="G20" si="8">G18+F19</f>
        <v>1336.924</v>
      </c>
      <c r="H20" s="178" t="s">
        <v>207</v>
      </c>
      <c r="I20" s="179" t="s">
        <v>65</v>
      </c>
      <c r="J20" s="179" t="s">
        <v>573</v>
      </c>
      <c r="K20" s="179">
        <v>38.33</v>
      </c>
      <c r="L20" s="181"/>
      <c r="M20" s="181">
        <f t="shared" ref="M20" si="9">M18+L19</f>
        <v>1336.924</v>
      </c>
      <c r="N20" s="181">
        <f>SUM(L16:L19)</f>
        <v>438.351</v>
      </c>
      <c r="O20" s="183"/>
      <c r="P20" s="183"/>
      <c r="Q20" s="183"/>
      <c r="R20" s="183"/>
      <c r="S20" s="184" t="s">
        <v>134</v>
      </c>
      <c r="T20" s="185"/>
      <c r="U20" s="186"/>
      <c r="V20" s="187">
        <v>55.875999999999998</v>
      </c>
      <c r="W20" s="188" t="s">
        <v>595</v>
      </c>
      <c r="X20" s="187">
        <v>410.351</v>
      </c>
      <c r="Y20" s="182">
        <v>205.1755</v>
      </c>
      <c r="Z20" s="178">
        <v>101</v>
      </c>
      <c r="AA20" s="179">
        <v>55</v>
      </c>
      <c r="AB20" s="188">
        <v>156</v>
      </c>
      <c r="AC20" s="178">
        <v>106</v>
      </c>
      <c r="AD20" s="179">
        <v>72</v>
      </c>
      <c r="AE20" s="188">
        <v>178</v>
      </c>
      <c r="AF20" s="189" t="s">
        <v>596</v>
      </c>
      <c r="AG20" s="190" t="s">
        <v>597</v>
      </c>
      <c r="AH20" s="191">
        <v>288289.22399999999</v>
      </c>
      <c r="AI20" s="191">
        <v>2864515.3319999999</v>
      </c>
      <c r="AJ20" s="192"/>
      <c r="AK20" s="193" t="s">
        <v>594</v>
      </c>
      <c r="AL20" s="160"/>
      <c r="AM20" s="161"/>
    </row>
    <row r="21" spans="1:39" ht="15.75">
      <c r="A21" s="162"/>
      <c r="B21" s="163" t="s">
        <v>134</v>
      </c>
      <c r="C21" s="163"/>
      <c r="D21" s="163"/>
      <c r="E21" s="164"/>
      <c r="F21" s="165">
        <v>190</v>
      </c>
      <c r="G21" s="166"/>
      <c r="H21" s="162" t="s">
        <v>134</v>
      </c>
      <c r="I21" s="163"/>
      <c r="J21" s="163"/>
      <c r="K21" s="163"/>
      <c r="L21" s="165">
        <v>190</v>
      </c>
      <c r="M21" s="163"/>
      <c r="N21" s="163"/>
      <c r="O21" s="167"/>
      <c r="P21" s="167"/>
      <c r="Q21" s="167"/>
      <c r="R21" s="167"/>
      <c r="S21" s="168"/>
      <c r="T21" s="169"/>
      <c r="U21" s="170"/>
      <c r="V21" s="171"/>
      <c r="W21" s="166"/>
      <c r="X21" s="171"/>
      <c r="Y21" s="172"/>
      <c r="Z21" s="162"/>
      <c r="AA21" s="163"/>
      <c r="AB21" s="166"/>
      <c r="AC21" s="162"/>
      <c r="AD21" s="163"/>
      <c r="AE21" s="166"/>
      <c r="AF21" s="173"/>
      <c r="AG21" s="174"/>
      <c r="AH21" s="175"/>
      <c r="AI21" s="175"/>
      <c r="AJ21" s="176"/>
      <c r="AK21" s="177"/>
      <c r="AL21" s="160"/>
      <c r="AM21" s="161"/>
    </row>
    <row r="22" spans="1:39" ht="61.9" customHeight="1">
      <c r="A22" s="162">
        <v>7</v>
      </c>
      <c r="B22" s="163" t="s">
        <v>134</v>
      </c>
      <c r="C22" s="163" t="s">
        <v>598</v>
      </c>
      <c r="D22" s="163" t="s">
        <v>582</v>
      </c>
      <c r="E22" s="164" t="s">
        <v>134</v>
      </c>
      <c r="F22" s="165"/>
      <c r="G22" s="172">
        <f t="shared" ref="G22" si="10">G20+F21</f>
        <v>1526.924</v>
      </c>
      <c r="H22" s="162" t="s">
        <v>134</v>
      </c>
      <c r="I22" s="163" t="s">
        <v>598</v>
      </c>
      <c r="J22" s="163" t="s">
        <v>582</v>
      </c>
      <c r="K22" s="163">
        <v>40.53</v>
      </c>
      <c r="L22" s="165"/>
      <c r="M22" s="165">
        <f t="shared" ref="M22" si="11">M20+L21</f>
        <v>1526.924</v>
      </c>
      <c r="N22" s="163" t="s">
        <v>134</v>
      </c>
      <c r="O22" s="167"/>
      <c r="P22" s="167"/>
      <c r="Q22" s="167"/>
      <c r="R22" s="167"/>
      <c r="S22" s="168" t="s">
        <v>134</v>
      </c>
      <c r="T22" s="169"/>
      <c r="U22" s="170"/>
      <c r="V22" s="171">
        <v>56.057000000000002</v>
      </c>
      <c r="W22" s="166" t="s">
        <v>134</v>
      </c>
      <c r="X22" s="171">
        <v>450</v>
      </c>
      <c r="Y22" s="172">
        <v>225</v>
      </c>
      <c r="Z22" s="162">
        <v>135</v>
      </c>
      <c r="AA22" s="163">
        <v>100</v>
      </c>
      <c r="AB22" s="166">
        <v>235</v>
      </c>
      <c r="AC22" s="162">
        <v>118</v>
      </c>
      <c r="AD22" s="163">
        <v>113</v>
      </c>
      <c r="AE22" s="166">
        <v>231</v>
      </c>
      <c r="AF22" s="173" t="s">
        <v>599</v>
      </c>
      <c r="AG22" s="174" t="s">
        <v>600</v>
      </c>
      <c r="AH22" s="175">
        <v>288104.125</v>
      </c>
      <c r="AI22" s="175">
        <v>2864558.2080000001</v>
      </c>
      <c r="AJ22" s="195" t="s">
        <v>601</v>
      </c>
      <c r="AK22" s="177" t="s">
        <v>594</v>
      </c>
      <c r="AL22" s="160"/>
      <c r="AM22" s="161"/>
    </row>
    <row r="23" spans="1:39" ht="15.75">
      <c r="A23" s="162"/>
      <c r="B23" s="163" t="s">
        <v>134</v>
      </c>
      <c r="C23" s="163"/>
      <c r="D23" s="163"/>
      <c r="E23" s="164"/>
      <c r="F23" s="165">
        <v>260</v>
      </c>
      <c r="G23" s="166"/>
      <c r="H23" s="162" t="s">
        <v>134</v>
      </c>
      <c r="I23" s="163"/>
      <c r="J23" s="163"/>
      <c r="K23" s="163"/>
      <c r="L23" s="165">
        <v>260</v>
      </c>
      <c r="M23" s="163"/>
      <c r="N23" s="163"/>
      <c r="O23" s="167"/>
      <c r="P23" s="167"/>
      <c r="Q23" s="167"/>
      <c r="R23" s="167"/>
      <c r="S23" s="168"/>
      <c r="T23" s="169"/>
      <c r="U23" s="170"/>
      <c r="V23" s="171"/>
      <c r="W23" s="166"/>
      <c r="X23" s="171"/>
      <c r="Y23" s="172"/>
      <c r="Z23" s="162"/>
      <c r="AA23" s="163"/>
      <c r="AB23" s="166"/>
      <c r="AC23" s="162"/>
      <c r="AD23" s="163"/>
      <c r="AE23" s="166"/>
      <c r="AF23" s="173"/>
      <c r="AG23" s="174"/>
      <c r="AH23" s="175"/>
      <c r="AI23" s="175"/>
      <c r="AJ23" s="176" t="s">
        <v>578</v>
      </c>
      <c r="AK23" s="177"/>
      <c r="AL23" s="160"/>
      <c r="AM23" s="161"/>
    </row>
    <row r="24" spans="1:39" ht="15.75">
      <c r="A24" s="162">
        <v>8</v>
      </c>
      <c r="B24" s="163" t="s">
        <v>134</v>
      </c>
      <c r="C24" s="163" t="s">
        <v>602</v>
      </c>
      <c r="D24" s="163" t="s">
        <v>603</v>
      </c>
      <c r="E24" s="164" t="s">
        <v>134</v>
      </c>
      <c r="F24" s="165"/>
      <c r="G24" s="172">
        <f t="shared" ref="G24" si="12">G22+F23</f>
        <v>1786.924</v>
      </c>
      <c r="H24" s="162" t="s">
        <v>134</v>
      </c>
      <c r="I24" s="163" t="s">
        <v>602</v>
      </c>
      <c r="J24" s="163" t="s">
        <v>603</v>
      </c>
      <c r="K24" s="163">
        <v>43.53</v>
      </c>
      <c r="L24" s="165"/>
      <c r="M24" s="165">
        <f t="shared" ref="M24" si="13">M22+L23</f>
        <v>1786.924</v>
      </c>
      <c r="N24" s="163" t="s">
        <v>134</v>
      </c>
      <c r="O24" s="167"/>
      <c r="P24" s="167"/>
      <c r="Q24" s="167"/>
      <c r="R24" s="167"/>
      <c r="S24" s="168" t="s">
        <v>134</v>
      </c>
      <c r="T24" s="169"/>
      <c r="U24" s="170"/>
      <c r="V24" s="171">
        <v>56.426000000000002</v>
      </c>
      <c r="W24" s="166" t="s">
        <v>134</v>
      </c>
      <c r="X24" s="171">
        <v>583.05200000000002</v>
      </c>
      <c r="Y24" s="172">
        <v>291.52600000000001</v>
      </c>
      <c r="Z24" s="162">
        <v>160</v>
      </c>
      <c r="AA24" s="163">
        <v>170</v>
      </c>
      <c r="AB24" s="166">
        <v>330</v>
      </c>
      <c r="AC24" s="162">
        <v>148</v>
      </c>
      <c r="AD24" s="163">
        <v>167</v>
      </c>
      <c r="AE24" s="166">
        <v>314</v>
      </c>
      <c r="AF24" s="173" t="s">
        <v>604</v>
      </c>
      <c r="AG24" s="174" t="s">
        <v>605</v>
      </c>
      <c r="AH24" s="175">
        <v>287850.83199999999</v>
      </c>
      <c r="AI24" s="175">
        <v>2864616.8810000001</v>
      </c>
      <c r="AJ24" s="176"/>
      <c r="AK24" s="177" t="s">
        <v>590</v>
      </c>
      <c r="AL24" s="160"/>
      <c r="AM24" s="161"/>
    </row>
    <row r="25" spans="1:39" ht="31.15" customHeight="1">
      <c r="A25" s="162"/>
      <c r="B25" s="163" t="s">
        <v>134</v>
      </c>
      <c r="C25" s="163"/>
      <c r="D25" s="163"/>
      <c r="E25" s="164"/>
      <c r="F25" s="165">
        <v>323.05200000000002</v>
      </c>
      <c r="G25" s="166"/>
      <c r="H25" s="162" t="s">
        <v>134</v>
      </c>
      <c r="I25" s="163"/>
      <c r="J25" s="163"/>
      <c r="K25" s="163"/>
      <c r="L25" s="165">
        <v>323.05200000000002</v>
      </c>
      <c r="M25" s="163"/>
      <c r="N25" s="163"/>
      <c r="O25" s="167"/>
      <c r="P25" s="167"/>
      <c r="Q25" s="167"/>
      <c r="R25" s="167"/>
      <c r="S25" s="168"/>
      <c r="T25" s="169"/>
      <c r="U25" s="170"/>
      <c r="V25" s="171"/>
      <c r="W25" s="166"/>
      <c r="X25" s="171"/>
      <c r="Y25" s="172"/>
      <c r="Z25" s="162"/>
      <c r="AA25" s="163"/>
      <c r="AB25" s="166"/>
      <c r="AC25" s="162"/>
      <c r="AD25" s="163"/>
      <c r="AE25" s="166"/>
      <c r="AF25" s="173"/>
      <c r="AG25" s="174"/>
      <c r="AH25" s="175"/>
      <c r="AI25" s="175"/>
      <c r="AJ25" s="176" t="s">
        <v>606</v>
      </c>
      <c r="AK25" s="177"/>
      <c r="AL25" s="160"/>
      <c r="AM25" s="161"/>
    </row>
    <row r="26" spans="1:39" ht="15.75">
      <c r="A26" s="178">
        <v>9</v>
      </c>
      <c r="B26" s="179" t="s">
        <v>212</v>
      </c>
      <c r="C26" s="179" t="s">
        <v>213</v>
      </c>
      <c r="D26" s="179" t="s">
        <v>607</v>
      </c>
      <c r="E26" s="180" t="s">
        <v>134</v>
      </c>
      <c r="F26" s="181"/>
      <c r="G26" s="182">
        <f t="shared" ref="G26" si="14">G24+F25</f>
        <v>2109.9760000000001</v>
      </c>
      <c r="H26" s="178" t="s">
        <v>212</v>
      </c>
      <c r="I26" s="179" t="s">
        <v>213</v>
      </c>
      <c r="J26" s="179" t="s">
        <v>607</v>
      </c>
      <c r="K26" s="179">
        <v>44.33</v>
      </c>
      <c r="L26" s="181"/>
      <c r="M26" s="181">
        <f t="shared" ref="M26" si="15">M24+L25</f>
        <v>2109.9760000000001</v>
      </c>
      <c r="N26" s="181">
        <f>SUM(L20:L25)</f>
        <v>773.05200000000002</v>
      </c>
      <c r="O26" s="183"/>
      <c r="P26" s="183"/>
      <c r="Q26" s="183"/>
      <c r="R26" s="183"/>
      <c r="S26" s="184" t="s">
        <v>134</v>
      </c>
      <c r="T26" s="185"/>
      <c r="U26" s="186"/>
      <c r="V26" s="187">
        <v>55.334000000000003</v>
      </c>
      <c r="W26" s="188" t="s">
        <v>608</v>
      </c>
      <c r="X26" s="187">
        <v>569.07500000000005</v>
      </c>
      <c r="Y26" s="182">
        <v>284.53750000000002</v>
      </c>
      <c r="Z26" s="178">
        <v>153</v>
      </c>
      <c r="AA26" s="179">
        <v>189</v>
      </c>
      <c r="AB26" s="188">
        <v>342</v>
      </c>
      <c r="AC26" s="178">
        <v>157</v>
      </c>
      <c r="AD26" s="179">
        <v>159</v>
      </c>
      <c r="AE26" s="188">
        <v>316</v>
      </c>
      <c r="AF26" s="189" t="s">
        <v>609</v>
      </c>
      <c r="AG26" s="190" t="s">
        <v>610</v>
      </c>
      <c r="AH26" s="191">
        <v>287536.11300000001</v>
      </c>
      <c r="AI26" s="191">
        <v>2864689.7829999998</v>
      </c>
      <c r="AJ26" s="192"/>
      <c r="AK26" s="193" t="s">
        <v>590</v>
      </c>
      <c r="AL26" s="160"/>
      <c r="AM26" s="161"/>
    </row>
    <row r="27" spans="1:39" ht="15.75">
      <c r="A27" s="162"/>
      <c r="B27" s="163" t="s">
        <v>134</v>
      </c>
      <c r="C27" s="163"/>
      <c r="D27" s="163"/>
      <c r="E27" s="164"/>
      <c r="F27" s="165">
        <v>246.023</v>
      </c>
      <c r="G27" s="166"/>
      <c r="H27" s="162" t="s">
        <v>134</v>
      </c>
      <c r="I27" s="163"/>
      <c r="J27" s="163"/>
      <c r="K27" s="163"/>
      <c r="L27" s="165">
        <v>246.023</v>
      </c>
      <c r="M27" s="163"/>
      <c r="N27" s="163"/>
      <c r="O27" s="167"/>
      <c r="P27" s="167"/>
      <c r="Q27" s="167"/>
      <c r="R27" s="167"/>
      <c r="S27" s="168"/>
      <c r="T27" s="169"/>
      <c r="U27" s="170"/>
      <c r="V27" s="171"/>
      <c r="W27" s="166"/>
      <c r="X27" s="171"/>
      <c r="Y27" s="172"/>
      <c r="Z27" s="162"/>
      <c r="AA27" s="163"/>
      <c r="AB27" s="166"/>
      <c r="AC27" s="162"/>
      <c r="AD27" s="163"/>
      <c r="AE27" s="166"/>
      <c r="AF27" s="173"/>
      <c r="AG27" s="174"/>
      <c r="AH27" s="175"/>
      <c r="AI27" s="175"/>
      <c r="AJ27" s="176" t="s">
        <v>217</v>
      </c>
      <c r="AK27" s="177"/>
      <c r="AL27" s="160"/>
      <c r="AM27" s="161"/>
    </row>
    <row r="28" spans="1:39" ht="15.75">
      <c r="A28" s="178">
        <v>10</v>
      </c>
      <c r="B28" s="179" t="s">
        <v>218</v>
      </c>
      <c r="C28" s="179" t="s">
        <v>66</v>
      </c>
      <c r="D28" s="179" t="s">
        <v>586</v>
      </c>
      <c r="E28" s="180" t="s">
        <v>134</v>
      </c>
      <c r="F28" s="181"/>
      <c r="G28" s="182">
        <f t="shared" ref="G28" si="16">G26+F27</f>
        <v>2355.9990000000003</v>
      </c>
      <c r="H28" s="178" t="s">
        <v>218</v>
      </c>
      <c r="I28" s="179" t="s">
        <v>66</v>
      </c>
      <c r="J28" s="179" t="s">
        <v>586</v>
      </c>
      <c r="K28" s="179">
        <v>38.33</v>
      </c>
      <c r="L28" s="181"/>
      <c r="M28" s="181">
        <f t="shared" ref="M28" si="17">M26+L27</f>
        <v>2355.9990000000003</v>
      </c>
      <c r="N28" s="181">
        <f>SUM(L26:L27)</f>
        <v>246.023</v>
      </c>
      <c r="O28" s="183"/>
      <c r="P28" s="183"/>
      <c r="Q28" s="183"/>
      <c r="R28" s="183"/>
      <c r="S28" s="184" t="s">
        <v>134</v>
      </c>
      <c r="T28" s="185"/>
      <c r="U28" s="186"/>
      <c r="V28" s="187">
        <v>54.551000000000002</v>
      </c>
      <c r="W28" s="188" t="s">
        <v>611</v>
      </c>
      <c r="X28" s="187">
        <v>501.02300000000002</v>
      </c>
      <c r="Y28" s="182">
        <v>250.51150000000001</v>
      </c>
      <c r="Z28" s="178">
        <v>57</v>
      </c>
      <c r="AA28" s="179">
        <v>102</v>
      </c>
      <c r="AB28" s="188">
        <v>159</v>
      </c>
      <c r="AC28" s="178">
        <v>88</v>
      </c>
      <c r="AD28" s="179">
        <v>114</v>
      </c>
      <c r="AE28" s="188">
        <v>202</v>
      </c>
      <c r="AF28" s="189" t="s">
        <v>612</v>
      </c>
      <c r="AG28" s="190" t="s">
        <v>613</v>
      </c>
      <c r="AH28" s="191">
        <v>287352.28399999999</v>
      </c>
      <c r="AI28" s="191">
        <v>2864853.2889999999</v>
      </c>
      <c r="AJ28" s="192"/>
      <c r="AK28" s="193" t="s">
        <v>614</v>
      </c>
      <c r="AL28" s="160"/>
      <c r="AM28" s="161"/>
    </row>
    <row r="29" spans="1:39" ht="15.75">
      <c r="A29" s="162"/>
      <c r="B29" s="163" t="s">
        <v>134</v>
      </c>
      <c r="C29" s="163"/>
      <c r="D29" s="163"/>
      <c r="E29" s="164"/>
      <c r="F29" s="165">
        <v>255</v>
      </c>
      <c r="G29" s="166"/>
      <c r="H29" s="162" t="s">
        <v>134</v>
      </c>
      <c r="I29" s="163"/>
      <c r="J29" s="163"/>
      <c r="K29" s="163"/>
      <c r="L29" s="165">
        <v>255</v>
      </c>
      <c r="M29" s="163"/>
      <c r="N29" s="163"/>
      <c r="O29" s="167"/>
      <c r="P29" s="167"/>
      <c r="Q29" s="167"/>
      <c r="R29" s="167"/>
      <c r="S29" s="168"/>
      <c r="T29" s="169"/>
      <c r="U29" s="170"/>
      <c r="V29" s="171"/>
      <c r="W29" s="166"/>
      <c r="X29" s="171"/>
      <c r="Y29" s="172"/>
      <c r="Z29" s="162"/>
      <c r="AA29" s="163"/>
      <c r="AB29" s="166"/>
      <c r="AC29" s="162"/>
      <c r="AD29" s="163"/>
      <c r="AE29" s="166"/>
      <c r="AF29" s="173"/>
      <c r="AG29" s="174"/>
      <c r="AH29" s="175"/>
      <c r="AI29" s="175"/>
      <c r="AJ29" s="176" t="s">
        <v>615</v>
      </c>
      <c r="AK29" s="177"/>
      <c r="AL29" s="160"/>
      <c r="AM29" s="161"/>
    </row>
    <row r="30" spans="1:39" ht="65.45" customHeight="1">
      <c r="A30" s="162">
        <v>11</v>
      </c>
      <c r="B30" s="163" t="s">
        <v>134</v>
      </c>
      <c r="C30" s="163" t="s">
        <v>616</v>
      </c>
      <c r="D30" s="163" t="s">
        <v>582</v>
      </c>
      <c r="E30" s="164" t="s">
        <v>134</v>
      </c>
      <c r="F30" s="165"/>
      <c r="G30" s="172">
        <f t="shared" ref="G30" si="18">G28+F29</f>
        <v>2610.9990000000003</v>
      </c>
      <c r="H30" s="162" t="s">
        <v>134</v>
      </c>
      <c r="I30" s="163" t="s">
        <v>616</v>
      </c>
      <c r="J30" s="163" t="s">
        <v>582</v>
      </c>
      <c r="K30" s="163">
        <v>40.53</v>
      </c>
      <c r="L30" s="165"/>
      <c r="M30" s="165">
        <f t="shared" ref="M30" si="19">M28+L29</f>
        <v>2610.9990000000003</v>
      </c>
      <c r="N30" s="163" t="s">
        <v>134</v>
      </c>
      <c r="O30" s="167"/>
      <c r="P30" s="167"/>
      <c r="Q30" s="167"/>
      <c r="R30" s="167"/>
      <c r="S30" s="168" t="s">
        <v>134</v>
      </c>
      <c r="T30" s="169"/>
      <c r="U30" s="170"/>
      <c r="V30" s="171">
        <v>54.201000000000001</v>
      </c>
      <c r="W30" s="166" t="s">
        <v>134</v>
      </c>
      <c r="X30" s="171">
        <v>407</v>
      </c>
      <c r="Y30" s="172">
        <v>203.5</v>
      </c>
      <c r="Z30" s="162">
        <v>153</v>
      </c>
      <c r="AA30" s="163">
        <v>70</v>
      </c>
      <c r="AB30" s="166">
        <v>223</v>
      </c>
      <c r="AC30" s="162">
        <v>142</v>
      </c>
      <c r="AD30" s="163">
        <v>73</v>
      </c>
      <c r="AE30" s="166">
        <v>215</v>
      </c>
      <c r="AF30" s="173" t="s">
        <v>617</v>
      </c>
      <c r="AG30" s="174" t="s">
        <v>618</v>
      </c>
      <c r="AH30" s="175">
        <v>287281.05800000002</v>
      </c>
      <c r="AI30" s="175">
        <v>2865098.14</v>
      </c>
      <c r="AJ30" s="195" t="s">
        <v>601</v>
      </c>
      <c r="AK30" s="177" t="s">
        <v>619</v>
      </c>
      <c r="AL30" s="160"/>
      <c r="AM30" s="161"/>
    </row>
    <row r="31" spans="1:39" ht="15.75">
      <c r="A31" s="162"/>
      <c r="B31" s="163" t="s">
        <v>134</v>
      </c>
      <c r="C31" s="163"/>
      <c r="D31" s="163"/>
      <c r="E31" s="164"/>
      <c r="F31" s="165">
        <v>152</v>
      </c>
      <c r="G31" s="166"/>
      <c r="H31" s="162" t="s">
        <v>134</v>
      </c>
      <c r="I31" s="163"/>
      <c r="J31" s="163"/>
      <c r="K31" s="163"/>
      <c r="L31" s="165">
        <v>152</v>
      </c>
      <c r="M31" s="163"/>
      <c r="N31" s="163"/>
      <c r="O31" s="167"/>
      <c r="P31" s="167"/>
      <c r="Q31" s="167"/>
      <c r="R31" s="167"/>
      <c r="S31" s="168"/>
      <c r="T31" s="169"/>
      <c r="U31" s="170"/>
      <c r="V31" s="171"/>
      <c r="W31" s="166"/>
      <c r="X31" s="171"/>
      <c r="Y31" s="172"/>
      <c r="Z31" s="162"/>
      <c r="AA31" s="163"/>
      <c r="AB31" s="166"/>
      <c r="AC31" s="162"/>
      <c r="AD31" s="163"/>
      <c r="AE31" s="166"/>
      <c r="AF31" s="173"/>
      <c r="AG31" s="174"/>
      <c r="AH31" s="175"/>
      <c r="AI31" s="175"/>
      <c r="AJ31" s="176" t="s">
        <v>620</v>
      </c>
      <c r="AK31" s="177"/>
      <c r="AL31" s="160"/>
      <c r="AM31" s="161"/>
    </row>
    <row r="32" spans="1:39" ht="62.45" customHeight="1">
      <c r="A32" s="162">
        <v>12</v>
      </c>
      <c r="B32" s="163" t="s">
        <v>134</v>
      </c>
      <c r="C32" s="163" t="s">
        <v>621</v>
      </c>
      <c r="D32" s="163" t="s">
        <v>582</v>
      </c>
      <c r="E32" s="164" t="s">
        <v>134</v>
      </c>
      <c r="F32" s="165"/>
      <c r="G32" s="172">
        <f t="shared" ref="G32" si="20">G30+F31</f>
        <v>2762.9990000000003</v>
      </c>
      <c r="H32" s="162" t="s">
        <v>134</v>
      </c>
      <c r="I32" s="163" t="s">
        <v>621</v>
      </c>
      <c r="J32" s="163" t="s">
        <v>582</v>
      </c>
      <c r="K32" s="163">
        <v>40.53</v>
      </c>
      <c r="L32" s="165"/>
      <c r="M32" s="165">
        <f t="shared" ref="M32" si="21">M30+L31</f>
        <v>2762.9990000000003</v>
      </c>
      <c r="N32" s="163" t="s">
        <v>134</v>
      </c>
      <c r="O32" s="167"/>
      <c r="P32" s="167"/>
      <c r="Q32" s="167"/>
      <c r="R32" s="167"/>
      <c r="S32" s="168" t="s">
        <v>134</v>
      </c>
      <c r="T32" s="169"/>
      <c r="U32" s="170"/>
      <c r="V32" s="171">
        <v>54.569000000000003</v>
      </c>
      <c r="W32" s="166" t="s">
        <v>134</v>
      </c>
      <c r="X32" s="171">
        <v>446.49799999999999</v>
      </c>
      <c r="Y32" s="172">
        <v>223.249</v>
      </c>
      <c r="Z32" s="162">
        <v>82</v>
      </c>
      <c r="AA32" s="163">
        <v>172</v>
      </c>
      <c r="AB32" s="166">
        <v>253</v>
      </c>
      <c r="AC32" s="162">
        <v>79</v>
      </c>
      <c r="AD32" s="163">
        <v>161</v>
      </c>
      <c r="AE32" s="166">
        <v>240</v>
      </c>
      <c r="AF32" s="173" t="s">
        <v>622</v>
      </c>
      <c r="AG32" s="174" t="s">
        <v>623</v>
      </c>
      <c r="AH32" s="175">
        <v>287238.60100000002</v>
      </c>
      <c r="AI32" s="175">
        <v>2865244.0890000002</v>
      </c>
      <c r="AJ32" s="195" t="s">
        <v>601</v>
      </c>
      <c r="AK32" s="177" t="s">
        <v>619</v>
      </c>
      <c r="AL32" s="160"/>
      <c r="AM32" s="161"/>
    </row>
    <row r="33" spans="1:39" ht="30" customHeight="1">
      <c r="A33" s="162"/>
      <c r="B33" s="163" t="s">
        <v>134</v>
      </c>
      <c r="C33" s="163"/>
      <c r="D33" s="163"/>
      <c r="E33" s="164"/>
      <c r="F33" s="165">
        <v>294.49799999999999</v>
      </c>
      <c r="G33" s="166"/>
      <c r="H33" s="162" t="s">
        <v>134</v>
      </c>
      <c r="I33" s="163"/>
      <c r="J33" s="163"/>
      <c r="K33" s="163"/>
      <c r="L33" s="165">
        <v>294.49799999999999</v>
      </c>
      <c r="M33" s="163"/>
      <c r="N33" s="163"/>
      <c r="O33" s="167"/>
      <c r="P33" s="167"/>
      <c r="Q33" s="167"/>
      <c r="R33" s="167"/>
      <c r="S33" s="168"/>
      <c r="T33" s="169"/>
      <c r="U33" s="170"/>
      <c r="V33" s="171"/>
      <c r="W33" s="166"/>
      <c r="X33" s="171"/>
      <c r="Y33" s="172"/>
      <c r="Z33" s="162"/>
      <c r="AA33" s="163"/>
      <c r="AB33" s="166"/>
      <c r="AC33" s="162"/>
      <c r="AD33" s="163"/>
      <c r="AE33" s="166"/>
      <c r="AF33" s="173"/>
      <c r="AG33" s="174"/>
      <c r="AH33" s="175"/>
      <c r="AI33" s="175"/>
      <c r="AJ33" s="176" t="s">
        <v>624</v>
      </c>
      <c r="AK33" s="177"/>
      <c r="AL33" s="160"/>
      <c r="AM33" s="161"/>
    </row>
    <row r="34" spans="1:39" ht="15.75">
      <c r="A34" s="178">
        <v>13</v>
      </c>
      <c r="B34" s="179" t="s">
        <v>223</v>
      </c>
      <c r="C34" s="179" t="s">
        <v>224</v>
      </c>
      <c r="D34" s="179" t="s">
        <v>573</v>
      </c>
      <c r="E34" s="180" t="s">
        <v>134</v>
      </c>
      <c r="F34" s="181"/>
      <c r="G34" s="182">
        <f t="shared" ref="G34" si="22">G32+F33</f>
        <v>3057.4970000000003</v>
      </c>
      <c r="H34" s="178" t="s">
        <v>223</v>
      </c>
      <c r="I34" s="179" t="s">
        <v>224</v>
      </c>
      <c r="J34" s="179" t="s">
        <v>573</v>
      </c>
      <c r="K34" s="179">
        <v>38.33</v>
      </c>
      <c r="L34" s="181"/>
      <c r="M34" s="181">
        <f t="shared" ref="M34" si="23">M32+L33</f>
        <v>3057.4970000000003</v>
      </c>
      <c r="N34" s="181">
        <f>SUM(L28:L33)</f>
        <v>701.49800000000005</v>
      </c>
      <c r="O34" s="183"/>
      <c r="P34" s="183"/>
      <c r="Q34" s="183"/>
      <c r="R34" s="183"/>
      <c r="S34" s="184" t="s">
        <v>134</v>
      </c>
      <c r="T34" s="185"/>
      <c r="U34" s="186"/>
      <c r="V34" s="187">
        <v>54.658999999999999</v>
      </c>
      <c r="W34" s="188" t="s">
        <v>625</v>
      </c>
      <c r="X34" s="187">
        <v>563.49800000000005</v>
      </c>
      <c r="Y34" s="182">
        <v>281.74900000000002</v>
      </c>
      <c r="Z34" s="178">
        <v>123</v>
      </c>
      <c r="AA34" s="179">
        <v>110</v>
      </c>
      <c r="AB34" s="188">
        <v>233</v>
      </c>
      <c r="AC34" s="178">
        <v>134</v>
      </c>
      <c r="AD34" s="179">
        <v>120</v>
      </c>
      <c r="AE34" s="188">
        <v>254</v>
      </c>
      <c r="AF34" s="189" t="s">
        <v>626</v>
      </c>
      <c r="AG34" s="190" t="s">
        <v>627</v>
      </c>
      <c r="AH34" s="191">
        <v>287156.342</v>
      </c>
      <c r="AI34" s="191">
        <v>2865526.8659999999</v>
      </c>
      <c r="AJ34" s="192"/>
      <c r="AK34" s="193" t="s">
        <v>628</v>
      </c>
      <c r="AL34" s="160"/>
      <c r="AM34" s="161"/>
    </row>
    <row r="35" spans="1:39" ht="15.75">
      <c r="A35" s="162"/>
      <c r="B35" s="163" t="s">
        <v>134</v>
      </c>
      <c r="C35" s="163"/>
      <c r="D35" s="163"/>
      <c r="E35" s="164"/>
      <c r="F35" s="165">
        <v>269</v>
      </c>
      <c r="G35" s="166"/>
      <c r="H35" s="162" t="s">
        <v>134</v>
      </c>
      <c r="I35" s="163"/>
      <c r="J35" s="163"/>
      <c r="K35" s="163"/>
      <c r="L35" s="165">
        <v>269</v>
      </c>
      <c r="M35" s="163"/>
      <c r="N35" s="163"/>
      <c r="O35" s="167"/>
      <c r="P35" s="167"/>
      <c r="Q35" s="167"/>
      <c r="R35" s="167"/>
      <c r="S35" s="168"/>
      <c r="T35" s="169"/>
      <c r="U35" s="170"/>
      <c r="V35" s="171"/>
      <c r="W35" s="166"/>
      <c r="X35" s="171"/>
      <c r="Y35" s="172"/>
      <c r="Z35" s="162"/>
      <c r="AA35" s="163"/>
      <c r="AB35" s="166"/>
      <c r="AC35" s="162"/>
      <c r="AD35" s="163"/>
      <c r="AE35" s="166"/>
      <c r="AF35" s="173"/>
      <c r="AG35" s="174"/>
      <c r="AH35" s="175"/>
      <c r="AI35" s="175"/>
      <c r="AJ35" s="176" t="s">
        <v>313</v>
      </c>
      <c r="AK35" s="177"/>
      <c r="AL35" s="160"/>
      <c r="AM35" s="161"/>
    </row>
    <row r="36" spans="1:39" ht="15.75">
      <c r="A36" s="162">
        <v>14</v>
      </c>
      <c r="B36" s="163" t="s">
        <v>134</v>
      </c>
      <c r="C36" s="163" t="s">
        <v>230</v>
      </c>
      <c r="D36" s="163" t="s">
        <v>582</v>
      </c>
      <c r="E36" s="164" t="s">
        <v>134</v>
      </c>
      <c r="F36" s="165"/>
      <c r="G36" s="172">
        <f t="shared" ref="G36" si="24">G34+F35</f>
        <v>3326.4970000000003</v>
      </c>
      <c r="H36" s="162" t="s">
        <v>134</v>
      </c>
      <c r="I36" s="163" t="s">
        <v>230</v>
      </c>
      <c r="J36" s="163" t="s">
        <v>582</v>
      </c>
      <c r="K36" s="163">
        <v>40.53</v>
      </c>
      <c r="L36" s="165"/>
      <c r="M36" s="165">
        <f t="shared" ref="M36" si="25">M34+L35</f>
        <v>3326.4970000000003</v>
      </c>
      <c r="N36" s="163" t="s">
        <v>134</v>
      </c>
      <c r="O36" s="167"/>
      <c r="P36" s="167"/>
      <c r="Q36" s="167"/>
      <c r="R36" s="167"/>
      <c r="S36" s="168" t="s">
        <v>134</v>
      </c>
      <c r="T36" s="169"/>
      <c r="U36" s="170"/>
      <c r="V36" s="171">
        <v>54.457999999999998</v>
      </c>
      <c r="W36" s="166" t="s">
        <v>134</v>
      </c>
      <c r="X36" s="171">
        <v>602</v>
      </c>
      <c r="Y36" s="172">
        <v>301</v>
      </c>
      <c r="Z36" s="162">
        <v>159</v>
      </c>
      <c r="AA36" s="163">
        <v>168</v>
      </c>
      <c r="AB36" s="166">
        <v>327</v>
      </c>
      <c r="AC36" s="162">
        <v>149</v>
      </c>
      <c r="AD36" s="163">
        <v>168</v>
      </c>
      <c r="AE36" s="166">
        <v>317</v>
      </c>
      <c r="AF36" s="173" t="s">
        <v>629</v>
      </c>
      <c r="AG36" s="174" t="s">
        <v>630</v>
      </c>
      <c r="AH36" s="175">
        <v>287184.94500000001</v>
      </c>
      <c r="AI36" s="175">
        <v>2865794.341</v>
      </c>
      <c r="AJ36" s="176"/>
      <c r="AK36" s="177" t="s">
        <v>628</v>
      </c>
      <c r="AL36" s="160"/>
      <c r="AM36" s="161"/>
    </row>
    <row r="37" spans="1:39" ht="15.75">
      <c r="A37" s="162"/>
      <c r="B37" s="163" t="s">
        <v>134</v>
      </c>
      <c r="C37" s="163"/>
      <c r="D37" s="163"/>
      <c r="E37" s="164"/>
      <c r="F37" s="165">
        <v>333</v>
      </c>
      <c r="G37" s="166"/>
      <c r="H37" s="162" t="s">
        <v>134</v>
      </c>
      <c r="I37" s="163"/>
      <c r="J37" s="163"/>
      <c r="K37" s="163"/>
      <c r="L37" s="165">
        <v>333</v>
      </c>
      <c r="M37" s="163"/>
      <c r="N37" s="163"/>
      <c r="O37" s="167"/>
      <c r="P37" s="167"/>
      <c r="Q37" s="167"/>
      <c r="R37" s="167"/>
      <c r="S37" s="168"/>
      <c r="T37" s="169"/>
      <c r="U37" s="170"/>
      <c r="V37" s="171"/>
      <c r="W37" s="166"/>
      <c r="X37" s="171"/>
      <c r="Y37" s="172"/>
      <c r="Z37" s="162"/>
      <c r="AA37" s="163"/>
      <c r="AB37" s="166"/>
      <c r="AC37" s="162"/>
      <c r="AD37" s="163"/>
      <c r="AE37" s="166"/>
      <c r="AF37" s="173"/>
      <c r="AG37" s="174"/>
      <c r="AH37" s="175"/>
      <c r="AI37" s="175"/>
      <c r="AJ37" s="176" t="s">
        <v>578</v>
      </c>
      <c r="AK37" s="177"/>
      <c r="AL37" s="160"/>
      <c r="AM37" s="161"/>
    </row>
    <row r="38" spans="1:39" ht="15.75">
      <c r="A38" s="162">
        <v>15</v>
      </c>
      <c r="B38" s="163" t="s">
        <v>134</v>
      </c>
      <c r="C38" s="163" t="s">
        <v>234</v>
      </c>
      <c r="D38" s="163" t="s">
        <v>582</v>
      </c>
      <c r="E38" s="164" t="s">
        <v>134</v>
      </c>
      <c r="F38" s="165"/>
      <c r="G38" s="172">
        <f t="shared" ref="G38" si="26">G36+F37</f>
        <v>3659.4970000000003</v>
      </c>
      <c r="H38" s="162" t="s">
        <v>134</v>
      </c>
      <c r="I38" s="163" t="s">
        <v>234</v>
      </c>
      <c r="J38" s="163" t="s">
        <v>582</v>
      </c>
      <c r="K38" s="163">
        <v>40.53</v>
      </c>
      <c r="L38" s="165"/>
      <c r="M38" s="165">
        <f t="shared" ref="M38" si="27">M36+L37</f>
        <v>3659.4970000000003</v>
      </c>
      <c r="N38" s="163" t="s">
        <v>134</v>
      </c>
      <c r="O38" s="167"/>
      <c r="P38" s="167"/>
      <c r="Q38" s="167"/>
      <c r="R38" s="167"/>
      <c r="S38" s="168" t="s">
        <v>134</v>
      </c>
      <c r="T38" s="169"/>
      <c r="U38" s="170"/>
      <c r="V38" s="171">
        <v>54.264000000000003</v>
      </c>
      <c r="W38" s="166" t="s">
        <v>134</v>
      </c>
      <c r="X38" s="171">
        <v>590</v>
      </c>
      <c r="Y38" s="172">
        <v>295</v>
      </c>
      <c r="Z38" s="162">
        <v>165</v>
      </c>
      <c r="AA38" s="163">
        <v>147</v>
      </c>
      <c r="AB38" s="166">
        <v>312</v>
      </c>
      <c r="AC38" s="162">
        <v>166</v>
      </c>
      <c r="AD38" s="163">
        <v>140</v>
      </c>
      <c r="AE38" s="166">
        <v>306</v>
      </c>
      <c r="AF38" s="173" t="s">
        <v>631</v>
      </c>
      <c r="AG38" s="174" t="s">
        <v>632</v>
      </c>
      <c r="AH38" s="175">
        <v>287220.353</v>
      </c>
      <c r="AI38" s="175">
        <v>2866125.4530000002</v>
      </c>
      <c r="AJ38" s="176"/>
      <c r="AK38" s="177" t="s">
        <v>628</v>
      </c>
      <c r="AL38" s="160"/>
      <c r="AM38" s="161"/>
    </row>
    <row r="39" spans="1:39" ht="15.75">
      <c r="A39" s="162"/>
      <c r="B39" s="163" t="s">
        <v>134</v>
      </c>
      <c r="C39" s="163"/>
      <c r="D39" s="163"/>
      <c r="E39" s="164"/>
      <c r="F39" s="165">
        <v>257</v>
      </c>
      <c r="G39" s="166"/>
      <c r="H39" s="162" t="s">
        <v>134</v>
      </c>
      <c r="I39" s="163"/>
      <c r="J39" s="163"/>
      <c r="K39" s="163"/>
      <c r="L39" s="165">
        <v>257</v>
      </c>
      <c r="M39" s="163"/>
      <c r="N39" s="163"/>
      <c r="O39" s="167"/>
      <c r="P39" s="167"/>
      <c r="Q39" s="167"/>
      <c r="R39" s="167"/>
      <c r="S39" s="168"/>
      <c r="T39" s="169"/>
      <c r="U39" s="170"/>
      <c r="V39" s="171"/>
      <c r="W39" s="166"/>
      <c r="X39" s="171"/>
      <c r="Y39" s="172"/>
      <c r="Z39" s="162"/>
      <c r="AA39" s="163"/>
      <c r="AB39" s="166"/>
      <c r="AC39" s="162"/>
      <c r="AD39" s="163"/>
      <c r="AE39" s="166"/>
      <c r="AF39" s="173"/>
      <c r="AG39" s="174"/>
      <c r="AH39" s="175"/>
      <c r="AI39" s="175"/>
      <c r="AJ39" s="176" t="s">
        <v>633</v>
      </c>
      <c r="AK39" s="177"/>
      <c r="AL39" s="160"/>
      <c r="AM39" s="161"/>
    </row>
    <row r="40" spans="1:39" ht="15.75">
      <c r="A40" s="162">
        <v>16</v>
      </c>
      <c r="B40" s="163" t="s">
        <v>134</v>
      </c>
      <c r="C40" s="163" t="s">
        <v>239</v>
      </c>
      <c r="D40" s="163" t="s">
        <v>591</v>
      </c>
      <c r="E40" s="164" t="s">
        <v>134</v>
      </c>
      <c r="F40" s="165"/>
      <c r="G40" s="172">
        <f t="shared" ref="G40" si="28">G38+F39</f>
        <v>3916.4970000000003</v>
      </c>
      <c r="H40" s="162" t="s">
        <v>134</v>
      </c>
      <c r="I40" s="163" t="s">
        <v>239</v>
      </c>
      <c r="J40" s="163" t="s">
        <v>591</v>
      </c>
      <c r="K40" s="163">
        <v>37.53</v>
      </c>
      <c r="L40" s="165"/>
      <c r="M40" s="165">
        <f t="shared" ref="M40" si="29">M38+L39</f>
        <v>3916.4970000000003</v>
      </c>
      <c r="N40" s="163" t="s">
        <v>134</v>
      </c>
      <c r="O40" s="167"/>
      <c r="P40" s="167"/>
      <c r="Q40" s="167"/>
      <c r="R40" s="167"/>
      <c r="S40" s="168" t="s">
        <v>134</v>
      </c>
      <c r="T40" s="169"/>
      <c r="U40" s="170"/>
      <c r="V40" s="171">
        <v>55.203000000000003</v>
      </c>
      <c r="W40" s="166" t="s">
        <v>134</v>
      </c>
      <c r="X40" s="171">
        <v>554</v>
      </c>
      <c r="Y40" s="172">
        <v>277</v>
      </c>
      <c r="Z40" s="162">
        <v>110</v>
      </c>
      <c r="AA40" s="163">
        <v>153</v>
      </c>
      <c r="AB40" s="166">
        <v>263</v>
      </c>
      <c r="AC40" s="162">
        <v>118</v>
      </c>
      <c r="AD40" s="163">
        <v>151</v>
      </c>
      <c r="AE40" s="166">
        <v>269</v>
      </c>
      <c r="AF40" s="173" t="s">
        <v>634</v>
      </c>
      <c r="AG40" s="174" t="s">
        <v>635</v>
      </c>
      <c r="AH40" s="175">
        <v>287247.68</v>
      </c>
      <c r="AI40" s="175">
        <v>2866380.9959999998</v>
      </c>
      <c r="AJ40" s="194"/>
      <c r="AK40" s="177" t="s">
        <v>636</v>
      </c>
      <c r="AL40" s="160"/>
      <c r="AM40" s="161"/>
    </row>
    <row r="41" spans="1:39" ht="15.75">
      <c r="A41" s="162"/>
      <c r="B41" s="163" t="s">
        <v>134</v>
      </c>
      <c r="C41" s="163"/>
      <c r="D41" s="163"/>
      <c r="E41" s="164"/>
      <c r="F41" s="165">
        <v>297</v>
      </c>
      <c r="G41" s="166"/>
      <c r="H41" s="162" t="s">
        <v>134</v>
      </c>
      <c r="I41" s="163"/>
      <c r="J41" s="163"/>
      <c r="K41" s="163"/>
      <c r="L41" s="165">
        <v>297</v>
      </c>
      <c r="M41" s="163"/>
      <c r="N41" s="163"/>
      <c r="O41" s="167"/>
      <c r="P41" s="167"/>
      <c r="Q41" s="167"/>
      <c r="R41" s="167"/>
      <c r="S41" s="168"/>
      <c r="T41" s="169"/>
      <c r="U41" s="170"/>
      <c r="V41" s="171"/>
      <c r="W41" s="166"/>
      <c r="X41" s="171"/>
      <c r="Y41" s="172"/>
      <c r="Z41" s="162"/>
      <c r="AA41" s="163"/>
      <c r="AB41" s="166"/>
      <c r="AC41" s="162"/>
      <c r="AD41" s="163"/>
      <c r="AE41" s="166"/>
      <c r="AF41" s="173"/>
      <c r="AG41" s="174"/>
      <c r="AH41" s="175"/>
      <c r="AI41" s="175"/>
      <c r="AJ41" s="176"/>
      <c r="AK41" s="177"/>
      <c r="AL41" s="160"/>
      <c r="AM41" s="161"/>
    </row>
    <row r="42" spans="1:39" ht="15.75">
      <c r="A42" s="162">
        <v>17</v>
      </c>
      <c r="B42" s="163" t="s">
        <v>134</v>
      </c>
      <c r="C42" s="163" t="s">
        <v>637</v>
      </c>
      <c r="D42" s="163" t="s">
        <v>591</v>
      </c>
      <c r="E42" s="164" t="s">
        <v>134</v>
      </c>
      <c r="F42" s="165"/>
      <c r="G42" s="172">
        <f t="shared" ref="G42" si="30">G40+F41</f>
        <v>4213.4970000000003</v>
      </c>
      <c r="H42" s="162" t="s">
        <v>134</v>
      </c>
      <c r="I42" s="163" t="s">
        <v>637</v>
      </c>
      <c r="J42" s="163" t="s">
        <v>591</v>
      </c>
      <c r="K42" s="163">
        <v>37.53</v>
      </c>
      <c r="L42" s="165"/>
      <c r="M42" s="165">
        <f t="shared" ref="M42" si="31">M40+L41</f>
        <v>4213.4970000000003</v>
      </c>
      <c r="N42" s="163" t="s">
        <v>134</v>
      </c>
      <c r="O42" s="167"/>
      <c r="P42" s="167"/>
      <c r="Q42" s="167"/>
      <c r="R42" s="167"/>
      <c r="S42" s="168" t="s">
        <v>134</v>
      </c>
      <c r="T42" s="169"/>
      <c r="U42" s="170"/>
      <c r="V42" s="171">
        <v>54.618000000000002</v>
      </c>
      <c r="W42" s="166" t="s">
        <v>134</v>
      </c>
      <c r="X42" s="171">
        <v>588.08999999999992</v>
      </c>
      <c r="Y42" s="172">
        <v>294.04499999999996</v>
      </c>
      <c r="Z42" s="162">
        <v>144</v>
      </c>
      <c r="AA42" s="163">
        <v>144</v>
      </c>
      <c r="AB42" s="166">
        <v>288</v>
      </c>
      <c r="AC42" s="162">
        <v>146</v>
      </c>
      <c r="AD42" s="163">
        <v>145</v>
      </c>
      <c r="AE42" s="166">
        <v>291</v>
      </c>
      <c r="AF42" s="173" t="s">
        <v>638</v>
      </c>
      <c r="AG42" s="174" t="s">
        <v>639</v>
      </c>
      <c r="AH42" s="175">
        <v>287279.26</v>
      </c>
      <c r="AI42" s="175">
        <v>2866676.3119999999</v>
      </c>
      <c r="AJ42" s="176"/>
      <c r="AK42" s="177" t="s">
        <v>636</v>
      </c>
      <c r="AL42" s="160"/>
      <c r="AM42" s="161"/>
    </row>
    <row r="43" spans="1:39" ht="15.75">
      <c r="A43" s="162"/>
      <c r="B43" s="163" t="s">
        <v>134</v>
      </c>
      <c r="C43" s="163"/>
      <c r="D43" s="163"/>
      <c r="E43" s="164"/>
      <c r="F43" s="165">
        <v>291.08999999999997</v>
      </c>
      <c r="G43" s="166"/>
      <c r="H43" s="162" t="s">
        <v>134</v>
      </c>
      <c r="I43" s="163"/>
      <c r="J43" s="163"/>
      <c r="K43" s="163"/>
      <c r="L43" s="165">
        <v>291.08999999999997</v>
      </c>
      <c r="M43" s="163"/>
      <c r="N43" s="163"/>
      <c r="O43" s="167"/>
      <c r="P43" s="167"/>
      <c r="Q43" s="167"/>
      <c r="R43" s="167"/>
      <c r="S43" s="168"/>
      <c r="T43" s="169"/>
      <c r="U43" s="170"/>
      <c r="V43" s="171"/>
      <c r="W43" s="166"/>
      <c r="X43" s="171"/>
      <c r="Y43" s="172"/>
      <c r="Z43" s="162"/>
      <c r="AA43" s="163"/>
      <c r="AB43" s="166"/>
      <c r="AC43" s="162"/>
      <c r="AD43" s="163"/>
      <c r="AE43" s="166"/>
      <c r="AF43" s="173"/>
      <c r="AG43" s="174"/>
      <c r="AH43" s="175"/>
      <c r="AI43" s="175"/>
      <c r="AJ43" s="176" t="s">
        <v>578</v>
      </c>
      <c r="AK43" s="177"/>
      <c r="AL43" s="160"/>
      <c r="AM43" s="161"/>
    </row>
    <row r="44" spans="1:39" ht="15.75">
      <c r="A44" s="178">
        <v>18</v>
      </c>
      <c r="B44" s="179" t="s">
        <v>244</v>
      </c>
      <c r="C44" s="179" t="s">
        <v>67</v>
      </c>
      <c r="D44" s="179" t="s">
        <v>586</v>
      </c>
      <c r="E44" s="180" t="s">
        <v>134</v>
      </c>
      <c r="F44" s="181"/>
      <c r="G44" s="182">
        <f t="shared" ref="G44" si="32">G42+F43</f>
        <v>4504.5870000000004</v>
      </c>
      <c r="H44" s="178" t="s">
        <v>244</v>
      </c>
      <c r="I44" s="179" t="s">
        <v>67</v>
      </c>
      <c r="J44" s="179" t="s">
        <v>586</v>
      </c>
      <c r="K44" s="179">
        <v>38.33</v>
      </c>
      <c r="L44" s="181"/>
      <c r="M44" s="181">
        <f t="shared" ref="M44" si="33">M42+L43</f>
        <v>4504.5870000000004</v>
      </c>
      <c r="N44" s="181">
        <f>SUM(L34:L43)</f>
        <v>1447.09</v>
      </c>
      <c r="O44" s="183"/>
      <c r="P44" s="183"/>
      <c r="Q44" s="183"/>
      <c r="R44" s="183"/>
      <c r="S44" s="184" t="s">
        <v>134</v>
      </c>
      <c r="T44" s="185"/>
      <c r="U44" s="186"/>
      <c r="V44" s="187">
        <v>54.902999999999999</v>
      </c>
      <c r="W44" s="188" t="s">
        <v>640</v>
      </c>
      <c r="X44" s="187">
        <v>526.08999999999992</v>
      </c>
      <c r="Y44" s="182">
        <v>263.04499999999996</v>
      </c>
      <c r="Z44" s="178">
        <v>147</v>
      </c>
      <c r="AA44" s="179">
        <v>59</v>
      </c>
      <c r="AB44" s="188">
        <v>206</v>
      </c>
      <c r="AC44" s="178">
        <v>147</v>
      </c>
      <c r="AD44" s="179">
        <v>81</v>
      </c>
      <c r="AE44" s="188">
        <v>227</v>
      </c>
      <c r="AF44" s="189" t="s">
        <v>641</v>
      </c>
      <c r="AG44" s="190" t="s">
        <v>642</v>
      </c>
      <c r="AH44" s="191">
        <v>287310.212</v>
      </c>
      <c r="AI44" s="191">
        <v>2866965.7519999999</v>
      </c>
      <c r="AJ44" s="192"/>
      <c r="AK44" s="193" t="s">
        <v>643</v>
      </c>
      <c r="AL44" s="160"/>
      <c r="AM44" s="161"/>
    </row>
    <row r="45" spans="1:39" ht="15.75">
      <c r="A45" s="162"/>
      <c r="B45" s="163" t="s">
        <v>134</v>
      </c>
      <c r="C45" s="163"/>
      <c r="D45" s="163"/>
      <c r="E45" s="164"/>
      <c r="F45" s="165">
        <v>235</v>
      </c>
      <c r="G45" s="166"/>
      <c r="H45" s="162" t="s">
        <v>134</v>
      </c>
      <c r="I45" s="163"/>
      <c r="J45" s="163"/>
      <c r="K45" s="163"/>
      <c r="L45" s="165">
        <v>235</v>
      </c>
      <c r="M45" s="163"/>
      <c r="N45" s="163"/>
      <c r="O45" s="167"/>
      <c r="P45" s="167"/>
      <c r="Q45" s="167"/>
      <c r="R45" s="167"/>
      <c r="S45" s="168"/>
      <c r="T45" s="169"/>
      <c r="U45" s="170"/>
      <c r="V45" s="171"/>
      <c r="W45" s="166"/>
      <c r="X45" s="171"/>
      <c r="Y45" s="172"/>
      <c r="Z45" s="162"/>
      <c r="AA45" s="163"/>
      <c r="AB45" s="166"/>
      <c r="AC45" s="162"/>
      <c r="AD45" s="163"/>
      <c r="AE45" s="166"/>
      <c r="AF45" s="173"/>
      <c r="AG45" s="174"/>
      <c r="AH45" s="175"/>
      <c r="AI45" s="175"/>
      <c r="AJ45" s="176" t="s">
        <v>644</v>
      </c>
      <c r="AK45" s="177"/>
      <c r="AL45" s="160"/>
      <c r="AM45" s="161"/>
    </row>
    <row r="46" spans="1:39" ht="15.75">
      <c r="A46" s="162">
        <v>19</v>
      </c>
      <c r="B46" s="163" t="s">
        <v>134</v>
      </c>
      <c r="C46" s="163" t="s">
        <v>250</v>
      </c>
      <c r="D46" s="163" t="s">
        <v>603</v>
      </c>
      <c r="E46" s="164" t="s">
        <v>134</v>
      </c>
      <c r="F46" s="165"/>
      <c r="G46" s="172">
        <f t="shared" ref="G46" si="34">G44+F45</f>
        <v>4739.5870000000004</v>
      </c>
      <c r="H46" s="162" t="s">
        <v>134</v>
      </c>
      <c r="I46" s="163" t="s">
        <v>250</v>
      </c>
      <c r="J46" s="163" t="s">
        <v>603</v>
      </c>
      <c r="K46" s="163">
        <v>43.53</v>
      </c>
      <c r="L46" s="165"/>
      <c r="M46" s="165">
        <f t="shared" ref="M46" si="35">M44+L45</f>
        <v>4739.5870000000004</v>
      </c>
      <c r="N46" s="163" t="s">
        <v>134</v>
      </c>
      <c r="O46" s="167"/>
      <c r="P46" s="167"/>
      <c r="Q46" s="167"/>
      <c r="R46" s="167"/>
      <c r="S46" s="168" t="s">
        <v>134</v>
      </c>
      <c r="T46" s="169"/>
      <c r="U46" s="170"/>
      <c r="V46" s="171">
        <v>54.987000000000002</v>
      </c>
      <c r="W46" s="166" t="s">
        <v>134</v>
      </c>
      <c r="X46" s="171">
        <v>593.48900000000003</v>
      </c>
      <c r="Y46" s="172">
        <v>296.74450000000002</v>
      </c>
      <c r="Z46" s="162">
        <v>176</v>
      </c>
      <c r="AA46" s="163">
        <v>108</v>
      </c>
      <c r="AB46" s="166">
        <v>284</v>
      </c>
      <c r="AC46" s="162">
        <v>155</v>
      </c>
      <c r="AD46" s="163">
        <v>135</v>
      </c>
      <c r="AE46" s="166">
        <v>289</v>
      </c>
      <c r="AF46" s="173" t="s">
        <v>645</v>
      </c>
      <c r="AG46" s="174" t="s">
        <v>646</v>
      </c>
      <c r="AH46" s="175">
        <v>287209.08199999999</v>
      </c>
      <c r="AI46" s="175">
        <v>2867177.8790000002</v>
      </c>
      <c r="AJ46" s="176"/>
      <c r="AK46" s="177" t="s">
        <v>643</v>
      </c>
      <c r="AL46" s="160"/>
      <c r="AM46" s="161"/>
    </row>
    <row r="47" spans="1:39" ht="31.9" customHeight="1">
      <c r="A47" s="162"/>
      <c r="B47" s="163" t="s">
        <v>134</v>
      </c>
      <c r="C47" s="163"/>
      <c r="D47" s="163"/>
      <c r="E47" s="164"/>
      <c r="F47" s="165">
        <v>358.48899999999998</v>
      </c>
      <c r="G47" s="166"/>
      <c r="H47" s="162" t="s">
        <v>134</v>
      </c>
      <c r="I47" s="163"/>
      <c r="J47" s="163"/>
      <c r="K47" s="163"/>
      <c r="L47" s="165">
        <v>358.48899999999998</v>
      </c>
      <c r="M47" s="163"/>
      <c r="N47" s="163"/>
      <c r="O47" s="167"/>
      <c r="P47" s="167"/>
      <c r="Q47" s="167"/>
      <c r="R47" s="167"/>
      <c r="S47" s="168"/>
      <c r="T47" s="169"/>
      <c r="U47" s="170"/>
      <c r="V47" s="171"/>
      <c r="W47" s="166"/>
      <c r="X47" s="171"/>
      <c r="Y47" s="172"/>
      <c r="Z47" s="162"/>
      <c r="AA47" s="163"/>
      <c r="AB47" s="166"/>
      <c r="AC47" s="162"/>
      <c r="AD47" s="163"/>
      <c r="AE47" s="166"/>
      <c r="AF47" s="173"/>
      <c r="AG47" s="174"/>
      <c r="AH47" s="175"/>
      <c r="AI47" s="175"/>
      <c r="AJ47" s="176" t="s">
        <v>647</v>
      </c>
      <c r="AK47" s="177"/>
      <c r="AL47" s="160"/>
      <c r="AM47" s="161"/>
    </row>
    <row r="48" spans="1:39" ht="15.75">
      <c r="A48" s="178">
        <v>20</v>
      </c>
      <c r="B48" s="179" t="s">
        <v>256</v>
      </c>
      <c r="C48" s="179" t="s">
        <v>68</v>
      </c>
      <c r="D48" s="179" t="s">
        <v>648</v>
      </c>
      <c r="E48" s="180" t="s">
        <v>134</v>
      </c>
      <c r="F48" s="181"/>
      <c r="G48" s="182">
        <f t="shared" ref="G48" si="36">G46+F47</f>
        <v>5098.076</v>
      </c>
      <c r="H48" s="178" t="s">
        <v>256</v>
      </c>
      <c r="I48" s="179" t="s">
        <v>68</v>
      </c>
      <c r="J48" s="179" t="s">
        <v>648</v>
      </c>
      <c r="K48" s="179">
        <v>56.33</v>
      </c>
      <c r="L48" s="181"/>
      <c r="M48" s="181">
        <f t="shared" ref="M48" si="37">M46+L47</f>
        <v>5098.076</v>
      </c>
      <c r="N48" s="181">
        <f>SUM(L44:L47)</f>
        <v>593.48900000000003</v>
      </c>
      <c r="O48" s="183"/>
      <c r="P48" s="183"/>
      <c r="Q48" s="183"/>
      <c r="R48" s="183"/>
      <c r="S48" s="184" t="s">
        <v>134</v>
      </c>
      <c r="T48" s="185"/>
      <c r="U48" s="186"/>
      <c r="V48" s="187">
        <v>54.600999999999999</v>
      </c>
      <c r="W48" s="188" t="s">
        <v>649</v>
      </c>
      <c r="X48" s="187">
        <v>590.17499999999995</v>
      </c>
      <c r="Y48" s="182">
        <v>295.08749999999998</v>
      </c>
      <c r="Z48" s="178">
        <v>251</v>
      </c>
      <c r="AA48" s="179">
        <v>38</v>
      </c>
      <c r="AB48" s="188">
        <v>289</v>
      </c>
      <c r="AC48" s="178">
        <v>225</v>
      </c>
      <c r="AD48" s="179">
        <v>76</v>
      </c>
      <c r="AE48" s="188">
        <v>302</v>
      </c>
      <c r="AF48" s="189" t="s">
        <v>650</v>
      </c>
      <c r="AG48" s="190" t="s">
        <v>651</v>
      </c>
      <c r="AH48" s="191">
        <v>287054.81099999999</v>
      </c>
      <c r="AI48" s="191">
        <v>2867501.4750000001</v>
      </c>
      <c r="AJ48" s="192"/>
      <c r="AK48" s="193" t="s">
        <v>643</v>
      </c>
      <c r="AL48" s="160"/>
      <c r="AM48" s="161"/>
    </row>
    <row r="49" spans="1:39" ht="36.6" customHeight="1">
      <c r="A49" s="162"/>
      <c r="B49" s="163" t="s">
        <v>134</v>
      </c>
      <c r="C49" s="163"/>
      <c r="D49" s="163"/>
      <c r="E49" s="164"/>
      <c r="F49" s="165">
        <v>231.68600000000001</v>
      </c>
      <c r="G49" s="166"/>
      <c r="H49" s="162" t="s">
        <v>134</v>
      </c>
      <c r="I49" s="163"/>
      <c r="J49" s="163"/>
      <c r="K49" s="163"/>
      <c r="L49" s="165">
        <v>231.68600000000001</v>
      </c>
      <c r="M49" s="163"/>
      <c r="N49" s="163"/>
      <c r="O49" s="167"/>
      <c r="P49" s="167"/>
      <c r="Q49" s="167"/>
      <c r="R49" s="167"/>
      <c r="S49" s="168"/>
      <c r="T49" s="169"/>
      <c r="U49" s="170"/>
      <c r="V49" s="171"/>
      <c r="W49" s="166"/>
      <c r="X49" s="171"/>
      <c r="Y49" s="172"/>
      <c r="Z49" s="162"/>
      <c r="AA49" s="163"/>
      <c r="AB49" s="166"/>
      <c r="AC49" s="162"/>
      <c r="AD49" s="163"/>
      <c r="AE49" s="166"/>
      <c r="AF49" s="173"/>
      <c r="AG49" s="174"/>
      <c r="AH49" s="175"/>
      <c r="AI49" s="175"/>
      <c r="AJ49" s="195" t="s">
        <v>652</v>
      </c>
      <c r="AK49" s="177"/>
      <c r="AL49" s="160"/>
      <c r="AM49" s="161"/>
    </row>
    <row r="50" spans="1:39" ht="24.6" customHeight="1">
      <c r="A50" s="178">
        <v>21</v>
      </c>
      <c r="B50" s="179" t="s">
        <v>263</v>
      </c>
      <c r="C50" s="179" t="s">
        <v>56</v>
      </c>
      <c r="D50" s="179" t="s">
        <v>653</v>
      </c>
      <c r="E50" s="180" t="s">
        <v>134</v>
      </c>
      <c r="F50" s="181"/>
      <c r="G50" s="182">
        <f t="shared" ref="G50" si="38">G48+F49</f>
        <v>5329.7619999999997</v>
      </c>
      <c r="H50" s="178" t="s">
        <v>263</v>
      </c>
      <c r="I50" s="179" t="s">
        <v>56</v>
      </c>
      <c r="J50" s="179" t="s">
        <v>653</v>
      </c>
      <c r="K50" s="179">
        <v>63.33</v>
      </c>
      <c r="L50" s="181"/>
      <c r="M50" s="181">
        <f t="shared" ref="M50" si="39">M48+L49</f>
        <v>5329.7619999999997</v>
      </c>
      <c r="N50" s="181">
        <f>SUM(L48:L49)</f>
        <v>231.68600000000001</v>
      </c>
      <c r="O50" s="183"/>
      <c r="P50" s="183"/>
      <c r="Q50" s="183"/>
      <c r="R50" s="183"/>
      <c r="S50" s="184" t="s">
        <v>134</v>
      </c>
      <c r="T50" s="185"/>
      <c r="U50" s="186"/>
      <c r="V50" s="187">
        <v>54.97</v>
      </c>
      <c r="W50" s="188" t="s">
        <v>654</v>
      </c>
      <c r="X50" s="187">
        <v>441.11500000000001</v>
      </c>
      <c r="Y50" s="182">
        <v>220.5575</v>
      </c>
      <c r="Z50" s="178">
        <v>194</v>
      </c>
      <c r="AA50" s="179">
        <v>273</v>
      </c>
      <c r="AB50" s="188">
        <v>467</v>
      </c>
      <c r="AC50" s="178">
        <v>156</v>
      </c>
      <c r="AD50" s="179">
        <v>184</v>
      </c>
      <c r="AE50" s="188">
        <v>340</v>
      </c>
      <c r="AF50" s="189" t="s">
        <v>655</v>
      </c>
      <c r="AG50" s="190" t="s">
        <v>656</v>
      </c>
      <c r="AH50" s="191">
        <v>286959.446</v>
      </c>
      <c r="AI50" s="191">
        <v>2867712.6239999998</v>
      </c>
      <c r="AJ50" s="192"/>
      <c r="AK50" s="193" t="s">
        <v>643</v>
      </c>
      <c r="AL50" s="160"/>
      <c r="AM50" s="161"/>
    </row>
    <row r="51" spans="1:39" ht="33.6" customHeight="1">
      <c r="A51" s="162"/>
      <c r="B51" s="163" t="s">
        <v>134</v>
      </c>
      <c r="C51" s="163"/>
      <c r="D51" s="163"/>
      <c r="E51" s="164"/>
      <c r="F51" s="165">
        <v>209.429</v>
      </c>
      <c r="G51" s="166"/>
      <c r="H51" s="162" t="s">
        <v>134</v>
      </c>
      <c r="I51" s="163"/>
      <c r="J51" s="163"/>
      <c r="K51" s="163"/>
      <c r="L51" s="165">
        <v>209.429</v>
      </c>
      <c r="M51" s="163"/>
      <c r="N51" s="163"/>
      <c r="O51" s="167"/>
      <c r="P51" s="167"/>
      <c r="Q51" s="167"/>
      <c r="R51" s="167"/>
      <c r="S51" s="168"/>
      <c r="T51" s="169"/>
      <c r="U51" s="170"/>
      <c r="V51" s="171"/>
      <c r="W51" s="166"/>
      <c r="X51" s="171"/>
      <c r="Y51" s="172"/>
      <c r="Z51" s="162"/>
      <c r="AA51" s="163"/>
      <c r="AB51" s="166"/>
      <c r="AC51" s="162"/>
      <c r="AD51" s="163"/>
      <c r="AE51" s="166"/>
      <c r="AF51" s="173"/>
      <c r="AG51" s="174"/>
      <c r="AH51" s="175"/>
      <c r="AI51" s="175"/>
      <c r="AJ51" s="195" t="s">
        <v>657</v>
      </c>
      <c r="AK51" s="177"/>
      <c r="AL51" s="160"/>
      <c r="AM51" s="161"/>
    </row>
    <row r="52" spans="1:39" ht="32.25" thickBot="1">
      <c r="A52" s="196">
        <v>22</v>
      </c>
      <c r="B52" s="197" t="s">
        <v>270</v>
      </c>
      <c r="C52" s="197" t="s">
        <v>60</v>
      </c>
      <c r="D52" s="197" t="s">
        <v>658</v>
      </c>
      <c r="E52" s="198">
        <v>2</v>
      </c>
      <c r="F52" s="199"/>
      <c r="G52" s="200">
        <f t="shared" ref="G52" si="40">G50+F51</f>
        <v>5539.1909999999998</v>
      </c>
      <c r="H52" s="196" t="s">
        <v>270</v>
      </c>
      <c r="I52" s="197" t="s">
        <v>60</v>
      </c>
      <c r="J52" s="197" t="s">
        <v>658</v>
      </c>
      <c r="K52" s="197">
        <v>47.33</v>
      </c>
      <c r="L52" s="199"/>
      <c r="M52" s="199">
        <f t="shared" ref="M52" si="41">M50+L51</f>
        <v>5539.1909999999998</v>
      </c>
      <c r="N52" s="199">
        <f>SUM(L50:L51)</f>
        <v>209.429</v>
      </c>
      <c r="O52" s="201"/>
      <c r="P52" s="201"/>
      <c r="Q52" s="201"/>
      <c r="R52" s="201"/>
      <c r="S52" s="202">
        <v>2</v>
      </c>
      <c r="T52" s="203"/>
      <c r="U52" s="204"/>
      <c r="V52" s="205">
        <v>55.048999999999999</v>
      </c>
      <c r="W52" s="206" t="s">
        <v>659</v>
      </c>
      <c r="X52" s="205">
        <v>313.98099999999999</v>
      </c>
      <c r="Y52" s="200">
        <v>156.9905</v>
      </c>
      <c r="Z52" s="196">
        <v>-63</v>
      </c>
      <c r="AA52" s="197">
        <v>150</v>
      </c>
      <c r="AB52" s="207">
        <v>86</v>
      </c>
      <c r="AC52" s="196">
        <v>26</v>
      </c>
      <c r="AD52" s="197">
        <v>94</v>
      </c>
      <c r="AE52" s="207">
        <v>120</v>
      </c>
      <c r="AF52" s="208" t="s">
        <v>660</v>
      </c>
      <c r="AG52" s="209" t="s">
        <v>661</v>
      </c>
      <c r="AH52" s="210">
        <v>286785.57699999999</v>
      </c>
      <c r="AI52" s="210">
        <v>2867829.372</v>
      </c>
      <c r="AJ52" s="211" t="s">
        <v>662</v>
      </c>
      <c r="AK52" s="212" t="s">
        <v>643</v>
      </c>
      <c r="AL52" s="160"/>
      <c r="AM52" s="161"/>
    </row>
    <row r="53" spans="1:39" ht="24" customHeight="1" thickBot="1">
      <c r="A53" s="213"/>
      <c r="B53" s="214"/>
      <c r="C53" s="214"/>
      <c r="D53" s="214"/>
      <c r="E53" s="214"/>
      <c r="F53" s="214"/>
      <c r="G53" s="214"/>
      <c r="H53" s="1812" t="s">
        <v>468</v>
      </c>
      <c r="I53" s="1813"/>
      <c r="J53" s="1813"/>
      <c r="K53" s="1814"/>
      <c r="L53" s="215">
        <f>SUM(L10:L52)/1000</f>
        <v>5.5391909999999998</v>
      </c>
      <c r="M53" s="216" t="s">
        <v>469</v>
      </c>
      <c r="N53" s="217"/>
      <c r="O53" s="214"/>
      <c r="P53" s="214"/>
      <c r="Q53" s="214"/>
      <c r="R53" s="214"/>
      <c r="S53" s="218"/>
      <c r="T53" s="214"/>
      <c r="U53" s="214"/>
      <c r="V53" s="218"/>
      <c r="W53" s="218"/>
      <c r="X53" s="219"/>
      <c r="Y53" s="218"/>
      <c r="Z53" s="218"/>
      <c r="AA53" s="218"/>
      <c r="AB53" s="218"/>
      <c r="AC53" s="218"/>
      <c r="AD53" s="218"/>
      <c r="AE53" s="218"/>
      <c r="AF53" s="218"/>
      <c r="AG53" s="218"/>
      <c r="AH53" s="220"/>
      <c r="AI53" s="220"/>
      <c r="AJ53" s="221"/>
      <c r="AK53" s="222"/>
      <c r="AL53" s="214"/>
      <c r="AM53" s="222"/>
    </row>
    <row r="54" spans="1:39" ht="42" customHeight="1" thickBot="1">
      <c r="A54" s="1838" t="s">
        <v>470</v>
      </c>
      <c r="B54" s="1839"/>
      <c r="C54" s="1839"/>
      <c r="D54" s="1839"/>
      <c r="E54" s="1839"/>
      <c r="F54" s="1839"/>
      <c r="G54" s="1839"/>
      <c r="H54" s="1839"/>
      <c r="I54" s="1839"/>
      <c r="J54" s="1839"/>
      <c r="K54" s="1839"/>
      <c r="L54" s="1839"/>
      <c r="M54" s="1839"/>
      <c r="N54" s="1839"/>
      <c r="O54" s="1839"/>
      <c r="P54" s="1839"/>
      <c r="Q54" s="1839"/>
      <c r="R54" s="1839"/>
      <c r="S54" s="1839"/>
      <c r="T54" s="1839"/>
      <c r="U54" s="1839"/>
      <c r="V54" s="1840"/>
      <c r="W54" s="1841" t="s">
        <v>663</v>
      </c>
      <c r="X54" s="1842"/>
      <c r="Y54" s="1842"/>
      <c r="Z54" s="1842"/>
      <c r="AA54" s="1842"/>
      <c r="AB54" s="1842"/>
      <c r="AC54" s="1842"/>
      <c r="AD54" s="1842"/>
      <c r="AE54" s="1842"/>
      <c r="AF54" s="1842"/>
      <c r="AG54" s="1842"/>
      <c r="AH54" s="1842"/>
      <c r="AI54" s="1842"/>
      <c r="AJ54" s="1842"/>
      <c r="AK54" s="1843"/>
      <c r="AL54" s="223"/>
      <c r="AM54" s="224"/>
    </row>
    <row r="55" spans="1:39" ht="24" customHeight="1" thickBot="1">
      <c r="A55" s="1838" t="s">
        <v>472</v>
      </c>
      <c r="B55" s="1839"/>
      <c r="C55" s="1839"/>
      <c r="D55" s="1839"/>
      <c r="E55" s="1840"/>
      <c r="F55" s="1838" t="s">
        <v>473</v>
      </c>
      <c r="G55" s="1839"/>
      <c r="H55" s="1839"/>
      <c r="I55" s="1839"/>
      <c r="J55" s="1840"/>
      <c r="K55" s="1838" t="s">
        <v>474</v>
      </c>
      <c r="L55" s="1839"/>
      <c r="M55" s="1839"/>
      <c r="N55" s="1839"/>
      <c r="O55" s="1839"/>
      <c r="P55" s="1839"/>
      <c r="Q55" s="1839"/>
      <c r="R55" s="1839"/>
      <c r="S55" s="1839"/>
      <c r="T55" s="1839"/>
      <c r="U55" s="1839"/>
      <c r="V55" s="1840"/>
      <c r="W55" s="1838" t="s">
        <v>473</v>
      </c>
      <c r="X55" s="1839"/>
      <c r="Y55" s="1839"/>
      <c r="Z55" s="1839"/>
      <c r="AA55" s="1840"/>
      <c r="AB55" s="1844" t="s">
        <v>475</v>
      </c>
      <c r="AC55" s="1845"/>
      <c r="AD55" s="1845"/>
      <c r="AE55" s="1845"/>
      <c r="AF55" s="1845"/>
      <c r="AG55" s="1845"/>
      <c r="AH55" s="1846"/>
      <c r="AI55" s="1844" t="s">
        <v>476</v>
      </c>
      <c r="AJ55" s="1845"/>
      <c r="AK55" s="1846"/>
      <c r="AL55" s="225"/>
      <c r="AM55" s="226"/>
    </row>
    <row r="56" spans="1:39" ht="183" customHeight="1" thickBot="1">
      <c r="A56" s="1835"/>
      <c r="B56" s="1836"/>
      <c r="C56" s="1836"/>
      <c r="D56" s="1836"/>
      <c r="E56" s="1837"/>
      <c r="F56" s="1835"/>
      <c r="G56" s="1836"/>
      <c r="H56" s="1836"/>
      <c r="I56" s="1836"/>
      <c r="J56" s="1837"/>
      <c r="K56" s="1835"/>
      <c r="L56" s="1836"/>
      <c r="M56" s="1836"/>
      <c r="N56" s="1836"/>
      <c r="O56" s="1836"/>
      <c r="P56" s="1836"/>
      <c r="Q56" s="1836"/>
      <c r="R56" s="1836"/>
      <c r="S56" s="1836"/>
      <c r="T56" s="1836"/>
      <c r="U56" s="1836"/>
      <c r="V56" s="1837"/>
      <c r="W56" s="1835"/>
      <c r="X56" s="1836"/>
      <c r="Y56" s="1836"/>
      <c r="Z56" s="1836"/>
      <c r="AA56" s="1837"/>
      <c r="AB56" s="1835"/>
      <c r="AC56" s="1836"/>
      <c r="AD56" s="1836"/>
      <c r="AE56" s="1836"/>
      <c r="AF56" s="1836"/>
      <c r="AG56" s="1836"/>
      <c r="AH56" s="1837"/>
      <c r="AI56" s="1835"/>
      <c r="AJ56" s="1836"/>
      <c r="AK56" s="1837"/>
      <c r="AL56" s="227"/>
      <c r="AM56" s="228"/>
    </row>
    <row r="57" spans="1:39">
      <c r="A57" s="229"/>
      <c r="B57" s="230"/>
      <c r="C57" s="230"/>
      <c r="D57" s="230"/>
      <c r="E57" s="230"/>
      <c r="F57" s="230"/>
      <c r="G57" s="230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0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2"/>
      <c r="AM57" s="113"/>
    </row>
    <row r="58" spans="1:39" ht="15.75">
      <c r="A58" s="111"/>
      <c r="K58" s="114" t="s">
        <v>477</v>
      </c>
      <c r="L58" s="115"/>
      <c r="M58" s="115"/>
      <c r="AK58" s="113"/>
      <c r="AM58" s="113"/>
    </row>
    <row r="59" spans="1:39" ht="15.75" thickBot="1">
      <c r="A59" s="111"/>
      <c r="K59" s="112"/>
      <c r="L59" s="112"/>
      <c r="AK59" s="113"/>
      <c r="AM59" s="113"/>
    </row>
    <row r="60" spans="1:39">
      <c r="A60" s="111"/>
      <c r="K60" s="233" t="s">
        <v>591</v>
      </c>
      <c r="L60" s="234" t="s">
        <v>478</v>
      </c>
      <c r="M60" s="235">
        <f t="shared" ref="M60:M77" si="42">COUNTIF($J$10:$J$1239,K60)</f>
        <v>3</v>
      </c>
      <c r="AK60" s="113"/>
      <c r="AM60" s="113"/>
    </row>
    <row r="61" spans="1:39">
      <c r="A61" s="111"/>
      <c r="K61" s="236" t="s">
        <v>582</v>
      </c>
      <c r="L61" s="237" t="s">
        <v>478</v>
      </c>
      <c r="M61" s="238">
        <f t="shared" si="42"/>
        <v>6</v>
      </c>
      <c r="AK61" s="113"/>
      <c r="AM61" s="113"/>
    </row>
    <row r="62" spans="1:39">
      <c r="A62" s="111"/>
      <c r="K62" s="236" t="s">
        <v>603</v>
      </c>
      <c r="L62" s="237" t="s">
        <v>478</v>
      </c>
      <c r="M62" s="238">
        <f t="shared" si="42"/>
        <v>2</v>
      </c>
      <c r="AK62" s="113"/>
      <c r="AM62" s="113"/>
    </row>
    <row r="63" spans="1:39">
      <c r="A63" s="111"/>
      <c r="K63" s="236" t="s">
        <v>664</v>
      </c>
      <c r="L63" s="237" t="s">
        <v>478</v>
      </c>
      <c r="M63" s="238">
        <f t="shared" si="42"/>
        <v>0</v>
      </c>
      <c r="AK63" s="113"/>
      <c r="AM63" s="113"/>
    </row>
    <row r="64" spans="1:39">
      <c r="A64" s="111"/>
      <c r="K64" s="236" t="s">
        <v>665</v>
      </c>
      <c r="L64" s="237" t="s">
        <v>478</v>
      </c>
      <c r="M64" s="238">
        <f t="shared" si="42"/>
        <v>0</v>
      </c>
      <c r="AK64" s="113"/>
      <c r="AM64" s="113"/>
    </row>
    <row r="65" spans="1:39">
      <c r="A65" s="111"/>
      <c r="K65" s="236" t="s">
        <v>666</v>
      </c>
      <c r="L65" s="237" t="s">
        <v>478</v>
      </c>
      <c r="M65" s="238">
        <f t="shared" si="42"/>
        <v>0</v>
      </c>
      <c r="AK65" s="113"/>
      <c r="AM65" s="113"/>
    </row>
    <row r="66" spans="1:39">
      <c r="A66" s="111"/>
      <c r="K66" s="236" t="s">
        <v>667</v>
      </c>
      <c r="L66" s="237" t="s">
        <v>478</v>
      </c>
      <c r="M66" s="238">
        <f t="shared" si="42"/>
        <v>0</v>
      </c>
      <c r="AK66" s="113"/>
      <c r="AM66" s="113"/>
    </row>
    <row r="67" spans="1:39">
      <c r="A67" s="111"/>
      <c r="K67" s="236" t="s">
        <v>668</v>
      </c>
      <c r="L67" s="237" t="s">
        <v>478</v>
      </c>
      <c r="M67" s="238">
        <f t="shared" si="42"/>
        <v>0</v>
      </c>
      <c r="AK67" s="113"/>
      <c r="AM67" s="113"/>
    </row>
    <row r="68" spans="1:39">
      <c r="A68" s="111"/>
      <c r="K68" s="236" t="s">
        <v>573</v>
      </c>
      <c r="L68" s="237" t="s">
        <v>478</v>
      </c>
      <c r="M68" s="238">
        <f t="shared" si="42"/>
        <v>4</v>
      </c>
      <c r="AK68" s="113"/>
      <c r="AM68" s="113"/>
    </row>
    <row r="69" spans="1:39">
      <c r="A69" s="111"/>
      <c r="K69" s="236" t="s">
        <v>669</v>
      </c>
      <c r="L69" s="237" t="s">
        <v>478</v>
      </c>
      <c r="M69" s="238">
        <f t="shared" si="42"/>
        <v>0</v>
      </c>
      <c r="AK69" s="113"/>
      <c r="AM69" s="113"/>
    </row>
    <row r="70" spans="1:39">
      <c r="A70" s="111"/>
      <c r="K70" s="236" t="s">
        <v>607</v>
      </c>
      <c r="L70" s="237" t="s">
        <v>478</v>
      </c>
      <c r="M70" s="238">
        <f t="shared" si="42"/>
        <v>1</v>
      </c>
      <c r="AK70" s="113"/>
      <c r="AM70" s="113"/>
    </row>
    <row r="71" spans="1:39">
      <c r="A71" s="111"/>
      <c r="K71" s="236" t="s">
        <v>670</v>
      </c>
      <c r="L71" s="237" t="s">
        <v>478</v>
      </c>
      <c r="M71" s="238">
        <f t="shared" si="42"/>
        <v>0</v>
      </c>
      <c r="AK71" s="113"/>
      <c r="AM71" s="113"/>
    </row>
    <row r="72" spans="1:39">
      <c r="A72" s="111"/>
      <c r="K72" s="236" t="s">
        <v>586</v>
      </c>
      <c r="L72" s="237" t="s">
        <v>478</v>
      </c>
      <c r="M72" s="238">
        <f t="shared" si="42"/>
        <v>3</v>
      </c>
      <c r="AK72" s="113"/>
      <c r="AM72" s="113"/>
    </row>
    <row r="73" spans="1:39">
      <c r="A73" s="111"/>
      <c r="K73" s="236" t="s">
        <v>648</v>
      </c>
      <c r="L73" s="237" t="s">
        <v>478</v>
      </c>
      <c r="M73" s="238">
        <f t="shared" si="42"/>
        <v>1</v>
      </c>
      <c r="AK73" s="113"/>
      <c r="AM73" s="113"/>
    </row>
    <row r="74" spans="1:39">
      <c r="A74" s="111"/>
      <c r="K74" s="236" t="s">
        <v>653</v>
      </c>
      <c r="L74" s="237" t="s">
        <v>478</v>
      </c>
      <c r="M74" s="238">
        <f t="shared" si="42"/>
        <v>1</v>
      </c>
      <c r="AK74" s="113"/>
      <c r="AM74" s="113"/>
    </row>
    <row r="75" spans="1:39">
      <c r="A75" s="111"/>
      <c r="K75" s="236" t="s">
        <v>671</v>
      </c>
      <c r="L75" s="237" t="s">
        <v>478</v>
      </c>
      <c r="M75" s="238">
        <f t="shared" si="42"/>
        <v>0</v>
      </c>
      <c r="AK75" s="113"/>
      <c r="AM75" s="113"/>
    </row>
    <row r="76" spans="1:39">
      <c r="A76" s="111"/>
      <c r="K76" s="236" t="s">
        <v>672</v>
      </c>
      <c r="L76" s="237" t="s">
        <v>478</v>
      </c>
      <c r="M76" s="238">
        <f t="shared" si="42"/>
        <v>0</v>
      </c>
      <c r="AK76" s="113"/>
      <c r="AM76" s="113"/>
    </row>
    <row r="77" spans="1:39">
      <c r="A77" s="111"/>
      <c r="K77" s="236" t="s">
        <v>658</v>
      </c>
      <c r="L77" s="237" t="s">
        <v>478</v>
      </c>
      <c r="M77" s="238">
        <f t="shared" si="42"/>
        <v>1</v>
      </c>
      <c r="AK77" s="113"/>
      <c r="AM77" s="113"/>
    </row>
    <row r="78" spans="1:39" ht="16.5" thickBot="1">
      <c r="A78" s="122"/>
      <c r="B78" s="100"/>
      <c r="C78" s="100"/>
      <c r="D78" s="100"/>
      <c r="E78" s="100"/>
      <c r="F78" s="100"/>
      <c r="G78" s="100"/>
      <c r="H78" s="104"/>
      <c r="I78" s="104"/>
      <c r="J78" s="104"/>
      <c r="K78" s="123" t="s">
        <v>128</v>
      </c>
      <c r="L78" s="239" t="s">
        <v>478</v>
      </c>
      <c r="M78" s="240">
        <f>SUM(M60:M77)</f>
        <v>22</v>
      </c>
      <c r="N78" s="104"/>
      <c r="O78" s="104"/>
      <c r="P78" s="104"/>
      <c r="Q78" s="104"/>
      <c r="R78" s="104"/>
      <c r="S78" s="100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26"/>
      <c r="AL78" s="104"/>
      <c r="AM78" s="126"/>
    </row>
  </sheetData>
  <autoFilter ref="A9:AM55"/>
  <mergeCells count="54"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  <mergeCell ref="AH8:AI8"/>
    <mergeCell ref="AJ8:AJ9"/>
    <mergeCell ref="AK8:AK9"/>
    <mergeCell ref="AL8:AL9"/>
    <mergeCell ref="AM8:AM9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A6:AJ6"/>
    <mergeCell ref="A1:AJ1"/>
    <mergeCell ref="A2:AJ2"/>
    <mergeCell ref="A3:AJ3"/>
    <mergeCell ref="A4:AJ4"/>
    <mergeCell ref="A5:AJ5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2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2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808" t="s">
        <v>566</v>
      </c>
      <c r="B1" s="1809"/>
      <c r="C1" s="1809"/>
      <c r="D1" s="1809"/>
      <c r="E1" s="1809"/>
      <c r="F1" s="1809"/>
      <c r="G1" s="1809"/>
      <c r="H1" s="1809"/>
      <c r="I1" s="1809"/>
      <c r="J1" s="1809"/>
      <c r="K1" s="1809"/>
      <c r="L1" s="1809"/>
      <c r="M1" s="1809"/>
      <c r="N1" s="1809"/>
      <c r="O1" s="1809"/>
      <c r="P1" s="1809"/>
      <c r="Q1" s="1809"/>
      <c r="R1" s="1809"/>
      <c r="S1" s="1809"/>
      <c r="T1" s="1809"/>
      <c r="U1" s="1809"/>
      <c r="V1" s="1809"/>
      <c r="W1" s="1809"/>
      <c r="X1" s="1809"/>
      <c r="Y1" s="1809"/>
      <c r="Z1" s="1809"/>
      <c r="AA1" s="1809"/>
      <c r="AB1" s="1809"/>
      <c r="AC1" s="1809"/>
      <c r="AD1" s="1809"/>
      <c r="AE1" s="1809"/>
      <c r="AF1" s="130"/>
      <c r="AG1" s="130"/>
      <c r="AH1" s="130"/>
      <c r="AI1" s="129"/>
    </row>
    <row r="2" spans="1:35" ht="20.25">
      <c r="A2" s="1810" t="s">
        <v>88</v>
      </c>
      <c r="B2" s="1811"/>
      <c r="C2" s="1811"/>
      <c r="D2" s="1811"/>
      <c r="E2" s="1811"/>
      <c r="F2" s="1811"/>
      <c r="G2" s="1811"/>
      <c r="H2" s="1811"/>
      <c r="I2" s="1811"/>
      <c r="J2" s="1811"/>
      <c r="K2" s="1811"/>
      <c r="L2" s="1811"/>
      <c r="M2" s="1811"/>
      <c r="N2" s="1811"/>
      <c r="O2" s="1811"/>
      <c r="P2" s="1811"/>
      <c r="Q2" s="1811"/>
      <c r="R2" s="1811"/>
      <c r="S2" s="1811"/>
      <c r="T2" s="1811"/>
      <c r="U2" s="1811"/>
      <c r="V2" s="1811"/>
      <c r="W2" s="1811"/>
      <c r="X2" s="1811"/>
      <c r="Y2" s="1811"/>
      <c r="Z2" s="1811"/>
      <c r="AA2" s="1811"/>
      <c r="AB2" s="1811"/>
      <c r="AC2" s="1811"/>
      <c r="AD2" s="1811"/>
      <c r="AE2" s="1811"/>
      <c r="AF2" s="132"/>
      <c r="AG2" s="132"/>
      <c r="AH2" s="132"/>
      <c r="AI2" s="131" t="s">
        <v>90</v>
      </c>
    </row>
    <row r="3" spans="1:35" ht="21.6" customHeight="1">
      <c r="A3" s="1810" t="s">
        <v>89</v>
      </c>
      <c r="B3" s="1811"/>
      <c r="C3" s="1811"/>
      <c r="D3" s="1811"/>
      <c r="E3" s="1811"/>
      <c r="F3" s="1811"/>
      <c r="G3" s="1811"/>
      <c r="H3" s="1811"/>
      <c r="I3" s="1811"/>
      <c r="J3" s="1811"/>
      <c r="K3" s="1811"/>
      <c r="L3" s="1811"/>
      <c r="M3" s="1811"/>
      <c r="N3" s="1811"/>
      <c r="O3" s="1811"/>
      <c r="P3" s="1811"/>
      <c r="Q3" s="1811"/>
      <c r="R3" s="1811"/>
      <c r="S3" s="1811"/>
      <c r="T3" s="1811"/>
      <c r="U3" s="1811"/>
      <c r="V3" s="1811"/>
      <c r="W3" s="1811"/>
      <c r="X3" s="1811"/>
      <c r="Y3" s="1811"/>
      <c r="Z3" s="1811"/>
      <c r="AA3" s="1811"/>
      <c r="AB3" s="1811"/>
      <c r="AC3" s="1811"/>
      <c r="AD3" s="1811"/>
      <c r="AE3" s="1811"/>
      <c r="AF3" s="132"/>
      <c r="AG3" s="132"/>
      <c r="AH3" s="132"/>
      <c r="AI3" s="131" t="s">
        <v>889</v>
      </c>
    </row>
    <row r="4" spans="1:35" ht="20.25">
      <c r="A4" s="1810" t="s">
        <v>91</v>
      </c>
      <c r="B4" s="1811"/>
      <c r="C4" s="1811"/>
      <c r="D4" s="1811"/>
      <c r="E4" s="1811"/>
      <c r="F4" s="1811"/>
      <c r="G4" s="1811"/>
      <c r="H4" s="1811"/>
      <c r="I4" s="1811"/>
      <c r="J4" s="1811"/>
      <c r="K4" s="1811"/>
      <c r="L4" s="1811"/>
      <c r="M4" s="1811"/>
      <c r="N4" s="1811"/>
      <c r="O4" s="1811"/>
      <c r="P4" s="1811"/>
      <c r="Q4" s="1811"/>
      <c r="R4" s="1811"/>
      <c r="S4" s="1811"/>
      <c r="T4" s="1811"/>
      <c r="U4" s="1811"/>
      <c r="V4" s="1811"/>
      <c r="W4" s="1811"/>
      <c r="X4" s="1811"/>
      <c r="Y4" s="1811"/>
      <c r="Z4" s="1811"/>
      <c r="AA4" s="1811"/>
      <c r="AB4" s="1811"/>
      <c r="AC4" s="1811"/>
      <c r="AD4" s="1811"/>
      <c r="AE4" s="1811"/>
      <c r="AF4" s="132"/>
      <c r="AG4" s="132"/>
      <c r="AH4" s="132"/>
      <c r="AI4" s="131" t="s">
        <v>94</v>
      </c>
    </row>
    <row r="5" spans="1:35" ht="20.25">
      <c r="A5" s="1810" t="s">
        <v>93</v>
      </c>
      <c r="B5" s="1811"/>
      <c r="C5" s="1811"/>
      <c r="D5" s="1811"/>
      <c r="E5" s="1811"/>
      <c r="F5" s="1811"/>
      <c r="G5" s="1811"/>
      <c r="H5" s="1811"/>
      <c r="I5" s="1811"/>
      <c r="J5" s="1811"/>
      <c r="K5" s="1811"/>
      <c r="L5" s="1811"/>
      <c r="M5" s="1811"/>
      <c r="N5" s="1811"/>
      <c r="O5" s="1811"/>
      <c r="P5" s="1811"/>
      <c r="Q5" s="1811"/>
      <c r="R5" s="1811"/>
      <c r="S5" s="1811"/>
      <c r="T5" s="1811"/>
      <c r="U5" s="1811"/>
      <c r="V5" s="1811"/>
      <c r="W5" s="1811"/>
      <c r="X5" s="1811"/>
      <c r="Y5" s="1811"/>
      <c r="Z5" s="1811"/>
      <c r="AA5" s="1811"/>
      <c r="AB5" s="1811"/>
      <c r="AC5" s="1811"/>
      <c r="AD5" s="1811"/>
      <c r="AE5" s="1811"/>
      <c r="AF5" s="132"/>
      <c r="AG5" s="132"/>
      <c r="AH5" s="132"/>
      <c r="AI5" s="136"/>
    </row>
    <row r="6" spans="1:35" ht="18">
      <c r="A6" s="1847" t="s">
        <v>890</v>
      </c>
      <c r="B6" s="1848"/>
      <c r="C6" s="1848"/>
      <c r="D6" s="1848"/>
      <c r="E6" s="1848"/>
      <c r="F6" s="1848"/>
      <c r="G6" s="1848"/>
      <c r="H6" s="1848"/>
      <c r="I6" s="1848"/>
      <c r="J6" s="1848"/>
      <c r="K6" s="1848"/>
      <c r="L6" s="1848"/>
      <c r="M6" s="1848"/>
      <c r="N6" s="1848"/>
      <c r="O6" s="1848"/>
      <c r="P6" s="1848"/>
      <c r="Q6" s="1848"/>
      <c r="R6" s="1848"/>
      <c r="S6" s="1848"/>
      <c r="T6" s="1848"/>
      <c r="U6" s="1848"/>
      <c r="V6" s="1848"/>
      <c r="W6" s="1848"/>
      <c r="X6" s="1848"/>
      <c r="Y6" s="1848"/>
      <c r="Z6" s="1848"/>
      <c r="AA6" s="1848"/>
      <c r="AB6" s="1848"/>
      <c r="AC6" s="1848"/>
      <c r="AD6" s="1848"/>
      <c r="AE6" s="1848"/>
      <c r="AF6" s="135"/>
      <c r="AG6" s="135"/>
      <c r="AH6" s="135"/>
      <c r="AI6" s="136"/>
    </row>
    <row r="7" spans="1:35" ht="15.75" thickBot="1">
      <c r="A7" s="293"/>
      <c r="B7" s="294"/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5"/>
      <c r="AF7" s="284"/>
      <c r="AG7" s="284"/>
      <c r="AH7" s="1849"/>
      <c r="AI7" s="1850"/>
    </row>
    <row r="8" spans="1:35" ht="30" customHeight="1" thickBot="1">
      <c r="A8" s="1851" t="s">
        <v>97</v>
      </c>
      <c r="B8" s="1851" t="s">
        <v>98</v>
      </c>
      <c r="C8" s="1851" t="s">
        <v>99</v>
      </c>
      <c r="D8" s="1851" t="s">
        <v>100</v>
      </c>
      <c r="E8" s="1865" t="s">
        <v>994</v>
      </c>
      <c r="F8" s="1851" t="s">
        <v>101</v>
      </c>
      <c r="G8" s="1851" t="s">
        <v>102</v>
      </c>
      <c r="H8" s="1851" t="s">
        <v>104</v>
      </c>
      <c r="I8" s="1851" t="s">
        <v>103</v>
      </c>
      <c r="J8" s="1853" t="s">
        <v>105</v>
      </c>
      <c r="K8" s="1854"/>
      <c r="L8" s="1854"/>
      <c r="M8" s="1855"/>
      <c r="N8" s="1851" t="s">
        <v>106</v>
      </c>
      <c r="O8" s="1853" t="s">
        <v>107</v>
      </c>
      <c r="P8" s="1855" t="s">
        <v>108</v>
      </c>
      <c r="Q8" s="1851" t="s">
        <v>109</v>
      </c>
      <c r="R8" s="1851" t="s">
        <v>110</v>
      </c>
      <c r="S8" s="1860" t="s">
        <v>111</v>
      </c>
      <c r="T8" s="1851" t="s">
        <v>112</v>
      </c>
      <c r="U8" s="1862" t="s">
        <v>113</v>
      </c>
      <c r="V8" s="1863"/>
      <c r="W8" s="1864"/>
      <c r="X8" s="1862" t="s">
        <v>114</v>
      </c>
      <c r="Y8" s="1863"/>
      <c r="Z8" s="1864"/>
      <c r="AA8" s="1853" t="s">
        <v>115</v>
      </c>
      <c r="AB8" s="1855" t="s">
        <v>116</v>
      </c>
      <c r="AC8" s="1857" t="s">
        <v>117</v>
      </c>
      <c r="AD8" s="1858"/>
      <c r="AE8" s="1867" t="s">
        <v>118</v>
      </c>
      <c r="AF8" s="1853" t="s">
        <v>119</v>
      </c>
      <c r="AG8" s="1854" t="s">
        <v>120</v>
      </c>
      <c r="AH8" s="1855" t="s">
        <v>121</v>
      </c>
      <c r="AI8" s="1867" t="s">
        <v>122</v>
      </c>
    </row>
    <row r="9" spans="1:35" ht="26.25" customHeight="1" thickBot="1">
      <c r="A9" s="1852"/>
      <c r="B9" s="1852"/>
      <c r="C9" s="1852"/>
      <c r="D9" s="1852"/>
      <c r="E9" s="1866"/>
      <c r="F9" s="1852"/>
      <c r="G9" s="1852"/>
      <c r="H9" s="1852"/>
      <c r="I9" s="1852"/>
      <c r="J9" s="296" t="s">
        <v>123</v>
      </c>
      <c r="K9" s="297" t="s">
        <v>124</v>
      </c>
      <c r="L9" s="297" t="s">
        <v>125</v>
      </c>
      <c r="M9" s="298"/>
      <c r="N9" s="1852"/>
      <c r="O9" s="1859"/>
      <c r="P9" s="1856"/>
      <c r="Q9" s="1852"/>
      <c r="R9" s="1852"/>
      <c r="S9" s="1861"/>
      <c r="T9" s="1852"/>
      <c r="U9" s="299" t="s">
        <v>126</v>
      </c>
      <c r="V9" s="299" t="s">
        <v>127</v>
      </c>
      <c r="W9" s="299" t="s">
        <v>128</v>
      </c>
      <c r="X9" s="299" t="s">
        <v>126</v>
      </c>
      <c r="Y9" s="299" t="s">
        <v>127</v>
      </c>
      <c r="Z9" s="299" t="s">
        <v>128</v>
      </c>
      <c r="AA9" s="1859"/>
      <c r="AB9" s="1856"/>
      <c r="AC9" s="300" t="s">
        <v>129</v>
      </c>
      <c r="AD9" s="300" t="s">
        <v>130</v>
      </c>
      <c r="AE9" s="1868"/>
      <c r="AF9" s="1859"/>
      <c r="AG9" s="1869"/>
      <c r="AH9" s="1856"/>
      <c r="AI9" s="1870"/>
    </row>
    <row r="10" spans="1:35" ht="18.75">
      <c r="A10" s="55">
        <v>1</v>
      </c>
      <c r="B10" s="56" t="s">
        <v>131</v>
      </c>
      <c r="C10" s="56" t="s">
        <v>132</v>
      </c>
      <c r="D10" s="56" t="s">
        <v>586</v>
      </c>
      <c r="E10" s="56" t="s">
        <v>982</v>
      </c>
      <c r="F10" s="56">
        <v>38.33</v>
      </c>
      <c r="G10" s="301"/>
      <c r="H10" s="56">
        <v>0</v>
      </c>
      <c r="I10" s="56" t="s">
        <v>134</v>
      </c>
      <c r="J10" s="57"/>
      <c r="K10" s="57"/>
      <c r="L10" s="57"/>
      <c r="M10" s="57"/>
      <c r="N10" s="302" t="s">
        <v>134</v>
      </c>
      <c r="O10" s="57"/>
      <c r="P10" s="57"/>
      <c r="Q10" s="59">
        <v>55.381999999999998</v>
      </c>
      <c r="R10" s="56" t="s">
        <v>891</v>
      </c>
      <c r="S10" s="59">
        <v>112.78</v>
      </c>
      <c r="T10" s="303">
        <v>56.39</v>
      </c>
      <c r="U10" s="55">
        <v>0</v>
      </c>
      <c r="V10" s="56">
        <v>67</v>
      </c>
      <c r="W10" s="61">
        <v>67</v>
      </c>
      <c r="X10" s="55">
        <v>0</v>
      </c>
      <c r="Y10" s="56">
        <v>59</v>
      </c>
      <c r="Z10" s="61">
        <v>59</v>
      </c>
      <c r="AA10" s="304" t="s">
        <v>892</v>
      </c>
      <c r="AB10" s="305" t="s">
        <v>893</v>
      </c>
      <c r="AC10" s="64">
        <v>290046.73</v>
      </c>
      <c r="AD10" s="306">
        <v>2864612.852</v>
      </c>
      <c r="AE10" s="307"/>
      <c r="AF10" s="260"/>
      <c r="AG10" s="57"/>
      <c r="AH10" s="57"/>
      <c r="AI10" s="308"/>
    </row>
    <row r="11" spans="1:35" ht="18.75">
      <c r="A11" s="68"/>
      <c r="B11" s="69" t="s">
        <v>134</v>
      </c>
      <c r="C11" s="69"/>
      <c r="D11" s="69"/>
      <c r="E11" s="69"/>
      <c r="F11" s="69"/>
      <c r="G11" s="70">
        <v>112.78</v>
      </c>
      <c r="H11" s="69"/>
      <c r="I11" s="69"/>
      <c r="J11" s="71"/>
      <c r="K11" s="71"/>
      <c r="L11" s="71"/>
      <c r="M11" s="71"/>
      <c r="N11" s="309"/>
      <c r="O11" s="71"/>
      <c r="P11" s="71"/>
      <c r="Q11" s="70"/>
      <c r="R11" s="69"/>
      <c r="S11" s="70"/>
      <c r="T11" s="310"/>
      <c r="U11" s="68"/>
      <c r="V11" s="69"/>
      <c r="W11" s="74"/>
      <c r="X11" s="68"/>
      <c r="Y11" s="69"/>
      <c r="Z11" s="74"/>
      <c r="AA11" s="75"/>
      <c r="AB11" s="76"/>
      <c r="AC11" s="77"/>
      <c r="AD11" s="311"/>
      <c r="AE11" s="312" t="s">
        <v>894</v>
      </c>
      <c r="AF11" s="256"/>
      <c r="AG11" s="71"/>
      <c r="AH11" s="71"/>
      <c r="AI11" s="313"/>
    </row>
    <row r="12" spans="1:35" ht="18.75">
      <c r="A12" s="68">
        <v>2</v>
      </c>
      <c r="B12" s="69" t="s">
        <v>140</v>
      </c>
      <c r="C12" s="69" t="s">
        <v>141</v>
      </c>
      <c r="D12" s="69" t="s">
        <v>573</v>
      </c>
      <c r="E12" s="69" t="s">
        <v>982</v>
      </c>
      <c r="F12" s="69">
        <v>38.33</v>
      </c>
      <c r="G12" s="70"/>
      <c r="H12" s="70">
        <v>112.78</v>
      </c>
      <c r="I12" s="69">
        <f>SUM(G10:G11)</f>
        <v>112.78</v>
      </c>
      <c r="J12" s="71"/>
      <c r="K12" s="71"/>
      <c r="L12" s="71"/>
      <c r="M12" s="71"/>
      <c r="N12" s="309" t="s">
        <v>134</v>
      </c>
      <c r="O12" s="71"/>
      <c r="P12" s="71"/>
      <c r="Q12" s="70">
        <v>54.984999999999999</v>
      </c>
      <c r="R12" s="69" t="s">
        <v>895</v>
      </c>
      <c r="S12" s="70">
        <v>225.95400000000001</v>
      </c>
      <c r="T12" s="310">
        <v>112.977</v>
      </c>
      <c r="U12" s="68">
        <v>46</v>
      </c>
      <c r="V12" s="69">
        <v>40</v>
      </c>
      <c r="W12" s="74">
        <v>87</v>
      </c>
      <c r="X12" s="68">
        <v>53</v>
      </c>
      <c r="Y12" s="69">
        <v>52</v>
      </c>
      <c r="Z12" s="74">
        <v>105</v>
      </c>
      <c r="AA12" s="75" t="s">
        <v>896</v>
      </c>
      <c r="AB12" s="76" t="s">
        <v>897</v>
      </c>
      <c r="AC12" s="77">
        <v>290025.21500000003</v>
      </c>
      <c r="AD12" s="311">
        <v>2864502.1430000002</v>
      </c>
      <c r="AE12" s="314"/>
      <c r="AF12" s="256"/>
      <c r="AG12" s="71"/>
      <c r="AH12" s="71"/>
      <c r="AI12" s="313"/>
    </row>
    <row r="13" spans="1:35" ht="18.75">
      <c r="A13" s="68"/>
      <c r="B13" s="69" t="s">
        <v>134</v>
      </c>
      <c r="C13" s="69"/>
      <c r="D13" s="69"/>
      <c r="E13" s="69"/>
      <c r="F13" s="69"/>
      <c r="G13" s="70">
        <v>113.17400000000001</v>
      </c>
      <c r="H13" s="69"/>
      <c r="I13" s="69"/>
      <c r="J13" s="71"/>
      <c r="K13" s="71"/>
      <c r="L13" s="71"/>
      <c r="M13" s="71"/>
      <c r="N13" s="309"/>
      <c r="O13" s="71"/>
      <c r="P13" s="71"/>
      <c r="Q13" s="70"/>
      <c r="R13" s="69"/>
      <c r="S13" s="70"/>
      <c r="T13" s="310"/>
      <c r="U13" s="68"/>
      <c r="V13" s="69"/>
      <c r="W13" s="74"/>
      <c r="X13" s="68"/>
      <c r="Y13" s="69"/>
      <c r="Z13" s="74"/>
      <c r="AA13" s="75"/>
      <c r="AB13" s="76"/>
      <c r="AC13" s="77"/>
      <c r="AD13" s="311"/>
      <c r="AE13" s="314" t="s">
        <v>578</v>
      </c>
      <c r="AF13" s="256"/>
      <c r="AG13" s="71"/>
      <c r="AH13" s="71"/>
      <c r="AI13" s="313"/>
    </row>
    <row r="14" spans="1:35" ht="18.75">
      <c r="A14" s="68">
        <v>3</v>
      </c>
      <c r="B14" s="69" t="s">
        <v>146</v>
      </c>
      <c r="C14" s="69" t="s">
        <v>147</v>
      </c>
      <c r="D14" s="69" t="s">
        <v>573</v>
      </c>
      <c r="E14" s="69" t="s">
        <v>982</v>
      </c>
      <c r="F14" s="69">
        <v>38.33</v>
      </c>
      <c r="G14" s="70"/>
      <c r="H14" s="70">
        <v>225.95400000000001</v>
      </c>
      <c r="I14" s="70">
        <f>SUM(G12:G13)</f>
        <v>113.17400000000001</v>
      </c>
      <c r="J14" s="71"/>
      <c r="K14" s="71"/>
      <c r="L14" s="71"/>
      <c r="M14" s="71"/>
      <c r="N14" s="309" t="s">
        <v>134</v>
      </c>
      <c r="O14" s="71"/>
      <c r="P14" s="71"/>
      <c r="Q14" s="70">
        <v>55.616999999999997</v>
      </c>
      <c r="R14" s="69" t="s">
        <v>898</v>
      </c>
      <c r="S14" s="70">
        <v>279.63200000000001</v>
      </c>
      <c r="T14" s="310">
        <v>139.816</v>
      </c>
      <c r="U14" s="68">
        <v>73</v>
      </c>
      <c r="V14" s="69">
        <v>80</v>
      </c>
      <c r="W14" s="74">
        <v>153</v>
      </c>
      <c r="X14" s="68">
        <v>61</v>
      </c>
      <c r="Y14" s="69">
        <v>82</v>
      </c>
      <c r="Z14" s="74">
        <v>143</v>
      </c>
      <c r="AA14" s="75" t="s">
        <v>899</v>
      </c>
      <c r="AB14" s="76" t="s">
        <v>900</v>
      </c>
      <c r="AC14" s="77">
        <v>289951.37199999997</v>
      </c>
      <c r="AD14" s="311">
        <v>2864416.3790000002</v>
      </c>
      <c r="AE14" s="314"/>
      <c r="AF14" s="256"/>
      <c r="AG14" s="71"/>
      <c r="AH14" s="71"/>
      <c r="AI14" s="313"/>
    </row>
    <row r="15" spans="1:35" ht="18.75">
      <c r="A15" s="68"/>
      <c r="B15" s="69" t="s">
        <v>134</v>
      </c>
      <c r="C15" s="69"/>
      <c r="D15" s="69"/>
      <c r="E15" s="69"/>
      <c r="F15" s="69"/>
      <c r="G15" s="248">
        <v>166.458</v>
      </c>
      <c r="H15" s="69"/>
      <c r="I15" s="69"/>
      <c r="J15" s="71"/>
      <c r="K15" s="71"/>
      <c r="L15" s="71"/>
      <c r="M15" s="71"/>
      <c r="N15" s="309"/>
      <c r="O15" s="71"/>
      <c r="P15" s="71"/>
      <c r="Q15" s="70"/>
      <c r="R15" s="69"/>
      <c r="S15" s="70"/>
      <c r="T15" s="310"/>
      <c r="U15" s="68"/>
      <c r="V15" s="69"/>
      <c r="W15" s="74"/>
      <c r="X15" s="68"/>
      <c r="Y15" s="69"/>
      <c r="Z15" s="74"/>
      <c r="AA15" s="75"/>
      <c r="AB15" s="76"/>
      <c r="AC15" s="77"/>
      <c r="AD15" s="311"/>
      <c r="AE15" s="314" t="s">
        <v>901</v>
      </c>
      <c r="AF15" s="256"/>
      <c r="AG15" s="71"/>
      <c r="AH15" s="71"/>
      <c r="AI15" s="313"/>
    </row>
    <row r="16" spans="1:35" ht="18.75">
      <c r="A16" s="68">
        <v>4</v>
      </c>
      <c r="B16" s="69" t="s">
        <v>165</v>
      </c>
      <c r="C16" s="69" t="s">
        <v>166</v>
      </c>
      <c r="D16" s="69" t="s">
        <v>573</v>
      </c>
      <c r="E16" s="69" t="s">
        <v>982</v>
      </c>
      <c r="F16" s="69">
        <v>38.33</v>
      </c>
      <c r="G16" s="70"/>
      <c r="H16" s="70">
        <v>392.41200000000003</v>
      </c>
      <c r="I16" s="70">
        <f>SUM(G14:G15)</f>
        <v>166.458</v>
      </c>
      <c r="J16" s="71"/>
      <c r="K16" s="71"/>
      <c r="L16" s="71"/>
      <c r="M16" s="71"/>
      <c r="N16" s="309">
        <v>2</v>
      </c>
      <c r="O16" s="71"/>
      <c r="P16" s="71"/>
      <c r="Q16" s="70">
        <v>53.831000000000003</v>
      </c>
      <c r="R16" s="69" t="s">
        <v>902</v>
      </c>
      <c r="S16" s="70">
        <v>443.99699999999996</v>
      </c>
      <c r="T16" s="310">
        <v>221.99849999999998</v>
      </c>
      <c r="U16" s="68">
        <v>87</v>
      </c>
      <c r="V16" s="69">
        <v>143</v>
      </c>
      <c r="W16" s="74">
        <v>229</v>
      </c>
      <c r="X16" s="68">
        <v>85</v>
      </c>
      <c r="Y16" s="69">
        <v>141</v>
      </c>
      <c r="Z16" s="74">
        <v>226</v>
      </c>
      <c r="AA16" s="75" t="s">
        <v>903</v>
      </c>
      <c r="AB16" s="76" t="s">
        <v>904</v>
      </c>
      <c r="AC16" s="77">
        <v>289795.18199999997</v>
      </c>
      <c r="AD16" s="311">
        <v>2864358.821</v>
      </c>
      <c r="AE16" s="314"/>
      <c r="AF16" s="256"/>
      <c r="AG16" s="71"/>
      <c r="AH16" s="71"/>
      <c r="AI16" s="313" t="s">
        <v>662</v>
      </c>
    </row>
    <row r="17" spans="1:35" ht="18.75">
      <c r="A17" s="68"/>
      <c r="B17" s="69" t="s">
        <v>134</v>
      </c>
      <c r="C17" s="69"/>
      <c r="D17" s="69"/>
      <c r="E17" s="69"/>
      <c r="F17" s="69"/>
      <c r="G17" s="70">
        <v>277.53899999999999</v>
      </c>
      <c r="H17" s="69"/>
      <c r="I17" s="69"/>
      <c r="J17" s="71"/>
      <c r="K17" s="71"/>
      <c r="L17" s="71"/>
      <c r="M17" s="71"/>
      <c r="N17" s="309"/>
      <c r="O17" s="71"/>
      <c r="P17" s="71"/>
      <c r="Q17" s="70"/>
      <c r="R17" s="69"/>
      <c r="S17" s="70"/>
      <c r="T17" s="310"/>
      <c r="U17" s="68"/>
      <c r="V17" s="69"/>
      <c r="W17" s="74"/>
      <c r="X17" s="68"/>
      <c r="Y17" s="69"/>
      <c r="Z17" s="74"/>
      <c r="AA17" s="75"/>
      <c r="AB17" s="76"/>
      <c r="AC17" s="77"/>
      <c r="AD17" s="311"/>
      <c r="AE17" s="314" t="s">
        <v>615</v>
      </c>
      <c r="AF17" s="256"/>
      <c r="AG17" s="71"/>
      <c r="AH17" s="71"/>
      <c r="AI17" s="313"/>
    </row>
    <row r="18" spans="1:35" ht="18.75">
      <c r="A18" s="68">
        <v>5</v>
      </c>
      <c r="B18" s="69" t="s">
        <v>173</v>
      </c>
      <c r="C18" s="69" t="s">
        <v>174</v>
      </c>
      <c r="D18" s="69" t="s">
        <v>573</v>
      </c>
      <c r="E18" s="69" t="s">
        <v>982</v>
      </c>
      <c r="F18" s="69">
        <v>38.33</v>
      </c>
      <c r="G18" s="70"/>
      <c r="H18" s="70">
        <v>669.95100000000002</v>
      </c>
      <c r="I18" s="70">
        <f>SUM(G16:G17)</f>
        <v>277.53899999999999</v>
      </c>
      <c r="J18" s="71"/>
      <c r="K18" s="71"/>
      <c r="L18" s="71"/>
      <c r="M18" s="71"/>
      <c r="N18" s="309" t="s">
        <v>134</v>
      </c>
      <c r="O18" s="71"/>
      <c r="P18" s="71"/>
      <c r="Q18" s="70">
        <v>55.383000000000003</v>
      </c>
      <c r="R18" s="69" t="s">
        <v>905</v>
      </c>
      <c r="S18" s="70">
        <v>592.31200000000001</v>
      </c>
      <c r="T18" s="310">
        <v>296.15600000000001</v>
      </c>
      <c r="U18" s="68">
        <v>135</v>
      </c>
      <c r="V18" s="69">
        <v>161</v>
      </c>
      <c r="W18" s="74">
        <v>296</v>
      </c>
      <c r="X18" s="68">
        <v>137</v>
      </c>
      <c r="Y18" s="69">
        <v>160</v>
      </c>
      <c r="Z18" s="74">
        <v>297</v>
      </c>
      <c r="AA18" s="75" t="s">
        <v>575</v>
      </c>
      <c r="AB18" s="76" t="s">
        <v>576</v>
      </c>
      <c r="AC18" s="77">
        <v>289518.57199999999</v>
      </c>
      <c r="AD18" s="311">
        <v>2864336.1290000002</v>
      </c>
      <c r="AE18" s="315"/>
      <c r="AF18" s="256"/>
      <c r="AG18" s="71"/>
      <c r="AH18" s="71"/>
      <c r="AI18" s="313"/>
    </row>
    <row r="19" spans="1:35" ht="18.75">
      <c r="A19" s="68"/>
      <c r="B19" s="69" t="s">
        <v>134</v>
      </c>
      <c r="C19" s="69"/>
      <c r="D19" s="69"/>
      <c r="E19" s="69"/>
      <c r="F19" s="69"/>
      <c r="G19" s="70">
        <v>314.77300000000002</v>
      </c>
      <c r="H19" s="69"/>
      <c r="I19" s="69"/>
      <c r="J19" s="71"/>
      <c r="K19" s="71"/>
      <c r="L19" s="71"/>
      <c r="M19" s="71"/>
      <c r="N19" s="309"/>
      <c r="O19" s="71"/>
      <c r="P19" s="71"/>
      <c r="Q19" s="70"/>
      <c r="R19" s="69"/>
      <c r="S19" s="70"/>
      <c r="T19" s="310"/>
      <c r="U19" s="68"/>
      <c r="V19" s="69"/>
      <c r="W19" s="74"/>
      <c r="X19" s="68"/>
      <c r="Y19" s="69"/>
      <c r="Z19" s="74"/>
      <c r="AA19" s="75"/>
      <c r="AB19" s="76"/>
      <c r="AC19" s="77"/>
      <c r="AD19" s="311"/>
      <c r="AE19" s="314" t="s">
        <v>578</v>
      </c>
      <c r="AF19" s="256"/>
      <c r="AG19" s="71"/>
      <c r="AH19" s="71"/>
      <c r="AI19" s="313"/>
    </row>
    <row r="20" spans="1:35" ht="18.75">
      <c r="A20" s="68">
        <v>6</v>
      </c>
      <c r="B20" s="69" t="s">
        <v>180</v>
      </c>
      <c r="C20" s="69" t="s">
        <v>181</v>
      </c>
      <c r="D20" s="69" t="s">
        <v>573</v>
      </c>
      <c r="E20" s="69" t="s">
        <v>982</v>
      </c>
      <c r="F20" s="69">
        <v>38.33</v>
      </c>
      <c r="G20" s="70"/>
      <c r="H20" s="70">
        <v>984.72400000000005</v>
      </c>
      <c r="I20" s="70">
        <f>SUM(G18:G19)</f>
        <v>314.77300000000002</v>
      </c>
      <c r="J20" s="71"/>
      <c r="K20" s="71"/>
      <c r="L20" s="71"/>
      <c r="M20" s="71"/>
      <c r="N20" s="309" t="s">
        <v>134</v>
      </c>
      <c r="O20" s="71"/>
      <c r="P20" s="71"/>
      <c r="Q20" s="70">
        <v>54.869</v>
      </c>
      <c r="R20" s="69" t="s">
        <v>579</v>
      </c>
      <c r="S20" s="70">
        <v>567.77300000000002</v>
      </c>
      <c r="T20" s="310">
        <v>283.88650000000001</v>
      </c>
      <c r="U20" s="68">
        <v>154</v>
      </c>
      <c r="V20" s="69">
        <v>97</v>
      </c>
      <c r="W20" s="74">
        <v>251</v>
      </c>
      <c r="X20" s="68">
        <v>155</v>
      </c>
      <c r="Y20" s="69">
        <v>109</v>
      </c>
      <c r="Z20" s="74">
        <v>264</v>
      </c>
      <c r="AA20" s="75" t="s">
        <v>580</v>
      </c>
      <c r="AB20" s="76" t="s">
        <v>581</v>
      </c>
      <c r="AC20" s="77">
        <v>289225.28899999999</v>
      </c>
      <c r="AD20" s="311">
        <v>2864221.818</v>
      </c>
      <c r="AE20" s="314"/>
      <c r="AF20" s="256"/>
      <c r="AG20" s="71"/>
      <c r="AH20" s="71"/>
      <c r="AI20" s="313"/>
    </row>
    <row r="21" spans="1:35" ht="18.75">
      <c r="A21" s="68"/>
      <c r="B21" s="69" t="s">
        <v>134</v>
      </c>
      <c r="C21" s="69"/>
      <c r="D21" s="69"/>
      <c r="E21" s="69"/>
      <c r="F21" s="69"/>
      <c r="G21" s="70">
        <v>253</v>
      </c>
      <c r="H21" s="69"/>
      <c r="I21" s="69"/>
      <c r="J21" s="71"/>
      <c r="K21" s="71"/>
      <c r="L21" s="71"/>
      <c r="M21" s="71"/>
      <c r="N21" s="309"/>
      <c r="O21" s="71"/>
      <c r="P21" s="71"/>
      <c r="Q21" s="70"/>
      <c r="R21" s="69"/>
      <c r="S21" s="70"/>
      <c r="T21" s="310"/>
      <c r="U21" s="68"/>
      <c r="V21" s="69"/>
      <c r="W21" s="74"/>
      <c r="X21" s="68"/>
      <c r="Y21" s="69"/>
      <c r="Z21" s="74"/>
      <c r="AA21" s="75"/>
      <c r="AB21" s="76"/>
      <c r="AC21" s="77"/>
      <c r="AD21" s="311"/>
      <c r="AE21" s="314" t="s">
        <v>313</v>
      </c>
      <c r="AF21" s="256"/>
      <c r="AG21" s="71"/>
      <c r="AH21" s="71"/>
      <c r="AI21" s="313"/>
    </row>
    <row r="22" spans="1:35" ht="18.75">
      <c r="A22" s="68">
        <v>7</v>
      </c>
      <c r="B22" s="69" t="s">
        <v>134</v>
      </c>
      <c r="C22" s="69" t="s">
        <v>186</v>
      </c>
      <c r="D22" s="69" t="s">
        <v>582</v>
      </c>
      <c r="E22" s="69" t="s">
        <v>995</v>
      </c>
      <c r="F22" s="69">
        <v>40.53</v>
      </c>
      <c r="G22" s="70"/>
      <c r="H22" s="70">
        <v>1237.7240000000002</v>
      </c>
      <c r="I22" s="69" t="s">
        <v>134</v>
      </c>
      <c r="J22" s="71"/>
      <c r="K22" s="71"/>
      <c r="L22" s="71"/>
      <c r="M22" s="71"/>
      <c r="N22" s="309" t="s">
        <v>134</v>
      </c>
      <c r="O22" s="71"/>
      <c r="P22" s="71"/>
      <c r="Q22" s="70">
        <v>55.082000000000001</v>
      </c>
      <c r="R22" s="69" t="s">
        <v>134</v>
      </c>
      <c r="S22" s="70">
        <v>583.79999999999995</v>
      </c>
      <c r="T22" s="310">
        <v>291.89999999999998</v>
      </c>
      <c r="U22" s="68">
        <v>156</v>
      </c>
      <c r="V22" s="69">
        <v>184</v>
      </c>
      <c r="W22" s="74">
        <v>340</v>
      </c>
      <c r="X22" s="68">
        <v>145</v>
      </c>
      <c r="Y22" s="69">
        <v>177</v>
      </c>
      <c r="Z22" s="74">
        <v>322</v>
      </c>
      <c r="AA22" s="75" t="s">
        <v>583</v>
      </c>
      <c r="AB22" s="76" t="s">
        <v>584</v>
      </c>
      <c r="AC22" s="77">
        <v>288972.71799999999</v>
      </c>
      <c r="AD22" s="311">
        <v>2864236.5389999999</v>
      </c>
      <c r="AE22" s="315"/>
      <c r="AF22" s="256"/>
      <c r="AG22" s="71"/>
      <c r="AH22" s="71"/>
      <c r="AI22" s="313"/>
    </row>
    <row r="23" spans="1:35" ht="18.75">
      <c r="A23" s="68"/>
      <c r="B23" s="69" t="s">
        <v>134</v>
      </c>
      <c r="C23" s="69"/>
      <c r="D23" s="69"/>
      <c r="E23" s="69"/>
      <c r="F23" s="69"/>
      <c r="G23" s="70">
        <v>330.8</v>
      </c>
      <c r="H23" s="69"/>
      <c r="I23" s="69"/>
      <c r="J23" s="71"/>
      <c r="K23" s="71"/>
      <c r="L23" s="71"/>
      <c r="M23" s="71"/>
      <c r="N23" s="309"/>
      <c r="O23" s="71"/>
      <c r="P23" s="71"/>
      <c r="Q23" s="70"/>
      <c r="R23" s="69"/>
      <c r="S23" s="70"/>
      <c r="T23" s="310"/>
      <c r="U23" s="68"/>
      <c r="V23" s="69"/>
      <c r="W23" s="74"/>
      <c r="X23" s="68"/>
      <c r="Y23" s="69"/>
      <c r="Z23" s="74"/>
      <c r="AA23" s="75"/>
      <c r="AB23" s="76"/>
      <c r="AC23" s="77"/>
      <c r="AD23" s="311"/>
      <c r="AE23" s="314" t="s">
        <v>585</v>
      </c>
      <c r="AF23" s="256"/>
      <c r="AG23" s="71"/>
      <c r="AH23" s="71"/>
      <c r="AI23" s="313"/>
    </row>
    <row r="24" spans="1:35" ht="18.75">
      <c r="A24" s="68">
        <v>8</v>
      </c>
      <c r="B24" s="69" t="s">
        <v>192</v>
      </c>
      <c r="C24" s="69" t="s">
        <v>64</v>
      </c>
      <c r="D24" s="69" t="s">
        <v>586</v>
      </c>
      <c r="E24" s="69" t="s">
        <v>995</v>
      </c>
      <c r="F24" s="69">
        <v>38.33</v>
      </c>
      <c r="G24" s="70"/>
      <c r="H24" s="70">
        <v>1568.5240000000001</v>
      </c>
      <c r="I24" s="70">
        <f>SUM(G20:G23)</f>
        <v>583.79999999999995</v>
      </c>
      <c r="J24" s="71"/>
      <c r="K24" s="71"/>
      <c r="L24" s="71"/>
      <c r="M24" s="71"/>
      <c r="N24" s="309" t="s">
        <v>134</v>
      </c>
      <c r="O24" s="71"/>
      <c r="P24" s="71"/>
      <c r="Q24" s="70">
        <v>55.472000000000001</v>
      </c>
      <c r="R24" s="69" t="s">
        <v>587</v>
      </c>
      <c r="S24" s="70">
        <v>548.79999999999995</v>
      </c>
      <c r="T24" s="310">
        <v>274.39999999999998</v>
      </c>
      <c r="U24" s="68">
        <v>147</v>
      </c>
      <c r="V24" s="69">
        <v>95</v>
      </c>
      <c r="W24" s="74">
        <v>242</v>
      </c>
      <c r="X24" s="68">
        <v>154</v>
      </c>
      <c r="Y24" s="69">
        <v>102</v>
      </c>
      <c r="Z24" s="74">
        <v>257</v>
      </c>
      <c r="AA24" s="75" t="s">
        <v>588</v>
      </c>
      <c r="AB24" s="76" t="s">
        <v>589</v>
      </c>
      <c r="AC24" s="77">
        <v>288642.478</v>
      </c>
      <c r="AD24" s="311">
        <v>2864255.7880000002</v>
      </c>
      <c r="AE24" s="314"/>
      <c r="AF24" s="256"/>
      <c r="AG24" s="71"/>
      <c r="AH24" s="71"/>
      <c r="AI24" s="313"/>
    </row>
    <row r="25" spans="1:35" ht="18.75">
      <c r="A25" s="68"/>
      <c r="B25" s="69" t="s">
        <v>134</v>
      </c>
      <c r="C25" s="69"/>
      <c r="D25" s="69"/>
      <c r="E25" s="69"/>
      <c r="F25" s="69"/>
      <c r="G25" s="70">
        <v>218</v>
      </c>
      <c r="H25" s="69"/>
      <c r="I25" s="69"/>
      <c r="J25" s="71"/>
      <c r="K25" s="71"/>
      <c r="L25" s="71"/>
      <c r="M25" s="71"/>
      <c r="N25" s="309"/>
      <c r="O25" s="71"/>
      <c r="P25" s="71"/>
      <c r="Q25" s="70"/>
      <c r="R25" s="69"/>
      <c r="S25" s="70"/>
      <c r="T25" s="310"/>
      <c r="U25" s="68"/>
      <c r="V25" s="69"/>
      <c r="W25" s="74"/>
      <c r="X25" s="68"/>
      <c r="Y25" s="69"/>
      <c r="Z25" s="74"/>
      <c r="AA25" s="75"/>
      <c r="AB25" s="76"/>
      <c r="AC25" s="77"/>
      <c r="AD25" s="311"/>
      <c r="AE25" s="314"/>
      <c r="AF25" s="256"/>
      <c r="AG25" s="71"/>
      <c r="AH25" s="71"/>
      <c r="AI25" s="313"/>
    </row>
    <row r="26" spans="1:35" ht="18.75">
      <c r="A26" s="68">
        <v>9</v>
      </c>
      <c r="B26" s="69" t="s">
        <v>134</v>
      </c>
      <c r="C26" s="69" t="s">
        <v>198</v>
      </c>
      <c r="D26" s="69" t="s">
        <v>591</v>
      </c>
      <c r="E26" s="69" t="s">
        <v>995</v>
      </c>
      <c r="F26" s="69">
        <v>37.53</v>
      </c>
      <c r="G26" s="70"/>
      <c r="H26" s="70">
        <v>1786.5240000000001</v>
      </c>
      <c r="I26" s="69" t="s">
        <v>134</v>
      </c>
      <c r="J26" s="71"/>
      <c r="K26" s="71"/>
      <c r="L26" s="71"/>
      <c r="M26" s="71"/>
      <c r="N26" s="309" t="s">
        <v>134</v>
      </c>
      <c r="O26" s="71"/>
      <c r="P26" s="71"/>
      <c r="Q26" s="70">
        <v>56.622</v>
      </c>
      <c r="R26" s="69" t="s">
        <v>134</v>
      </c>
      <c r="S26" s="70">
        <v>438.351</v>
      </c>
      <c r="T26" s="310">
        <v>219.1755</v>
      </c>
      <c r="U26" s="68">
        <v>123</v>
      </c>
      <c r="V26" s="69">
        <v>120</v>
      </c>
      <c r="W26" s="74">
        <v>243</v>
      </c>
      <c r="X26" s="68">
        <v>116</v>
      </c>
      <c r="Y26" s="69">
        <v>115</v>
      </c>
      <c r="Z26" s="74">
        <v>231</v>
      </c>
      <c r="AA26" s="75" t="s">
        <v>592</v>
      </c>
      <c r="AB26" s="76" t="s">
        <v>593</v>
      </c>
      <c r="AC26" s="77">
        <v>288466.79800000001</v>
      </c>
      <c r="AD26" s="311">
        <v>2864384.8640000001</v>
      </c>
      <c r="AE26" s="315"/>
      <c r="AF26" s="256"/>
      <c r="AG26" s="71"/>
      <c r="AH26" s="71"/>
      <c r="AI26" s="313"/>
    </row>
    <row r="27" spans="1:35" ht="18.75">
      <c r="A27" s="68"/>
      <c r="B27" s="69" t="s">
        <v>134</v>
      </c>
      <c r="C27" s="69"/>
      <c r="D27" s="69"/>
      <c r="E27" s="69"/>
      <c r="F27" s="69"/>
      <c r="G27" s="70">
        <v>220.351</v>
      </c>
      <c r="H27" s="69"/>
      <c r="I27" s="69"/>
      <c r="J27" s="71"/>
      <c r="K27" s="71"/>
      <c r="L27" s="71"/>
      <c r="M27" s="71"/>
      <c r="N27" s="309"/>
      <c r="O27" s="71"/>
      <c r="P27" s="71"/>
      <c r="Q27" s="70"/>
      <c r="R27" s="69"/>
      <c r="S27" s="70"/>
      <c r="T27" s="310"/>
      <c r="U27" s="68"/>
      <c r="V27" s="69"/>
      <c r="W27" s="74"/>
      <c r="X27" s="68"/>
      <c r="Y27" s="69"/>
      <c r="Z27" s="74"/>
      <c r="AA27" s="75"/>
      <c r="AB27" s="76"/>
      <c r="AC27" s="77"/>
      <c r="AD27" s="311"/>
      <c r="AE27" s="314"/>
      <c r="AF27" s="256"/>
      <c r="AG27" s="71"/>
      <c r="AH27" s="71"/>
      <c r="AI27" s="313"/>
    </row>
    <row r="28" spans="1:35" ht="18.75">
      <c r="A28" s="68">
        <v>10</v>
      </c>
      <c r="B28" s="69" t="s">
        <v>207</v>
      </c>
      <c r="C28" s="69" t="s">
        <v>65</v>
      </c>
      <c r="D28" s="69" t="s">
        <v>573</v>
      </c>
      <c r="E28" s="69" t="s">
        <v>995</v>
      </c>
      <c r="F28" s="69">
        <v>38.33</v>
      </c>
      <c r="G28" s="70"/>
      <c r="H28" s="70">
        <v>2006.875</v>
      </c>
      <c r="I28" s="70">
        <f>SUM(G24:G27)</f>
        <v>438.351</v>
      </c>
      <c r="J28" s="71"/>
      <c r="K28" s="71"/>
      <c r="L28" s="71"/>
      <c r="M28" s="71"/>
      <c r="N28" s="309" t="s">
        <v>134</v>
      </c>
      <c r="O28" s="71"/>
      <c r="P28" s="71"/>
      <c r="Q28" s="70">
        <v>55.875999999999998</v>
      </c>
      <c r="R28" s="69" t="s">
        <v>595</v>
      </c>
      <c r="S28" s="70">
        <v>410.351</v>
      </c>
      <c r="T28" s="310">
        <v>205.1755</v>
      </c>
      <c r="U28" s="68">
        <v>101</v>
      </c>
      <c r="V28" s="69">
        <v>55</v>
      </c>
      <c r="W28" s="74">
        <v>156</v>
      </c>
      <c r="X28" s="68">
        <v>106</v>
      </c>
      <c r="Y28" s="69">
        <v>72</v>
      </c>
      <c r="Z28" s="74">
        <v>178</v>
      </c>
      <c r="AA28" s="75" t="s">
        <v>596</v>
      </c>
      <c r="AB28" s="76" t="s">
        <v>597</v>
      </c>
      <c r="AC28" s="77">
        <v>288289.22399999999</v>
      </c>
      <c r="AD28" s="311">
        <v>2864515.3319999999</v>
      </c>
      <c r="AE28" s="314"/>
      <c r="AF28" s="256"/>
      <c r="AG28" s="71"/>
      <c r="AH28" s="71"/>
      <c r="AI28" s="313"/>
    </row>
    <row r="29" spans="1:35" ht="18.75">
      <c r="A29" s="68"/>
      <c r="B29" s="69" t="s">
        <v>134</v>
      </c>
      <c r="C29" s="69"/>
      <c r="D29" s="69"/>
      <c r="E29" s="69"/>
      <c r="F29" s="69"/>
      <c r="G29" s="70">
        <v>190</v>
      </c>
      <c r="H29" s="69"/>
      <c r="I29" s="69"/>
      <c r="J29" s="71"/>
      <c r="K29" s="71"/>
      <c r="L29" s="71"/>
      <c r="M29" s="71"/>
      <c r="N29" s="309"/>
      <c r="O29" s="71"/>
      <c r="P29" s="71"/>
      <c r="Q29" s="70"/>
      <c r="R29" s="69"/>
      <c r="S29" s="70"/>
      <c r="T29" s="310"/>
      <c r="U29" s="68"/>
      <c r="V29" s="69"/>
      <c r="W29" s="74"/>
      <c r="X29" s="68"/>
      <c r="Y29" s="69"/>
      <c r="Z29" s="74"/>
      <c r="AA29" s="75"/>
      <c r="AB29" s="76"/>
      <c r="AC29" s="77"/>
      <c r="AD29" s="311"/>
      <c r="AE29" s="314"/>
      <c r="AF29" s="256"/>
      <c r="AG29" s="71"/>
      <c r="AH29" s="71"/>
      <c r="AI29" s="313"/>
    </row>
    <row r="30" spans="1:35" ht="61.9" customHeight="1">
      <c r="A30" s="68">
        <v>11</v>
      </c>
      <c r="B30" s="69" t="s">
        <v>134</v>
      </c>
      <c r="C30" s="69" t="s">
        <v>598</v>
      </c>
      <c r="D30" s="69" t="s">
        <v>582</v>
      </c>
      <c r="E30" s="69" t="s">
        <v>995</v>
      </c>
      <c r="F30" s="69">
        <v>40.53</v>
      </c>
      <c r="G30" s="70"/>
      <c r="H30" s="70">
        <v>2196.875</v>
      </c>
      <c r="I30" s="69" t="s">
        <v>134</v>
      </c>
      <c r="J30" s="71"/>
      <c r="K30" s="71"/>
      <c r="L30" s="71"/>
      <c r="M30" s="71"/>
      <c r="N30" s="309" t="s">
        <v>134</v>
      </c>
      <c r="O30" s="71"/>
      <c r="P30" s="71"/>
      <c r="Q30" s="70">
        <v>56.057000000000002</v>
      </c>
      <c r="R30" s="69" t="s">
        <v>134</v>
      </c>
      <c r="S30" s="70">
        <v>450</v>
      </c>
      <c r="T30" s="310">
        <v>225</v>
      </c>
      <c r="U30" s="68">
        <v>135</v>
      </c>
      <c r="V30" s="69">
        <v>100</v>
      </c>
      <c r="W30" s="74">
        <v>235</v>
      </c>
      <c r="X30" s="68">
        <v>118</v>
      </c>
      <c r="Y30" s="69">
        <v>113</v>
      </c>
      <c r="Z30" s="74">
        <v>231</v>
      </c>
      <c r="AA30" s="75" t="s">
        <v>599</v>
      </c>
      <c r="AB30" s="76" t="s">
        <v>600</v>
      </c>
      <c r="AC30" s="77">
        <v>288104.125</v>
      </c>
      <c r="AD30" s="311">
        <v>2864558.2080000001</v>
      </c>
      <c r="AE30" s="315"/>
      <c r="AF30" s="256"/>
      <c r="AG30" s="71"/>
      <c r="AH30" s="71"/>
      <c r="AI30" s="316" t="s">
        <v>601</v>
      </c>
    </row>
    <row r="31" spans="1:35" ht="18.75">
      <c r="A31" s="68"/>
      <c r="B31" s="69" t="s">
        <v>134</v>
      </c>
      <c r="C31" s="69"/>
      <c r="D31" s="69"/>
      <c r="E31" s="69"/>
      <c r="F31" s="69"/>
      <c r="G31" s="70">
        <v>260</v>
      </c>
      <c r="H31" s="69"/>
      <c r="I31" s="69"/>
      <c r="J31" s="71"/>
      <c r="K31" s="71"/>
      <c r="L31" s="71"/>
      <c r="M31" s="71"/>
      <c r="N31" s="309"/>
      <c r="O31" s="71"/>
      <c r="P31" s="71"/>
      <c r="Q31" s="70"/>
      <c r="R31" s="69"/>
      <c r="S31" s="70"/>
      <c r="T31" s="310"/>
      <c r="U31" s="68"/>
      <c r="V31" s="69"/>
      <c r="W31" s="74"/>
      <c r="X31" s="68"/>
      <c r="Y31" s="69"/>
      <c r="Z31" s="74"/>
      <c r="AA31" s="75"/>
      <c r="AB31" s="76"/>
      <c r="AC31" s="77"/>
      <c r="AD31" s="311"/>
      <c r="AE31" s="314" t="s">
        <v>578</v>
      </c>
      <c r="AF31" s="256"/>
      <c r="AG31" s="71"/>
      <c r="AH31" s="71"/>
      <c r="AI31" s="313"/>
    </row>
    <row r="32" spans="1:35" ht="18.75">
      <c r="A32" s="68">
        <v>12</v>
      </c>
      <c r="B32" s="69" t="s">
        <v>134</v>
      </c>
      <c r="C32" s="69" t="s">
        <v>602</v>
      </c>
      <c r="D32" s="69" t="s">
        <v>603</v>
      </c>
      <c r="E32" s="69" t="s">
        <v>982</v>
      </c>
      <c r="F32" s="69">
        <v>43.53</v>
      </c>
      <c r="G32" s="70"/>
      <c r="H32" s="70">
        <v>2456.875</v>
      </c>
      <c r="I32" s="69" t="s">
        <v>134</v>
      </c>
      <c r="J32" s="71"/>
      <c r="K32" s="71"/>
      <c r="L32" s="71"/>
      <c r="M32" s="71"/>
      <c r="N32" s="309" t="s">
        <v>134</v>
      </c>
      <c r="O32" s="71"/>
      <c r="P32" s="71"/>
      <c r="Q32" s="70">
        <v>56.426000000000002</v>
      </c>
      <c r="R32" s="69" t="s">
        <v>134</v>
      </c>
      <c r="S32" s="70">
        <v>583.05200000000002</v>
      </c>
      <c r="T32" s="310">
        <v>291.52600000000001</v>
      </c>
      <c r="U32" s="68">
        <v>160</v>
      </c>
      <c r="V32" s="69">
        <v>170</v>
      </c>
      <c r="W32" s="74">
        <v>330</v>
      </c>
      <c r="X32" s="68">
        <v>148</v>
      </c>
      <c r="Y32" s="69">
        <v>167</v>
      </c>
      <c r="Z32" s="74">
        <v>314</v>
      </c>
      <c r="AA32" s="75" t="s">
        <v>604</v>
      </c>
      <c r="AB32" s="76" t="s">
        <v>605</v>
      </c>
      <c r="AC32" s="77">
        <v>287850.83199999999</v>
      </c>
      <c r="AD32" s="311">
        <v>2864616.8810000001</v>
      </c>
      <c r="AE32" s="314"/>
      <c r="AF32" s="256"/>
      <c r="AG32" s="71"/>
      <c r="AH32" s="71"/>
      <c r="AI32" s="313"/>
    </row>
    <row r="33" spans="1:35" ht="18.75">
      <c r="A33" s="68"/>
      <c r="B33" s="69" t="s">
        <v>134</v>
      </c>
      <c r="C33" s="69"/>
      <c r="D33" s="69"/>
      <c r="E33" s="69"/>
      <c r="F33" s="69"/>
      <c r="G33" s="70">
        <v>323.05200000000002</v>
      </c>
      <c r="H33" s="69"/>
      <c r="I33" s="69"/>
      <c r="J33" s="71"/>
      <c r="K33" s="71"/>
      <c r="L33" s="71"/>
      <c r="M33" s="71"/>
      <c r="N33" s="309"/>
      <c r="O33" s="71"/>
      <c r="P33" s="71"/>
      <c r="Q33" s="70"/>
      <c r="R33" s="69"/>
      <c r="S33" s="70"/>
      <c r="T33" s="310"/>
      <c r="U33" s="68"/>
      <c r="V33" s="69"/>
      <c r="W33" s="74"/>
      <c r="X33" s="68"/>
      <c r="Y33" s="69"/>
      <c r="Z33" s="74"/>
      <c r="AA33" s="75"/>
      <c r="AB33" s="76"/>
      <c r="AC33" s="77"/>
      <c r="AD33" s="311"/>
      <c r="AE33" s="314" t="s">
        <v>606</v>
      </c>
      <c r="AF33" s="256"/>
      <c r="AG33" s="71"/>
      <c r="AH33" s="71"/>
      <c r="AI33" s="313"/>
    </row>
    <row r="34" spans="1:35" ht="18.75">
      <c r="A34" s="68">
        <v>13</v>
      </c>
      <c r="B34" s="69" t="s">
        <v>212</v>
      </c>
      <c r="C34" s="69" t="s">
        <v>213</v>
      </c>
      <c r="D34" s="69" t="s">
        <v>607</v>
      </c>
      <c r="E34" s="69" t="s">
        <v>982</v>
      </c>
      <c r="F34" s="69">
        <v>44.33</v>
      </c>
      <c r="G34" s="70"/>
      <c r="H34" s="70">
        <v>2779.9270000000001</v>
      </c>
      <c r="I34" s="70">
        <f>SUM(G28:G33)</f>
        <v>773.05200000000002</v>
      </c>
      <c r="J34" s="71"/>
      <c r="K34" s="71"/>
      <c r="L34" s="71"/>
      <c r="M34" s="71"/>
      <c r="N34" s="309" t="s">
        <v>134</v>
      </c>
      <c r="O34" s="71"/>
      <c r="P34" s="71"/>
      <c r="Q34" s="70">
        <v>55.334000000000003</v>
      </c>
      <c r="R34" s="69" t="s">
        <v>608</v>
      </c>
      <c r="S34" s="70">
        <v>569.07500000000005</v>
      </c>
      <c r="T34" s="310">
        <v>284.53750000000002</v>
      </c>
      <c r="U34" s="68">
        <v>153</v>
      </c>
      <c r="V34" s="69">
        <v>189</v>
      </c>
      <c r="W34" s="74">
        <v>342</v>
      </c>
      <c r="X34" s="68">
        <v>157</v>
      </c>
      <c r="Y34" s="69">
        <v>159</v>
      </c>
      <c r="Z34" s="74">
        <v>316</v>
      </c>
      <c r="AA34" s="75" t="s">
        <v>609</v>
      </c>
      <c r="AB34" s="76" t="s">
        <v>610</v>
      </c>
      <c r="AC34" s="77">
        <v>287536.11300000001</v>
      </c>
      <c r="AD34" s="311">
        <v>2864689.7829999998</v>
      </c>
      <c r="AE34" s="314"/>
      <c r="AF34" s="256"/>
      <c r="AG34" s="71"/>
      <c r="AH34" s="71"/>
      <c r="AI34" s="313"/>
    </row>
    <row r="35" spans="1:35" ht="18.75">
      <c r="A35" s="68"/>
      <c r="B35" s="69" t="s">
        <v>134</v>
      </c>
      <c r="C35" s="69"/>
      <c r="D35" s="69"/>
      <c r="E35" s="69"/>
      <c r="F35" s="69"/>
      <c r="G35" s="70">
        <v>246.023</v>
      </c>
      <c r="H35" s="69"/>
      <c r="I35" s="69"/>
      <c r="J35" s="71"/>
      <c r="K35" s="71"/>
      <c r="L35" s="71"/>
      <c r="M35" s="71"/>
      <c r="N35" s="309"/>
      <c r="O35" s="71"/>
      <c r="P35" s="71"/>
      <c r="Q35" s="70"/>
      <c r="R35" s="69"/>
      <c r="S35" s="70"/>
      <c r="T35" s="310"/>
      <c r="U35" s="68"/>
      <c r="V35" s="69"/>
      <c r="W35" s="74"/>
      <c r="X35" s="68"/>
      <c r="Y35" s="69"/>
      <c r="Z35" s="74"/>
      <c r="AA35" s="75"/>
      <c r="AB35" s="76"/>
      <c r="AC35" s="77"/>
      <c r="AD35" s="311"/>
      <c r="AE35" s="314" t="s">
        <v>217</v>
      </c>
      <c r="AF35" s="256"/>
      <c r="AG35" s="71"/>
      <c r="AH35" s="71"/>
      <c r="AI35" s="313"/>
    </row>
    <row r="36" spans="1:35" ht="18.75">
      <c r="A36" s="68">
        <v>14</v>
      </c>
      <c r="B36" s="69" t="s">
        <v>218</v>
      </c>
      <c r="C36" s="69" t="s">
        <v>66</v>
      </c>
      <c r="D36" s="69" t="s">
        <v>586</v>
      </c>
      <c r="E36" s="69" t="s">
        <v>982</v>
      </c>
      <c r="F36" s="69">
        <v>38.33</v>
      </c>
      <c r="G36" s="70"/>
      <c r="H36" s="70">
        <v>3025.9500000000003</v>
      </c>
      <c r="I36" s="70">
        <f>SUM(G34:G35)</f>
        <v>246.023</v>
      </c>
      <c r="J36" s="71"/>
      <c r="K36" s="71"/>
      <c r="L36" s="71"/>
      <c r="M36" s="71"/>
      <c r="N36" s="309" t="s">
        <v>134</v>
      </c>
      <c r="O36" s="71"/>
      <c r="P36" s="71"/>
      <c r="Q36" s="70">
        <v>54.551000000000002</v>
      </c>
      <c r="R36" s="69" t="s">
        <v>611</v>
      </c>
      <c r="S36" s="70">
        <v>501.02300000000002</v>
      </c>
      <c r="T36" s="310">
        <v>250.51150000000001</v>
      </c>
      <c r="U36" s="68">
        <v>57</v>
      </c>
      <c r="V36" s="69">
        <v>102</v>
      </c>
      <c r="W36" s="74">
        <v>159</v>
      </c>
      <c r="X36" s="68">
        <v>88</v>
      </c>
      <c r="Y36" s="69">
        <v>114</v>
      </c>
      <c r="Z36" s="74">
        <v>202</v>
      </c>
      <c r="AA36" s="75" t="s">
        <v>612</v>
      </c>
      <c r="AB36" s="76" t="s">
        <v>613</v>
      </c>
      <c r="AC36" s="77">
        <v>287352.28399999999</v>
      </c>
      <c r="AD36" s="311">
        <v>2864853.2889999999</v>
      </c>
      <c r="AE36" s="314"/>
      <c r="AF36" s="256"/>
      <c r="AG36" s="71"/>
      <c r="AH36" s="71"/>
      <c r="AI36" s="313"/>
    </row>
    <row r="37" spans="1:35" ht="18.75">
      <c r="A37" s="68"/>
      <c r="B37" s="69" t="s">
        <v>134</v>
      </c>
      <c r="C37" s="69"/>
      <c r="D37" s="69"/>
      <c r="E37" s="69"/>
      <c r="F37" s="69"/>
      <c r="G37" s="70">
        <v>255</v>
      </c>
      <c r="H37" s="69"/>
      <c r="I37" s="69"/>
      <c r="J37" s="71"/>
      <c r="K37" s="71"/>
      <c r="L37" s="71"/>
      <c r="M37" s="71"/>
      <c r="N37" s="309"/>
      <c r="O37" s="71"/>
      <c r="P37" s="71"/>
      <c r="Q37" s="70"/>
      <c r="R37" s="69"/>
      <c r="S37" s="70"/>
      <c r="T37" s="310"/>
      <c r="U37" s="68"/>
      <c r="V37" s="69"/>
      <c r="W37" s="74"/>
      <c r="X37" s="68"/>
      <c r="Y37" s="69"/>
      <c r="Z37" s="74"/>
      <c r="AA37" s="75"/>
      <c r="AB37" s="76"/>
      <c r="AC37" s="77"/>
      <c r="AD37" s="311"/>
      <c r="AE37" s="314" t="s">
        <v>615</v>
      </c>
      <c r="AF37" s="256"/>
      <c r="AG37" s="71"/>
      <c r="AH37" s="71"/>
      <c r="AI37" s="313"/>
    </row>
    <row r="38" spans="1:35" ht="65.45" customHeight="1">
      <c r="A38" s="68">
        <v>15</v>
      </c>
      <c r="B38" s="69" t="s">
        <v>134</v>
      </c>
      <c r="C38" s="69" t="s">
        <v>616</v>
      </c>
      <c r="D38" s="69" t="s">
        <v>582</v>
      </c>
      <c r="E38" s="69" t="s">
        <v>995</v>
      </c>
      <c r="F38" s="69">
        <v>40.53</v>
      </c>
      <c r="G38" s="70"/>
      <c r="H38" s="70">
        <v>3280.9500000000003</v>
      </c>
      <c r="I38" s="69" t="s">
        <v>134</v>
      </c>
      <c r="J38" s="71"/>
      <c r="K38" s="71"/>
      <c r="L38" s="71"/>
      <c r="M38" s="71"/>
      <c r="N38" s="309" t="s">
        <v>134</v>
      </c>
      <c r="O38" s="71"/>
      <c r="P38" s="71"/>
      <c r="Q38" s="70">
        <v>54.201000000000001</v>
      </c>
      <c r="R38" s="69" t="s">
        <v>134</v>
      </c>
      <c r="S38" s="70">
        <v>407</v>
      </c>
      <c r="T38" s="310">
        <v>203.5</v>
      </c>
      <c r="U38" s="68">
        <v>153</v>
      </c>
      <c r="V38" s="69">
        <v>70</v>
      </c>
      <c r="W38" s="74">
        <v>223</v>
      </c>
      <c r="X38" s="68">
        <v>142</v>
      </c>
      <c r="Y38" s="69">
        <v>73</v>
      </c>
      <c r="Z38" s="74">
        <v>215</v>
      </c>
      <c r="AA38" s="75" t="s">
        <v>617</v>
      </c>
      <c r="AB38" s="76" t="s">
        <v>618</v>
      </c>
      <c r="AC38" s="77">
        <v>287281.05800000002</v>
      </c>
      <c r="AD38" s="311">
        <v>2865098.14</v>
      </c>
      <c r="AE38" s="314"/>
      <c r="AF38" s="256"/>
      <c r="AG38" s="71"/>
      <c r="AH38" s="71"/>
      <c r="AI38" s="316" t="s">
        <v>601</v>
      </c>
    </row>
    <row r="39" spans="1:35" ht="18.75">
      <c r="A39" s="68"/>
      <c r="B39" s="69" t="s">
        <v>134</v>
      </c>
      <c r="C39" s="69"/>
      <c r="D39" s="69"/>
      <c r="E39" s="69"/>
      <c r="F39" s="69"/>
      <c r="G39" s="70">
        <v>152</v>
      </c>
      <c r="H39" s="69"/>
      <c r="I39" s="69"/>
      <c r="J39" s="71"/>
      <c r="K39" s="71"/>
      <c r="L39" s="71"/>
      <c r="M39" s="71"/>
      <c r="N39" s="309"/>
      <c r="O39" s="71"/>
      <c r="P39" s="71"/>
      <c r="Q39" s="70"/>
      <c r="R39" s="69"/>
      <c r="S39" s="70"/>
      <c r="T39" s="310"/>
      <c r="U39" s="68"/>
      <c r="V39" s="69"/>
      <c r="W39" s="74"/>
      <c r="X39" s="68"/>
      <c r="Y39" s="69"/>
      <c r="Z39" s="74"/>
      <c r="AA39" s="75"/>
      <c r="AB39" s="76"/>
      <c r="AC39" s="77"/>
      <c r="AD39" s="311"/>
      <c r="AE39" s="314" t="s">
        <v>620</v>
      </c>
      <c r="AF39" s="256"/>
      <c r="AG39" s="71"/>
      <c r="AH39" s="71"/>
      <c r="AI39" s="313"/>
    </row>
    <row r="40" spans="1:35" ht="62.45" customHeight="1">
      <c r="A40" s="68">
        <v>16</v>
      </c>
      <c r="B40" s="69" t="s">
        <v>134</v>
      </c>
      <c r="C40" s="69" t="s">
        <v>621</v>
      </c>
      <c r="D40" s="69" t="s">
        <v>582</v>
      </c>
      <c r="E40" s="69" t="s">
        <v>995</v>
      </c>
      <c r="F40" s="69">
        <v>40.53</v>
      </c>
      <c r="G40" s="70"/>
      <c r="H40" s="70">
        <v>3432.9500000000003</v>
      </c>
      <c r="I40" s="69" t="s">
        <v>134</v>
      </c>
      <c r="J40" s="71"/>
      <c r="K40" s="71"/>
      <c r="L40" s="71"/>
      <c r="M40" s="71"/>
      <c r="N40" s="309" t="s">
        <v>134</v>
      </c>
      <c r="O40" s="71"/>
      <c r="P40" s="71"/>
      <c r="Q40" s="70">
        <v>54.569000000000003</v>
      </c>
      <c r="R40" s="69" t="s">
        <v>134</v>
      </c>
      <c r="S40" s="70">
        <v>446.49799999999999</v>
      </c>
      <c r="T40" s="310">
        <v>223.249</v>
      </c>
      <c r="U40" s="68">
        <v>82</v>
      </c>
      <c r="V40" s="69">
        <v>172</v>
      </c>
      <c r="W40" s="74">
        <v>253</v>
      </c>
      <c r="X40" s="68">
        <v>79</v>
      </c>
      <c r="Y40" s="69">
        <v>161</v>
      </c>
      <c r="Z40" s="74">
        <v>240</v>
      </c>
      <c r="AA40" s="75" t="s">
        <v>622</v>
      </c>
      <c r="AB40" s="76" t="s">
        <v>623</v>
      </c>
      <c r="AC40" s="77">
        <v>287238.60100000002</v>
      </c>
      <c r="AD40" s="311">
        <v>2865244.0890000002</v>
      </c>
      <c r="AE40" s="315"/>
      <c r="AF40" s="256"/>
      <c r="AG40" s="71"/>
      <c r="AH40" s="71"/>
      <c r="AI40" s="316" t="s">
        <v>601</v>
      </c>
    </row>
    <row r="41" spans="1:35" ht="18.75">
      <c r="A41" s="68"/>
      <c r="B41" s="69" t="s">
        <v>134</v>
      </c>
      <c r="C41" s="69"/>
      <c r="D41" s="69"/>
      <c r="E41" s="69"/>
      <c r="F41" s="69"/>
      <c r="G41" s="70">
        <v>294.49799999999999</v>
      </c>
      <c r="H41" s="69"/>
      <c r="I41" s="69"/>
      <c r="J41" s="71"/>
      <c r="K41" s="71"/>
      <c r="L41" s="71"/>
      <c r="M41" s="71"/>
      <c r="N41" s="309"/>
      <c r="O41" s="71"/>
      <c r="P41" s="71"/>
      <c r="Q41" s="70"/>
      <c r="R41" s="69"/>
      <c r="S41" s="70"/>
      <c r="T41" s="310"/>
      <c r="U41" s="68"/>
      <c r="V41" s="69"/>
      <c r="W41" s="74"/>
      <c r="X41" s="68"/>
      <c r="Y41" s="69"/>
      <c r="Z41" s="74"/>
      <c r="AA41" s="75"/>
      <c r="AB41" s="76"/>
      <c r="AC41" s="77"/>
      <c r="AD41" s="311"/>
      <c r="AE41" s="314" t="s">
        <v>624</v>
      </c>
      <c r="AF41" s="256"/>
      <c r="AG41" s="71"/>
      <c r="AH41" s="71"/>
      <c r="AI41" s="313"/>
    </row>
    <row r="42" spans="1:35" ht="18.75">
      <c r="A42" s="68">
        <v>17</v>
      </c>
      <c r="B42" s="69" t="s">
        <v>223</v>
      </c>
      <c r="C42" s="69" t="s">
        <v>224</v>
      </c>
      <c r="D42" s="69" t="s">
        <v>573</v>
      </c>
      <c r="E42" s="69" t="s">
        <v>995</v>
      </c>
      <c r="F42" s="69">
        <v>38.33</v>
      </c>
      <c r="G42" s="70"/>
      <c r="H42" s="70">
        <v>3727.4480000000003</v>
      </c>
      <c r="I42" s="70">
        <f>SUM(G36:G41)</f>
        <v>701.49800000000005</v>
      </c>
      <c r="J42" s="71"/>
      <c r="K42" s="71"/>
      <c r="L42" s="71"/>
      <c r="M42" s="71"/>
      <c r="N42" s="309" t="s">
        <v>134</v>
      </c>
      <c r="O42" s="71"/>
      <c r="P42" s="71"/>
      <c r="Q42" s="70">
        <v>54.658999999999999</v>
      </c>
      <c r="R42" s="69" t="s">
        <v>625</v>
      </c>
      <c r="S42" s="70">
        <v>563.49800000000005</v>
      </c>
      <c r="T42" s="310">
        <v>281.74900000000002</v>
      </c>
      <c r="U42" s="68">
        <v>123</v>
      </c>
      <c r="V42" s="69">
        <v>110</v>
      </c>
      <c r="W42" s="74">
        <v>233</v>
      </c>
      <c r="X42" s="68">
        <v>134</v>
      </c>
      <c r="Y42" s="69">
        <v>120</v>
      </c>
      <c r="Z42" s="74">
        <v>254</v>
      </c>
      <c r="AA42" s="75" t="s">
        <v>626</v>
      </c>
      <c r="AB42" s="76" t="s">
        <v>627</v>
      </c>
      <c r="AC42" s="77">
        <v>287156.342</v>
      </c>
      <c r="AD42" s="311">
        <v>2865526.8659999999</v>
      </c>
      <c r="AE42" s="314"/>
      <c r="AF42" s="256"/>
      <c r="AG42" s="71"/>
      <c r="AH42" s="71"/>
      <c r="AI42" s="313"/>
    </row>
    <row r="43" spans="1:35" ht="18.75">
      <c r="A43" s="68"/>
      <c r="B43" s="69" t="s">
        <v>134</v>
      </c>
      <c r="C43" s="69"/>
      <c r="D43" s="69"/>
      <c r="E43" s="69"/>
      <c r="F43" s="69"/>
      <c r="G43" s="70">
        <v>269</v>
      </c>
      <c r="H43" s="69"/>
      <c r="I43" s="69"/>
      <c r="J43" s="71"/>
      <c r="K43" s="71"/>
      <c r="L43" s="71"/>
      <c r="M43" s="71"/>
      <c r="N43" s="309"/>
      <c r="O43" s="71"/>
      <c r="P43" s="71"/>
      <c r="Q43" s="70"/>
      <c r="R43" s="69"/>
      <c r="S43" s="70"/>
      <c r="T43" s="310"/>
      <c r="U43" s="68"/>
      <c r="V43" s="69"/>
      <c r="W43" s="74"/>
      <c r="X43" s="68"/>
      <c r="Y43" s="69"/>
      <c r="Z43" s="74"/>
      <c r="AA43" s="75"/>
      <c r="AB43" s="76"/>
      <c r="AC43" s="77"/>
      <c r="AD43" s="311"/>
      <c r="AE43" s="314" t="s">
        <v>313</v>
      </c>
      <c r="AF43" s="256"/>
      <c r="AG43" s="71"/>
      <c r="AH43" s="71"/>
      <c r="AI43" s="313"/>
    </row>
    <row r="44" spans="1:35" ht="18.75">
      <c r="A44" s="68">
        <v>18</v>
      </c>
      <c r="B44" s="69" t="s">
        <v>134</v>
      </c>
      <c r="C44" s="69" t="s">
        <v>230</v>
      </c>
      <c r="D44" s="69" t="s">
        <v>582</v>
      </c>
      <c r="E44" s="69" t="s">
        <v>995</v>
      </c>
      <c r="F44" s="69">
        <v>40.53</v>
      </c>
      <c r="G44" s="70"/>
      <c r="H44" s="70">
        <v>3996.4480000000003</v>
      </c>
      <c r="I44" s="69" t="s">
        <v>134</v>
      </c>
      <c r="J44" s="71"/>
      <c r="K44" s="71"/>
      <c r="L44" s="71"/>
      <c r="M44" s="71"/>
      <c r="N44" s="309" t="s">
        <v>134</v>
      </c>
      <c r="O44" s="71"/>
      <c r="P44" s="71"/>
      <c r="Q44" s="70">
        <v>54.457999999999998</v>
      </c>
      <c r="R44" s="69" t="s">
        <v>134</v>
      </c>
      <c r="S44" s="70">
        <v>602</v>
      </c>
      <c r="T44" s="310">
        <v>301</v>
      </c>
      <c r="U44" s="68">
        <v>159</v>
      </c>
      <c r="V44" s="69">
        <v>168</v>
      </c>
      <c r="W44" s="74">
        <v>327</v>
      </c>
      <c r="X44" s="68">
        <v>149</v>
      </c>
      <c r="Y44" s="69">
        <v>168</v>
      </c>
      <c r="Z44" s="74">
        <v>317</v>
      </c>
      <c r="AA44" s="75" t="s">
        <v>629</v>
      </c>
      <c r="AB44" s="76" t="s">
        <v>630</v>
      </c>
      <c r="AC44" s="77">
        <v>287184.94500000001</v>
      </c>
      <c r="AD44" s="311">
        <v>2865794.341</v>
      </c>
      <c r="AE44" s="314"/>
      <c r="AF44" s="256"/>
      <c r="AG44" s="71"/>
      <c r="AH44" s="71"/>
      <c r="AI44" s="313"/>
    </row>
    <row r="45" spans="1:35" ht="18.75">
      <c r="A45" s="68"/>
      <c r="B45" s="69" t="s">
        <v>134</v>
      </c>
      <c r="C45" s="69"/>
      <c r="D45" s="69"/>
      <c r="E45" s="69"/>
      <c r="F45" s="69"/>
      <c r="G45" s="70">
        <v>333</v>
      </c>
      <c r="H45" s="69"/>
      <c r="I45" s="69"/>
      <c r="J45" s="71"/>
      <c r="K45" s="71"/>
      <c r="L45" s="71"/>
      <c r="M45" s="71"/>
      <c r="N45" s="309"/>
      <c r="O45" s="71"/>
      <c r="P45" s="71"/>
      <c r="Q45" s="70"/>
      <c r="R45" s="69"/>
      <c r="S45" s="70"/>
      <c r="T45" s="310"/>
      <c r="U45" s="68"/>
      <c r="V45" s="69"/>
      <c r="W45" s="74"/>
      <c r="X45" s="68"/>
      <c r="Y45" s="69"/>
      <c r="Z45" s="74"/>
      <c r="AA45" s="75"/>
      <c r="AB45" s="76"/>
      <c r="AC45" s="77"/>
      <c r="AD45" s="311"/>
      <c r="AE45" s="314" t="s">
        <v>578</v>
      </c>
      <c r="AF45" s="256"/>
      <c r="AG45" s="71"/>
      <c r="AH45" s="71"/>
      <c r="AI45" s="313"/>
    </row>
    <row r="46" spans="1:35" ht="18.75">
      <c r="A46" s="68">
        <v>19</v>
      </c>
      <c r="B46" s="69" t="s">
        <v>134</v>
      </c>
      <c r="C46" s="69" t="s">
        <v>234</v>
      </c>
      <c r="D46" s="69" t="s">
        <v>582</v>
      </c>
      <c r="E46" s="69" t="s">
        <v>995</v>
      </c>
      <c r="F46" s="69">
        <v>40.53</v>
      </c>
      <c r="G46" s="70"/>
      <c r="H46" s="70">
        <v>4329.4480000000003</v>
      </c>
      <c r="I46" s="69" t="s">
        <v>134</v>
      </c>
      <c r="J46" s="71"/>
      <c r="K46" s="71"/>
      <c r="L46" s="71"/>
      <c r="M46" s="71"/>
      <c r="N46" s="309" t="s">
        <v>134</v>
      </c>
      <c r="O46" s="71"/>
      <c r="P46" s="71"/>
      <c r="Q46" s="70">
        <v>54.264000000000003</v>
      </c>
      <c r="R46" s="69" t="s">
        <v>134</v>
      </c>
      <c r="S46" s="70">
        <v>590</v>
      </c>
      <c r="T46" s="310">
        <v>295</v>
      </c>
      <c r="U46" s="68">
        <v>165</v>
      </c>
      <c r="V46" s="69">
        <v>147</v>
      </c>
      <c r="W46" s="74">
        <v>312</v>
      </c>
      <c r="X46" s="68">
        <v>166</v>
      </c>
      <c r="Y46" s="69">
        <v>140</v>
      </c>
      <c r="Z46" s="74">
        <v>306</v>
      </c>
      <c r="AA46" s="75" t="s">
        <v>631</v>
      </c>
      <c r="AB46" s="76" t="s">
        <v>632</v>
      </c>
      <c r="AC46" s="77">
        <v>287220.353</v>
      </c>
      <c r="AD46" s="311">
        <v>2866125.4530000002</v>
      </c>
      <c r="AE46" s="314"/>
      <c r="AF46" s="256"/>
      <c r="AG46" s="71"/>
      <c r="AH46" s="71"/>
      <c r="AI46" s="313"/>
    </row>
    <row r="47" spans="1:35" ht="18.75">
      <c r="A47" s="68"/>
      <c r="B47" s="69" t="s">
        <v>134</v>
      </c>
      <c r="C47" s="69"/>
      <c r="D47" s="69"/>
      <c r="E47" s="69"/>
      <c r="F47" s="69"/>
      <c r="G47" s="70">
        <v>257</v>
      </c>
      <c r="H47" s="69"/>
      <c r="I47" s="69"/>
      <c r="J47" s="71"/>
      <c r="K47" s="71"/>
      <c r="L47" s="71"/>
      <c r="M47" s="71"/>
      <c r="N47" s="309"/>
      <c r="O47" s="71"/>
      <c r="P47" s="71"/>
      <c r="Q47" s="70"/>
      <c r="R47" s="69"/>
      <c r="S47" s="70"/>
      <c r="T47" s="310"/>
      <c r="U47" s="68"/>
      <c r="V47" s="69"/>
      <c r="W47" s="74"/>
      <c r="X47" s="68"/>
      <c r="Y47" s="69"/>
      <c r="Z47" s="74"/>
      <c r="AA47" s="75"/>
      <c r="AB47" s="76"/>
      <c r="AC47" s="77"/>
      <c r="AD47" s="311"/>
      <c r="AE47" s="314" t="s">
        <v>633</v>
      </c>
      <c r="AF47" s="256"/>
      <c r="AG47" s="71"/>
      <c r="AH47" s="71"/>
      <c r="AI47" s="313"/>
    </row>
    <row r="48" spans="1:35" ht="18.75">
      <c r="A48" s="68">
        <v>20</v>
      </c>
      <c r="B48" s="69" t="s">
        <v>134</v>
      </c>
      <c r="C48" s="69" t="s">
        <v>239</v>
      </c>
      <c r="D48" s="69" t="s">
        <v>591</v>
      </c>
      <c r="E48" s="69" t="s">
        <v>995</v>
      </c>
      <c r="F48" s="69">
        <v>37.53</v>
      </c>
      <c r="G48" s="70"/>
      <c r="H48" s="70">
        <v>4586.4480000000003</v>
      </c>
      <c r="I48" s="69" t="s">
        <v>134</v>
      </c>
      <c r="J48" s="71"/>
      <c r="K48" s="71"/>
      <c r="L48" s="71"/>
      <c r="M48" s="71"/>
      <c r="N48" s="309" t="s">
        <v>134</v>
      </c>
      <c r="O48" s="71"/>
      <c r="P48" s="71"/>
      <c r="Q48" s="70">
        <v>55.203000000000003</v>
      </c>
      <c r="R48" s="69" t="s">
        <v>134</v>
      </c>
      <c r="S48" s="70">
        <v>554</v>
      </c>
      <c r="T48" s="310">
        <v>277</v>
      </c>
      <c r="U48" s="68">
        <v>110</v>
      </c>
      <c r="V48" s="69">
        <v>153</v>
      </c>
      <c r="W48" s="74">
        <v>263</v>
      </c>
      <c r="X48" s="68">
        <v>118</v>
      </c>
      <c r="Y48" s="69">
        <v>151</v>
      </c>
      <c r="Z48" s="74">
        <v>269</v>
      </c>
      <c r="AA48" s="75" t="s">
        <v>634</v>
      </c>
      <c r="AB48" s="76" t="s">
        <v>635</v>
      </c>
      <c r="AC48" s="77">
        <v>287247.68</v>
      </c>
      <c r="AD48" s="311">
        <v>2866380.9959999998</v>
      </c>
      <c r="AE48" s="315"/>
      <c r="AF48" s="256"/>
      <c r="AG48" s="71"/>
      <c r="AH48" s="71"/>
      <c r="AI48" s="313"/>
    </row>
    <row r="49" spans="1:35" ht="18.75">
      <c r="A49" s="68"/>
      <c r="B49" s="69" t="s">
        <v>134</v>
      </c>
      <c r="C49" s="69"/>
      <c r="D49" s="69"/>
      <c r="E49" s="69"/>
      <c r="F49" s="69"/>
      <c r="G49" s="70">
        <v>297</v>
      </c>
      <c r="H49" s="69"/>
      <c r="I49" s="69"/>
      <c r="J49" s="71"/>
      <c r="K49" s="71"/>
      <c r="L49" s="71"/>
      <c r="M49" s="71"/>
      <c r="N49" s="309"/>
      <c r="O49" s="71"/>
      <c r="P49" s="71"/>
      <c r="Q49" s="70"/>
      <c r="R49" s="69"/>
      <c r="S49" s="70"/>
      <c r="T49" s="310"/>
      <c r="U49" s="68"/>
      <c r="V49" s="69"/>
      <c r="W49" s="74"/>
      <c r="X49" s="68"/>
      <c r="Y49" s="69"/>
      <c r="Z49" s="74"/>
      <c r="AA49" s="75"/>
      <c r="AB49" s="76"/>
      <c r="AC49" s="77"/>
      <c r="AD49" s="311"/>
      <c r="AE49" s="314"/>
      <c r="AF49" s="256"/>
      <c r="AG49" s="71"/>
      <c r="AH49" s="71"/>
      <c r="AI49" s="313"/>
    </row>
    <row r="50" spans="1:35" ht="18.75">
      <c r="A50" s="68">
        <v>21</v>
      </c>
      <c r="B50" s="69" t="s">
        <v>134</v>
      </c>
      <c r="C50" s="69" t="s">
        <v>637</v>
      </c>
      <c r="D50" s="69" t="s">
        <v>591</v>
      </c>
      <c r="E50" s="69" t="s">
        <v>995</v>
      </c>
      <c r="F50" s="69">
        <v>37.53</v>
      </c>
      <c r="G50" s="70"/>
      <c r="H50" s="70">
        <v>4883.4480000000003</v>
      </c>
      <c r="I50" s="69" t="s">
        <v>134</v>
      </c>
      <c r="J50" s="71"/>
      <c r="K50" s="71"/>
      <c r="L50" s="71"/>
      <c r="M50" s="71"/>
      <c r="N50" s="309" t="s">
        <v>134</v>
      </c>
      <c r="O50" s="71"/>
      <c r="P50" s="71"/>
      <c r="Q50" s="70">
        <v>54.618000000000002</v>
      </c>
      <c r="R50" s="69" t="s">
        <v>134</v>
      </c>
      <c r="S50" s="70">
        <v>588.08999999999992</v>
      </c>
      <c r="T50" s="310">
        <v>294.04499999999996</v>
      </c>
      <c r="U50" s="68">
        <v>144</v>
      </c>
      <c r="V50" s="69">
        <v>144</v>
      </c>
      <c r="W50" s="74">
        <v>288</v>
      </c>
      <c r="X50" s="68">
        <v>146</v>
      </c>
      <c r="Y50" s="69">
        <v>145</v>
      </c>
      <c r="Z50" s="74">
        <v>291</v>
      </c>
      <c r="AA50" s="75" t="s">
        <v>638</v>
      </c>
      <c r="AB50" s="76" t="s">
        <v>639</v>
      </c>
      <c r="AC50" s="77">
        <v>287279.26</v>
      </c>
      <c r="AD50" s="311">
        <v>2866676.3119999999</v>
      </c>
      <c r="AE50" s="314"/>
      <c r="AF50" s="256"/>
      <c r="AG50" s="71"/>
      <c r="AH50" s="71"/>
      <c r="AI50" s="313"/>
    </row>
    <row r="51" spans="1:35" ht="18.75">
      <c r="A51" s="68"/>
      <c r="B51" s="69" t="s">
        <v>134</v>
      </c>
      <c r="C51" s="69"/>
      <c r="D51" s="69"/>
      <c r="E51" s="69"/>
      <c r="F51" s="69"/>
      <c r="G51" s="70">
        <v>291.08999999999997</v>
      </c>
      <c r="H51" s="69"/>
      <c r="I51" s="69"/>
      <c r="J51" s="71"/>
      <c r="K51" s="71"/>
      <c r="L51" s="71"/>
      <c r="M51" s="71"/>
      <c r="N51" s="309"/>
      <c r="O51" s="71"/>
      <c r="P51" s="71"/>
      <c r="Q51" s="70"/>
      <c r="R51" s="69"/>
      <c r="S51" s="70"/>
      <c r="T51" s="310"/>
      <c r="U51" s="68"/>
      <c r="V51" s="69"/>
      <c r="W51" s="74"/>
      <c r="X51" s="68"/>
      <c r="Y51" s="69"/>
      <c r="Z51" s="74"/>
      <c r="AA51" s="75"/>
      <c r="AB51" s="76"/>
      <c r="AC51" s="77"/>
      <c r="AD51" s="311"/>
      <c r="AE51" s="314" t="s">
        <v>578</v>
      </c>
      <c r="AF51" s="256"/>
      <c r="AG51" s="71"/>
      <c r="AH51" s="71"/>
      <c r="AI51" s="313"/>
    </row>
    <row r="52" spans="1:35" ht="18.75">
      <c r="A52" s="68">
        <v>22</v>
      </c>
      <c r="B52" s="69" t="s">
        <v>244</v>
      </c>
      <c r="C52" s="69" t="s">
        <v>67</v>
      </c>
      <c r="D52" s="69" t="s">
        <v>586</v>
      </c>
      <c r="E52" s="69" t="s">
        <v>995</v>
      </c>
      <c r="F52" s="69">
        <v>38.33</v>
      </c>
      <c r="G52" s="70"/>
      <c r="H52" s="70">
        <v>5174.5380000000005</v>
      </c>
      <c r="I52" s="70">
        <f>SUM(G42:G51)</f>
        <v>1447.09</v>
      </c>
      <c r="J52" s="71"/>
      <c r="K52" s="71"/>
      <c r="L52" s="71"/>
      <c r="M52" s="71"/>
      <c r="N52" s="309" t="s">
        <v>134</v>
      </c>
      <c r="O52" s="71"/>
      <c r="P52" s="71"/>
      <c r="Q52" s="70">
        <v>54.902999999999999</v>
      </c>
      <c r="R52" s="69" t="s">
        <v>640</v>
      </c>
      <c r="S52" s="70">
        <v>526.08999999999992</v>
      </c>
      <c r="T52" s="310">
        <v>263.04499999999996</v>
      </c>
      <c r="U52" s="68">
        <v>147</v>
      </c>
      <c r="V52" s="69">
        <v>59</v>
      </c>
      <c r="W52" s="74">
        <v>206</v>
      </c>
      <c r="X52" s="68">
        <v>147</v>
      </c>
      <c r="Y52" s="69">
        <v>81</v>
      </c>
      <c r="Z52" s="74">
        <v>227</v>
      </c>
      <c r="AA52" s="75" t="s">
        <v>641</v>
      </c>
      <c r="AB52" s="76" t="s">
        <v>642</v>
      </c>
      <c r="AC52" s="77">
        <v>287310.212</v>
      </c>
      <c r="AD52" s="311">
        <v>2866965.7519999999</v>
      </c>
      <c r="AE52" s="314"/>
      <c r="AF52" s="256"/>
      <c r="AG52" s="71"/>
      <c r="AH52" s="71"/>
      <c r="AI52" s="313"/>
    </row>
    <row r="53" spans="1:35" ht="18.75">
      <c r="A53" s="68"/>
      <c r="B53" s="69" t="s">
        <v>134</v>
      </c>
      <c r="C53" s="69"/>
      <c r="D53" s="69"/>
      <c r="E53" s="69"/>
      <c r="F53" s="69"/>
      <c r="G53" s="70">
        <v>235</v>
      </c>
      <c r="H53" s="69"/>
      <c r="I53" s="69"/>
      <c r="J53" s="71"/>
      <c r="K53" s="71"/>
      <c r="L53" s="71"/>
      <c r="M53" s="71"/>
      <c r="N53" s="309"/>
      <c r="O53" s="71"/>
      <c r="P53" s="71"/>
      <c r="Q53" s="70"/>
      <c r="R53" s="69"/>
      <c r="S53" s="70"/>
      <c r="T53" s="310"/>
      <c r="U53" s="68"/>
      <c r="V53" s="69"/>
      <c r="W53" s="74"/>
      <c r="X53" s="68"/>
      <c r="Y53" s="69"/>
      <c r="Z53" s="74"/>
      <c r="AA53" s="75"/>
      <c r="AB53" s="76"/>
      <c r="AC53" s="77"/>
      <c r="AD53" s="311"/>
      <c r="AE53" s="314" t="s">
        <v>644</v>
      </c>
      <c r="AF53" s="256"/>
      <c r="AG53" s="71"/>
      <c r="AH53" s="71"/>
      <c r="AI53" s="313"/>
    </row>
    <row r="54" spans="1:35" ht="18.75">
      <c r="A54" s="68">
        <v>23</v>
      </c>
      <c r="B54" s="69" t="s">
        <v>134</v>
      </c>
      <c r="C54" s="69" t="s">
        <v>250</v>
      </c>
      <c r="D54" s="69" t="s">
        <v>603</v>
      </c>
      <c r="E54" s="69" t="s">
        <v>982</v>
      </c>
      <c r="F54" s="69">
        <v>43.53</v>
      </c>
      <c r="G54" s="70"/>
      <c r="H54" s="70">
        <v>5409.5380000000005</v>
      </c>
      <c r="I54" s="69" t="s">
        <v>134</v>
      </c>
      <c r="J54" s="71"/>
      <c r="K54" s="71"/>
      <c r="L54" s="71"/>
      <c r="M54" s="71"/>
      <c r="N54" s="309" t="s">
        <v>134</v>
      </c>
      <c r="O54" s="71"/>
      <c r="P54" s="71"/>
      <c r="Q54" s="70">
        <v>54.987000000000002</v>
      </c>
      <c r="R54" s="69" t="s">
        <v>134</v>
      </c>
      <c r="S54" s="70">
        <v>593.48900000000003</v>
      </c>
      <c r="T54" s="310">
        <v>296.74450000000002</v>
      </c>
      <c r="U54" s="68">
        <v>176</v>
      </c>
      <c r="V54" s="69">
        <v>108</v>
      </c>
      <c r="W54" s="74">
        <v>284</v>
      </c>
      <c r="X54" s="68">
        <v>155</v>
      </c>
      <c r="Y54" s="69">
        <v>135</v>
      </c>
      <c r="Z54" s="74">
        <v>289</v>
      </c>
      <c r="AA54" s="75" t="s">
        <v>645</v>
      </c>
      <c r="AB54" s="76" t="s">
        <v>646</v>
      </c>
      <c r="AC54" s="77">
        <v>287209.08199999999</v>
      </c>
      <c r="AD54" s="311">
        <v>2867177.8790000002</v>
      </c>
      <c r="AE54" s="314"/>
      <c r="AF54" s="256"/>
      <c r="AG54" s="71"/>
      <c r="AH54" s="71"/>
      <c r="AI54" s="313"/>
    </row>
    <row r="55" spans="1:35" ht="18.75">
      <c r="A55" s="68"/>
      <c r="B55" s="69" t="s">
        <v>134</v>
      </c>
      <c r="C55" s="69"/>
      <c r="D55" s="69"/>
      <c r="E55" s="69"/>
      <c r="F55" s="69"/>
      <c r="G55" s="70">
        <v>358.48899999999998</v>
      </c>
      <c r="H55" s="69"/>
      <c r="I55" s="69"/>
      <c r="J55" s="71"/>
      <c r="K55" s="71"/>
      <c r="L55" s="71"/>
      <c r="M55" s="71"/>
      <c r="N55" s="309"/>
      <c r="O55" s="71"/>
      <c r="P55" s="71"/>
      <c r="Q55" s="70"/>
      <c r="R55" s="69"/>
      <c r="S55" s="70"/>
      <c r="T55" s="310"/>
      <c r="U55" s="68"/>
      <c r="V55" s="69"/>
      <c r="W55" s="74"/>
      <c r="X55" s="68"/>
      <c r="Y55" s="69"/>
      <c r="Z55" s="74"/>
      <c r="AA55" s="75"/>
      <c r="AB55" s="76"/>
      <c r="AC55" s="77"/>
      <c r="AD55" s="311"/>
      <c r="AE55" s="314" t="s">
        <v>647</v>
      </c>
      <c r="AF55" s="256"/>
      <c r="AG55" s="71"/>
      <c r="AH55" s="71"/>
      <c r="AI55" s="313"/>
    </row>
    <row r="56" spans="1:35" ht="18.75">
      <c r="A56" s="68">
        <v>24</v>
      </c>
      <c r="B56" s="69" t="s">
        <v>256</v>
      </c>
      <c r="C56" s="69" t="s">
        <v>68</v>
      </c>
      <c r="D56" s="69" t="s">
        <v>648</v>
      </c>
      <c r="E56" s="69" t="s">
        <v>982</v>
      </c>
      <c r="F56" s="69">
        <v>56.33</v>
      </c>
      <c r="G56" s="70"/>
      <c r="H56" s="70">
        <v>5768.027</v>
      </c>
      <c r="I56" s="70">
        <f>SUM(G52:G55)</f>
        <v>593.48900000000003</v>
      </c>
      <c r="J56" s="71"/>
      <c r="K56" s="71"/>
      <c r="L56" s="71"/>
      <c r="M56" s="71"/>
      <c r="N56" s="309" t="s">
        <v>134</v>
      </c>
      <c r="O56" s="71"/>
      <c r="P56" s="71"/>
      <c r="Q56" s="70">
        <v>54.600999999999999</v>
      </c>
      <c r="R56" s="69" t="s">
        <v>649</v>
      </c>
      <c r="S56" s="70">
        <v>590.17499999999995</v>
      </c>
      <c r="T56" s="310">
        <v>295.08749999999998</v>
      </c>
      <c r="U56" s="68">
        <v>251</v>
      </c>
      <c r="V56" s="69">
        <v>38</v>
      </c>
      <c r="W56" s="74">
        <v>289</v>
      </c>
      <c r="X56" s="68">
        <v>225</v>
      </c>
      <c r="Y56" s="69">
        <v>76</v>
      </c>
      <c r="Z56" s="74">
        <v>302</v>
      </c>
      <c r="AA56" s="75" t="s">
        <v>650</v>
      </c>
      <c r="AB56" s="76" t="s">
        <v>651</v>
      </c>
      <c r="AC56" s="77">
        <v>287054.81099999999</v>
      </c>
      <c r="AD56" s="311">
        <v>2867501.4750000001</v>
      </c>
      <c r="AE56" s="314"/>
      <c r="AF56" s="256"/>
      <c r="AG56" s="71"/>
      <c r="AH56" s="71"/>
      <c r="AI56" s="313"/>
    </row>
    <row r="57" spans="1:35" ht="18.75">
      <c r="A57" s="68"/>
      <c r="B57" s="69" t="s">
        <v>134</v>
      </c>
      <c r="C57" s="69"/>
      <c r="D57" s="69"/>
      <c r="E57" s="69"/>
      <c r="F57" s="69"/>
      <c r="G57" s="70">
        <v>231.68600000000001</v>
      </c>
      <c r="H57" s="69"/>
      <c r="I57" s="69"/>
      <c r="J57" s="71"/>
      <c r="K57" s="71"/>
      <c r="L57" s="71"/>
      <c r="M57" s="71"/>
      <c r="N57" s="309"/>
      <c r="O57" s="71"/>
      <c r="P57" s="71"/>
      <c r="Q57" s="70"/>
      <c r="R57" s="69"/>
      <c r="S57" s="70"/>
      <c r="T57" s="310"/>
      <c r="U57" s="68"/>
      <c r="V57" s="69"/>
      <c r="W57" s="74"/>
      <c r="X57" s="68"/>
      <c r="Y57" s="69"/>
      <c r="Z57" s="74"/>
      <c r="AA57" s="75"/>
      <c r="AB57" s="76"/>
      <c r="AC57" s="77"/>
      <c r="AD57" s="311"/>
      <c r="AE57" s="314" t="s">
        <v>652</v>
      </c>
      <c r="AF57" s="256"/>
      <c r="AG57" s="71"/>
      <c r="AH57" s="71"/>
      <c r="AI57" s="313"/>
    </row>
    <row r="58" spans="1:35" ht="18.75">
      <c r="A58" s="68">
        <v>25</v>
      </c>
      <c r="B58" s="69" t="s">
        <v>263</v>
      </c>
      <c r="C58" s="69" t="s">
        <v>56</v>
      </c>
      <c r="D58" s="69" t="s">
        <v>653</v>
      </c>
      <c r="E58" s="69" t="s">
        <v>982</v>
      </c>
      <c r="F58" s="69">
        <v>63.33</v>
      </c>
      <c r="G58" s="70"/>
      <c r="H58" s="70">
        <v>5999.7129999999997</v>
      </c>
      <c r="I58" s="70">
        <f>SUM(G56:G57)</f>
        <v>231.68600000000001</v>
      </c>
      <c r="J58" s="71"/>
      <c r="K58" s="71"/>
      <c r="L58" s="71"/>
      <c r="M58" s="71"/>
      <c r="N58" s="309" t="s">
        <v>134</v>
      </c>
      <c r="O58" s="71"/>
      <c r="P58" s="71"/>
      <c r="Q58" s="70">
        <v>54.97</v>
      </c>
      <c r="R58" s="69" t="s">
        <v>654</v>
      </c>
      <c r="S58" s="70">
        <v>441.11500000000001</v>
      </c>
      <c r="T58" s="310">
        <v>220.5575</v>
      </c>
      <c r="U58" s="68">
        <v>194</v>
      </c>
      <c r="V58" s="69">
        <v>273</v>
      </c>
      <c r="W58" s="74">
        <v>467</v>
      </c>
      <c r="X58" s="68">
        <v>156</v>
      </c>
      <c r="Y58" s="69">
        <v>184</v>
      </c>
      <c r="Z58" s="74">
        <v>340</v>
      </c>
      <c r="AA58" s="75" t="s">
        <v>655</v>
      </c>
      <c r="AB58" s="76" t="s">
        <v>656</v>
      </c>
      <c r="AC58" s="77">
        <v>286959.446</v>
      </c>
      <c r="AD58" s="311">
        <v>2867712.6239999998</v>
      </c>
      <c r="AE58" s="314"/>
      <c r="AF58" s="256"/>
      <c r="AG58" s="71"/>
      <c r="AH58" s="71"/>
      <c r="AI58" s="313"/>
    </row>
    <row r="59" spans="1:35" ht="18.75">
      <c r="A59" s="68"/>
      <c r="B59" s="69" t="s">
        <v>134</v>
      </c>
      <c r="C59" s="69"/>
      <c r="D59" s="69"/>
      <c r="E59" s="69"/>
      <c r="F59" s="69"/>
      <c r="G59" s="70">
        <v>209.429</v>
      </c>
      <c r="H59" s="69"/>
      <c r="I59" s="69"/>
      <c r="J59" s="71"/>
      <c r="K59" s="71"/>
      <c r="L59" s="71"/>
      <c r="M59" s="71"/>
      <c r="N59" s="309"/>
      <c r="O59" s="71"/>
      <c r="P59" s="71"/>
      <c r="Q59" s="70"/>
      <c r="R59" s="69"/>
      <c r="S59" s="70"/>
      <c r="T59" s="310"/>
      <c r="U59" s="68"/>
      <c r="V59" s="69"/>
      <c r="W59" s="74"/>
      <c r="X59" s="68"/>
      <c r="Y59" s="69"/>
      <c r="Z59" s="74"/>
      <c r="AA59" s="75"/>
      <c r="AB59" s="76"/>
      <c r="AC59" s="77"/>
      <c r="AD59" s="311"/>
      <c r="AE59" s="314" t="s">
        <v>657</v>
      </c>
      <c r="AF59" s="256"/>
      <c r="AG59" s="71"/>
      <c r="AH59" s="71"/>
      <c r="AI59" s="313"/>
    </row>
    <row r="60" spans="1:35" ht="16.5" customHeight="1">
      <c r="A60" s="68">
        <v>26</v>
      </c>
      <c r="B60" s="69" t="s">
        <v>270</v>
      </c>
      <c r="C60" s="69" t="s">
        <v>60</v>
      </c>
      <c r="D60" s="69" t="s">
        <v>658</v>
      </c>
      <c r="E60" s="69" t="s">
        <v>982</v>
      </c>
      <c r="F60" s="69">
        <v>47.33</v>
      </c>
      <c r="G60" s="70"/>
      <c r="H60" s="70">
        <v>6209.1419999999998</v>
      </c>
      <c r="I60" s="70">
        <f>SUM(G58:G59)</f>
        <v>209.429</v>
      </c>
      <c r="J60" s="71"/>
      <c r="K60" s="71"/>
      <c r="L60" s="71"/>
      <c r="M60" s="71"/>
      <c r="N60" s="309">
        <v>2</v>
      </c>
      <c r="O60" s="71"/>
      <c r="P60" s="71"/>
      <c r="Q60" s="70">
        <v>55.048999999999999</v>
      </c>
      <c r="R60" s="69" t="s">
        <v>906</v>
      </c>
      <c r="S60" s="70">
        <v>313.98099999999999</v>
      </c>
      <c r="T60" s="310">
        <v>156.9905</v>
      </c>
      <c r="U60" s="68">
        <v>-63</v>
      </c>
      <c r="V60" s="69">
        <v>150</v>
      </c>
      <c r="W60" s="74">
        <v>86</v>
      </c>
      <c r="X60" s="68">
        <v>26</v>
      </c>
      <c r="Y60" s="69">
        <v>94</v>
      </c>
      <c r="Z60" s="74">
        <v>120</v>
      </c>
      <c r="AA60" s="75" t="s">
        <v>660</v>
      </c>
      <c r="AB60" s="76" t="s">
        <v>661</v>
      </c>
      <c r="AC60" s="77">
        <v>286785.57699999999</v>
      </c>
      <c r="AD60" s="311">
        <v>2867829.372</v>
      </c>
      <c r="AE60" s="314"/>
      <c r="AF60" s="256"/>
      <c r="AG60" s="71"/>
      <c r="AH60" s="71"/>
      <c r="AI60" s="313" t="s">
        <v>662</v>
      </c>
    </row>
    <row r="61" spans="1:35" ht="18.75">
      <c r="A61" s="68"/>
      <c r="B61" s="69" t="s">
        <v>134</v>
      </c>
      <c r="C61" s="69"/>
      <c r="D61" s="69"/>
      <c r="E61" s="69"/>
      <c r="F61" s="69"/>
      <c r="G61" s="70">
        <v>104.55200000000001</v>
      </c>
      <c r="H61" s="69"/>
      <c r="I61" s="69"/>
      <c r="J61" s="71"/>
      <c r="K61" s="71"/>
      <c r="L61" s="71"/>
      <c r="M61" s="71"/>
      <c r="N61" s="309"/>
      <c r="O61" s="71"/>
      <c r="P61" s="71"/>
      <c r="Q61" s="70"/>
      <c r="R61" s="69"/>
      <c r="S61" s="70"/>
      <c r="T61" s="310"/>
      <c r="U61" s="68"/>
      <c r="V61" s="69"/>
      <c r="W61" s="74"/>
      <c r="X61" s="68"/>
      <c r="Y61" s="69"/>
      <c r="Z61" s="74"/>
      <c r="AA61" s="75"/>
      <c r="AB61" s="76"/>
      <c r="AC61" s="77"/>
      <c r="AD61" s="311"/>
      <c r="AE61" s="314"/>
      <c r="AF61" s="256"/>
      <c r="AG61" s="71"/>
      <c r="AH61" s="71"/>
      <c r="AI61" s="313"/>
    </row>
    <row r="62" spans="1:35" ht="18.75">
      <c r="A62" s="68">
        <v>27</v>
      </c>
      <c r="B62" s="69" t="s">
        <v>280</v>
      </c>
      <c r="C62" s="69" t="s">
        <v>55</v>
      </c>
      <c r="D62" s="69" t="s">
        <v>671</v>
      </c>
      <c r="E62" s="69" t="s">
        <v>982</v>
      </c>
      <c r="F62" s="69">
        <v>41.33</v>
      </c>
      <c r="G62" s="70"/>
      <c r="H62" s="70">
        <v>6313.6939999999995</v>
      </c>
      <c r="I62" s="70">
        <f>SUM(G60:G61)</f>
        <v>104.55200000000001</v>
      </c>
      <c r="J62" s="71"/>
      <c r="K62" s="71"/>
      <c r="L62" s="71"/>
      <c r="M62" s="71"/>
      <c r="N62" s="309" t="s">
        <v>134</v>
      </c>
      <c r="O62" s="71"/>
      <c r="P62" s="71"/>
      <c r="Q62" s="70">
        <v>54.843000000000004</v>
      </c>
      <c r="R62" s="69" t="s">
        <v>907</v>
      </c>
      <c r="S62" s="70">
        <v>192.61099999999999</v>
      </c>
      <c r="T62" s="310">
        <v>96.305499999999995</v>
      </c>
      <c r="U62" s="68">
        <v>-45</v>
      </c>
      <c r="V62" s="69">
        <v>70</v>
      </c>
      <c r="W62" s="74">
        <v>25</v>
      </c>
      <c r="X62" s="68">
        <v>11</v>
      </c>
      <c r="Y62" s="69">
        <v>59</v>
      </c>
      <c r="Z62" s="74">
        <v>70</v>
      </c>
      <c r="AA62" s="75" t="s">
        <v>908</v>
      </c>
      <c r="AB62" s="76" t="s">
        <v>909</v>
      </c>
      <c r="AC62" s="77">
        <v>286690.98599999998</v>
      </c>
      <c r="AD62" s="311">
        <v>2867784.8330000001</v>
      </c>
      <c r="AE62" s="314"/>
      <c r="AF62" s="256"/>
      <c r="AG62" s="71"/>
      <c r="AH62" s="71"/>
      <c r="AI62" s="313"/>
    </row>
    <row r="63" spans="1:35" ht="18.75">
      <c r="A63" s="68"/>
      <c r="B63" s="69" t="s">
        <v>134</v>
      </c>
      <c r="C63" s="69"/>
      <c r="D63" s="69"/>
      <c r="E63" s="69"/>
      <c r="F63" s="69"/>
      <c r="G63" s="70">
        <v>88.058999999999997</v>
      </c>
      <c r="H63" s="69"/>
      <c r="I63" s="69"/>
      <c r="J63" s="71"/>
      <c r="K63" s="71"/>
      <c r="L63" s="71"/>
      <c r="M63" s="71"/>
      <c r="N63" s="309"/>
      <c r="O63" s="71"/>
      <c r="P63" s="71"/>
      <c r="Q63" s="70"/>
      <c r="R63" s="69"/>
      <c r="S63" s="70"/>
      <c r="T63" s="310"/>
      <c r="U63" s="68"/>
      <c r="V63" s="69"/>
      <c r="W63" s="74"/>
      <c r="X63" s="68"/>
      <c r="Y63" s="69"/>
      <c r="Z63" s="74"/>
      <c r="AA63" s="75"/>
      <c r="AB63" s="76"/>
      <c r="AC63" s="77"/>
      <c r="AD63" s="311"/>
      <c r="AE63" s="314"/>
      <c r="AF63" s="256"/>
      <c r="AG63" s="71"/>
      <c r="AH63" s="71"/>
      <c r="AI63" s="313"/>
    </row>
    <row r="64" spans="1:35" ht="18.75">
      <c r="A64" s="68">
        <v>28</v>
      </c>
      <c r="B64" s="69" t="s">
        <v>286</v>
      </c>
      <c r="C64" s="69" t="s">
        <v>59</v>
      </c>
      <c r="D64" s="69" t="s">
        <v>586</v>
      </c>
      <c r="E64" s="69" t="s">
        <v>982</v>
      </c>
      <c r="F64" s="69">
        <v>38.33</v>
      </c>
      <c r="G64" s="70"/>
      <c r="H64" s="70">
        <v>6401.7529999999997</v>
      </c>
      <c r="I64" s="70">
        <f>SUM(G62:G63)</f>
        <v>88.058999999999997</v>
      </c>
      <c r="J64" s="71"/>
      <c r="K64" s="71"/>
      <c r="L64" s="71"/>
      <c r="M64" s="71"/>
      <c r="N64" s="309" t="s">
        <v>134</v>
      </c>
      <c r="O64" s="71"/>
      <c r="P64" s="71"/>
      <c r="Q64" s="70">
        <v>54.436</v>
      </c>
      <c r="R64" s="69" t="s">
        <v>910</v>
      </c>
      <c r="S64" s="70">
        <v>160.947</v>
      </c>
      <c r="T64" s="310">
        <v>80.473500000000001</v>
      </c>
      <c r="U64" s="68">
        <v>19</v>
      </c>
      <c r="V64" s="69">
        <v>4</v>
      </c>
      <c r="W64" s="74">
        <v>23</v>
      </c>
      <c r="X64" s="68">
        <v>29</v>
      </c>
      <c r="Y64" s="69">
        <v>22</v>
      </c>
      <c r="Z64" s="74">
        <v>51</v>
      </c>
      <c r="AA64" s="75" t="s">
        <v>911</v>
      </c>
      <c r="AB64" s="76" t="s">
        <v>912</v>
      </c>
      <c r="AC64" s="77">
        <v>286682.13</v>
      </c>
      <c r="AD64" s="311">
        <v>2867697.22</v>
      </c>
      <c r="AE64" s="314"/>
      <c r="AF64" s="256"/>
      <c r="AG64" s="71"/>
      <c r="AH64" s="71"/>
      <c r="AI64" s="313"/>
    </row>
    <row r="65" spans="1:35" ht="18.75">
      <c r="A65" s="68"/>
      <c r="B65" s="69" t="s">
        <v>134</v>
      </c>
      <c r="C65" s="69"/>
      <c r="D65" s="69"/>
      <c r="E65" s="69"/>
      <c r="F65" s="69"/>
      <c r="G65" s="70">
        <v>72.888000000000005</v>
      </c>
      <c r="H65" s="69"/>
      <c r="I65" s="69"/>
      <c r="J65" s="71"/>
      <c r="K65" s="71"/>
      <c r="L65" s="71"/>
      <c r="M65" s="71"/>
      <c r="N65" s="309"/>
      <c r="O65" s="71"/>
      <c r="P65" s="71"/>
      <c r="Q65" s="70"/>
      <c r="R65" s="69"/>
      <c r="S65" s="70"/>
      <c r="T65" s="310"/>
      <c r="U65" s="68"/>
      <c r="V65" s="69"/>
      <c r="W65" s="74"/>
      <c r="X65" s="68"/>
      <c r="Y65" s="69"/>
      <c r="Z65" s="74"/>
      <c r="AA65" s="75"/>
      <c r="AB65" s="76"/>
      <c r="AC65" s="77"/>
      <c r="AD65" s="311"/>
      <c r="AE65" s="314"/>
      <c r="AF65" s="256"/>
      <c r="AG65" s="71"/>
      <c r="AH65" s="71"/>
      <c r="AI65" s="313"/>
    </row>
    <row r="66" spans="1:35" ht="19.5" thickBot="1">
      <c r="A66" s="317">
        <v>29</v>
      </c>
      <c r="B66" s="318" t="s">
        <v>291</v>
      </c>
      <c r="C66" s="318" t="s">
        <v>58</v>
      </c>
      <c r="D66" s="318" t="s">
        <v>671</v>
      </c>
      <c r="E66" s="318" t="s">
        <v>982</v>
      </c>
      <c r="F66" s="318">
        <v>41.33</v>
      </c>
      <c r="G66" s="319"/>
      <c r="H66" s="319">
        <v>6474.6409999999996</v>
      </c>
      <c r="I66" s="319">
        <f>SUM(G64:G65)</f>
        <v>72.888000000000005</v>
      </c>
      <c r="J66" s="320"/>
      <c r="K66" s="320"/>
      <c r="L66" s="320"/>
      <c r="M66" s="320"/>
      <c r="N66" s="321" t="s">
        <v>134</v>
      </c>
      <c r="O66" s="320"/>
      <c r="P66" s="320"/>
      <c r="Q66" s="319">
        <v>54.569000000000003</v>
      </c>
      <c r="R66" s="318" t="s">
        <v>913</v>
      </c>
      <c r="S66" s="319">
        <v>72.888000000000005</v>
      </c>
      <c r="T66" s="322">
        <v>36.444000000000003</v>
      </c>
      <c r="U66" s="317">
        <v>69</v>
      </c>
      <c r="V66" s="318">
        <v>0</v>
      </c>
      <c r="W66" s="323">
        <v>69</v>
      </c>
      <c r="X66" s="317">
        <v>52</v>
      </c>
      <c r="Y66" s="318">
        <v>0</v>
      </c>
      <c r="Z66" s="323">
        <v>52</v>
      </c>
      <c r="AA66" s="324" t="s">
        <v>914</v>
      </c>
      <c r="AB66" s="325" t="s">
        <v>915</v>
      </c>
      <c r="AC66" s="326">
        <v>286630.05099999998</v>
      </c>
      <c r="AD66" s="327">
        <v>2867646.2250000001</v>
      </c>
      <c r="AE66" s="328"/>
      <c r="AF66" s="329"/>
      <c r="AG66" s="320"/>
      <c r="AH66" s="320"/>
      <c r="AI66" s="330"/>
    </row>
    <row r="67" spans="1:35" ht="24" customHeight="1" thickBot="1">
      <c r="A67" s="213"/>
      <c r="B67" s="1812" t="s">
        <v>468</v>
      </c>
      <c r="C67" s="1813"/>
      <c r="D67" s="1813"/>
      <c r="E67" s="1813"/>
      <c r="F67" s="1814"/>
      <c r="G67" s="215">
        <f>SUM(G10:G66)/1000</f>
        <v>6.4746409999999992</v>
      </c>
      <c r="H67" s="216" t="s">
        <v>469</v>
      </c>
      <c r="I67" s="217"/>
      <c r="J67" s="214"/>
      <c r="K67" s="214"/>
      <c r="L67" s="214"/>
      <c r="M67" s="214"/>
      <c r="N67" s="218"/>
      <c r="O67" s="214"/>
      <c r="P67" s="214"/>
      <c r="Q67" s="218"/>
      <c r="R67" s="218"/>
      <c r="S67" s="219"/>
      <c r="T67" s="218"/>
      <c r="U67" s="218"/>
      <c r="V67" s="218"/>
      <c r="W67" s="218"/>
      <c r="X67" s="218"/>
      <c r="Y67" s="218"/>
      <c r="Z67" s="218"/>
      <c r="AA67" s="218"/>
      <c r="AB67" s="218"/>
      <c r="AC67" s="220"/>
      <c r="AD67" s="220"/>
      <c r="AE67" s="107"/>
      <c r="AF67" s="214"/>
      <c r="AG67" s="214"/>
      <c r="AH67" s="214"/>
      <c r="AI67" s="331"/>
    </row>
    <row r="68" spans="1:35" ht="42" customHeight="1" thickBot="1">
      <c r="A68" s="1838" t="s">
        <v>470</v>
      </c>
      <c r="B68" s="1839"/>
      <c r="C68" s="1839"/>
      <c r="D68" s="1839"/>
      <c r="E68" s="1839"/>
      <c r="F68" s="1839"/>
      <c r="G68" s="1839"/>
      <c r="H68" s="1839"/>
      <c r="I68" s="1839"/>
      <c r="J68" s="1839"/>
      <c r="K68" s="1839"/>
      <c r="L68" s="1839"/>
      <c r="M68" s="1839"/>
      <c r="N68" s="1839"/>
      <c r="O68" s="1839"/>
      <c r="P68" s="1839"/>
      <c r="Q68" s="1839"/>
      <c r="R68" s="1839"/>
      <c r="S68" s="1840"/>
      <c r="T68" s="1841" t="s">
        <v>663</v>
      </c>
      <c r="U68" s="1842"/>
      <c r="V68" s="1842"/>
      <c r="W68" s="1842"/>
      <c r="X68" s="1842"/>
      <c r="Y68" s="1842"/>
      <c r="Z68" s="1842"/>
      <c r="AA68" s="1842"/>
      <c r="AB68" s="1842"/>
      <c r="AC68" s="1842"/>
      <c r="AD68" s="1842"/>
      <c r="AE68" s="1842"/>
      <c r="AF68" s="1842"/>
      <c r="AG68" s="1842"/>
      <c r="AH68" s="1842"/>
      <c r="AI68" s="1843"/>
    </row>
    <row r="69" spans="1:35" ht="24" customHeight="1" thickBot="1">
      <c r="A69" s="1874" t="s">
        <v>472</v>
      </c>
      <c r="B69" s="1875"/>
      <c r="C69" s="1875"/>
      <c r="D69" s="1876"/>
      <c r="E69" s="393"/>
      <c r="F69" s="1838" t="s">
        <v>473</v>
      </c>
      <c r="G69" s="1839"/>
      <c r="H69" s="1839"/>
      <c r="I69" s="1840"/>
      <c r="J69" s="109" t="s">
        <v>474</v>
      </c>
      <c r="K69" s="109" t="s">
        <v>474</v>
      </c>
      <c r="L69" s="109" t="s">
        <v>474</v>
      </c>
      <c r="M69" s="109" t="s">
        <v>474</v>
      </c>
      <c r="N69" s="1838" t="s">
        <v>474</v>
      </c>
      <c r="O69" s="1839"/>
      <c r="P69" s="1839"/>
      <c r="Q69" s="1839"/>
      <c r="R69" s="1839"/>
      <c r="S69" s="1840"/>
      <c r="T69" s="1838" t="s">
        <v>473</v>
      </c>
      <c r="U69" s="1839"/>
      <c r="V69" s="1839"/>
      <c r="W69" s="1839"/>
      <c r="X69" s="1840"/>
      <c r="Y69" s="1844" t="s">
        <v>475</v>
      </c>
      <c r="Z69" s="1845"/>
      <c r="AA69" s="1845"/>
      <c r="AB69" s="1845"/>
      <c r="AC69" s="1845"/>
      <c r="AD69" s="1846"/>
      <c r="AE69" s="1844" t="s">
        <v>476</v>
      </c>
      <c r="AF69" s="1845"/>
      <c r="AG69" s="1845"/>
      <c r="AH69" s="1845"/>
      <c r="AI69" s="1846"/>
    </row>
    <row r="70" spans="1:35" ht="183" customHeight="1" thickBot="1">
      <c r="A70" s="1874"/>
      <c r="B70" s="1875"/>
      <c r="C70" s="1875"/>
      <c r="D70" s="1877"/>
      <c r="E70" s="393"/>
      <c r="F70" s="1835"/>
      <c r="G70" s="1836"/>
      <c r="H70" s="1836"/>
      <c r="I70" s="1837"/>
      <c r="J70" s="110"/>
      <c r="K70" s="110"/>
      <c r="L70" s="110"/>
      <c r="M70" s="110"/>
      <c r="N70" s="1835"/>
      <c r="O70" s="1836"/>
      <c r="P70" s="1836"/>
      <c r="Q70" s="1836"/>
      <c r="R70" s="1836"/>
      <c r="S70" s="1837"/>
      <c r="T70" s="1835"/>
      <c r="U70" s="1836"/>
      <c r="V70" s="1836"/>
      <c r="W70" s="1836"/>
      <c r="X70" s="1837"/>
      <c r="Y70" s="1835"/>
      <c r="Z70" s="1836"/>
      <c r="AA70" s="1836"/>
      <c r="AB70" s="1836"/>
      <c r="AC70" s="1836"/>
      <c r="AD70" s="1837"/>
      <c r="AE70" s="1871"/>
      <c r="AF70" s="1872"/>
      <c r="AG70" s="1872"/>
      <c r="AH70" s="1872"/>
      <c r="AI70" s="1873"/>
    </row>
    <row r="71" spans="1:35">
      <c r="A71" s="111"/>
      <c r="AI71" s="113"/>
    </row>
    <row r="72" spans="1:35" ht="15.75">
      <c r="A72" s="111"/>
      <c r="F72" s="114" t="s">
        <v>477</v>
      </c>
      <c r="G72" s="115"/>
      <c r="H72" s="115"/>
      <c r="AI72" s="113"/>
    </row>
    <row r="73" spans="1:35" ht="15.75" thickBot="1">
      <c r="A73" s="111"/>
      <c r="F73" s="112"/>
      <c r="G73" s="112"/>
      <c r="AI73" s="113"/>
    </row>
    <row r="74" spans="1:35">
      <c r="A74" s="111"/>
      <c r="F74" s="233" t="s">
        <v>591</v>
      </c>
      <c r="G74" s="234" t="s">
        <v>478</v>
      </c>
      <c r="H74" s="235">
        <f t="shared" ref="H74:H91" si="0">COUNTIF($D$10:$D$1253,F74)</f>
        <v>3</v>
      </c>
      <c r="AI74" s="113"/>
    </row>
    <row r="75" spans="1:35">
      <c r="A75" s="111"/>
      <c r="F75" s="236" t="s">
        <v>582</v>
      </c>
      <c r="G75" s="237" t="s">
        <v>478</v>
      </c>
      <c r="H75" s="238">
        <f t="shared" si="0"/>
        <v>6</v>
      </c>
      <c r="AI75" s="113"/>
    </row>
    <row r="76" spans="1:35">
      <c r="A76" s="111"/>
      <c r="F76" s="236" t="s">
        <v>603</v>
      </c>
      <c r="G76" s="237" t="s">
        <v>478</v>
      </c>
      <c r="H76" s="238">
        <f t="shared" si="0"/>
        <v>2</v>
      </c>
      <c r="AI76" s="113"/>
    </row>
    <row r="77" spans="1:35">
      <c r="A77" s="111"/>
      <c r="F77" s="236" t="s">
        <v>664</v>
      </c>
      <c r="G77" s="237" t="s">
        <v>478</v>
      </c>
      <c r="H77" s="238">
        <f t="shared" si="0"/>
        <v>0</v>
      </c>
      <c r="AI77" s="113"/>
    </row>
    <row r="78" spans="1:35">
      <c r="A78" s="111"/>
      <c r="F78" s="236" t="s">
        <v>665</v>
      </c>
      <c r="G78" s="237" t="s">
        <v>478</v>
      </c>
      <c r="H78" s="238">
        <f t="shared" si="0"/>
        <v>0</v>
      </c>
      <c r="AI78" s="113"/>
    </row>
    <row r="79" spans="1:35">
      <c r="A79" s="111"/>
      <c r="F79" s="236" t="s">
        <v>666</v>
      </c>
      <c r="G79" s="237" t="s">
        <v>478</v>
      </c>
      <c r="H79" s="238">
        <f t="shared" si="0"/>
        <v>0</v>
      </c>
      <c r="AI79" s="113"/>
    </row>
    <row r="80" spans="1:35">
      <c r="A80" s="111"/>
      <c r="F80" s="236" t="s">
        <v>667</v>
      </c>
      <c r="G80" s="237" t="s">
        <v>478</v>
      </c>
      <c r="H80" s="238">
        <f t="shared" si="0"/>
        <v>0</v>
      </c>
      <c r="AI80" s="113"/>
    </row>
    <row r="81" spans="1:35">
      <c r="A81" s="111"/>
      <c r="F81" s="236" t="s">
        <v>668</v>
      </c>
      <c r="G81" s="237" t="s">
        <v>478</v>
      </c>
      <c r="H81" s="238">
        <f t="shared" si="0"/>
        <v>0</v>
      </c>
      <c r="AI81" s="113"/>
    </row>
    <row r="82" spans="1:35">
      <c r="A82" s="111"/>
      <c r="F82" s="236" t="s">
        <v>573</v>
      </c>
      <c r="G82" s="237" t="s">
        <v>478</v>
      </c>
      <c r="H82" s="238">
        <f t="shared" si="0"/>
        <v>7</v>
      </c>
      <c r="AI82" s="113"/>
    </row>
    <row r="83" spans="1:35">
      <c r="A83" s="111"/>
      <c r="F83" s="236" t="s">
        <v>669</v>
      </c>
      <c r="G83" s="237" t="s">
        <v>478</v>
      </c>
      <c r="H83" s="238">
        <f t="shared" si="0"/>
        <v>0</v>
      </c>
      <c r="AI83" s="113"/>
    </row>
    <row r="84" spans="1:35">
      <c r="A84" s="111"/>
      <c r="F84" s="236" t="s">
        <v>607</v>
      </c>
      <c r="G84" s="237" t="s">
        <v>478</v>
      </c>
      <c r="H84" s="238">
        <f t="shared" si="0"/>
        <v>1</v>
      </c>
      <c r="AI84" s="113"/>
    </row>
    <row r="85" spans="1:35">
      <c r="A85" s="111"/>
      <c r="F85" s="236" t="s">
        <v>670</v>
      </c>
      <c r="G85" s="237" t="s">
        <v>478</v>
      </c>
      <c r="H85" s="238">
        <f t="shared" si="0"/>
        <v>0</v>
      </c>
      <c r="AI85" s="113"/>
    </row>
    <row r="86" spans="1:35">
      <c r="A86" s="111"/>
      <c r="F86" s="236" t="s">
        <v>586</v>
      </c>
      <c r="G86" s="237" t="s">
        <v>478</v>
      </c>
      <c r="H86" s="238">
        <f t="shared" si="0"/>
        <v>5</v>
      </c>
      <c r="AI86" s="113"/>
    </row>
    <row r="87" spans="1:35">
      <c r="A87" s="111"/>
      <c r="F87" s="236" t="s">
        <v>648</v>
      </c>
      <c r="G87" s="237" t="s">
        <v>478</v>
      </c>
      <c r="H87" s="238">
        <f t="shared" si="0"/>
        <v>1</v>
      </c>
      <c r="AI87" s="113"/>
    </row>
    <row r="88" spans="1:35">
      <c r="A88" s="111"/>
      <c r="F88" s="236" t="s">
        <v>653</v>
      </c>
      <c r="G88" s="237" t="s">
        <v>478</v>
      </c>
      <c r="H88" s="238">
        <f t="shared" si="0"/>
        <v>1</v>
      </c>
      <c r="AI88" s="113"/>
    </row>
    <row r="89" spans="1:35">
      <c r="A89" s="111"/>
      <c r="F89" s="236" t="s">
        <v>671</v>
      </c>
      <c r="G89" s="237" t="s">
        <v>478</v>
      </c>
      <c r="H89" s="238">
        <f t="shared" si="0"/>
        <v>2</v>
      </c>
      <c r="AI89" s="113"/>
    </row>
    <row r="90" spans="1:35">
      <c r="A90" s="111"/>
      <c r="F90" s="236" t="s">
        <v>672</v>
      </c>
      <c r="G90" s="237" t="s">
        <v>478</v>
      </c>
      <c r="H90" s="238">
        <f t="shared" si="0"/>
        <v>0</v>
      </c>
      <c r="AI90" s="113"/>
    </row>
    <row r="91" spans="1:35">
      <c r="A91" s="111"/>
      <c r="F91" s="236" t="s">
        <v>658</v>
      </c>
      <c r="G91" s="237" t="s">
        <v>478</v>
      </c>
      <c r="H91" s="238">
        <f t="shared" si="0"/>
        <v>1</v>
      </c>
      <c r="AI91" s="113"/>
    </row>
    <row r="92" spans="1:35" ht="16.5" thickBot="1">
      <c r="A92" s="122"/>
      <c r="B92" s="104"/>
      <c r="C92" s="104"/>
      <c r="D92" s="104"/>
      <c r="E92" s="104"/>
      <c r="F92" s="123" t="s">
        <v>128</v>
      </c>
      <c r="G92" s="239" t="s">
        <v>478</v>
      </c>
      <c r="H92" s="240">
        <f>SUM(H74:H91)</f>
        <v>29</v>
      </c>
      <c r="I92" s="104"/>
      <c r="J92" s="104"/>
      <c r="K92" s="104"/>
      <c r="L92" s="104"/>
      <c r="M92" s="104"/>
      <c r="N92" s="100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26"/>
    </row>
  </sheetData>
  <autoFilter ref="A9:AI69"/>
  <mergeCells count="49"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  <mergeCell ref="X8:Z8"/>
    <mergeCell ref="AA8:AA9"/>
    <mergeCell ref="AE8:AE9"/>
    <mergeCell ref="AF8:AF9"/>
    <mergeCell ref="AG8:AG9"/>
    <mergeCell ref="R8:R9"/>
    <mergeCell ref="S8:S9"/>
    <mergeCell ref="B67:F67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66">
    <cfRule type="containsText" dxfId="102" priority="1" operator="containsText" text="11,LT,RC">
      <formula>NOT(ISERROR(SEARCH("11,LT,RC",AI10)))</formula>
    </cfRule>
    <cfRule type="containsText" dxfId="101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808" t="s">
        <v>87</v>
      </c>
      <c r="B1" s="1809"/>
      <c r="C1" s="1809"/>
      <c r="D1" s="1809"/>
      <c r="E1" s="1809"/>
      <c r="F1" s="1809"/>
      <c r="G1" s="1809"/>
      <c r="H1" s="1809"/>
      <c r="I1" s="1809"/>
      <c r="J1" s="1809"/>
      <c r="K1" s="1809"/>
      <c r="L1" s="1809"/>
      <c r="M1" s="1809"/>
      <c r="N1" s="1809"/>
      <c r="O1" s="1809"/>
      <c r="P1" s="1809"/>
      <c r="Q1" s="1809"/>
      <c r="R1" s="1809"/>
      <c r="S1" s="1809"/>
      <c r="T1" s="1809"/>
      <c r="U1" s="1809"/>
      <c r="V1" s="1809"/>
      <c r="W1" s="1809"/>
      <c r="X1" s="1809"/>
      <c r="Y1" s="1809"/>
      <c r="Z1" s="1809"/>
      <c r="AA1" s="1809"/>
      <c r="AB1" s="1809"/>
      <c r="AC1" s="1809"/>
      <c r="AD1" s="1809"/>
      <c r="AE1" s="1809"/>
      <c r="AF1" s="34"/>
      <c r="AG1" s="35"/>
      <c r="AH1" s="35"/>
      <c r="AI1" s="36"/>
    </row>
    <row r="2" spans="1:35" ht="20.25">
      <c r="A2" s="1810" t="s">
        <v>88</v>
      </c>
      <c r="B2" s="1811"/>
      <c r="C2" s="1811"/>
      <c r="D2" s="1811"/>
      <c r="E2" s="1811"/>
      <c r="F2" s="1811"/>
      <c r="G2" s="1811"/>
      <c r="H2" s="1811"/>
      <c r="I2" s="1811"/>
      <c r="J2" s="1811"/>
      <c r="K2" s="1811"/>
      <c r="L2" s="1811"/>
      <c r="M2" s="1811"/>
      <c r="N2" s="1811"/>
      <c r="O2" s="1811"/>
      <c r="P2" s="1811"/>
      <c r="Q2" s="1811"/>
      <c r="R2" s="1811"/>
      <c r="S2" s="1811"/>
      <c r="T2" s="1811"/>
      <c r="U2" s="1811"/>
      <c r="V2" s="1811"/>
      <c r="W2" s="1811"/>
      <c r="X2" s="1811"/>
      <c r="Y2" s="1811"/>
      <c r="Z2" s="1811"/>
      <c r="AA2" s="1811"/>
      <c r="AB2" s="1811"/>
      <c r="AC2" s="1811"/>
      <c r="AD2" s="1811"/>
      <c r="AE2" s="1811"/>
      <c r="AF2" s="37"/>
      <c r="AG2" s="38"/>
      <c r="AH2" s="39"/>
      <c r="AI2" s="40"/>
    </row>
    <row r="3" spans="1:35" ht="20.25">
      <c r="A3" s="1810" t="s">
        <v>89</v>
      </c>
      <c r="B3" s="1811"/>
      <c r="C3" s="1811"/>
      <c r="D3" s="1811"/>
      <c r="E3" s="1811"/>
      <c r="F3" s="1811"/>
      <c r="G3" s="1811"/>
      <c r="H3" s="1811"/>
      <c r="I3" s="1811"/>
      <c r="J3" s="1811"/>
      <c r="K3" s="1811"/>
      <c r="L3" s="1811"/>
      <c r="M3" s="1811"/>
      <c r="N3" s="1811"/>
      <c r="O3" s="1811"/>
      <c r="P3" s="1811"/>
      <c r="Q3" s="1811"/>
      <c r="R3" s="1811"/>
      <c r="S3" s="1811"/>
      <c r="T3" s="1811"/>
      <c r="U3" s="1811"/>
      <c r="V3" s="1811"/>
      <c r="W3" s="1811"/>
      <c r="X3" s="1811"/>
      <c r="Y3" s="1811"/>
      <c r="Z3" s="1811"/>
      <c r="AA3" s="1811"/>
      <c r="AB3" s="1811"/>
      <c r="AC3" s="1811"/>
      <c r="AD3" s="1811"/>
      <c r="AE3" s="1811"/>
      <c r="AF3" s="41"/>
      <c r="AG3" s="42"/>
      <c r="AH3" s="43"/>
      <c r="AI3" s="44" t="s">
        <v>90</v>
      </c>
    </row>
    <row r="4" spans="1:35" ht="20.25">
      <c r="A4" s="1810" t="s">
        <v>91</v>
      </c>
      <c r="B4" s="1811"/>
      <c r="C4" s="1811"/>
      <c r="D4" s="1811"/>
      <c r="E4" s="1811"/>
      <c r="F4" s="1811"/>
      <c r="G4" s="1811"/>
      <c r="H4" s="1811"/>
      <c r="I4" s="1811"/>
      <c r="J4" s="1811"/>
      <c r="K4" s="1811"/>
      <c r="L4" s="1811"/>
      <c r="M4" s="1811"/>
      <c r="N4" s="1811"/>
      <c r="O4" s="1811"/>
      <c r="P4" s="1811"/>
      <c r="Q4" s="1811"/>
      <c r="R4" s="1811"/>
      <c r="S4" s="1811"/>
      <c r="T4" s="1811"/>
      <c r="U4" s="1811"/>
      <c r="V4" s="1811"/>
      <c r="W4" s="1811"/>
      <c r="X4" s="1811"/>
      <c r="Y4" s="1811"/>
      <c r="Z4" s="1811"/>
      <c r="AA4" s="1811"/>
      <c r="AB4" s="1811"/>
      <c r="AC4" s="1811"/>
      <c r="AD4" s="1811"/>
      <c r="AE4" s="1811"/>
      <c r="AF4" s="41"/>
      <c r="AG4" s="42"/>
      <c r="AH4" s="43"/>
      <c r="AI4" s="44" t="s">
        <v>92</v>
      </c>
    </row>
    <row r="5" spans="1:35" ht="20.25">
      <c r="A5" s="1810" t="s">
        <v>93</v>
      </c>
      <c r="B5" s="1811"/>
      <c r="C5" s="1811"/>
      <c r="D5" s="1811"/>
      <c r="E5" s="1811"/>
      <c r="F5" s="1811"/>
      <c r="G5" s="1811"/>
      <c r="H5" s="1811"/>
      <c r="I5" s="1811"/>
      <c r="J5" s="1811"/>
      <c r="K5" s="1811"/>
      <c r="L5" s="1811"/>
      <c r="M5" s="1811"/>
      <c r="N5" s="1811"/>
      <c r="O5" s="1811"/>
      <c r="P5" s="1811"/>
      <c r="Q5" s="1811"/>
      <c r="R5" s="1811"/>
      <c r="S5" s="1811"/>
      <c r="T5" s="1811"/>
      <c r="U5" s="1811"/>
      <c r="V5" s="1811"/>
      <c r="W5" s="1811"/>
      <c r="X5" s="1811"/>
      <c r="Y5" s="1811"/>
      <c r="Z5" s="1811"/>
      <c r="AA5" s="1811"/>
      <c r="AB5" s="1811"/>
      <c r="AC5" s="1811"/>
      <c r="AD5" s="1811"/>
      <c r="AE5" s="1811"/>
      <c r="AF5" s="41"/>
      <c r="AG5" s="42"/>
      <c r="AH5" s="43"/>
      <c r="AI5" s="44" t="s">
        <v>94</v>
      </c>
    </row>
    <row r="6" spans="1:35" ht="18">
      <c r="A6" s="1847" t="s">
        <v>95</v>
      </c>
      <c r="B6" s="1848"/>
      <c r="C6" s="1848"/>
      <c r="D6" s="1848"/>
      <c r="E6" s="1848"/>
      <c r="F6" s="1848"/>
      <c r="G6" s="1848"/>
      <c r="H6" s="1848"/>
      <c r="I6" s="1848"/>
      <c r="J6" s="1848"/>
      <c r="K6" s="1848"/>
      <c r="L6" s="1848"/>
      <c r="M6" s="1848"/>
      <c r="N6" s="1848"/>
      <c r="O6" s="1848"/>
      <c r="P6" s="1848"/>
      <c r="Q6" s="1848"/>
      <c r="R6" s="1848"/>
      <c r="S6" s="1848"/>
      <c r="T6" s="1848"/>
      <c r="U6" s="1848"/>
      <c r="V6" s="1848"/>
      <c r="W6" s="1848"/>
      <c r="X6" s="1848"/>
      <c r="Y6" s="1848"/>
      <c r="Z6" s="1848"/>
      <c r="AA6" s="1848"/>
      <c r="AB6" s="1848"/>
      <c r="AC6" s="1848"/>
      <c r="AD6" s="1848"/>
      <c r="AE6" s="1848"/>
      <c r="AF6" s="41"/>
      <c r="AG6" s="42"/>
      <c r="AH6" s="43"/>
      <c r="AI6" s="45"/>
    </row>
    <row r="7" spans="1:35" ht="15.75" thickBot="1">
      <c r="A7" s="46"/>
      <c r="B7" s="47"/>
      <c r="C7" s="47">
        <f>41.273-20.778</f>
        <v>20.495000000000005</v>
      </c>
      <c r="D7" s="47"/>
      <c r="E7" s="47"/>
      <c r="F7" s="47"/>
      <c r="G7" s="47"/>
      <c r="H7" s="47"/>
      <c r="I7" s="47"/>
      <c r="J7" s="48"/>
      <c r="K7" s="48"/>
      <c r="L7" s="48"/>
      <c r="M7" s="48"/>
      <c r="N7" s="47"/>
      <c r="O7" s="48"/>
      <c r="P7" s="48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8"/>
      <c r="AG7" s="48"/>
      <c r="AH7" s="1898" t="s">
        <v>14</v>
      </c>
      <c r="AI7" s="1899" t="s">
        <v>96</v>
      </c>
    </row>
    <row r="8" spans="1:35" ht="23.45" customHeight="1" thickBot="1">
      <c r="A8" s="1860" t="s">
        <v>97</v>
      </c>
      <c r="B8" s="1860" t="s">
        <v>98</v>
      </c>
      <c r="C8" s="1860" t="s">
        <v>99</v>
      </c>
      <c r="D8" s="1860" t="s">
        <v>100</v>
      </c>
      <c r="E8" s="1865" t="s">
        <v>994</v>
      </c>
      <c r="F8" s="1860" t="s">
        <v>101</v>
      </c>
      <c r="G8" s="1860" t="s">
        <v>102</v>
      </c>
      <c r="H8" s="1860" t="s">
        <v>103</v>
      </c>
      <c r="I8" s="1860" t="s">
        <v>104</v>
      </c>
      <c r="J8" s="1891" t="s">
        <v>105</v>
      </c>
      <c r="K8" s="1893"/>
      <c r="L8" s="1893"/>
      <c r="M8" s="1878"/>
      <c r="N8" s="1860" t="s">
        <v>106</v>
      </c>
      <c r="O8" s="1891" t="s">
        <v>107</v>
      </c>
      <c r="P8" s="1878" t="s">
        <v>108</v>
      </c>
      <c r="Q8" s="1860" t="s">
        <v>109</v>
      </c>
      <c r="R8" s="1860" t="s">
        <v>110</v>
      </c>
      <c r="S8" s="1860" t="s">
        <v>111</v>
      </c>
      <c r="T8" s="1860" t="s">
        <v>112</v>
      </c>
      <c r="U8" s="1888" t="s">
        <v>113</v>
      </c>
      <c r="V8" s="1889"/>
      <c r="W8" s="1890"/>
      <c r="X8" s="1888" t="s">
        <v>114</v>
      </c>
      <c r="Y8" s="1889"/>
      <c r="Z8" s="1890"/>
      <c r="AA8" s="1891" t="s">
        <v>115</v>
      </c>
      <c r="AB8" s="1878" t="s">
        <v>116</v>
      </c>
      <c r="AC8" s="1874" t="s">
        <v>117</v>
      </c>
      <c r="AD8" s="1876"/>
      <c r="AE8" s="1880" t="s">
        <v>118</v>
      </c>
      <c r="AF8" s="1891" t="s">
        <v>119</v>
      </c>
      <c r="AG8" s="1893" t="s">
        <v>120</v>
      </c>
      <c r="AH8" s="1878" t="s">
        <v>121</v>
      </c>
      <c r="AI8" s="1880" t="s">
        <v>122</v>
      </c>
    </row>
    <row r="9" spans="1:35" ht="22.9" customHeight="1" thickBot="1">
      <c r="A9" s="1895"/>
      <c r="B9" s="1895"/>
      <c r="C9" s="1895"/>
      <c r="D9" s="1895"/>
      <c r="E9" s="1866"/>
      <c r="F9" s="1895"/>
      <c r="G9" s="1895"/>
      <c r="H9" s="1895"/>
      <c r="I9" s="1895"/>
      <c r="J9" s="50" t="s">
        <v>123</v>
      </c>
      <c r="K9" s="51" t="s">
        <v>124</v>
      </c>
      <c r="L9" s="51" t="s">
        <v>125</v>
      </c>
      <c r="M9" s="52"/>
      <c r="N9" s="1895"/>
      <c r="O9" s="1892"/>
      <c r="P9" s="1879"/>
      <c r="Q9" s="1895"/>
      <c r="R9" s="1895"/>
      <c r="S9" s="1895"/>
      <c r="T9" s="1895"/>
      <c r="U9" s="53" t="s">
        <v>126</v>
      </c>
      <c r="V9" s="53" t="s">
        <v>127</v>
      </c>
      <c r="W9" s="53" t="s">
        <v>128</v>
      </c>
      <c r="X9" s="53" t="s">
        <v>126</v>
      </c>
      <c r="Y9" s="53" t="s">
        <v>127</v>
      </c>
      <c r="Z9" s="53" t="s">
        <v>128</v>
      </c>
      <c r="AA9" s="1892"/>
      <c r="AB9" s="1879"/>
      <c r="AC9" s="54" t="s">
        <v>129</v>
      </c>
      <c r="AD9" s="54" t="s">
        <v>130</v>
      </c>
      <c r="AE9" s="1881"/>
      <c r="AF9" s="1892"/>
      <c r="AG9" s="1894"/>
      <c r="AH9" s="1879"/>
      <c r="AI9" s="1881"/>
    </row>
    <row r="10" spans="1:35" ht="23.25">
      <c r="A10" s="55">
        <v>1</v>
      </c>
      <c r="B10" s="56" t="s">
        <v>131</v>
      </c>
      <c r="C10" s="56" t="s">
        <v>132</v>
      </c>
      <c r="D10" s="56" t="s">
        <v>133</v>
      </c>
      <c r="E10" s="56" t="s">
        <v>982</v>
      </c>
      <c r="F10" s="56">
        <v>47.74</v>
      </c>
      <c r="G10" s="56"/>
      <c r="H10" s="56"/>
      <c r="I10" s="56">
        <v>0</v>
      </c>
      <c r="J10" s="57"/>
      <c r="K10" s="57"/>
      <c r="L10" s="57"/>
      <c r="M10" s="57"/>
      <c r="N10" s="58" t="s">
        <v>134</v>
      </c>
      <c r="O10" s="57"/>
      <c r="P10" s="57"/>
      <c r="Q10" s="59">
        <v>55.908999999999999</v>
      </c>
      <c r="R10" s="56" t="s">
        <v>135</v>
      </c>
      <c r="S10" s="59">
        <f>G11</f>
        <v>112.764</v>
      </c>
      <c r="T10" s="60">
        <v>56.381999999999998</v>
      </c>
      <c r="U10" s="55">
        <v>0</v>
      </c>
      <c r="V10" s="56">
        <v>66</v>
      </c>
      <c r="W10" s="61">
        <f>U10+V10</f>
        <v>66</v>
      </c>
      <c r="X10" s="55">
        <v>0</v>
      </c>
      <c r="Y10" s="56">
        <v>61</v>
      </c>
      <c r="Z10" s="61">
        <f>X10+Y10</f>
        <v>61</v>
      </c>
      <c r="AA10" s="62" t="s">
        <v>136</v>
      </c>
      <c r="AB10" s="63" t="s">
        <v>137</v>
      </c>
      <c r="AC10" s="64">
        <v>290073.21299999999</v>
      </c>
      <c r="AD10" s="65">
        <v>2865051.01</v>
      </c>
      <c r="AE10" s="66"/>
      <c r="AF10" s="57" t="s">
        <v>138</v>
      </c>
      <c r="AG10" s="57"/>
      <c r="AH10" s="57"/>
      <c r="AI10" s="67"/>
    </row>
    <row r="11" spans="1:35" ht="23.25">
      <c r="A11" s="68"/>
      <c r="B11" s="69" t="s">
        <v>134</v>
      </c>
      <c r="C11" s="69"/>
      <c r="D11" s="69"/>
      <c r="E11" s="69"/>
      <c r="F11" s="69"/>
      <c r="G11" s="70">
        <v>112.764</v>
      </c>
      <c r="H11" s="69"/>
      <c r="I11" s="69"/>
      <c r="J11" s="71"/>
      <c r="K11" s="71"/>
      <c r="L11" s="71"/>
      <c r="M11" s="71"/>
      <c r="N11" s="72"/>
      <c r="O11" s="71"/>
      <c r="P11" s="71"/>
      <c r="Q11" s="70"/>
      <c r="R11" s="69"/>
      <c r="S11" s="70"/>
      <c r="T11" s="73"/>
      <c r="U11" s="68"/>
      <c r="V11" s="69"/>
      <c r="W11" s="74"/>
      <c r="X11" s="68"/>
      <c r="Y11" s="69"/>
      <c r="Z11" s="74"/>
      <c r="AA11" s="75"/>
      <c r="AB11" s="76"/>
      <c r="AC11" s="77"/>
      <c r="AD11" s="78"/>
      <c r="AE11" s="79" t="s">
        <v>139</v>
      </c>
      <c r="AF11" s="71"/>
      <c r="AG11" s="71"/>
      <c r="AH11" s="71"/>
      <c r="AI11" s="80"/>
    </row>
    <row r="12" spans="1:35" ht="23.25">
      <c r="A12" s="68">
        <v>2</v>
      </c>
      <c r="B12" s="69" t="s">
        <v>140</v>
      </c>
      <c r="C12" s="69" t="s">
        <v>141</v>
      </c>
      <c r="D12" s="69" t="s">
        <v>133</v>
      </c>
      <c r="E12" s="69" t="s">
        <v>982</v>
      </c>
      <c r="F12" s="69">
        <v>47.74</v>
      </c>
      <c r="G12" s="70"/>
      <c r="H12" s="70">
        <f>SUM(G11:G12)</f>
        <v>112.764</v>
      </c>
      <c r="I12" s="70">
        <f>I10+G11</f>
        <v>112.764</v>
      </c>
      <c r="J12" s="71"/>
      <c r="K12" s="71"/>
      <c r="L12" s="71"/>
      <c r="M12" s="71"/>
      <c r="N12" s="72" t="s">
        <v>134</v>
      </c>
      <c r="O12" s="71"/>
      <c r="P12" s="71"/>
      <c r="Q12" s="70">
        <v>55.625</v>
      </c>
      <c r="R12" s="69" t="s">
        <v>142</v>
      </c>
      <c r="S12" s="70">
        <f>(G11+G13)</f>
        <v>271.423</v>
      </c>
      <c r="T12" s="73">
        <f>(G11+G13)/2</f>
        <v>135.7115</v>
      </c>
      <c r="U12" s="68">
        <v>52</v>
      </c>
      <c r="V12" s="69">
        <v>84</v>
      </c>
      <c r="W12" s="74">
        <f>U12+V12</f>
        <v>136</v>
      </c>
      <c r="X12" s="68">
        <v>57</v>
      </c>
      <c r="Y12" s="69">
        <v>83</v>
      </c>
      <c r="Z12" s="74">
        <f>X12+Y12</f>
        <v>140</v>
      </c>
      <c r="AA12" s="75" t="s">
        <v>143</v>
      </c>
      <c r="AB12" s="76" t="s">
        <v>144</v>
      </c>
      <c r="AC12" s="77">
        <v>290143.136</v>
      </c>
      <c r="AD12" s="78">
        <v>2865139.477</v>
      </c>
      <c r="AE12" s="81"/>
      <c r="AF12" s="71" t="s">
        <v>145</v>
      </c>
      <c r="AG12" s="71"/>
      <c r="AH12" s="71"/>
      <c r="AI12" s="80"/>
    </row>
    <row r="13" spans="1:35" ht="23.25">
      <c r="A13" s="68"/>
      <c r="B13" s="69" t="s">
        <v>134</v>
      </c>
      <c r="C13" s="69"/>
      <c r="D13" s="69"/>
      <c r="E13" s="69"/>
      <c r="F13" s="69"/>
      <c r="G13" s="70">
        <v>158.65899999999999</v>
      </c>
      <c r="H13" s="69" t="s">
        <v>14</v>
      </c>
      <c r="I13" s="69"/>
      <c r="J13" s="71"/>
      <c r="K13" s="71"/>
      <c r="L13" s="71"/>
      <c r="M13" s="71"/>
      <c r="N13" s="72"/>
      <c r="O13" s="71"/>
      <c r="P13" s="71"/>
      <c r="Q13" s="70"/>
      <c r="R13" s="69"/>
      <c r="S13" s="70"/>
      <c r="T13" s="73"/>
      <c r="U13" s="68"/>
      <c r="V13" s="69"/>
      <c r="W13" s="74"/>
      <c r="X13" s="68"/>
      <c r="Y13" s="69"/>
      <c r="Z13" s="74"/>
      <c r="AA13" s="75"/>
      <c r="AB13" s="76"/>
      <c r="AC13" s="77"/>
      <c r="AD13" s="78"/>
      <c r="AE13" s="81"/>
      <c r="AF13" s="71"/>
      <c r="AG13" s="71"/>
      <c r="AH13" s="71"/>
      <c r="AI13" s="80"/>
    </row>
    <row r="14" spans="1:35" ht="23.25">
      <c r="A14" s="68">
        <v>3</v>
      </c>
      <c r="B14" s="69" t="s">
        <v>146</v>
      </c>
      <c r="C14" s="69" t="s">
        <v>147</v>
      </c>
      <c r="D14" s="69" t="s">
        <v>133</v>
      </c>
      <c r="E14" s="69" t="s">
        <v>982</v>
      </c>
      <c r="F14" s="69">
        <v>47.74</v>
      </c>
      <c r="G14" s="70"/>
      <c r="H14" s="70">
        <f>SUM(G13:G14)</f>
        <v>158.65899999999999</v>
      </c>
      <c r="I14" s="70">
        <f t="shared" ref="I14" si="0">I12+G13</f>
        <v>271.423</v>
      </c>
      <c r="J14" s="71"/>
      <c r="K14" s="71"/>
      <c r="L14" s="71"/>
      <c r="M14" s="71"/>
      <c r="N14" s="72" t="s">
        <v>134</v>
      </c>
      <c r="O14" s="71"/>
      <c r="P14" s="71"/>
      <c r="Q14" s="70">
        <v>55.475999999999999</v>
      </c>
      <c r="R14" s="69" t="s">
        <v>148</v>
      </c>
      <c r="S14" s="70">
        <f t="shared" ref="S14" si="1">(G13+G15)</f>
        <v>454.65899999999999</v>
      </c>
      <c r="T14" s="73">
        <f t="shared" ref="T14" si="2">(G13+G15)/2</f>
        <v>227.3295</v>
      </c>
      <c r="U14" s="68">
        <v>79</v>
      </c>
      <c r="V14" s="69">
        <v>153</v>
      </c>
      <c r="W14" s="74">
        <f t="shared" ref="W14" si="3">U14+V14</f>
        <v>232</v>
      </c>
      <c r="X14" s="68">
        <v>81</v>
      </c>
      <c r="Y14" s="69">
        <v>152</v>
      </c>
      <c r="Z14" s="74">
        <f t="shared" ref="Z14" si="4">X14+Y14</f>
        <v>233</v>
      </c>
      <c r="AA14" s="75" t="s">
        <v>149</v>
      </c>
      <c r="AB14" s="76" t="s">
        <v>150</v>
      </c>
      <c r="AC14" s="77">
        <v>290295.87</v>
      </c>
      <c r="AD14" s="78">
        <v>2865182.4309999999</v>
      </c>
      <c r="AE14" s="81"/>
      <c r="AF14" s="71" t="s">
        <v>145</v>
      </c>
      <c r="AG14" s="71"/>
      <c r="AH14" s="71"/>
      <c r="AI14" s="80"/>
    </row>
    <row r="15" spans="1:35" ht="36.6" customHeight="1">
      <c r="A15" s="68"/>
      <c r="B15" s="69" t="s">
        <v>134</v>
      </c>
      <c r="C15" s="69"/>
      <c r="D15" s="69"/>
      <c r="E15" s="69"/>
      <c r="F15" s="69"/>
      <c r="G15" s="29">
        <v>296</v>
      </c>
      <c r="H15" s="69"/>
      <c r="I15" s="69"/>
      <c r="J15" s="71"/>
      <c r="K15" s="71"/>
      <c r="L15" s="71"/>
      <c r="M15" s="71"/>
      <c r="N15" s="72"/>
      <c r="O15" s="71"/>
      <c r="P15" s="71"/>
      <c r="Q15" s="70"/>
      <c r="R15" s="69"/>
      <c r="S15" s="70"/>
      <c r="T15" s="73"/>
      <c r="U15" s="68"/>
      <c r="V15" s="69"/>
      <c r="W15" s="74"/>
      <c r="X15" s="68"/>
      <c r="Y15" s="69"/>
      <c r="Z15" s="74"/>
      <c r="AA15" s="75"/>
      <c r="AB15" s="76"/>
      <c r="AC15" s="77"/>
      <c r="AD15" s="78"/>
      <c r="AE15" s="81" t="s">
        <v>151</v>
      </c>
      <c r="AF15" s="71"/>
      <c r="AG15" s="71"/>
      <c r="AH15" s="71"/>
      <c r="AI15" s="80"/>
    </row>
    <row r="16" spans="1:35" ht="23.25">
      <c r="A16" s="68">
        <v>4</v>
      </c>
      <c r="B16" s="69" t="s">
        <v>134</v>
      </c>
      <c r="C16" s="69" t="s">
        <v>152</v>
      </c>
      <c r="D16" s="69" t="s">
        <v>153</v>
      </c>
      <c r="E16" s="69" t="s">
        <v>982</v>
      </c>
      <c r="F16" s="69">
        <v>48.16</v>
      </c>
      <c r="G16" s="70"/>
      <c r="H16" s="70"/>
      <c r="I16" s="70">
        <f t="shared" ref="I16" si="5">I14+G15</f>
        <v>567.423</v>
      </c>
      <c r="J16" s="71"/>
      <c r="K16" s="71"/>
      <c r="L16" s="71"/>
      <c r="M16" s="71"/>
      <c r="N16" s="72" t="s">
        <v>134</v>
      </c>
      <c r="O16" s="71"/>
      <c r="P16" s="71"/>
      <c r="Q16" s="70">
        <v>54.966000000000001</v>
      </c>
      <c r="R16" s="69" t="s">
        <v>134</v>
      </c>
      <c r="S16" s="70">
        <f t="shared" ref="S16" si="6">(G15+G17)</f>
        <v>628</v>
      </c>
      <c r="T16" s="73">
        <f t="shared" ref="T16" si="7">(G15+G17)/2</f>
        <v>314</v>
      </c>
      <c r="U16" s="68">
        <v>146</v>
      </c>
      <c r="V16" s="69">
        <v>168</v>
      </c>
      <c r="W16" s="74">
        <f t="shared" ref="W16" si="8">U16+V16</f>
        <v>314</v>
      </c>
      <c r="X16" s="68">
        <v>147</v>
      </c>
      <c r="Y16" s="69">
        <v>168</v>
      </c>
      <c r="Z16" s="74">
        <f t="shared" ref="Z16" si="9">X16+Y16</f>
        <v>315</v>
      </c>
      <c r="AA16" s="75" t="s">
        <v>154</v>
      </c>
      <c r="AB16" s="76" t="s">
        <v>155</v>
      </c>
      <c r="AC16" s="77">
        <v>290582.30699999997</v>
      </c>
      <c r="AD16" s="78">
        <v>2865107.801</v>
      </c>
      <c r="AE16" s="81"/>
      <c r="AF16" s="71" t="s">
        <v>145</v>
      </c>
      <c r="AG16" s="71"/>
      <c r="AH16" s="71"/>
      <c r="AI16" s="80"/>
    </row>
    <row r="17" spans="1:35" ht="23.25">
      <c r="A17" s="68"/>
      <c r="B17" s="69" t="s">
        <v>134</v>
      </c>
      <c r="C17" s="69"/>
      <c r="D17" s="69"/>
      <c r="E17" s="69"/>
      <c r="F17" s="69"/>
      <c r="G17" s="70">
        <v>332</v>
      </c>
      <c r="H17" s="69"/>
      <c r="I17" s="69"/>
      <c r="J17" s="71"/>
      <c r="K17" s="71"/>
      <c r="L17" s="71"/>
      <c r="M17" s="71"/>
      <c r="N17" s="72"/>
      <c r="O17" s="71"/>
      <c r="P17" s="71"/>
      <c r="Q17" s="70"/>
      <c r="R17" s="69"/>
      <c r="S17" s="70"/>
      <c r="T17" s="73"/>
      <c r="U17" s="68"/>
      <c r="V17" s="69"/>
      <c r="W17" s="74"/>
      <c r="X17" s="68"/>
      <c r="Y17" s="69"/>
      <c r="Z17" s="74"/>
      <c r="AA17" s="75"/>
      <c r="AB17" s="76"/>
      <c r="AC17" s="77"/>
      <c r="AD17" s="78"/>
      <c r="AE17" s="82"/>
      <c r="AF17" s="71"/>
      <c r="AG17" s="71"/>
      <c r="AH17" s="71"/>
      <c r="AI17" s="80"/>
    </row>
    <row r="18" spans="1:35" ht="23.25">
      <c r="A18" s="68">
        <v>5</v>
      </c>
      <c r="B18" s="69" t="s">
        <v>134</v>
      </c>
      <c r="C18" s="69" t="s">
        <v>156</v>
      </c>
      <c r="D18" s="69" t="s">
        <v>153</v>
      </c>
      <c r="E18" s="69" t="s">
        <v>982</v>
      </c>
      <c r="F18" s="69">
        <v>48.16</v>
      </c>
      <c r="G18" s="70"/>
      <c r="H18" s="70"/>
      <c r="I18" s="70">
        <f t="shared" ref="I18" si="10">I16+G17</f>
        <v>899.423</v>
      </c>
      <c r="J18" s="71"/>
      <c r="K18" s="71"/>
      <c r="L18" s="71"/>
      <c r="M18" s="71"/>
      <c r="N18" s="72" t="s">
        <v>134</v>
      </c>
      <c r="O18" s="71"/>
      <c r="P18" s="71"/>
      <c r="Q18" s="70">
        <v>54.7</v>
      </c>
      <c r="R18" s="69" t="s">
        <v>134</v>
      </c>
      <c r="S18" s="70">
        <f t="shared" ref="S18" si="11">(G17+G19)</f>
        <v>609</v>
      </c>
      <c r="T18" s="73">
        <f t="shared" ref="T18" si="12">(G17+G19)/2</f>
        <v>304.5</v>
      </c>
      <c r="U18" s="68">
        <v>164</v>
      </c>
      <c r="V18" s="69">
        <v>138</v>
      </c>
      <c r="W18" s="74">
        <f t="shared" ref="W18" si="13">U18+V18</f>
        <v>302</v>
      </c>
      <c r="X18" s="68">
        <v>165</v>
      </c>
      <c r="Y18" s="69">
        <v>138</v>
      </c>
      <c r="Z18" s="74">
        <f t="shared" ref="Z18" si="14">X18+Y18</f>
        <v>303</v>
      </c>
      <c r="AA18" s="75" t="s">
        <v>157</v>
      </c>
      <c r="AB18" s="76" t="s">
        <v>158</v>
      </c>
      <c r="AC18" s="77">
        <v>290903.58100000001</v>
      </c>
      <c r="AD18" s="78">
        <v>2865024.0929999999</v>
      </c>
      <c r="AE18" s="83"/>
      <c r="AF18" s="71" t="s">
        <v>145</v>
      </c>
      <c r="AG18" s="71"/>
      <c r="AH18" s="71"/>
      <c r="AI18" s="80"/>
    </row>
    <row r="19" spans="1:35" ht="23.25">
      <c r="A19" s="68"/>
      <c r="B19" s="69" t="s">
        <v>134</v>
      </c>
      <c r="C19" s="69"/>
      <c r="D19" s="69"/>
      <c r="E19" s="69"/>
      <c r="F19" s="69"/>
      <c r="G19" s="70">
        <v>277</v>
      </c>
      <c r="H19" s="69"/>
      <c r="I19" s="69"/>
      <c r="J19" s="71"/>
      <c r="K19" s="71"/>
      <c r="L19" s="71"/>
      <c r="M19" s="71"/>
      <c r="N19" s="72"/>
      <c r="O19" s="71"/>
      <c r="P19" s="71"/>
      <c r="Q19" s="70"/>
      <c r="R19" s="69"/>
      <c r="S19" s="70"/>
      <c r="T19" s="73"/>
      <c r="U19" s="68"/>
      <c r="V19" s="69"/>
      <c r="W19" s="74"/>
      <c r="X19" s="68"/>
      <c r="Y19" s="69"/>
      <c r="Z19" s="74"/>
      <c r="AA19" s="75"/>
      <c r="AB19" s="76"/>
      <c r="AC19" s="77"/>
      <c r="AD19" s="78"/>
      <c r="AE19" s="81" t="s">
        <v>159</v>
      </c>
      <c r="AF19" s="71"/>
      <c r="AG19" s="71"/>
      <c r="AH19" s="71"/>
      <c r="AI19" s="80"/>
    </row>
    <row r="20" spans="1:35" ht="23.25">
      <c r="A20" s="68">
        <v>6</v>
      </c>
      <c r="B20" s="69" t="s">
        <v>134</v>
      </c>
      <c r="C20" s="69" t="s">
        <v>160</v>
      </c>
      <c r="D20" s="69" t="s">
        <v>153</v>
      </c>
      <c r="E20" s="69" t="s">
        <v>982</v>
      </c>
      <c r="F20" s="69">
        <v>48.16</v>
      </c>
      <c r="G20" s="70"/>
      <c r="H20" s="70"/>
      <c r="I20" s="70">
        <f t="shared" ref="I20" si="15">I18+G19</f>
        <v>1176.423</v>
      </c>
      <c r="J20" s="71"/>
      <c r="K20" s="71"/>
      <c r="L20" s="71"/>
      <c r="M20" s="71"/>
      <c r="N20" s="72" t="s">
        <v>134</v>
      </c>
      <c r="O20" s="71"/>
      <c r="P20" s="71"/>
      <c r="Q20" s="70">
        <v>54.83</v>
      </c>
      <c r="R20" s="69" t="s">
        <v>134</v>
      </c>
      <c r="S20" s="70">
        <f t="shared" ref="S20" si="16">(G19+G21)</f>
        <v>617.68399999999997</v>
      </c>
      <c r="T20" s="73">
        <f t="shared" ref="T20" si="17">(G19+G21)/2</f>
        <v>308.84199999999998</v>
      </c>
      <c r="U20" s="68">
        <v>140</v>
      </c>
      <c r="V20" s="69">
        <v>165</v>
      </c>
      <c r="W20" s="74">
        <f t="shared" ref="W20" si="18">U20+V20</f>
        <v>305</v>
      </c>
      <c r="X20" s="68">
        <v>139</v>
      </c>
      <c r="Y20" s="69">
        <v>167</v>
      </c>
      <c r="Z20" s="74">
        <f t="shared" ref="Z20" si="19">X20+Y20</f>
        <v>306</v>
      </c>
      <c r="AA20" s="75" t="s">
        <v>161</v>
      </c>
      <c r="AB20" s="76" t="s">
        <v>162</v>
      </c>
      <c r="AC20" s="77">
        <v>291171.63299999997</v>
      </c>
      <c r="AD20" s="78">
        <v>2864954.2540000002</v>
      </c>
      <c r="AE20" s="81"/>
      <c r="AF20" s="71" t="s">
        <v>163</v>
      </c>
      <c r="AG20" s="71"/>
      <c r="AH20" s="71"/>
      <c r="AI20" s="80"/>
    </row>
    <row r="21" spans="1:35" ht="23.25">
      <c r="A21" s="68"/>
      <c r="B21" s="69" t="s">
        <v>134</v>
      </c>
      <c r="C21" s="69"/>
      <c r="D21" s="69"/>
      <c r="E21" s="69"/>
      <c r="F21" s="69"/>
      <c r="G21" s="70">
        <v>340.68400000000003</v>
      </c>
      <c r="H21" s="69"/>
      <c r="I21" s="69"/>
      <c r="J21" s="71"/>
      <c r="K21" s="71"/>
      <c r="L21" s="71"/>
      <c r="M21" s="71"/>
      <c r="N21" s="72"/>
      <c r="O21" s="71"/>
      <c r="P21" s="71"/>
      <c r="Q21" s="70"/>
      <c r="R21" s="69"/>
      <c r="S21" s="70"/>
      <c r="T21" s="73"/>
      <c r="U21" s="68"/>
      <c r="V21" s="69"/>
      <c r="W21" s="74"/>
      <c r="X21" s="68"/>
      <c r="Y21" s="69"/>
      <c r="Z21" s="74"/>
      <c r="AA21" s="75"/>
      <c r="AB21" s="76"/>
      <c r="AC21" s="77"/>
      <c r="AD21" s="78"/>
      <c r="AE21" s="81" t="s">
        <v>164</v>
      </c>
      <c r="AF21" s="71"/>
      <c r="AG21" s="71"/>
      <c r="AH21" s="71"/>
      <c r="AI21" s="80"/>
    </row>
    <row r="22" spans="1:35" ht="23.25">
      <c r="A22" s="68">
        <v>7</v>
      </c>
      <c r="B22" s="69" t="s">
        <v>165</v>
      </c>
      <c r="C22" s="69" t="s">
        <v>166</v>
      </c>
      <c r="D22" s="69" t="s">
        <v>167</v>
      </c>
      <c r="E22" s="69" t="s">
        <v>982</v>
      </c>
      <c r="F22" s="69">
        <v>47.74</v>
      </c>
      <c r="G22" s="70"/>
      <c r="H22" s="70">
        <f>SUM(G15:G22)</f>
        <v>1245.684</v>
      </c>
      <c r="I22" s="70">
        <f t="shared" ref="I22" si="20">I20+G21</f>
        <v>1517.107</v>
      </c>
      <c r="J22" s="71"/>
      <c r="K22" s="71"/>
      <c r="L22" s="71"/>
      <c r="M22" s="71"/>
      <c r="N22" s="72" t="s">
        <v>134</v>
      </c>
      <c r="O22" s="71"/>
      <c r="P22" s="71"/>
      <c r="Q22" s="70">
        <v>55.869</v>
      </c>
      <c r="R22" s="69" t="s">
        <v>168</v>
      </c>
      <c r="S22" s="70">
        <f t="shared" ref="S22" si="21">(G21+G23)</f>
        <v>570.52500000000009</v>
      </c>
      <c r="T22" s="73">
        <f t="shared" ref="T22" si="22">(G21+G23)/2</f>
        <v>285.26250000000005</v>
      </c>
      <c r="U22" s="68">
        <v>178</v>
      </c>
      <c r="V22" s="69">
        <v>109</v>
      </c>
      <c r="W22" s="74">
        <f t="shared" ref="W22" si="23">U22+V22</f>
        <v>287</v>
      </c>
      <c r="X22" s="68">
        <v>176</v>
      </c>
      <c r="Y22" s="69">
        <v>112</v>
      </c>
      <c r="Z22" s="74">
        <f t="shared" ref="Z22" si="24">X22+Y22</f>
        <v>288</v>
      </c>
      <c r="AA22" s="75" t="s">
        <v>169</v>
      </c>
      <c r="AB22" s="76" t="s">
        <v>170</v>
      </c>
      <c r="AC22" s="77">
        <v>291501.31</v>
      </c>
      <c r="AD22" s="78">
        <v>2864868.3569999998</v>
      </c>
      <c r="AE22" s="83"/>
      <c r="AF22" s="71" t="s">
        <v>163</v>
      </c>
      <c r="AG22" s="71"/>
      <c r="AH22" s="71"/>
      <c r="AI22" s="80"/>
    </row>
    <row r="23" spans="1:35" ht="23.25">
      <c r="A23" s="68"/>
      <c r="B23" s="69" t="s">
        <v>134</v>
      </c>
      <c r="C23" s="69"/>
      <c r="D23" s="69"/>
      <c r="E23" s="69"/>
      <c r="F23" s="69"/>
      <c r="G23" s="70">
        <v>229.84100000000001</v>
      </c>
      <c r="H23" s="69"/>
      <c r="I23" s="69"/>
      <c r="J23" s="71"/>
      <c r="K23" s="71"/>
      <c r="L23" s="71"/>
      <c r="M23" s="71"/>
      <c r="N23" s="72"/>
      <c r="O23" s="71"/>
      <c r="P23" s="71"/>
      <c r="Q23" s="70"/>
      <c r="R23" s="69"/>
      <c r="S23" s="70"/>
      <c r="T23" s="73"/>
      <c r="U23" s="68"/>
      <c r="V23" s="69"/>
      <c r="W23" s="74"/>
      <c r="X23" s="68"/>
      <c r="Y23" s="69"/>
      <c r="Z23" s="74"/>
      <c r="AA23" s="75"/>
      <c r="AB23" s="76"/>
      <c r="AC23" s="77"/>
      <c r="AD23" s="78"/>
      <c r="AE23" s="81" t="s">
        <v>171</v>
      </c>
      <c r="AF23" s="71"/>
      <c r="AG23" s="71"/>
      <c r="AH23" s="71"/>
      <c r="AI23" s="80" t="s">
        <v>172</v>
      </c>
    </row>
    <row r="24" spans="1:35" ht="23.25">
      <c r="A24" s="68">
        <v>8</v>
      </c>
      <c r="B24" s="69" t="s">
        <v>173</v>
      </c>
      <c r="C24" s="69" t="s">
        <v>174</v>
      </c>
      <c r="D24" s="69" t="s">
        <v>133</v>
      </c>
      <c r="E24" s="69" t="s">
        <v>982</v>
      </c>
      <c r="F24" s="69">
        <v>47.74</v>
      </c>
      <c r="G24" s="70"/>
      <c r="H24" s="70">
        <f>SUM(G23:G24)</f>
        <v>229.84100000000001</v>
      </c>
      <c r="I24" s="70">
        <f t="shared" ref="I24" si="25">I22+G23</f>
        <v>1746.9479999999999</v>
      </c>
      <c r="J24" s="71"/>
      <c r="K24" s="71"/>
      <c r="L24" s="71"/>
      <c r="M24" s="71"/>
      <c r="N24" s="72" t="s">
        <v>134</v>
      </c>
      <c r="O24" s="71"/>
      <c r="P24" s="71"/>
      <c r="Q24" s="70">
        <v>56.286000000000001</v>
      </c>
      <c r="R24" s="69" t="s">
        <v>175</v>
      </c>
      <c r="S24" s="70">
        <f t="shared" ref="S24" si="26">(G23+G25)</f>
        <v>506.76600000000002</v>
      </c>
      <c r="T24" s="73">
        <f t="shared" ref="T24" si="27">(G23+G25)/2</f>
        <v>253.38300000000001</v>
      </c>
      <c r="U24" s="68">
        <v>118</v>
      </c>
      <c r="V24" s="69">
        <v>140</v>
      </c>
      <c r="W24" s="74">
        <f t="shared" ref="W24" si="28">U24+V24</f>
        <v>258</v>
      </c>
      <c r="X24" s="68">
        <v>116</v>
      </c>
      <c r="Y24" s="69">
        <v>140</v>
      </c>
      <c r="Z24" s="74">
        <f t="shared" ref="Z24" si="29">X24+Y24</f>
        <v>256</v>
      </c>
      <c r="AA24" s="75" t="s">
        <v>176</v>
      </c>
      <c r="AB24" s="76" t="s">
        <v>177</v>
      </c>
      <c r="AC24" s="77">
        <v>291694.49599999998</v>
      </c>
      <c r="AD24" s="78">
        <v>2864743.8339999998</v>
      </c>
      <c r="AE24" s="81"/>
      <c r="AF24" s="71" t="s">
        <v>178</v>
      </c>
      <c r="AG24" s="71"/>
      <c r="AH24" s="71"/>
      <c r="AI24" s="84"/>
    </row>
    <row r="25" spans="1:35" ht="31.15" customHeight="1">
      <c r="A25" s="68"/>
      <c r="B25" s="69" t="s">
        <v>134</v>
      </c>
      <c r="C25" s="69"/>
      <c r="D25" s="69"/>
      <c r="E25" s="69"/>
      <c r="F25" s="69"/>
      <c r="G25" s="70">
        <v>276.92500000000001</v>
      </c>
      <c r="H25" s="69"/>
      <c r="I25" s="69"/>
      <c r="J25" s="71"/>
      <c r="K25" s="71"/>
      <c r="L25" s="71"/>
      <c r="M25" s="71"/>
      <c r="N25" s="72"/>
      <c r="O25" s="71"/>
      <c r="P25" s="71"/>
      <c r="Q25" s="70"/>
      <c r="R25" s="69"/>
      <c r="S25" s="70"/>
      <c r="T25" s="73"/>
      <c r="U25" s="68"/>
      <c r="V25" s="69"/>
      <c r="W25" s="74"/>
      <c r="X25" s="68"/>
      <c r="Y25" s="69"/>
      <c r="Z25" s="74"/>
      <c r="AA25" s="75"/>
      <c r="AB25" s="76"/>
      <c r="AC25" s="77"/>
      <c r="AD25" s="78"/>
      <c r="AE25" s="81" t="s">
        <v>179</v>
      </c>
      <c r="AF25" s="71"/>
      <c r="AG25" s="71"/>
      <c r="AH25" s="71"/>
      <c r="AI25" s="80" t="s">
        <v>172</v>
      </c>
    </row>
    <row r="26" spans="1:35" ht="23.25">
      <c r="A26" s="68">
        <v>9</v>
      </c>
      <c r="B26" s="69" t="s">
        <v>180</v>
      </c>
      <c r="C26" s="69" t="s">
        <v>181</v>
      </c>
      <c r="D26" s="69" t="s">
        <v>133</v>
      </c>
      <c r="E26" s="69" t="s">
        <v>982</v>
      </c>
      <c r="F26" s="69">
        <v>47.74</v>
      </c>
      <c r="G26" s="70"/>
      <c r="H26" s="70">
        <f>SUM(G25:G26)</f>
        <v>276.92500000000001</v>
      </c>
      <c r="I26" s="70">
        <f t="shared" ref="I26" si="30">I24+G25</f>
        <v>2023.8729999999998</v>
      </c>
      <c r="J26" s="71"/>
      <c r="K26" s="71"/>
      <c r="L26" s="71"/>
      <c r="M26" s="71"/>
      <c r="N26" s="72" t="s">
        <v>134</v>
      </c>
      <c r="O26" s="71"/>
      <c r="P26" s="71"/>
      <c r="Q26" s="70">
        <v>56.119</v>
      </c>
      <c r="R26" s="69" t="s">
        <v>182</v>
      </c>
      <c r="S26" s="70">
        <f t="shared" ref="S26" si="31">(G25+G27)</f>
        <v>633.92499999999995</v>
      </c>
      <c r="T26" s="73">
        <f t="shared" ref="T26" si="32">(G25+G27)/2</f>
        <v>316.96249999999998</v>
      </c>
      <c r="U26" s="68">
        <v>137</v>
      </c>
      <c r="V26" s="69">
        <v>168</v>
      </c>
      <c r="W26" s="74">
        <f t="shared" ref="W26" si="33">U26+V26</f>
        <v>305</v>
      </c>
      <c r="X26" s="68">
        <v>138</v>
      </c>
      <c r="Y26" s="69">
        <v>173</v>
      </c>
      <c r="Z26" s="74">
        <f t="shared" ref="Z26" si="34">X26+Y26</f>
        <v>311</v>
      </c>
      <c r="AA26" s="75" t="s">
        <v>183</v>
      </c>
      <c r="AB26" s="76" t="s">
        <v>184</v>
      </c>
      <c r="AC26" s="77">
        <v>291958.88799999998</v>
      </c>
      <c r="AD26" s="78">
        <v>2864826.2</v>
      </c>
      <c r="AE26" s="83"/>
      <c r="AF26" s="71" t="s">
        <v>178</v>
      </c>
      <c r="AG26" s="71"/>
      <c r="AH26" s="71"/>
      <c r="AI26" s="80" t="s">
        <v>14</v>
      </c>
    </row>
    <row r="27" spans="1:35" ht="23.25">
      <c r="A27" s="68"/>
      <c r="B27" s="69" t="s">
        <v>134</v>
      </c>
      <c r="C27" s="69"/>
      <c r="D27" s="69"/>
      <c r="E27" s="69"/>
      <c r="F27" s="69"/>
      <c r="G27" s="70">
        <v>357</v>
      </c>
      <c r="H27" s="69"/>
      <c r="I27" s="69"/>
      <c r="J27" s="71"/>
      <c r="K27" s="71"/>
      <c r="L27" s="71"/>
      <c r="M27" s="71"/>
      <c r="N27" s="72"/>
      <c r="O27" s="71"/>
      <c r="P27" s="71"/>
      <c r="Q27" s="70"/>
      <c r="R27" s="69"/>
      <c r="S27" s="70"/>
      <c r="T27" s="73"/>
      <c r="U27" s="68"/>
      <c r="V27" s="69"/>
      <c r="W27" s="74"/>
      <c r="X27" s="68"/>
      <c r="Y27" s="69"/>
      <c r="Z27" s="74"/>
      <c r="AA27" s="75"/>
      <c r="AB27" s="76"/>
      <c r="AC27" s="77"/>
      <c r="AD27" s="78"/>
      <c r="AE27" s="81" t="s">
        <v>185</v>
      </c>
      <c r="AF27" s="71"/>
      <c r="AG27" s="71"/>
      <c r="AH27" s="71"/>
      <c r="AI27" s="80"/>
    </row>
    <row r="28" spans="1:35" ht="23.25">
      <c r="A28" s="68">
        <v>10</v>
      </c>
      <c r="B28" s="69" t="s">
        <v>134</v>
      </c>
      <c r="C28" s="69" t="s">
        <v>186</v>
      </c>
      <c r="D28" s="69" t="s">
        <v>187</v>
      </c>
      <c r="E28" s="69" t="s">
        <v>982</v>
      </c>
      <c r="F28" s="69">
        <v>51.16</v>
      </c>
      <c r="G28" s="70"/>
      <c r="H28" s="70"/>
      <c r="I28" s="70">
        <f t="shared" ref="I28" si="35">I26+G27</f>
        <v>2380.8729999999996</v>
      </c>
      <c r="J28" s="71"/>
      <c r="K28" s="71"/>
      <c r="L28" s="71"/>
      <c r="M28" s="71"/>
      <c r="N28" s="72" t="s">
        <v>134</v>
      </c>
      <c r="O28" s="71"/>
      <c r="P28" s="71"/>
      <c r="Q28" s="70">
        <v>55.075000000000003</v>
      </c>
      <c r="R28" s="69" t="s">
        <v>134</v>
      </c>
      <c r="S28" s="70">
        <f t="shared" ref="S28" si="36">(G27+G29)</f>
        <v>600.76700000000005</v>
      </c>
      <c r="T28" s="73">
        <f t="shared" ref="T28" si="37">(G27+G29)/2</f>
        <v>300.38350000000003</v>
      </c>
      <c r="U28" s="68">
        <v>193</v>
      </c>
      <c r="V28" s="69">
        <v>150</v>
      </c>
      <c r="W28" s="74">
        <f t="shared" ref="W28" si="38">U28+V28</f>
        <v>343</v>
      </c>
      <c r="X28" s="68">
        <v>189</v>
      </c>
      <c r="Y28" s="69">
        <v>140</v>
      </c>
      <c r="Z28" s="74">
        <f t="shared" ref="Z28" si="39">X28+Y28</f>
        <v>329</v>
      </c>
      <c r="AA28" s="75" t="s">
        <v>188</v>
      </c>
      <c r="AB28" s="76" t="s">
        <v>189</v>
      </c>
      <c r="AC28" s="77">
        <v>292248.46600000001</v>
      </c>
      <c r="AD28" s="78">
        <v>2864617.409</v>
      </c>
      <c r="AE28" s="81"/>
      <c r="AF28" s="71" t="s">
        <v>190</v>
      </c>
      <c r="AG28" s="71"/>
      <c r="AH28" s="71"/>
      <c r="AI28" s="80"/>
    </row>
    <row r="29" spans="1:35" ht="23.25">
      <c r="A29" s="68"/>
      <c r="B29" s="69" t="s">
        <v>134</v>
      </c>
      <c r="C29" s="69"/>
      <c r="D29" s="69"/>
      <c r="E29" s="69"/>
      <c r="F29" s="69"/>
      <c r="G29" s="70">
        <v>243.767</v>
      </c>
      <c r="H29" s="69"/>
      <c r="I29" s="69"/>
      <c r="J29" s="71"/>
      <c r="K29" s="71"/>
      <c r="L29" s="71"/>
      <c r="M29" s="71"/>
      <c r="N29" s="72"/>
      <c r="O29" s="71"/>
      <c r="P29" s="71"/>
      <c r="Q29" s="70"/>
      <c r="R29" s="69"/>
      <c r="S29" s="70"/>
      <c r="T29" s="73"/>
      <c r="U29" s="68"/>
      <c r="V29" s="69"/>
      <c r="W29" s="74"/>
      <c r="X29" s="68"/>
      <c r="Y29" s="69"/>
      <c r="Z29" s="74"/>
      <c r="AA29" s="75"/>
      <c r="AB29" s="76"/>
      <c r="AC29" s="77"/>
      <c r="AD29" s="78"/>
      <c r="AE29" s="81" t="s">
        <v>191</v>
      </c>
      <c r="AF29" s="71"/>
      <c r="AG29" s="71"/>
      <c r="AH29" s="71"/>
      <c r="AI29" s="80"/>
    </row>
    <row r="30" spans="1:35" ht="23.25">
      <c r="A30" s="68">
        <v>11</v>
      </c>
      <c r="B30" s="69" t="s">
        <v>192</v>
      </c>
      <c r="C30" s="69" t="s">
        <v>64</v>
      </c>
      <c r="D30" s="69" t="s">
        <v>193</v>
      </c>
      <c r="E30" s="69" t="s">
        <v>982</v>
      </c>
      <c r="F30" s="69">
        <v>47.74</v>
      </c>
      <c r="G30" s="70"/>
      <c r="H30" s="70">
        <f>SUM(G27:G30)</f>
        <v>600.76700000000005</v>
      </c>
      <c r="I30" s="70">
        <f t="shared" ref="I30" si="40">I28+G29</f>
        <v>2624.6399999999994</v>
      </c>
      <c r="J30" s="71"/>
      <c r="K30" s="71"/>
      <c r="L30" s="71"/>
      <c r="M30" s="71"/>
      <c r="N30" s="72" t="s">
        <v>134</v>
      </c>
      <c r="O30" s="71"/>
      <c r="P30" s="71"/>
      <c r="Q30" s="70">
        <v>54.996000000000002</v>
      </c>
      <c r="R30" s="69" t="s">
        <v>194</v>
      </c>
      <c r="S30" s="70">
        <f t="shared" ref="S30" si="41">(G29+G31)</f>
        <v>581.76700000000005</v>
      </c>
      <c r="T30" s="73">
        <f t="shared" ref="T30" si="42">(G29+G31)/2</f>
        <v>290.88350000000003</v>
      </c>
      <c r="U30" s="68">
        <v>94</v>
      </c>
      <c r="V30" s="69">
        <v>170</v>
      </c>
      <c r="W30" s="74">
        <f t="shared" ref="W30" si="43">U30+V30</f>
        <v>264</v>
      </c>
      <c r="X30" s="68">
        <v>104</v>
      </c>
      <c r="Y30" s="69">
        <v>170</v>
      </c>
      <c r="Z30" s="74">
        <f t="shared" ref="Z30" si="44">X30+Y30</f>
        <v>274</v>
      </c>
      <c r="AA30" s="75" t="s">
        <v>195</v>
      </c>
      <c r="AB30" s="76" t="s">
        <v>196</v>
      </c>
      <c r="AC30" s="77">
        <v>292446.19500000001</v>
      </c>
      <c r="AD30" s="78">
        <v>2864474.8420000002</v>
      </c>
      <c r="AE30" s="83"/>
      <c r="AF30" s="71" t="s">
        <v>190</v>
      </c>
      <c r="AG30" s="71"/>
      <c r="AH30" s="71"/>
      <c r="AI30" s="85"/>
    </row>
    <row r="31" spans="1:35" ht="36" customHeight="1">
      <c r="A31" s="68"/>
      <c r="B31" s="69" t="s">
        <v>134</v>
      </c>
      <c r="C31" s="69"/>
      <c r="D31" s="69"/>
      <c r="E31" s="69"/>
      <c r="F31" s="69"/>
      <c r="G31" s="70">
        <v>338</v>
      </c>
      <c r="H31" s="69"/>
      <c r="I31" s="69"/>
      <c r="J31" s="71"/>
      <c r="K31" s="71"/>
      <c r="L31" s="71"/>
      <c r="M31" s="71"/>
      <c r="N31" s="72"/>
      <c r="O31" s="71"/>
      <c r="P31" s="71"/>
      <c r="Q31" s="70"/>
      <c r="R31" s="69"/>
      <c r="S31" s="70"/>
      <c r="T31" s="73"/>
      <c r="U31" s="68"/>
      <c r="V31" s="69"/>
      <c r="W31" s="74"/>
      <c r="X31" s="68"/>
      <c r="Y31" s="69"/>
      <c r="Z31" s="74"/>
      <c r="AA31" s="75"/>
      <c r="AB31" s="76"/>
      <c r="AC31" s="77"/>
      <c r="AD31" s="78"/>
      <c r="AE31" s="81" t="s">
        <v>197</v>
      </c>
      <c r="AF31" s="71"/>
      <c r="AG31" s="71"/>
      <c r="AH31" s="71"/>
      <c r="AI31" s="80"/>
    </row>
    <row r="32" spans="1:35" ht="23.25">
      <c r="A32" s="68">
        <v>12</v>
      </c>
      <c r="B32" s="69" t="s">
        <v>134</v>
      </c>
      <c r="C32" s="69" t="s">
        <v>198</v>
      </c>
      <c r="D32" s="69" t="s">
        <v>153</v>
      </c>
      <c r="E32" s="69" t="s">
        <v>982</v>
      </c>
      <c r="F32" s="69">
        <v>48.16</v>
      </c>
      <c r="G32" s="70"/>
      <c r="H32" s="70"/>
      <c r="I32" s="70">
        <f t="shared" ref="I32" si="45">I30+G31</f>
        <v>2962.6399999999994</v>
      </c>
      <c r="J32" s="71"/>
      <c r="K32" s="71"/>
      <c r="L32" s="71"/>
      <c r="M32" s="71"/>
      <c r="N32" s="72" t="s">
        <v>134</v>
      </c>
      <c r="O32" s="71"/>
      <c r="P32" s="71"/>
      <c r="Q32" s="70">
        <v>54.828000000000003</v>
      </c>
      <c r="R32" s="69" t="s">
        <v>134</v>
      </c>
      <c r="S32" s="70">
        <f t="shared" ref="S32" si="46">(G31+G33)</f>
        <v>647</v>
      </c>
      <c r="T32" s="73">
        <f t="shared" ref="T32" si="47">(G31+G33)/2</f>
        <v>323.5</v>
      </c>
      <c r="U32" s="68">
        <v>169</v>
      </c>
      <c r="V32" s="69">
        <v>156</v>
      </c>
      <c r="W32" s="74">
        <f t="shared" ref="W32" si="48">U32+V32</f>
        <v>325</v>
      </c>
      <c r="X32" s="68">
        <v>169</v>
      </c>
      <c r="Y32" s="69">
        <v>156</v>
      </c>
      <c r="Z32" s="74">
        <f t="shared" ref="Z32" si="49">X32+Y32</f>
        <v>325</v>
      </c>
      <c r="AA32" s="75" t="s">
        <v>199</v>
      </c>
      <c r="AB32" s="76" t="s">
        <v>200</v>
      </c>
      <c r="AC32" s="77">
        <v>292686.09700000001</v>
      </c>
      <c r="AD32" s="78">
        <v>2864236.7439999999</v>
      </c>
      <c r="AE32" s="81"/>
      <c r="AF32" s="71" t="s">
        <v>201</v>
      </c>
      <c r="AG32" s="71"/>
      <c r="AH32" s="71"/>
      <c r="AI32" s="80"/>
    </row>
    <row r="33" spans="1:35" ht="11.25" customHeight="1">
      <c r="A33" s="68"/>
      <c r="B33" s="69" t="s">
        <v>134</v>
      </c>
      <c r="C33" s="69"/>
      <c r="D33" s="69"/>
      <c r="E33" s="69"/>
      <c r="F33" s="69"/>
      <c r="G33" s="70">
        <v>309</v>
      </c>
      <c r="H33" s="69"/>
      <c r="I33" s="69"/>
      <c r="J33" s="71"/>
      <c r="K33" s="71"/>
      <c r="L33" s="71"/>
      <c r="M33" s="71"/>
      <c r="N33" s="72"/>
      <c r="O33" s="71"/>
      <c r="P33" s="71"/>
      <c r="Q33" s="70"/>
      <c r="R33" s="69"/>
      <c r="S33" s="70"/>
      <c r="T33" s="73"/>
      <c r="U33" s="68"/>
      <c r="V33" s="69"/>
      <c r="W33" s="74"/>
      <c r="X33" s="68"/>
      <c r="Y33" s="69"/>
      <c r="Z33" s="74"/>
      <c r="AA33" s="75"/>
      <c r="AB33" s="76"/>
      <c r="AC33" s="77"/>
      <c r="AD33" s="78"/>
      <c r="AE33" s="81" t="s">
        <v>202</v>
      </c>
      <c r="AF33" s="71"/>
      <c r="AG33" s="71"/>
      <c r="AH33" s="71"/>
      <c r="AI33" s="80"/>
    </row>
    <row r="34" spans="1:35" ht="23.25">
      <c r="A34" s="68">
        <v>13</v>
      </c>
      <c r="B34" s="69" t="s">
        <v>134</v>
      </c>
      <c r="C34" s="69" t="s">
        <v>203</v>
      </c>
      <c r="D34" s="69" t="s">
        <v>153</v>
      </c>
      <c r="E34" s="69" t="s">
        <v>993</v>
      </c>
      <c r="F34" s="69">
        <v>48.16</v>
      </c>
      <c r="G34" s="70"/>
      <c r="H34" s="70"/>
      <c r="I34" s="70">
        <f t="shared" ref="I34" si="50">I32+G33</f>
        <v>3271.6399999999994</v>
      </c>
      <c r="J34" s="71"/>
      <c r="K34" s="71"/>
      <c r="L34" s="71"/>
      <c r="M34" s="71"/>
      <c r="N34" s="72" t="s">
        <v>134</v>
      </c>
      <c r="O34" s="71"/>
      <c r="P34" s="71"/>
      <c r="Q34" s="70">
        <v>54.600999999999999</v>
      </c>
      <c r="R34" s="69" t="s">
        <v>134</v>
      </c>
      <c r="S34" s="70">
        <f t="shared" ref="S34" si="51">(G33+G35)</f>
        <v>690.53399999999999</v>
      </c>
      <c r="T34" s="73">
        <f t="shared" ref="T34" si="52">(G33+G35)/2</f>
        <v>345.267</v>
      </c>
      <c r="U34" s="68">
        <v>153</v>
      </c>
      <c r="V34" s="69">
        <v>194</v>
      </c>
      <c r="W34" s="74">
        <f t="shared" ref="W34" si="53">U34+V34</f>
        <v>347</v>
      </c>
      <c r="X34" s="68">
        <v>154</v>
      </c>
      <c r="Y34" s="69">
        <v>193</v>
      </c>
      <c r="Z34" s="74">
        <f t="shared" ref="Z34" si="54">X34+Y34</f>
        <v>347</v>
      </c>
      <c r="AA34" s="75" t="s">
        <v>204</v>
      </c>
      <c r="AB34" s="76" t="s">
        <v>205</v>
      </c>
      <c r="AC34" s="77">
        <v>292905.41600000003</v>
      </c>
      <c r="AD34" s="78">
        <v>2864019.074</v>
      </c>
      <c r="AE34" s="81"/>
      <c r="AF34" s="71" t="s">
        <v>201</v>
      </c>
      <c r="AG34" s="71"/>
      <c r="AH34" s="71"/>
      <c r="AI34" s="80"/>
    </row>
    <row r="35" spans="1:35" ht="23.25">
      <c r="A35" s="68"/>
      <c r="B35" s="69" t="s">
        <v>134</v>
      </c>
      <c r="C35" s="69"/>
      <c r="D35" s="69"/>
      <c r="E35" s="69"/>
      <c r="F35" s="69"/>
      <c r="G35" s="70">
        <v>381.53399999999999</v>
      </c>
      <c r="H35" s="69"/>
      <c r="I35" s="69"/>
      <c r="J35" s="71"/>
      <c r="K35" s="71"/>
      <c r="L35" s="71"/>
      <c r="M35" s="71"/>
      <c r="N35" s="72"/>
      <c r="O35" s="71"/>
      <c r="P35" s="71"/>
      <c r="Q35" s="70"/>
      <c r="R35" s="69"/>
      <c r="S35" s="70"/>
      <c r="T35" s="73"/>
      <c r="U35" s="68"/>
      <c r="V35" s="69"/>
      <c r="W35" s="74"/>
      <c r="X35" s="68"/>
      <c r="Y35" s="69"/>
      <c r="Z35" s="74"/>
      <c r="AA35" s="75"/>
      <c r="AB35" s="76"/>
      <c r="AC35" s="77"/>
      <c r="AD35" s="78"/>
      <c r="AE35" s="81" t="s">
        <v>206</v>
      </c>
      <c r="AF35" s="71"/>
      <c r="AG35" s="71"/>
      <c r="AH35" s="71"/>
      <c r="AI35" s="80"/>
    </row>
    <row r="36" spans="1:35" ht="23.25">
      <c r="A36" s="68">
        <v>14</v>
      </c>
      <c r="B36" s="69" t="s">
        <v>207</v>
      </c>
      <c r="C36" s="69" t="s">
        <v>65</v>
      </c>
      <c r="D36" s="69" t="s">
        <v>193</v>
      </c>
      <c r="E36" s="69" t="s">
        <v>993</v>
      </c>
      <c r="F36" s="69">
        <v>47.74</v>
      </c>
      <c r="G36" s="70"/>
      <c r="H36" s="70">
        <f>SUM(G31:G36)</f>
        <v>1028.5340000000001</v>
      </c>
      <c r="I36" s="70">
        <f t="shared" ref="I36" si="55">I34+G35</f>
        <v>3653.1739999999995</v>
      </c>
      <c r="J36" s="71"/>
      <c r="K36" s="71"/>
      <c r="L36" s="71"/>
      <c r="M36" s="71"/>
      <c r="N36" s="72" t="s">
        <v>134</v>
      </c>
      <c r="O36" s="71"/>
      <c r="P36" s="71"/>
      <c r="Q36" s="70">
        <v>54.119</v>
      </c>
      <c r="R36" s="69" t="s">
        <v>208</v>
      </c>
      <c r="S36" s="70">
        <f t="shared" ref="S36" si="56">(G35+G37)</f>
        <v>713.404</v>
      </c>
      <c r="T36" s="73">
        <f t="shared" ref="T36" si="57">(G35+G37)/2</f>
        <v>356.702</v>
      </c>
      <c r="U36" s="68">
        <v>188</v>
      </c>
      <c r="V36" s="69">
        <v>165</v>
      </c>
      <c r="W36" s="74">
        <f t="shared" ref="W36" si="58">U36+V36</f>
        <v>353</v>
      </c>
      <c r="X36" s="68">
        <v>189</v>
      </c>
      <c r="Y36" s="69">
        <v>165</v>
      </c>
      <c r="Z36" s="74">
        <f t="shared" ref="Z36" si="59">X36+Y36</f>
        <v>354</v>
      </c>
      <c r="AA36" s="75" t="s">
        <v>209</v>
      </c>
      <c r="AB36" s="76" t="s">
        <v>210</v>
      </c>
      <c r="AC36" s="77">
        <v>293176.21799999999</v>
      </c>
      <c r="AD36" s="78">
        <v>2863750.3080000002</v>
      </c>
      <c r="AE36" s="81"/>
      <c r="AF36" s="71" t="s">
        <v>201</v>
      </c>
      <c r="AG36" s="71"/>
      <c r="AH36" s="71"/>
      <c r="AI36" s="80"/>
    </row>
    <row r="37" spans="1:35" ht="23.25">
      <c r="A37" s="68"/>
      <c r="B37" s="69" t="s">
        <v>134</v>
      </c>
      <c r="C37" s="69"/>
      <c r="D37" s="69"/>
      <c r="E37" s="69"/>
      <c r="F37" s="69"/>
      <c r="G37" s="70">
        <v>331.87</v>
      </c>
      <c r="H37" s="69"/>
      <c r="I37" s="69"/>
      <c r="J37" s="71"/>
      <c r="K37" s="71"/>
      <c r="L37" s="71"/>
      <c r="M37" s="71"/>
      <c r="N37" s="72"/>
      <c r="O37" s="71"/>
      <c r="P37" s="71"/>
      <c r="Q37" s="70"/>
      <c r="R37" s="69"/>
      <c r="S37" s="70"/>
      <c r="T37" s="73"/>
      <c r="U37" s="68"/>
      <c r="V37" s="69"/>
      <c r="W37" s="74"/>
      <c r="X37" s="68"/>
      <c r="Y37" s="69"/>
      <c r="Z37" s="74"/>
      <c r="AA37" s="75"/>
      <c r="AB37" s="76"/>
      <c r="AC37" s="77"/>
      <c r="AD37" s="78"/>
      <c r="AE37" s="81" t="s">
        <v>211</v>
      </c>
      <c r="AF37" s="71"/>
      <c r="AG37" s="71"/>
      <c r="AH37" s="71"/>
      <c r="AI37" s="80" t="s">
        <v>172</v>
      </c>
    </row>
    <row r="38" spans="1:35" ht="23.25">
      <c r="A38" s="68">
        <v>15</v>
      </c>
      <c r="B38" s="69" t="s">
        <v>212</v>
      </c>
      <c r="C38" s="69" t="s">
        <v>213</v>
      </c>
      <c r="D38" s="69" t="s">
        <v>167</v>
      </c>
      <c r="E38" s="69" t="s">
        <v>993</v>
      </c>
      <c r="F38" s="69">
        <v>47.74</v>
      </c>
      <c r="G38" s="70"/>
      <c r="H38" s="70">
        <f>SUM(G37:G38)</f>
        <v>331.87</v>
      </c>
      <c r="I38" s="70">
        <f t="shared" ref="I38" si="60">I36+G37</f>
        <v>3985.0439999999994</v>
      </c>
      <c r="J38" s="71"/>
      <c r="K38" s="71"/>
      <c r="L38" s="71"/>
      <c r="M38" s="71"/>
      <c r="N38" s="72" t="s">
        <v>134</v>
      </c>
      <c r="O38" s="71"/>
      <c r="P38" s="71"/>
      <c r="Q38" s="70">
        <v>54.134</v>
      </c>
      <c r="R38" s="69" t="s">
        <v>214</v>
      </c>
      <c r="S38" s="70">
        <f t="shared" ref="S38" si="61">(G37+G39)</f>
        <v>673.08199999999999</v>
      </c>
      <c r="T38" s="73">
        <f t="shared" ref="T38" si="62">(G37+G39)/2</f>
        <v>336.541</v>
      </c>
      <c r="U38" s="68">
        <v>165</v>
      </c>
      <c r="V38" s="69">
        <v>169</v>
      </c>
      <c r="W38" s="74">
        <f t="shared" ref="W38" si="63">U38+V38</f>
        <v>334</v>
      </c>
      <c r="X38" s="68">
        <v>165</v>
      </c>
      <c r="Y38" s="69">
        <v>170</v>
      </c>
      <c r="Z38" s="74">
        <f t="shared" ref="Z38" si="64">X38+Y38</f>
        <v>335</v>
      </c>
      <c r="AA38" s="75" t="s">
        <v>215</v>
      </c>
      <c r="AB38" s="76" t="s">
        <v>216</v>
      </c>
      <c r="AC38" s="77">
        <v>293432.53700000001</v>
      </c>
      <c r="AD38" s="78">
        <v>2863539.5040000002</v>
      </c>
      <c r="AE38" s="81"/>
      <c r="AF38" s="71" t="s">
        <v>201</v>
      </c>
      <c r="AG38" s="71"/>
      <c r="AH38" s="71"/>
      <c r="AI38" s="85"/>
    </row>
    <row r="39" spans="1:35" ht="23.25">
      <c r="A39" s="68"/>
      <c r="B39" s="69" t="s">
        <v>134</v>
      </c>
      <c r="C39" s="69"/>
      <c r="D39" s="69"/>
      <c r="E39" s="69"/>
      <c r="F39" s="69"/>
      <c r="G39" s="70">
        <v>341.21199999999999</v>
      </c>
      <c r="H39" s="69"/>
      <c r="I39" s="69"/>
      <c r="J39" s="71"/>
      <c r="K39" s="71"/>
      <c r="L39" s="71"/>
      <c r="M39" s="71"/>
      <c r="N39" s="72"/>
      <c r="O39" s="71"/>
      <c r="P39" s="71"/>
      <c r="Q39" s="70"/>
      <c r="R39" s="69"/>
      <c r="S39" s="70"/>
      <c r="T39" s="73"/>
      <c r="U39" s="68"/>
      <c r="V39" s="69"/>
      <c r="W39" s="74"/>
      <c r="X39" s="68"/>
      <c r="Y39" s="69"/>
      <c r="Z39" s="74"/>
      <c r="AA39" s="75"/>
      <c r="AB39" s="76"/>
      <c r="AC39" s="77"/>
      <c r="AD39" s="78"/>
      <c r="AE39" s="81" t="s">
        <v>217</v>
      </c>
      <c r="AF39" s="71"/>
      <c r="AG39" s="71"/>
      <c r="AH39" s="71"/>
      <c r="AI39" s="80"/>
    </row>
    <row r="40" spans="1:35" ht="23.25">
      <c r="A40" s="68">
        <v>16</v>
      </c>
      <c r="B40" s="69" t="s">
        <v>218</v>
      </c>
      <c r="C40" s="69" t="s">
        <v>66</v>
      </c>
      <c r="D40" s="69" t="s">
        <v>193</v>
      </c>
      <c r="E40" s="69" t="s">
        <v>993</v>
      </c>
      <c r="F40" s="69">
        <v>47.74</v>
      </c>
      <c r="G40" s="70"/>
      <c r="H40" s="70">
        <f>SUM(G39:G40)</f>
        <v>341.21199999999999</v>
      </c>
      <c r="I40" s="70">
        <f t="shared" ref="I40" si="65">I38+G39</f>
        <v>4326.2559999999994</v>
      </c>
      <c r="J40" s="71"/>
      <c r="K40" s="71"/>
      <c r="L40" s="71"/>
      <c r="M40" s="71"/>
      <c r="N40" s="72" t="s">
        <v>134</v>
      </c>
      <c r="O40" s="71"/>
      <c r="P40" s="71"/>
      <c r="Q40" s="70">
        <v>54.247999999999998</v>
      </c>
      <c r="R40" s="69" t="s">
        <v>219</v>
      </c>
      <c r="S40" s="70">
        <f t="shared" ref="S40" si="66">(G39+G41)</f>
        <v>584.70699999999999</v>
      </c>
      <c r="T40" s="73">
        <f t="shared" ref="T40" si="67">(G39+G41)/2</f>
        <v>292.3535</v>
      </c>
      <c r="U40" s="68">
        <v>171</v>
      </c>
      <c r="V40" s="69">
        <v>118</v>
      </c>
      <c r="W40" s="74">
        <f t="shared" ref="W40" si="68">U40+V40</f>
        <v>289</v>
      </c>
      <c r="X40" s="68">
        <v>171</v>
      </c>
      <c r="Y40" s="69">
        <v>119</v>
      </c>
      <c r="Z40" s="74">
        <f t="shared" ref="Z40" si="69">X40+Y40</f>
        <v>290</v>
      </c>
      <c r="AA40" s="75" t="s">
        <v>220</v>
      </c>
      <c r="AB40" s="76" t="s">
        <v>221</v>
      </c>
      <c r="AC40" s="77">
        <v>293751</v>
      </c>
      <c r="AD40" s="78">
        <v>2863417</v>
      </c>
      <c r="AE40" s="83"/>
      <c r="AF40" s="71" t="s">
        <v>201</v>
      </c>
      <c r="AG40" s="71"/>
      <c r="AH40" s="71"/>
      <c r="AI40" s="85"/>
    </row>
    <row r="41" spans="1:35" ht="23.25">
      <c r="A41" s="68"/>
      <c r="B41" s="69" t="s">
        <v>134</v>
      </c>
      <c r="C41" s="69"/>
      <c r="D41" s="69"/>
      <c r="E41" s="69"/>
      <c r="F41" s="69"/>
      <c r="G41" s="70">
        <v>243.495</v>
      </c>
      <c r="H41" s="69"/>
      <c r="I41" s="69"/>
      <c r="J41" s="71"/>
      <c r="K41" s="71"/>
      <c r="L41" s="71"/>
      <c r="M41" s="71"/>
      <c r="N41" s="72"/>
      <c r="O41" s="71"/>
      <c r="P41" s="71"/>
      <c r="Q41" s="70"/>
      <c r="R41" s="69"/>
      <c r="S41" s="70"/>
      <c r="T41" s="73"/>
      <c r="U41" s="68"/>
      <c r="V41" s="69"/>
      <c r="W41" s="74"/>
      <c r="X41" s="68"/>
      <c r="Y41" s="69"/>
      <c r="Z41" s="74"/>
      <c r="AA41" s="75"/>
      <c r="AB41" s="76"/>
      <c r="AC41" s="77"/>
      <c r="AD41" s="78"/>
      <c r="AE41" s="81" t="s">
        <v>222</v>
      </c>
      <c r="AF41" s="71"/>
      <c r="AG41" s="71"/>
      <c r="AH41" s="71"/>
      <c r="AI41" s="80"/>
    </row>
    <row r="42" spans="1:35" ht="23.25">
      <c r="A42" s="68">
        <v>17</v>
      </c>
      <c r="B42" s="69" t="s">
        <v>223</v>
      </c>
      <c r="C42" s="69" t="s">
        <v>224</v>
      </c>
      <c r="D42" s="69" t="s">
        <v>133</v>
      </c>
      <c r="E42" s="69" t="s">
        <v>993</v>
      </c>
      <c r="F42" s="69">
        <v>47.74</v>
      </c>
      <c r="G42" s="70"/>
      <c r="H42" s="70">
        <f>SUM(G41:G42)</f>
        <v>243.495</v>
      </c>
      <c r="I42" s="70">
        <f t="shared" ref="I42" si="70">I40+G41</f>
        <v>4569.7509999999993</v>
      </c>
      <c r="J42" s="71"/>
      <c r="K42" s="71"/>
      <c r="L42" s="71"/>
      <c r="M42" s="71"/>
      <c r="N42" s="72" t="s">
        <v>134</v>
      </c>
      <c r="O42" s="71"/>
      <c r="P42" s="71"/>
      <c r="Q42" s="70">
        <v>54.506</v>
      </c>
      <c r="R42" s="69" t="s">
        <v>225</v>
      </c>
      <c r="S42" s="70">
        <f t="shared" ref="S42" si="71">(G41+G43)</f>
        <v>559.495</v>
      </c>
      <c r="T42" s="73">
        <f t="shared" ref="T42" si="72">(G41+G43)/2</f>
        <v>279.7475</v>
      </c>
      <c r="U42" s="68">
        <v>123</v>
      </c>
      <c r="V42" s="69">
        <v>157</v>
      </c>
      <c r="W42" s="74">
        <f t="shared" ref="W42" si="73">U42+V42</f>
        <v>280</v>
      </c>
      <c r="X42" s="68">
        <v>122</v>
      </c>
      <c r="Y42" s="69">
        <v>157</v>
      </c>
      <c r="Z42" s="74">
        <f t="shared" ref="Z42" si="74">X42+Y42</f>
        <v>279</v>
      </c>
      <c r="AA42" s="75" t="s">
        <v>226</v>
      </c>
      <c r="AB42" s="76" t="s">
        <v>227</v>
      </c>
      <c r="AC42" s="77">
        <v>293982</v>
      </c>
      <c r="AD42" s="78">
        <v>2863340</v>
      </c>
      <c r="AE42" s="81"/>
      <c r="AF42" s="71" t="s">
        <v>228</v>
      </c>
      <c r="AG42" s="71"/>
      <c r="AH42" s="71"/>
      <c r="AI42" s="80"/>
    </row>
    <row r="43" spans="1:35" ht="23.25">
      <c r="A43" s="68"/>
      <c r="B43" s="69" t="s">
        <v>134</v>
      </c>
      <c r="C43" s="69"/>
      <c r="D43" s="69"/>
      <c r="E43" s="69"/>
      <c r="F43" s="69"/>
      <c r="G43" s="70">
        <v>316</v>
      </c>
      <c r="H43" s="69"/>
      <c r="I43" s="69"/>
      <c r="J43" s="71"/>
      <c r="K43" s="71"/>
      <c r="L43" s="71"/>
      <c r="M43" s="71"/>
      <c r="N43" s="72"/>
      <c r="O43" s="71"/>
      <c r="P43" s="71"/>
      <c r="Q43" s="70"/>
      <c r="R43" s="69"/>
      <c r="S43" s="70"/>
      <c r="T43" s="73"/>
      <c r="U43" s="68"/>
      <c r="V43" s="69"/>
      <c r="W43" s="74"/>
      <c r="X43" s="68"/>
      <c r="Y43" s="69"/>
      <c r="Z43" s="74"/>
      <c r="AA43" s="75"/>
      <c r="AB43" s="76"/>
      <c r="AC43" s="77"/>
      <c r="AD43" s="78"/>
      <c r="AE43" s="81" t="s">
        <v>229</v>
      </c>
      <c r="AF43" s="71"/>
      <c r="AG43" s="71"/>
      <c r="AH43" s="71"/>
      <c r="AI43" s="80"/>
    </row>
    <row r="44" spans="1:35" ht="23.25">
      <c r="A44" s="68">
        <v>18</v>
      </c>
      <c r="B44" s="69" t="s">
        <v>134</v>
      </c>
      <c r="C44" s="69" t="s">
        <v>230</v>
      </c>
      <c r="D44" s="69" t="s">
        <v>153</v>
      </c>
      <c r="E44" s="69" t="s">
        <v>993</v>
      </c>
      <c r="F44" s="69">
        <v>48.16</v>
      </c>
      <c r="G44" s="70"/>
      <c r="H44" s="70"/>
      <c r="I44" s="70">
        <f t="shared" ref="I44" si="75">I42+G43</f>
        <v>4885.7509999999993</v>
      </c>
      <c r="J44" s="71"/>
      <c r="K44" s="71"/>
      <c r="L44" s="71"/>
      <c r="M44" s="71"/>
      <c r="N44" s="72" t="s">
        <v>134</v>
      </c>
      <c r="O44" s="71"/>
      <c r="P44" s="71"/>
      <c r="Q44" s="70">
        <v>54.523000000000003</v>
      </c>
      <c r="R44" s="69" t="s">
        <v>134</v>
      </c>
      <c r="S44" s="70">
        <f t="shared" ref="S44" si="76">(G43+G45)</f>
        <v>641</v>
      </c>
      <c r="T44" s="73">
        <f t="shared" ref="T44" si="77">(G43+G45)/2</f>
        <v>320.5</v>
      </c>
      <c r="U44" s="68">
        <v>157</v>
      </c>
      <c r="V44" s="69">
        <v>161</v>
      </c>
      <c r="W44" s="74">
        <f t="shared" ref="W44" si="78">U44+V44</f>
        <v>318</v>
      </c>
      <c r="X44" s="68">
        <v>157</v>
      </c>
      <c r="Y44" s="69">
        <v>162</v>
      </c>
      <c r="Z44" s="74">
        <f t="shared" ref="Z44" si="79">X44+Y44</f>
        <v>319</v>
      </c>
      <c r="AA44" s="75" t="s">
        <v>231</v>
      </c>
      <c r="AB44" s="76" t="s">
        <v>232</v>
      </c>
      <c r="AC44" s="77">
        <v>294290.72100000002</v>
      </c>
      <c r="AD44" s="78">
        <v>2863407.4330000002</v>
      </c>
      <c r="AE44" s="81"/>
      <c r="AF44" s="71" t="s">
        <v>228</v>
      </c>
      <c r="AG44" s="71"/>
      <c r="AH44" s="71"/>
      <c r="AI44" s="80"/>
    </row>
    <row r="45" spans="1:35" ht="23.25">
      <c r="A45" s="68"/>
      <c r="B45" s="69" t="s">
        <v>134</v>
      </c>
      <c r="C45" s="69"/>
      <c r="D45" s="69"/>
      <c r="E45" s="69"/>
      <c r="F45" s="69"/>
      <c r="G45" s="70">
        <v>325</v>
      </c>
      <c r="H45" s="69"/>
      <c r="I45" s="69"/>
      <c r="J45" s="71"/>
      <c r="K45" s="71"/>
      <c r="L45" s="71"/>
      <c r="M45" s="71"/>
      <c r="N45" s="72"/>
      <c r="O45" s="71"/>
      <c r="P45" s="71"/>
      <c r="Q45" s="70"/>
      <c r="R45" s="69"/>
      <c r="S45" s="70"/>
      <c r="T45" s="73"/>
      <c r="U45" s="68"/>
      <c r="V45" s="69"/>
      <c r="W45" s="74"/>
      <c r="X45" s="68"/>
      <c r="Y45" s="69"/>
      <c r="Z45" s="74"/>
      <c r="AA45" s="75"/>
      <c r="AB45" s="76"/>
      <c r="AC45" s="77"/>
      <c r="AD45" s="78"/>
      <c r="AE45" s="81" t="s">
        <v>233</v>
      </c>
      <c r="AF45" s="71"/>
      <c r="AG45" s="71"/>
      <c r="AH45" s="71"/>
      <c r="AI45" s="80"/>
    </row>
    <row r="46" spans="1:35" ht="23.25">
      <c r="A46" s="68">
        <v>19</v>
      </c>
      <c r="B46" s="69" t="s">
        <v>134</v>
      </c>
      <c r="C46" s="69" t="s">
        <v>234</v>
      </c>
      <c r="D46" s="69" t="s">
        <v>153</v>
      </c>
      <c r="E46" s="69" t="s">
        <v>993</v>
      </c>
      <c r="F46" s="69">
        <v>48.16</v>
      </c>
      <c r="G46" s="70"/>
      <c r="H46" s="70"/>
      <c r="I46" s="70">
        <f t="shared" ref="I46" si="80">I44+G45</f>
        <v>5210.7509999999993</v>
      </c>
      <c r="J46" s="71"/>
      <c r="K46" s="71"/>
      <c r="L46" s="71"/>
      <c r="M46" s="71"/>
      <c r="N46" s="72" t="s">
        <v>134</v>
      </c>
      <c r="O46" s="71"/>
      <c r="P46" s="71"/>
      <c r="Q46" s="70">
        <v>54.695</v>
      </c>
      <c r="R46" s="69" t="s">
        <v>134</v>
      </c>
      <c r="S46" s="70">
        <f t="shared" ref="S46" si="81">(G45+G47)</f>
        <v>594</v>
      </c>
      <c r="T46" s="73">
        <f t="shared" ref="T46" si="82">(G45+G47)/2</f>
        <v>297</v>
      </c>
      <c r="U46" s="68">
        <v>164</v>
      </c>
      <c r="V46" s="69">
        <v>136</v>
      </c>
      <c r="W46" s="74">
        <f t="shared" ref="W46" si="83">U46+V46</f>
        <v>300</v>
      </c>
      <c r="X46" s="68">
        <v>164</v>
      </c>
      <c r="Y46" s="69">
        <v>135</v>
      </c>
      <c r="Z46" s="74">
        <f t="shared" ref="Z46" si="84">X46+Y46</f>
        <v>299</v>
      </c>
      <c r="AA46" s="75" t="s">
        <v>235</v>
      </c>
      <c r="AB46" s="76" t="s">
        <v>236</v>
      </c>
      <c r="AC46" s="77">
        <v>294608.23499999999</v>
      </c>
      <c r="AD46" s="78">
        <v>2863476.787</v>
      </c>
      <c r="AE46" s="81"/>
      <c r="AF46" s="71" t="s">
        <v>237</v>
      </c>
      <c r="AG46" s="71"/>
      <c r="AH46" s="71"/>
      <c r="AI46" s="80"/>
    </row>
    <row r="47" spans="1:35" ht="23.25">
      <c r="A47" s="68"/>
      <c r="B47" s="69" t="s">
        <v>134</v>
      </c>
      <c r="C47" s="69"/>
      <c r="D47" s="69"/>
      <c r="E47" s="69"/>
      <c r="F47" s="69"/>
      <c r="G47" s="70">
        <v>269</v>
      </c>
      <c r="H47" s="69"/>
      <c r="I47" s="69"/>
      <c r="J47" s="71"/>
      <c r="K47" s="71"/>
      <c r="L47" s="71"/>
      <c r="M47" s="71"/>
      <c r="N47" s="72"/>
      <c r="O47" s="71"/>
      <c r="P47" s="71"/>
      <c r="Q47" s="70"/>
      <c r="R47" s="69"/>
      <c r="S47" s="70"/>
      <c r="T47" s="73"/>
      <c r="U47" s="68"/>
      <c r="V47" s="69"/>
      <c r="W47" s="74"/>
      <c r="X47" s="68"/>
      <c r="Y47" s="69"/>
      <c r="Z47" s="74"/>
      <c r="AA47" s="75"/>
      <c r="AB47" s="76"/>
      <c r="AC47" s="77"/>
      <c r="AD47" s="78"/>
      <c r="AE47" s="81" t="s">
        <v>238</v>
      </c>
      <c r="AF47" s="71"/>
      <c r="AG47" s="71"/>
      <c r="AH47" s="71"/>
      <c r="AI47" s="80"/>
    </row>
    <row r="48" spans="1:35" ht="23.25">
      <c r="A48" s="68">
        <v>20</v>
      </c>
      <c r="B48" s="69" t="s">
        <v>134</v>
      </c>
      <c r="C48" s="69" t="s">
        <v>239</v>
      </c>
      <c r="D48" s="69" t="s">
        <v>153</v>
      </c>
      <c r="E48" s="69" t="s">
        <v>993</v>
      </c>
      <c r="F48" s="69">
        <v>48.16</v>
      </c>
      <c r="G48" s="70"/>
      <c r="H48" s="70"/>
      <c r="I48" s="70">
        <f t="shared" ref="I48" si="85">I46+G47</f>
        <v>5479.7509999999993</v>
      </c>
      <c r="J48" s="71"/>
      <c r="K48" s="71"/>
      <c r="L48" s="71"/>
      <c r="M48" s="71"/>
      <c r="N48" s="72" t="s">
        <v>134</v>
      </c>
      <c r="O48" s="71"/>
      <c r="P48" s="71"/>
      <c r="Q48" s="70">
        <v>54.582000000000001</v>
      </c>
      <c r="R48" s="69" t="s">
        <v>134</v>
      </c>
      <c r="S48" s="70">
        <f t="shared" ref="S48" si="86">(G47+G49)</f>
        <v>550.82799999999997</v>
      </c>
      <c r="T48" s="73">
        <f t="shared" ref="T48" si="87">(G47+G49)/2</f>
        <v>275.41399999999999</v>
      </c>
      <c r="U48" s="68">
        <v>134</v>
      </c>
      <c r="V48" s="69">
        <v>116</v>
      </c>
      <c r="W48" s="74">
        <f t="shared" ref="W48" si="88">U48+V48</f>
        <v>250</v>
      </c>
      <c r="X48" s="68">
        <v>134</v>
      </c>
      <c r="Y48" s="69">
        <v>125</v>
      </c>
      <c r="Z48" s="74">
        <f t="shared" ref="Z48" si="89">X48+Y48</f>
        <v>259</v>
      </c>
      <c r="AA48" s="75" t="s">
        <v>240</v>
      </c>
      <c r="AB48" s="76" t="s">
        <v>241</v>
      </c>
      <c r="AC48" s="77">
        <v>294871.03899999999</v>
      </c>
      <c r="AD48" s="78">
        <v>2863534.19</v>
      </c>
      <c r="AE48" s="83"/>
      <c r="AF48" s="71" t="s">
        <v>237</v>
      </c>
      <c r="AG48" s="71"/>
      <c r="AH48" s="71"/>
      <c r="AI48" s="80"/>
    </row>
    <row r="49" spans="1:35" ht="23.25">
      <c r="A49" s="68"/>
      <c r="B49" s="69" t="s">
        <v>134</v>
      </c>
      <c r="C49" s="69"/>
      <c r="D49" s="69"/>
      <c r="E49" s="69"/>
      <c r="F49" s="69"/>
      <c r="G49" s="70">
        <v>281.82799999999997</v>
      </c>
      <c r="H49" s="69"/>
      <c r="I49" s="69"/>
      <c r="J49" s="71"/>
      <c r="K49" s="71"/>
      <c r="L49" s="71"/>
      <c r="M49" s="71"/>
      <c r="N49" s="72"/>
      <c r="O49" s="71"/>
      <c r="P49" s="71"/>
      <c r="Q49" s="70"/>
      <c r="R49" s="69"/>
      <c r="S49" s="70"/>
      <c r="T49" s="73"/>
      <c r="U49" s="68"/>
      <c r="V49" s="69"/>
      <c r="W49" s="74"/>
      <c r="X49" s="68"/>
      <c r="Y49" s="69"/>
      <c r="Z49" s="74"/>
      <c r="AA49" s="75"/>
      <c r="AB49" s="76"/>
      <c r="AC49" s="77"/>
      <c r="AD49" s="78"/>
      <c r="AE49" s="81" t="s">
        <v>242</v>
      </c>
      <c r="AF49" s="71"/>
      <c r="AG49" s="71"/>
      <c r="AH49" s="71"/>
      <c r="AI49" s="80" t="s">
        <v>243</v>
      </c>
    </row>
    <row r="50" spans="1:35" ht="23.25">
      <c r="A50" s="68">
        <v>21</v>
      </c>
      <c r="B50" s="69" t="s">
        <v>244</v>
      </c>
      <c r="C50" s="69" t="s">
        <v>67</v>
      </c>
      <c r="D50" s="69" t="s">
        <v>245</v>
      </c>
      <c r="E50" s="69" t="s">
        <v>993</v>
      </c>
      <c r="F50" s="69">
        <v>50.74</v>
      </c>
      <c r="G50" s="70"/>
      <c r="H50" s="70">
        <f>SUM(G43:G50)</f>
        <v>1191.828</v>
      </c>
      <c r="I50" s="70">
        <f t="shared" ref="I50" si="90">I48+G49</f>
        <v>5761.5789999999997</v>
      </c>
      <c r="J50" s="71"/>
      <c r="K50" s="71"/>
      <c r="L50" s="71"/>
      <c r="M50" s="71"/>
      <c r="N50" s="72" t="s">
        <v>134</v>
      </c>
      <c r="O50" s="71"/>
      <c r="P50" s="71"/>
      <c r="Q50" s="70">
        <v>54.762</v>
      </c>
      <c r="R50" s="69" t="s">
        <v>246</v>
      </c>
      <c r="S50" s="70">
        <f t="shared" ref="S50" si="91">(G49+G51)</f>
        <v>704.82799999999997</v>
      </c>
      <c r="T50" s="73">
        <f t="shared" ref="T50" si="92">(G49+G51)/2</f>
        <v>352.41399999999999</v>
      </c>
      <c r="U50" s="68">
        <v>166</v>
      </c>
      <c r="V50" s="69">
        <v>177</v>
      </c>
      <c r="W50" s="74">
        <f t="shared" ref="W50" si="93">U50+V50</f>
        <v>343</v>
      </c>
      <c r="X50" s="68">
        <v>156</v>
      </c>
      <c r="Y50" s="69">
        <v>187</v>
      </c>
      <c r="Z50" s="74">
        <f t="shared" ref="Z50" si="94">X50+Y50</f>
        <v>343</v>
      </c>
      <c r="AA50" s="75" t="s">
        <v>247</v>
      </c>
      <c r="AB50" s="76" t="s">
        <v>248</v>
      </c>
      <c r="AC50" s="77">
        <v>295146.375</v>
      </c>
      <c r="AD50" s="78">
        <v>2863594.3309999998</v>
      </c>
      <c r="AE50" s="81"/>
      <c r="AF50" s="71" t="s">
        <v>237</v>
      </c>
      <c r="AG50" s="71"/>
      <c r="AH50" s="71"/>
      <c r="AI50" s="80"/>
    </row>
    <row r="51" spans="1:35" ht="34.9" customHeight="1">
      <c r="A51" s="68"/>
      <c r="B51" s="69" t="s">
        <v>134</v>
      </c>
      <c r="C51" s="69"/>
      <c r="D51" s="69"/>
      <c r="E51" s="69"/>
      <c r="F51" s="69"/>
      <c r="G51" s="70">
        <v>423</v>
      </c>
      <c r="H51" s="69"/>
      <c r="I51" s="69"/>
      <c r="J51" s="71"/>
      <c r="K51" s="71"/>
      <c r="L51" s="71"/>
      <c r="M51" s="71"/>
      <c r="N51" s="72"/>
      <c r="O51" s="71"/>
      <c r="P51" s="71"/>
      <c r="Q51" s="70"/>
      <c r="R51" s="69"/>
      <c r="S51" s="70"/>
      <c r="T51" s="73"/>
      <c r="U51" s="68"/>
      <c r="V51" s="69"/>
      <c r="W51" s="74"/>
      <c r="X51" s="68"/>
      <c r="Y51" s="69"/>
      <c r="Z51" s="74"/>
      <c r="AA51" s="75"/>
      <c r="AB51" s="76"/>
      <c r="AC51" s="77"/>
      <c r="AD51" s="78"/>
      <c r="AE51" s="81" t="s">
        <v>249</v>
      </c>
      <c r="AF51" s="71"/>
      <c r="AG51" s="71"/>
      <c r="AH51" s="71"/>
      <c r="AI51" s="80" t="s">
        <v>243</v>
      </c>
    </row>
    <row r="52" spans="1:35" ht="23.25">
      <c r="A52" s="68">
        <v>22</v>
      </c>
      <c r="B52" s="69" t="s">
        <v>134</v>
      </c>
      <c r="C52" s="69" t="s">
        <v>250</v>
      </c>
      <c r="D52" s="69" t="s">
        <v>251</v>
      </c>
      <c r="E52" s="69" t="s">
        <v>993</v>
      </c>
      <c r="F52" s="69">
        <v>57.16</v>
      </c>
      <c r="G52" s="70"/>
      <c r="H52" s="70"/>
      <c r="I52" s="70">
        <f t="shared" ref="I52" si="95">I50+G51</f>
        <v>6184.5789999999997</v>
      </c>
      <c r="J52" s="71"/>
      <c r="K52" s="71"/>
      <c r="L52" s="71"/>
      <c r="M52" s="71"/>
      <c r="N52" s="72" t="s">
        <v>134</v>
      </c>
      <c r="O52" s="71"/>
      <c r="P52" s="71"/>
      <c r="Q52" s="70">
        <v>55.779000000000003</v>
      </c>
      <c r="R52" s="69" t="s">
        <v>134</v>
      </c>
      <c r="S52" s="70">
        <f t="shared" ref="S52" si="96">(G51+G53)</f>
        <v>799.09500000000003</v>
      </c>
      <c r="T52" s="73">
        <f t="shared" ref="T52" si="97">(G51+G53)/2</f>
        <v>399.54750000000001</v>
      </c>
      <c r="U52" s="68">
        <v>246</v>
      </c>
      <c r="V52" s="69">
        <v>204</v>
      </c>
      <c r="W52" s="74">
        <f t="shared" ref="W52" si="98">U52+V52</f>
        <v>450</v>
      </c>
      <c r="X52" s="68">
        <v>237</v>
      </c>
      <c r="Y52" s="69">
        <v>199</v>
      </c>
      <c r="Z52" s="74">
        <f t="shared" ref="Z52" si="99">X52+Y52</f>
        <v>436</v>
      </c>
      <c r="AA52" s="75" t="s">
        <v>252</v>
      </c>
      <c r="AB52" s="76" t="s">
        <v>253</v>
      </c>
      <c r="AC52" s="77">
        <v>295545.50699999998</v>
      </c>
      <c r="AD52" s="78">
        <v>2863734.4130000002</v>
      </c>
      <c r="AE52" s="81"/>
      <c r="AF52" s="71" t="s">
        <v>254</v>
      </c>
      <c r="AG52" s="71"/>
      <c r="AH52" s="71"/>
      <c r="AI52" s="80"/>
    </row>
    <row r="53" spans="1:35" ht="23.25">
      <c r="A53" s="68"/>
      <c r="B53" s="69" t="s">
        <v>134</v>
      </c>
      <c r="C53" s="69"/>
      <c r="D53" s="69"/>
      <c r="E53" s="69"/>
      <c r="F53" s="69"/>
      <c r="G53" s="70">
        <v>376.09500000000003</v>
      </c>
      <c r="H53" s="69"/>
      <c r="I53" s="69"/>
      <c r="J53" s="71"/>
      <c r="K53" s="71"/>
      <c r="L53" s="71"/>
      <c r="M53" s="71"/>
      <c r="N53" s="72"/>
      <c r="O53" s="71"/>
      <c r="P53" s="71"/>
      <c r="Q53" s="70"/>
      <c r="R53" s="69"/>
      <c r="S53" s="70"/>
      <c r="T53" s="73"/>
      <c r="U53" s="68"/>
      <c r="V53" s="69"/>
      <c r="W53" s="74"/>
      <c r="X53" s="68"/>
      <c r="Y53" s="69"/>
      <c r="Z53" s="74"/>
      <c r="AA53" s="75"/>
      <c r="AB53" s="76"/>
      <c r="AC53" s="77"/>
      <c r="AD53" s="78"/>
      <c r="AE53" s="81" t="s">
        <v>255</v>
      </c>
      <c r="AF53" s="71"/>
      <c r="AG53" s="71"/>
      <c r="AH53" s="71"/>
      <c r="AI53" s="80"/>
    </row>
    <row r="54" spans="1:35" ht="23.25">
      <c r="A54" s="68">
        <v>23</v>
      </c>
      <c r="B54" s="69" t="s">
        <v>256</v>
      </c>
      <c r="C54" s="69" t="s">
        <v>68</v>
      </c>
      <c r="D54" s="69" t="s">
        <v>257</v>
      </c>
      <c r="E54" s="69" t="s">
        <v>993</v>
      </c>
      <c r="F54" s="69">
        <v>53.74</v>
      </c>
      <c r="G54" s="70"/>
      <c r="H54" s="70">
        <f>SUM(G51:G54)</f>
        <v>799.09500000000003</v>
      </c>
      <c r="I54" s="70">
        <f t="shared" ref="I54" si="100">I52+G53</f>
        <v>6560.674</v>
      </c>
      <c r="J54" s="71"/>
      <c r="K54" s="71"/>
      <c r="L54" s="71"/>
      <c r="M54" s="71"/>
      <c r="N54" s="72" t="s">
        <v>134</v>
      </c>
      <c r="O54" s="71"/>
      <c r="P54" s="71"/>
      <c r="Q54" s="70">
        <v>55.676000000000002</v>
      </c>
      <c r="R54" s="69" t="s">
        <v>258</v>
      </c>
      <c r="S54" s="70">
        <f t="shared" ref="S54" si="101">(G53+G55)</f>
        <v>815.17100000000005</v>
      </c>
      <c r="T54" s="73">
        <f t="shared" ref="T54" si="102">(G53+G55)/2</f>
        <v>407.58550000000002</v>
      </c>
      <c r="U54" s="68">
        <v>169</v>
      </c>
      <c r="V54" s="69">
        <v>217</v>
      </c>
      <c r="W54" s="74">
        <f t="shared" ref="W54" si="103">U54+V54</f>
        <v>386</v>
      </c>
      <c r="X54" s="68">
        <v>174</v>
      </c>
      <c r="Y54" s="69">
        <v>217</v>
      </c>
      <c r="Z54" s="74">
        <f t="shared" ref="Z54" si="104">X54+Y54</f>
        <v>391</v>
      </c>
      <c r="AA54" s="75" t="s">
        <v>259</v>
      </c>
      <c r="AB54" s="76" t="s">
        <v>260</v>
      </c>
      <c r="AC54" s="77">
        <v>295900.38</v>
      </c>
      <c r="AD54" s="78">
        <v>2863858.9619999998</v>
      </c>
      <c r="AE54" s="81"/>
      <c r="AF54" s="71" t="s">
        <v>261</v>
      </c>
      <c r="AG54" s="71"/>
      <c r="AH54" s="71"/>
      <c r="AI54" s="80"/>
    </row>
    <row r="55" spans="1:35" ht="61.9" customHeight="1">
      <c r="A55" s="68"/>
      <c r="B55" s="69" t="s">
        <v>134</v>
      </c>
      <c r="C55" s="69"/>
      <c r="D55" s="69"/>
      <c r="E55" s="69"/>
      <c r="F55" s="69"/>
      <c r="G55" s="70">
        <v>439.07600000000002</v>
      </c>
      <c r="H55" s="69"/>
      <c r="I55" s="69"/>
      <c r="J55" s="71"/>
      <c r="K55" s="71"/>
      <c r="L55" s="71"/>
      <c r="M55" s="71"/>
      <c r="N55" s="72"/>
      <c r="O55" s="71"/>
      <c r="P55" s="71"/>
      <c r="Q55" s="70"/>
      <c r="R55" s="69"/>
      <c r="S55" s="70"/>
      <c r="T55" s="73"/>
      <c r="U55" s="68"/>
      <c r="V55" s="69"/>
      <c r="W55" s="74"/>
      <c r="X55" s="68"/>
      <c r="Y55" s="69"/>
      <c r="Z55" s="74"/>
      <c r="AA55" s="75"/>
      <c r="AB55" s="76"/>
      <c r="AC55" s="77"/>
      <c r="AD55" s="78"/>
      <c r="AE55" s="81" t="s">
        <v>262</v>
      </c>
      <c r="AF55" s="71"/>
      <c r="AG55" s="71"/>
      <c r="AH55" s="71"/>
      <c r="AI55" s="80" t="s">
        <v>243</v>
      </c>
    </row>
    <row r="56" spans="1:35" ht="23.25">
      <c r="A56" s="68">
        <v>24</v>
      </c>
      <c r="B56" s="69" t="s">
        <v>263</v>
      </c>
      <c r="C56" s="69" t="s">
        <v>56</v>
      </c>
      <c r="D56" s="69" t="s">
        <v>264</v>
      </c>
      <c r="E56" s="69" t="s">
        <v>993</v>
      </c>
      <c r="F56" s="69">
        <v>53.74</v>
      </c>
      <c r="G56" s="70"/>
      <c r="H56" s="70">
        <f>SUM(G55:G56)</f>
        <v>439.07600000000002</v>
      </c>
      <c r="I56" s="70">
        <f t="shared" ref="I56" si="105">I54+G55</f>
        <v>6999.75</v>
      </c>
      <c r="J56" s="71"/>
      <c r="K56" s="71"/>
      <c r="L56" s="71"/>
      <c r="M56" s="71"/>
      <c r="N56" s="72" t="s">
        <v>134</v>
      </c>
      <c r="O56" s="71"/>
      <c r="P56" s="71"/>
      <c r="Q56" s="70">
        <v>55.774000000000001</v>
      </c>
      <c r="R56" s="69" t="s">
        <v>265</v>
      </c>
      <c r="S56" s="70">
        <f t="shared" ref="S56" si="106">(G55+G57)</f>
        <v>757.06500000000005</v>
      </c>
      <c r="T56" s="73">
        <f t="shared" ref="T56" si="107">(G55+G57)/2</f>
        <v>378.53250000000003</v>
      </c>
      <c r="U56" s="68">
        <v>218</v>
      </c>
      <c r="V56" s="69">
        <v>203</v>
      </c>
      <c r="W56" s="74">
        <f t="shared" ref="W56" si="108">U56+V56</f>
        <v>421</v>
      </c>
      <c r="X56" s="68">
        <v>218</v>
      </c>
      <c r="Y56" s="69">
        <v>186</v>
      </c>
      <c r="Z56" s="74">
        <f t="shared" ref="Z56" si="109">X56+Y56</f>
        <v>404</v>
      </c>
      <c r="AA56" s="75" t="s">
        <v>266</v>
      </c>
      <c r="AB56" s="76" t="s">
        <v>267</v>
      </c>
      <c r="AC56" s="77">
        <v>296033.17700000003</v>
      </c>
      <c r="AD56" s="78">
        <v>2864277.4739999999</v>
      </c>
      <c r="AE56" s="81"/>
      <c r="AF56" s="71" t="s">
        <v>268</v>
      </c>
      <c r="AG56" s="71"/>
      <c r="AH56" s="71"/>
      <c r="AI56" s="80"/>
    </row>
    <row r="57" spans="1:35" ht="37.15" customHeight="1">
      <c r="A57" s="68"/>
      <c r="B57" s="69" t="s">
        <v>134</v>
      </c>
      <c r="C57" s="69"/>
      <c r="D57" s="69"/>
      <c r="E57" s="69"/>
      <c r="F57" s="69"/>
      <c r="G57" s="70">
        <v>317.98899999999998</v>
      </c>
      <c r="H57" s="69"/>
      <c r="I57" s="69"/>
      <c r="J57" s="71"/>
      <c r="K57" s="71"/>
      <c r="L57" s="71"/>
      <c r="M57" s="71"/>
      <c r="N57" s="72"/>
      <c r="O57" s="71"/>
      <c r="P57" s="71"/>
      <c r="Q57" s="70"/>
      <c r="R57" s="69"/>
      <c r="S57" s="70"/>
      <c r="T57" s="73"/>
      <c r="U57" s="68"/>
      <c r="V57" s="69"/>
      <c r="W57" s="74"/>
      <c r="X57" s="68"/>
      <c r="Y57" s="69"/>
      <c r="Z57" s="74"/>
      <c r="AA57" s="75"/>
      <c r="AB57" s="76"/>
      <c r="AC57" s="77"/>
      <c r="AD57" s="78"/>
      <c r="AE57" s="81" t="s">
        <v>269</v>
      </c>
      <c r="AF57" s="71"/>
      <c r="AG57" s="71"/>
      <c r="AH57" s="71"/>
      <c r="AI57" s="80"/>
    </row>
    <row r="58" spans="1:35" ht="23.25">
      <c r="A58" s="68">
        <v>25</v>
      </c>
      <c r="B58" s="69" t="s">
        <v>270</v>
      </c>
      <c r="C58" s="69" t="s">
        <v>60</v>
      </c>
      <c r="D58" s="69" t="s">
        <v>167</v>
      </c>
      <c r="E58" s="69" t="s">
        <v>993</v>
      </c>
      <c r="F58" s="69">
        <v>47.74</v>
      </c>
      <c r="G58" s="70"/>
      <c r="H58" s="70">
        <f>SUM(G57:G58)</f>
        <v>317.98899999999998</v>
      </c>
      <c r="I58" s="70">
        <f t="shared" ref="I58" si="110">I56+G57</f>
        <v>7317.7389999999996</v>
      </c>
      <c r="J58" s="71"/>
      <c r="K58" s="71"/>
      <c r="L58" s="71"/>
      <c r="M58" s="71"/>
      <c r="N58" s="72" t="s">
        <v>134</v>
      </c>
      <c r="O58" s="71"/>
      <c r="P58" s="71"/>
      <c r="Q58" s="70">
        <v>55.311</v>
      </c>
      <c r="R58" s="69" t="s">
        <v>271</v>
      </c>
      <c r="S58" s="70">
        <f t="shared" ref="S58" si="111">(G57+G59)</f>
        <v>667.98900000000003</v>
      </c>
      <c r="T58" s="73">
        <f t="shared" ref="T58" si="112">(G57+G59)/2</f>
        <v>333.99450000000002</v>
      </c>
      <c r="U58" s="68">
        <v>112</v>
      </c>
      <c r="V58" s="69">
        <v>166</v>
      </c>
      <c r="W58" s="74">
        <f t="shared" ref="W58" si="113">U58+V58</f>
        <v>278</v>
      </c>
      <c r="X58" s="68">
        <v>128</v>
      </c>
      <c r="Y58" s="69">
        <v>168</v>
      </c>
      <c r="Z58" s="74">
        <f t="shared" ref="Z58" si="114">X58+Y58</f>
        <v>296</v>
      </c>
      <c r="AA58" s="75" t="s">
        <v>272</v>
      </c>
      <c r="AB58" s="76" t="s">
        <v>273</v>
      </c>
      <c r="AC58" s="77">
        <v>295973.81400000001</v>
      </c>
      <c r="AD58" s="78">
        <v>2864589.8730000001</v>
      </c>
      <c r="AE58" s="81"/>
      <c r="AF58" s="71" t="s">
        <v>254</v>
      </c>
      <c r="AG58" s="71"/>
      <c r="AH58" s="71"/>
      <c r="AI58" s="80"/>
    </row>
    <row r="59" spans="1:35" ht="37.9" customHeight="1">
      <c r="A59" s="68"/>
      <c r="B59" s="69" t="s">
        <v>134</v>
      </c>
      <c r="C59" s="69"/>
      <c r="D59" s="69"/>
      <c r="E59" s="69"/>
      <c r="F59" s="69"/>
      <c r="G59" s="70">
        <v>350</v>
      </c>
      <c r="H59" s="69"/>
      <c r="I59" s="69"/>
      <c r="J59" s="71"/>
      <c r="K59" s="71"/>
      <c r="L59" s="71"/>
      <c r="M59" s="71"/>
      <c r="N59" s="72"/>
      <c r="O59" s="71"/>
      <c r="P59" s="71"/>
      <c r="Q59" s="70"/>
      <c r="R59" s="69"/>
      <c r="S59" s="70"/>
      <c r="T59" s="73"/>
      <c r="U59" s="68"/>
      <c r="V59" s="69"/>
      <c r="W59" s="74"/>
      <c r="X59" s="68"/>
      <c r="Y59" s="69"/>
      <c r="Z59" s="74"/>
      <c r="AA59" s="75"/>
      <c r="AB59" s="76"/>
      <c r="AC59" s="77"/>
      <c r="AD59" s="78"/>
      <c r="AE59" s="81" t="s">
        <v>274</v>
      </c>
      <c r="AF59" s="71"/>
      <c r="AG59" s="71"/>
      <c r="AH59" s="71"/>
      <c r="AI59" s="80"/>
    </row>
    <row r="60" spans="1:35" ht="23.25">
      <c r="A60" s="68">
        <v>26</v>
      </c>
      <c r="B60" s="69" t="s">
        <v>134</v>
      </c>
      <c r="C60" s="69" t="s">
        <v>275</v>
      </c>
      <c r="D60" s="69" t="s">
        <v>187</v>
      </c>
      <c r="E60" s="69" t="s">
        <v>982</v>
      </c>
      <c r="F60" s="69">
        <v>51.16</v>
      </c>
      <c r="G60" s="70"/>
      <c r="H60" s="70"/>
      <c r="I60" s="70">
        <f t="shared" ref="I60" si="115">I58+G59</f>
        <v>7667.7389999999996</v>
      </c>
      <c r="J60" s="71"/>
      <c r="K60" s="71"/>
      <c r="L60" s="71"/>
      <c r="M60" s="71"/>
      <c r="N60" s="72" t="s">
        <v>134</v>
      </c>
      <c r="O60" s="71"/>
      <c r="P60" s="71"/>
      <c r="Q60" s="70">
        <v>53.686</v>
      </c>
      <c r="R60" s="69" t="s">
        <v>134</v>
      </c>
      <c r="S60" s="70">
        <f t="shared" ref="S60" si="116">(G59+G61)</f>
        <v>784.14100000000008</v>
      </c>
      <c r="T60" s="73">
        <f t="shared" ref="T60" si="117">(G59+G61)/2</f>
        <v>392.07050000000004</v>
      </c>
      <c r="U60" s="68">
        <v>183</v>
      </c>
      <c r="V60" s="69">
        <v>145</v>
      </c>
      <c r="W60" s="74">
        <f t="shared" ref="W60" si="118">U60+V60</f>
        <v>328</v>
      </c>
      <c r="X60" s="68">
        <v>181</v>
      </c>
      <c r="Y60" s="69">
        <v>165</v>
      </c>
      <c r="Z60" s="74">
        <f t="shared" ref="Z60" si="119">X60+Y60</f>
        <v>346</v>
      </c>
      <c r="AA60" s="75" t="s">
        <v>276</v>
      </c>
      <c r="AB60" s="76" t="s">
        <v>277</v>
      </c>
      <c r="AC60" s="77">
        <v>295782.53200000001</v>
      </c>
      <c r="AD60" s="78">
        <v>2864882.9789999998</v>
      </c>
      <c r="AE60" s="81"/>
      <c r="AF60" s="71" t="s">
        <v>278</v>
      </c>
      <c r="AG60" s="71"/>
      <c r="AH60" s="71"/>
      <c r="AI60" s="80"/>
    </row>
    <row r="61" spans="1:35" ht="23.25">
      <c r="A61" s="68"/>
      <c r="B61" s="69" t="s">
        <v>134</v>
      </c>
      <c r="C61" s="69"/>
      <c r="D61" s="69"/>
      <c r="E61" s="69"/>
      <c r="F61" s="69"/>
      <c r="G61" s="70">
        <v>434.14100000000002</v>
      </c>
      <c r="H61" s="69"/>
      <c r="I61" s="69"/>
      <c r="J61" s="71"/>
      <c r="K61" s="71"/>
      <c r="L61" s="71"/>
      <c r="M61" s="71"/>
      <c r="N61" s="72"/>
      <c r="O61" s="71"/>
      <c r="P61" s="71"/>
      <c r="Q61" s="70"/>
      <c r="R61" s="69"/>
      <c r="S61" s="70"/>
      <c r="T61" s="73"/>
      <c r="U61" s="68"/>
      <c r="V61" s="69"/>
      <c r="W61" s="74"/>
      <c r="X61" s="68"/>
      <c r="Y61" s="69"/>
      <c r="Z61" s="74"/>
      <c r="AA61" s="75"/>
      <c r="AB61" s="76"/>
      <c r="AC61" s="77"/>
      <c r="AD61" s="78"/>
      <c r="AE61" s="81" t="s">
        <v>279</v>
      </c>
      <c r="AF61" s="71"/>
      <c r="AG61" s="71"/>
      <c r="AH61" s="71"/>
      <c r="AI61" s="80"/>
    </row>
    <row r="62" spans="1:35" ht="23.25">
      <c r="A62" s="68">
        <v>27</v>
      </c>
      <c r="B62" s="69" t="s">
        <v>280</v>
      </c>
      <c r="C62" s="69" t="s">
        <v>55</v>
      </c>
      <c r="D62" s="69" t="s">
        <v>281</v>
      </c>
      <c r="E62" s="69" t="s">
        <v>982</v>
      </c>
      <c r="F62" s="69">
        <v>65.739999999999995</v>
      </c>
      <c r="G62" s="70"/>
      <c r="H62" s="70">
        <f>SUM(G59:G62)</f>
        <v>784.14100000000008</v>
      </c>
      <c r="I62" s="70">
        <f t="shared" ref="I62" si="120">I60+G61</f>
        <v>8101.8799999999992</v>
      </c>
      <c r="J62" s="71"/>
      <c r="K62" s="71"/>
      <c r="L62" s="71"/>
      <c r="M62" s="71"/>
      <c r="N62" s="72" t="s">
        <v>134</v>
      </c>
      <c r="O62" s="71"/>
      <c r="P62" s="71"/>
      <c r="Q62" s="70">
        <v>54.27</v>
      </c>
      <c r="R62" s="69" t="s">
        <v>282</v>
      </c>
      <c r="S62" s="70">
        <f t="shared" ref="S62" si="121">(G61+G63)</f>
        <v>705.14400000000001</v>
      </c>
      <c r="T62" s="73">
        <f t="shared" ref="T62" si="122">(G61+G63)/2</f>
        <v>352.572</v>
      </c>
      <c r="U62" s="68">
        <v>293</v>
      </c>
      <c r="V62" s="69">
        <v>80</v>
      </c>
      <c r="W62" s="74">
        <f t="shared" ref="W62" si="123">U62+V62</f>
        <v>373</v>
      </c>
      <c r="X62" s="68">
        <v>273</v>
      </c>
      <c r="Y62" s="69">
        <v>105</v>
      </c>
      <c r="Z62" s="74">
        <f t="shared" ref="Z62" si="124">X62+Y62</f>
        <v>378</v>
      </c>
      <c r="AA62" s="75" t="s">
        <v>283</v>
      </c>
      <c r="AB62" s="76" t="s">
        <v>284</v>
      </c>
      <c r="AC62" s="77">
        <v>295545.26500000001</v>
      </c>
      <c r="AD62" s="78">
        <v>2865246.5490000001</v>
      </c>
      <c r="AE62" s="81"/>
      <c r="AF62" s="71" t="s">
        <v>278</v>
      </c>
      <c r="AG62" s="71"/>
      <c r="AH62" s="71"/>
      <c r="AI62" s="80"/>
    </row>
    <row r="63" spans="1:35" ht="30">
      <c r="A63" s="68"/>
      <c r="B63" s="69" t="s">
        <v>134</v>
      </c>
      <c r="C63" s="69"/>
      <c r="D63" s="69"/>
      <c r="E63" s="69"/>
      <c r="F63" s="69"/>
      <c r="G63" s="70">
        <v>271.00299999999999</v>
      </c>
      <c r="H63" s="69"/>
      <c r="I63" s="69"/>
      <c r="J63" s="71"/>
      <c r="K63" s="71"/>
      <c r="L63" s="71"/>
      <c r="M63" s="71"/>
      <c r="N63" s="72"/>
      <c r="O63" s="71"/>
      <c r="P63" s="71"/>
      <c r="Q63" s="70"/>
      <c r="R63" s="69"/>
      <c r="S63" s="70"/>
      <c r="T63" s="73"/>
      <c r="U63" s="68"/>
      <c r="V63" s="69"/>
      <c r="W63" s="74"/>
      <c r="X63" s="68"/>
      <c r="Y63" s="69"/>
      <c r="Z63" s="74"/>
      <c r="AA63" s="75"/>
      <c r="AB63" s="76"/>
      <c r="AC63" s="77"/>
      <c r="AD63" s="78"/>
      <c r="AE63" s="81" t="s">
        <v>285</v>
      </c>
      <c r="AF63" s="71"/>
      <c r="AG63" s="71"/>
      <c r="AH63" s="71"/>
      <c r="AI63" s="80"/>
    </row>
    <row r="64" spans="1:35" ht="23.25">
      <c r="A64" s="68">
        <v>28</v>
      </c>
      <c r="B64" s="69" t="s">
        <v>286</v>
      </c>
      <c r="C64" s="69" t="s">
        <v>59</v>
      </c>
      <c r="D64" s="69" t="s">
        <v>287</v>
      </c>
      <c r="E64" s="69" t="s">
        <v>982</v>
      </c>
      <c r="F64" s="69">
        <v>72.739999999999995</v>
      </c>
      <c r="G64" s="70"/>
      <c r="H64" s="70">
        <f>SUM(G63:G64)</f>
        <v>271.00299999999999</v>
      </c>
      <c r="I64" s="70">
        <f t="shared" ref="I64" si="125">I62+G63</f>
        <v>8372.8829999999998</v>
      </c>
      <c r="J64" s="71"/>
      <c r="K64" s="71"/>
      <c r="L64" s="71"/>
      <c r="M64" s="71"/>
      <c r="N64" s="72" t="s">
        <v>134</v>
      </c>
      <c r="O64" s="71"/>
      <c r="P64" s="71"/>
      <c r="Q64" s="70">
        <v>54.363999999999997</v>
      </c>
      <c r="R64" s="69" t="s">
        <v>288</v>
      </c>
      <c r="S64" s="70">
        <f t="shared" ref="S64" si="126">(G63+G65)</f>
        <v>461.91199999999998</v>
      </c>
      <c r="T64" s="73">
        <f t="shared" ref="T64" si="127">(G63+G65)/2</f>
        <v>230.95599999999999</v>
      </c>
      <c r="U64" s="68">
        <v>198</v>
      </c>
      <c r="V64" s="69">
        <v>339</v>
      </c>
      <c r="W64" s="74">
        <f t="shared" ref="W64" si="128">U64+V64</f>
        <v>537</v>
      </c>
      <c r="X64" s="68">
        <v>173</v>
      </c>
      <c r="Y64" s="69">
        <v>206</v>
      </c>
      <c r="Z64" s="74">
        <f t="shared" ref="Z64" si="129">X64+Y64</f>
        <v>379</v>
      </c>
      <c r="AA64" s="75" t="s">
        <v>289</v>
      </c>
      <c r="AB64" s="76" t="s">
        <v>290</v>
      </c>
      <c r="AC64" s="77">
        <v>295588.04499999998</v>
      </c>
      <c r="AD64" s="78">
        <v>2865514.1540000001</v>
      </c>
      <c r="AE64" s="81"/>
      <c r="AF64" s="71" t="s">
        <v>278</v>
      </c>
      <c r="AG64" s="71"/>
      <c r="AH64" s="71"/>
      <c r="AI64" s="80"/>
    </row>
    <row r="65" spans="1:35" ht="23.25">
      <c r="A65" s="68"/>
      <c r="B65" s="69" t="s">
        <v>134</v>
      </c>
      <c r="C65" s="69"/>
      <c r="D65" s="69"/>
      <c r="E65" s="69"/>
      <c r="F65" s="69"/>
      <c r="G65" s="70">
        <v>190.90899999999999</v>
      </c>
      <c r="H65" s="69"/>
      <c r="I65" s="69"/>
      <c r="J65" s="71"/>
      <c r="K65" s="71"/>
      <c r="L65" s="71"/>
      <c r="M65" s="71"/>
      <c r="N65" s="72"/>
      <c r="O65" s="71"/>
      <c r="P65" s="71"/>
      <c r="Q65" s="70"/>
      <c r="R65" s="69"/>
      <c r="S65" s="70"/>
      <c r="T65" s="73"/>
      <c r="U65" s="68"/>
      <c r="V65" s="69"/>
      <c r="W65" s="74"/>
      <c r="X65" s="68"/>
      <c r="Y65" s="69"/>
      <c r="Z65" s="74"/>
      <c r="AA65" s="75"/>
      <c r="AB65" s="76"/>
      <c r="AC65" s="77"/>
      <c r="AD65" s="78"/>
      <c r="AE65" s="81" t="s">
        <v>279</v>
      </c>
      <c r="AF65" s="71"/>
      <c r="AG65" s="71"/>
      <c r="AH65" s="71"/>
      <c r="AI65" s="80"/>
    </row>
    <row r="66" spans="1:35" ht="23.25">
      <c r="A66" s="68">
        <v>29</v>
      </c>
      <c r="B66" s="69" t="s">
        <v>291</v>
      </c>
      <c r="C66" s="69" t="s">
        <v>58</v>
      </c>
      <c r="D66" s="69" t="s">
        <v>264</v>
      </c>
      <c r="E66" s="69" t="s">
        <v>982</v>
      </c>
      <c r="F66" s="69">
        <v>53.74</v>
      </c>
      <c r="G66" s="70"/>
      <c r="H66" s="70">
        <f>SUM(G65:G66)</f>
        <v>190.90899999999999</v>
      </c>
      <c r="I66" s="70">
        <f t="shared" ref="I66" si="130">I64+G65</f>
        <v>8563.7919999999995</v>
      </c>
      <c r="J66" s="71"/>
      <c r="K66" s="71"/>
      <c r="L66" s="71"/>
      <c r="M66" s="71"/>
      <c r="N66" s="72" t="s">
        <v>134</v>
      </c>
      <c r="O66" s="71"/>
      <c r="P66" s="71"/>
      <c r="Q66" s="70">
        <v>55.085000000000001</v>
      </c>
      <c r="R66" s="69" t="s">
        <v>292</v>
      </c>
      <c r="S66" s="70">
        <f t="shared" ref="S66" si="131">(G65+G67)</f>
        <v>601.90899999999999</v>
      </c>
      <c r="T66" s="73">
        <f t="shared" ref="T66" si="132">(G65+G67)/2</f>
        <v>300.9545</v>
      </c>
      <c r="U66" s="68">
        <v>-142</v>
      </c>
      <c r="V66" s="69">
        <v>223</v>
      </c>
      <c r="W66" s="74">
        <f t="shared" ref="W66" si="133">U66+V66</f>
        <v>81</v>
      </c>
      <c r="X66" s="68">
        <v>-9</v>
      </c>
      <c r="Y66" s="69">
        <v>219</v>
      </c>
      <c r="Z66" s="74">
        <f t="shared" ref="Z66" si="134">X66+Y66</f>
        <v>210</v>
      </c>
      <c r="AA66" s="75" t="s">
        <v>293</v>
      </c>
      <c r="AB66" s="76" t="s">
        <v>294</v>
      </c>
      <c r="AC66" s="77">
        <v>295754.56300000002</v>
      </c>
      <c r="AD66" s="78">
        <v>2865607.5249999999</v>
      </c>
      <c r="AE66" s="81"/>
      <c r="AF66" s="71" t="s">
        <v>278</v>
      </c>
      <c r="AG66" s="71"/>
      <c r="AH66" s="71"/>
      <c r="AI66" s="80"/>
    </row>
    <row r="67" spans="1:35" ht="23.25">
      <c r="A67" s="68"/>
      <c r="B67" s="69" t="s">
        <v>134</v>
      </c>
      <c r="C67" s="69"/>
      <c r="D67" s="69"/>
      <c r="E67" s="69"/>
      <c r="F67" s="69"/>
      <c r="G67" s="70">
        <v>411</v>
      </c>
      <c r="H67" s="69"/>
      <c r="I67" s="69"/>
      <c r="J67" s="71"/>
      <c r="K67" s="71"/>
      <c r="L67" s="71"/>
      <c r="M67" s="71"/>
      <c r="N67" s="72"/>
      <c r="O67" s="71"/>
      <c r="P67" s="71"/>
      <c r="Q67" s="70"/>
      <c r="R67" s="69"/>
      <c r="S67" s="70"/>
      <c r="T67" s="73"/>
      <c r="U67" s="68"/>
      <c r="V67" s="69"/>
      <c r="W67" s="74"/>
      <c r="X67" s="68"/>
      <c r="Y67" s="69"/>
      <c r="Z67" s="74"/>
      <c r="AA67" s="75"/>
      <c r="AB67" s="76"/>
      <c r="AC67" s="77"/>
      <c r="AD67" s="78"/>
      <c r="AE67" s="81" t="s">
        <v>295</v>
      </c>
      <c r="AF67" s="71"/>
      <c r="AG67" s="71"/>
      <c r="AH67" s="71"/>
      <c r="AI67" s="80"/>
    </row>
    <row r="68" spans="1:35" ht="23.25">
      <c r="A68" s="68">
        <v>30</v>
      </c>
      <c r="B68" s="69" t="s">
        <v>134</v>
      </c>
      <c r="C68" s="69" t="s">
        <v>296</v>
      </c>
      <c r="D68" s="69" t="s">
        <v>187</v>
      </c>
      <c r="E68" s="69" t="s">
        <v>993</v>
      </c>
      <c r="F68" s="69">
        <v>51.16</v>
      </c>
      <c r="G68" s="70"/>
      <c r="H68" s="70"/>
      <c r="I68" s="70">
        <f t="shared" ref="I68" si="135">I66+G67</f>
        <v>8974.7919999999995</v>
      </c>
      <c r="J68" s="71"/>
      <c r="K68" s="71"/>
      <c r="L68" s="71"/>
      <c r="M68" s="71"/>
      <c r="N68" s="72" t="s">
        <v>134</v>
      </c>
      <c r="O68" s="71"/>
      <c r="P68" s="71"/>
      <c r="Q68" s="70">
        <v>54.844999999999999</v>
      </c>
      <c r="R68" s="69" t="s">
        <v>134</v>
      </c>
      <c r="S68" s="70">
        <f t="shared" ref="S68" si="136">(G67+G69)</f>
        <v>798</v>
      </c>
      <c r="T68" s="73">
        <f t="shared" ref="T68" si="137">(G67+G69)/2</f>
        <v>399</v>
      </c>
      <c r="U68" s="68">
        <v>190</v>
      </c>
      <c r="V68" s="69">
        <v>176</v>
      </c>
      <c r="W68" s="74">
        <f t="shared" ref="W68" si="138">U68+V68</f>
        <v>366</v>
      </c>
      <c r="X68" s="68">
        <v>195</v>
      </c>
      <c r="Y68" s="69">
        <v>181</v>
      </c>
      <c r="Z68" s="74">
        <f t="shared" ref="Z68" si="139">X68+Y68</f>
        <v>376</v>
      </c>
      <c r="AA68" s="75" t="s">
        <v>297</v>
      </c>
      <c r="AB68" s="76" t="s">
        <v>298</v>
      </c>
      <c r="AC68" s="77">
        <v>296154.69799999997</v>
      </c>
      <c r="AD68" s="78">
        <v>2865701.4029999999</v>
      </c>
      <c r="AE68" s="81"/>
      <c r="AF68" s="71" t="s">
        <v>268</v>
      </c>
      <c r="AG68" s="71"/>
      <c r="AH68" s="71"/>
      <c r="AI68" s="80"/>
    </row>
    <row r="69" spans="1:35" ht="23.25">
      <c r="A69" s="68"/>
      <c r="B69" s="69" t="s">
        <v>134</v>
      </c>
      <c r="C69" s="69"/>
      <c r="D69" s="69"/>
      <c r="E69" s="69"/>
      <c r="F69" s="69"/>
      <c r="G69" s="70">
        <v>387</v>
      </c>
      <c r="H69" s="69"/>
      <c r="I69" s="69"/>
      <c r="J69" s="71"/>
      <c r="K69" s="71"/>
      <c r="L69" s="71"/>
      <c r="M69" s="71"/>
      <c r="N69" s="72"/>
      <c r="O69" s="71"/>
      <c r="P69" s="71"/>
      <c r="Q69" s="70"/>
      <c r="R69" s="69"/>
      <c r="S69" s="70"/>
      <c r="T69" s="73"/>
      <c r="U69" s="68"/>
      <c r="V69" s="69"/>
      <c r="W69" s="74"/>
      <c r="X69" s="68"/>
      <c r="Y69" s="69"/>
      <c r="Z69" s="74"/>
      <c r="AA69" s="75"/>
      <c r="AB69" s="76"/>
      <c r="AC69" s="77"/>
      <c r="AD69" s="78"/>
      <c r="AE69" s="81" t="s">
        <v>299</v>
      </c>
      <c r="AF69" s="71"/>
      <c r="AG69" s="71"/>
      <c r="AH69" s="71"/>
      <c r="AI69" s="80"/>
    </row>
    <row r="70" spans="1:35" ht="23.25">
      <c r="A70" s="68">
        <v>31</v>
      </c>
      <c r="B70" s="69" t="s">
        <v>134</v>
      </c>
      <c r="C70" s="69" t="s">
        <v>300</v>
      </c>
      <c r="D70" s="69" t="s">
        <v>301</v>
      </c>
      <c r="E70" s="69" t="s">
        <v>993</v>
      </c>
      <c r="F70" s="69">
        <v>54.16</v>
      </c>
      <c r="G70" s="70"/>
      <c r="H70" s="70"/>
      <c r="I70" s="70">
        <f t="shared" ref="I70" si="140">I68+G69</f>
        <v>9361.7919999999995</v>
      </c>
      <c r="J70" s="71"/>
      <c r="K70" s="71"/>
      <c r="L70" s="71"/>
      <c r="M70" s="71"/>
      <c r="N70" s="72" t="s">
        <v>134</v>
      </c>
      <c r="O70" s="71"/>
      <c r="P70" s="71"/>
      <c r="Q70" s="70">
        <v>55.198999999999998</v>
      </c>
      <c r="R70" s="69" t="s">
        <v>134</v>
      </c>
      <c r="S70" s="70">
        <f t="shared" ref="S70" si="141">(G69+G71)</f>
        <v>764.351</v>
      </c>
      <c r="T70" s="73">
        <f t="shared" ref="T70" si="142">(G69+G71)/2</f>
        <v>382.1755</v>
      </c>
      <c r="U70" s="68">
        <v>212</v>
      </c>
      <c r="V70" s="69">
        <v>207</v>
      </c>
      <c r="W70" s="74">
        <f t="shared" ref="W70" si="143">U70+V70</f>
        <v>419</v>
      </c>
      <c r="X70" s="68">
        <v>207</v>
      </c>
      <c r="Y70" s="69">
        <v>202</v>
      </c>
      <c r="Z70" s="74">
        <f t="shared" ref="Z70" si="144">X70+Y70</f>
        <v>409</v>
      </c>
      <c r="AA70" s="75" t="s">
        <v>302</v>
      </c>
      <c r="AB70" s="76" t="s">
        <v>303</v>
      </c>
      <c r="AC70" s="77">
        <v>296531.467</v>
      </c>
      <c r="AD70" s="78">
        <v>2865789.8</v>
      </c>
      <c r="AE70" s="81"/>
      <c r="AF70" s="71" t="s">
        <v>268</v>
      </c>
      <c r="AG70" s="71"/>
      <c r="AH70" s="71"/>
      <c r="AI70" s="80"/>
    </row>
    <row r="71" spans="1:35" ht="23.25">
      <c r="A71" s="68"/>
      <c r="B71" s="69" t="s">
        <v>134</v>
      </c>
      <c r="C71" s="69"/>
      <c r="D71" s="69"/>
      <c r="E71" s="69"/>
      <c r="F71" s="69"/>
      <c r="G71" s="70">
        <v>377.351</v>
      </c>
      <c r="H71" s="69"/>
      <c r="I71" s="69"/>
      <c r="J71" s="71"/>
      <c r="K71" s="71"/>
      <c r="L71" s="71"/>
      <c r="M71" s="71"/>
      <c r="N71" s="72"/>
      <c r="O71" s="71"/>
      <c r="P71" s="71"/>
      <c r="Q71" s="70"/>
      <c r="R71" s="69"/>
      <c r="S71" s="70"/>
      <c r="T71" s="73"/>
      <c r="U71" s="68"/>
      <c r="V71" s="69"/>
      <c r="W71" s="74"/>
      <c r="X71" s="68"/>
      <c r="Y71" s="69"/>
      <c r="Z71" s="74"/>
      <c r="AA71" s="75"/>
      <c r="AB71" s="76"/>
      <c r="AC71" s="77"/>
      <c r="AD71" s="78"/>
      <c r="AE71" s="81" t="s">
        <v>304</v>
      </c>
      <c r="AF71" s="71"/>
      <c r="AG71" s="71"/>
      <c r="AH71" s="71"/>
      <c r="AI71" s="80"/>
    </row>
    <row r="72" spans="1:35" ht="23.25">
      <c r="A72" s="68">
        <v>32</v>
      </c>
      <c r="B72" s="69" t="s">
        <v>305</v>
      </c>
      <c r="C72" s="69" t="s">
        <v>46</v>
      </c>
      <c r="D72" s="69" t="s">
        <v>245</v>
      </c>
      <c r="E72" s="69" t="s">
        <v>993</v>
      </c>
      <c r="F72" s="69">
        <v>50.74</v>
      </c>
      <c r="G72" s="70"/>
      <c r="H72" s="70">
        <f>SUM(G67:G72)</f>
        <v>1175.3510000000001</v>
      </c>
      <c r="I72" s="70">
        <f t="shared" ref="I72" si="145">I70+G71</f>
        <v>9739.143</v>
      </c>
      <c r="J72" s="71"/>
      <c r="K72" s="71"/>
      <c r="L72" s="71"/>
      <c r="M72" s="71"/>
      <c r="N72" s="72" t="s">
        <v>134</v>
      </c>
      <c r="O72" s="71"/>
      <c r="P72" s="71"/>
      <c r="Q72" s="70">
        <v>55.094999999999999</v>
      </c>
      <c r="R72" s="69" t="s">
        <v>306</v>
      </c>
      <c r="S72" s="70">
        <f t="shared" ref="S72" si="146">(G71+G73)</f>
        <v>769.351</v>
      </c>
      <c r="T72" s="73">
        <f t="shared" ref="T72" si="147">(G71+G73)/2</f>
        <v>384.6755</v>
      </c>
      <c r="U72" s="68">
        <v>172</v>
      </c>
      <c r="V72" s="69">
        <v>213</v>
      </c>
      <c r="W72" s="74">
        <f t="shared" ref="W72" si="148">U72+V72</f>
        <v>385</v>
      </c>
      <c r="X72" s="68">
        <v>177</v>
      </c>
      <c r="Y72" s="69">
        <v>209</v>
      </c>
      <c r="Z72" s="74">
        <f t="shared" ref="Z72" si="149">X72+Y72</f>
        <v>386</v>
      </c>
      <c r="AA72" s="75" t="s">
        <v>307</v>
      </c>
      <c r="AB72" s="76" t="s">
        <v>308</v>
      </c>
      <c r="AC72" s="77">
        <v>296898.842</v>
      </c>
      <c r="AD72" s="78">
        <v>2865875.9920000001</v>
      </c>
      <c r="AE72" s="81"/>
      <c r="AF72" s="71" t="s">
        <v>268</v>
      </c>
      <c r="AG72" s="71"/>
      <c r="AH72" s="71"/>
      <c r="AI72" s="80"/>
    </row>
    <row r="73" spans="1:35" ht="23.25">
      <c r="A73" s="68"/>
      <c r="B73" s="69" t="s">
        <v>134</v>
      </c>
      <c r="C73" s="69"/>
      <c r="D73" s="69"/>
      <c r="E73" s="69"/>
      <c r="F73" s="69"/>
      <c r="G73" s="70">
        <v>392</v>
      </c>
      <c r="H73" s="69"/>
      <c r="I73" s="69"/>
      <c r="J73" s="71"/>
      <c r="K73" s="71"/>
      <c r="L73" s="71"/>
      <c r="M73" s="71"/>
      <c r="N73" s="72"/>
      <c r="O73" s="71"/>
      <c r="P73" s="71"/>
      <c r="Q73" s="70"/>
      <c r="R73" s="69"/>
      <c r="S73" s="70"/>
      <c r="T73" s="73"/>
      <c r="U73" s="68"/>
      <c r="V73" s="69"/>
      <c r="W73" s="74"/>
      <c r="X73" s="68"/>
      <c r="Y73" s="69"/>
      <c r="Z73" s="74"/>
      <c r="AA73" s="75"/>
      <c r="AB73" s="76"/>
      <c r="AC73" s="77"/>
      <c r="AD73" s="78"/>
      <c r="AE73" s="81" t="s">
        <v>309</v>
      </c>
      <c r="AF73" s="71"/>
      <c r="AG73" s="71"/>
      <c r="AH73" s="71"/>
      <c r="AI73" s="80"/>
    </row>
    <row r="74" spans="1:35" ht="23.25">
      <c r="A74" s="68">
        <v>33</v>
      </c>
      <c r="B74" s="69" t="s">
        <v>134</v>
      </c>
      <c r="C74" s="69" t="s">
        <v>310</v>
      </c>
      <c r="D74" s="69" t="s">
        <v>153</v>
      </c>
      <c r="E74" s="69" t="s">
        <v>993</v>
      </c>
      <c r="F74" s="69">
        <v>48.16</v>
      </c>
      <c r="G74" s="70"/>
      <c r="H74" s="70"/>
      <c r="I74" s="70">
        <f t="shared" ref="I74" si="150">I72+G73</f>
        <v>10131.143</v>
      </c>
      <c r="J74" s="71"/>
      <c r="K74" s="71"/>
      <c r="L74" s="71"/>
      <c r="M74" s="71"/>
      <c r="N74" s="72" t="s">
        <v>134</v>
      </c>
      <c r="O74" s="71"/>
      <c r="P74" s="71"/>
      <c r="Q74" s="70">
        <v>55.002000000000002</v>
      </c>
      <c r="R74" s="69" t="s">
        <v>134</v>
      </c>
      <c r="S74" s="70">
        <f t="shared" ref="S74" si="151">(G73+G75)</f>
        <v>705</v>
      </c>
      <c r="T74" s="73">
        <f t="shared" ref="T74" si="152">(G73+G75)/2</f>
        <v>352.5</v>
      </c>
      <c r="U74" s="68">
        <v>180</v>
      </c>
      <c r="V74" s="69">
        <v>158</v>
      </c>
      <c r="W74" s="74">
        <f t="shared" ref="W74" si="153">U74+V74</f>
        <v>338</v>
      </c>
      <c r="X74" s="68">
        <v>186</v>
      </c>
      <c r="Y74" s="69">
        <v>158</v>
      </c>
      <c r="Z74" s="74">
        <f t="shared" ref="Z74" si="154">X74+Y74</f>
        <v>344</v>
      </c>
      <c r="AA74" s="75" t="s">
        <v>311</v>
      </c>
      <c r="AB74" s="76" t="s">
        <v>312</v>
      </c>
      <c r="AC74" s="77">
        <v>297290.81300000002</v>
      </c>
      <c r="AD74" s="78">
        <v>2865880.733</v>
      </c>
      <c r="AE74" s="81"/>
      <c r="AF74" s="71" t="s">
        <v>268</v>
      </c>
      <c r="AG74" s="71"/>
      <c r="AH74" s="71"/>
      <c r="AI74" s="80"/>
    </row>
    <row r="75" spans="1:35" ht="23.25">
      <c r="A75" s="68"/>
      <c r="B75" s="69" t="s">
        <v>134</v>
      </c>
      <c r="C75" s="69"/>
      <c r="D75" s="69"/>
      <c r="E75" s="69"/>
      <c r="F75" s="69"/>
      <c r="G75" s="70">
        <v>313</v>
      </c>
      <c r="H75" s="69"/>
      <c r="I75" s="69"/>
      <c r="J75" s="71"/>
      <c r="K75" s="71"/>
      <c r="L75" s="71"/>
      <c r="M75" s="71"/>
      <c r="N75" s="72"/>
      <c r="O75" s="71"/>
      <c r="P75" s="71"/>
      <c r="Q75" s="70"/>
      <c r="R75" s="69"/>
      <c r="S75" s="70"/>
      <c r="T75" s="73"/>
      <c r="U75" s="68"/>
      <c r="V75" s="69"/>
      <c r="W75" s="74"/>
      <c r="X75" s="68"/>
      <c r="Y75" s="69"/>
      <c r="Z75" s="74"/>
      <c r="AA75" s="75"/>
      <c r="AB75" s="76"/>
      <c r="AC75" s="77"/>
      <c r="AD75" s="78"/>
      <c r="AE75" s="81" t="s">
        <v>313</v>
      </c>
      <c r="AF75" s="71"/>
      <c r="AG75" s="71"/>
      <c r="AH75" s="71"/>
      <c r="AI75" s="80"/>
    </row>
    <row r="76" spans="1:35" ht="23.25">
      <c r="A76" s="68">
        <v>34</v>
      </c>
      <c r="B76" s="69" t="s">
        <v>134</v>
      </c>
      <c r="C76" s="69" t="s">
        <v>314</v>
      </c>
      <c r="D76" s="69" t="s">
        <v>153</v>
      </c>
      <c r="E76" s="69" t="s">
        <v>993</v>
      </c>
      <c r="F76" s="69">
        <v>48.16</v>
      </c>
      <c r="G76" s="70"/>
      <c r="H76" s="70"/>
      <c r="I76" s="70">
        <f t="shared" ref="I76" si="155">I74+G75</f>
        <v>10444.143</v>
      </c>
      <c r="J76" s="71"/>
      <c r="K76" s="71"/>
      <c r="L76" s="71"/>
      <c r="M76" s="71"/>
      <c r="N76" s="72" t="s">
        <v>134</v>
      </c>
      <c r="O76" s="71"/>
      <c r="P76" s="71"/>
      <c r="Q76" s="70">
        <v>54.82</v>
      </c>
      <c r="R76" s="69" t="s">
        <v>134</v>
      </c>
      <c r="S76" s="70">
        <f t="shared" ref="S76" si="156">(G75+G77)</f>
        <v>631</v>
      </c>
      <c r="T76" s="73">
        <f t="shared" ref="T76" si="157">(G75+G77)/2</f>
        <v>315.5</v>
      </c>
      <c r="U76" s="68">
        <v>155</v>
      </c>
      <c r="V76" s="69">
        <v>158</v>
      </c>
      <c r="W76" s="74">
        <f t="shared" ref="W76" si="158">U76+V76</f>
        <v>313</v>
      </c>
      <c r="X76" s="68">
        <v>156</v>
      </c>
      <c r="Y76" s="69">
        <v>158</v>
      </c>
      <c r="Z76" s="74">
        <f t="shared" ref="Z76" si="159">X76+Y76</f>
        <v>314</v>
      </c>
      <c r="AA76" s="75" t="s">
        <v>315</v>
      </c>
      <c r="AB76" s="76" t="s">
        <v>316</v>
      </c>
      <c r="AC76" s="77">
        <v>297603.78999999998</v>
      </c>
      <c r="AD76" s="78">
        <v>2865884.5189999999</v>
      </c>
      <c r="AE76" s="81"/>
      <c r="AF76" s="71" t="s">
        <v>317</v>
      </c>
      <c r="AG76" s="71"/>
      <c r="AH76" s="71"/>
      <c r="AI76" s="80"/>
    </row>
    <row r="77" spans="1:35" ht="23.25">
      <c r="A77" s="68"/>
      <c r="B77" s="69" t="s">
        <v>134</v>
      </c>
      <c r="C77" s="69"/>
      <c r="D77" s="69"/>
      <c r="E77" s="69"/>
      <c r="F77" s="69"/>
      <c r="G77" s="70">
        <v>318</v>
      </c>
      <c r="H77" s="69"/>
      <c r="I77" s="69"/>
      <c r="J77" s="71"/>
      <c r="K77" s="71"/>
      <c r="L77" s="71"/>
      <c r="M77" s="71"/>
      <c r="N77" s="72"/>
      <c r="O77" s="71"/>
      <c r="P77" s="71"/>
      <c r="Q77" s="70"/>
      <c r="R77" s="69"/>
      <c r="S77" s="70"/>
      <c r="T77" s="73"/>
      <c r="U77" s="68"/>
      <c r="V77" s="69"/>
      <c r="W77" s="74"/>
      <c r="X77" s="68"/>
      <c r="Y77" s="69"/>
      <c r="Z77" s="74"/>
      <c r="AA77" s="75"/>
      <c r="AB77" s="76"/>
      <c r="AC77" s="77"/>
      <c r="AD77" s="78"/>
      <c r="AE77" s="81" t="s">
        <v>217</v>
      </c>
      <c r="AF77" s="71"/>
      <c r="AG77" s="71"/>
      <c r="AH77" s="71"/>
      <c r="AI77" s="80"/>
    </row>
    <row r="78" spans="1:35" ht="23.25">
      <c r="A78" s="68">
        <v>35</v>
      </c>
      <c r="B78" s="69" t="s">
        <v>134</v>
      </c>
      <c r="C78" s="69" t="s">
        <v>318</v>
      </c>
      <c r="D78" s="69" t="s">
        <v>153</v>
      </c>
      <c r="E78" s="69" t="s">
        <v>993</v>
      </c>
      <c r="F78" s="69">
        <v>48.16</v>
      </c>
      <c r="G78" s="70"/>
      <c r="H78" s="70"/>
      <c r="I78" s="70">
        <f t="shared" ref="I78" si="160">I76+G77</f>
        <v>10762.143</v>
      </c>
      <c r="J78" s="71"/>
      <c r="K78" s="71"/>
      <c r="L78" s="71"/>
      <c r="M78" s="71"/>
      <c r="N78" s="72" t="s">
        <v>134</v>
      </c>
      <c r="O78" s="71"/>
      <c r="P78" s="71"/>
      <c r="Q78" s="70">
        <v>55.017000000000003</v>
      </c>
      <c r="R78" s="69" t="s">
        <v>134</v>
      </c>
      <c r="S78" s="70">
        <f t="shared" ref="S78" si="161">(G77+G79)</f>
        <v>665</v>
      </c>
      <c r="T78" s="73">
        <f t="shared" ref="T78" si="162">(G77+G79)/2</f>
        <v>332.5</v>
      </c>
      <c r="U78" s="68">
        <v>160</v>
      </c>
      <c r="V78" s="69">
        <v>173</v>
      </c>
      <c r="W78" s="74">
        <f t="shared" ref="W78" si="163">U78+V78</f>
        <v>333</v>
      </c>
      <c r="X78" s="68">
        <v>160</v>
      </c>
      <c r="Y78" s="69">
        <v>173</v>
      </c>
      <c r="Z78" s="74">
        <f t="shared" ref="Z78" si="164">X78+Y78</f>
        <v>333</v>
      </c>
      <c r="AA78" s="75" t="s">
        <v>319</v>
      </c>
      <c r="AB78" s="76" t="s">
        <v>320</v>
      </c>
      <c r="AC78" s="77">
        <v>297921.76699999999</v>
      </c>
      <c r="AD78" s="78">
        <v>2865888.3650000002</v>
      </c>
      <c r="AE78" s="81"/>
      <c r="AF78" s="71" t="s">
        <v>317</v>
      </c>
      <c r="AG78" s="71"/>
      <c r="AH78" s="71"/>
      <c r="AI78" s="80"/>
    </row>
    <row r="79" spans="1:35" ht="23.25">
      <c r="A79" s="68"/>
      <c r="B79" s="69" t="s">
        <v>134</v>
      </c>
      <c r="C79" s="69"/>
      <c r="D79" s="69"/>
      <c r="E79" s="69"/>
      <c r="F79" s="69"/>
      <c r="G79" s="70">
        <v>347</v>
      </c>
      <c r="H79" s="69"/>
      <c r="I79" s="69"/>
      <c r="J79" s="71"/>
      <c r="K79" s="71"/>
      <c r="L79" s="71"/>
      <c r="M79" s="71"/>
      <c r="N79" s="72"/>
      <c r="O79" s="71"/>
      <c r="P79" s="71"/>
      <c r="Q79" s="70"/>
      <c r="R79" s="69"/>
      <c r="S79" s="70"/>
      <c r="T79" s="73"/>
      <c r="U79" s="68"/>
      <c r="V79" s="69"/>
      <c r="W79" s="74"/>
      <c r="X79" s="68"/>
      <c r="Y79" s="69"/>
      <c r="Z79" s="74"/>
      <c r="AA79" s="75"/>
      <c r="AB79" s="76"/>
      <c r="AC79" s="77"/>
      <c r="AD79" s="78"/>
      <c r="AE79" s="81" t="s">
        <v>321</v>
      </c>
      <c r="AF79" s="71"/>
      <c r="AG79" s="71"/>
      <c r="AH79" s="71"/>
      <c r="AI79" s="80"/>
    </row>
    <row r="80" spans="1:35" ht="23.25">
      <c r="A80" s="68">
        <v>36</v>
      </c>
      <c r="B80" s="69" t="s">
        <v>134</v>
      </c>
      <c r="C80" s="69" t="s">
        <v>322</v>
      </c>
      <c r="D80" s="69" t="s">
        <v>153</v>
      </c>
      <c r="E80" s="69" t="s">
        <v>993</v>
      </c>
      <c r="F80" s="69">
        <v>48.16</v>
      </c>
      <c r="G80" s="70"/>
      <c r="H80" s="70"/>
      <c r="I80" s="70">
        <f t="shared" ref="I80" si="165">I78+G79</f>
        <v>11109.143</v>
      </c>
      <c r="J80" s="71"/>
      <c r="K80" s="71"/>
      <c r="L80" s="71"/>
      <c r="M80" s="71"/>
      <c r="N80" s="72" t="s">
        <v>134</v>
      </c>
      <c r="O80" s="71"/>
      <c r="P80" s="71"/>
      <c r="Q80" s="70">
        <v>55.197000000000003</v>
      </c>
      <c r="R80" s="69" t="s">
        <v>134</v>
      </c>
      <c r="S80" s="70">
        <f t="shared" ref="S80" si="166">(G79+G81)</f>
        <v>734.51499999999999</v>
      </c>
      <c r="T80" s="73">
        <f t="shared" ref="T80" si="167">(G79+G81)/2</f>
        <v>367.25749999999999</v>
      </c>
      <c r="U80" s="68">
        <v>175</v>
      </c>
      <c r="V80" s="69">
        <v>195</v>
      </c>
      <c r="W80" s="74">
        <f t="shared" ref="W80" si="168">U80+V80</f>
        <v>370</v>
      </c>
      <c r="X80" s="68">
        <v>175</v>
      </c>
      <c r="Y80" s="69">
        <v>195</v>
      </c>
      <c r="Z80" s="74">
        <f t="shared" ref="Z80" si="169">X80+Y80</f>
        <v>370</v>
      </c>
      <c r="AA80" s="75" t="s">
        <v>323</v>
      </c>
      <c r="AB80" s="76" t="s">
        <v>324</v>
      </c>
      <c r="AC80" s="77">
        <v>298268.74200000003</v>
      </c>
      <c r="AD80" s="78">
        <v>2865892.5619999999</v>
      </c>
      <c r="AE80" s="81"/>
      <c r="AF80" s="71" t="s">
        <v>317</v>
      </c>
      <c r="AG80" s="71"/>
      <c r="AH80" s="71"/>
      <c r="AI80" s="80"/>
    </row>
    <row r="81" spans="1:35" ht="23.25">
      <c r="A81" s="68"/>
      <c r="B81" s="69" t="s">
        <v>134</v>
      </c>
      <c r="C81" s="69"/>
      <c r="D81" s="69"/>
      <c r="E81" s="69"/>
      <c r="F81" s="69"/>
      <c r="G81" s="70">
        <v>387.51499999999999</v>
      </c>
      <c r="H81" s="69"/>
      <c r="I81" s="69"/>
      <c r="J81" s="71"/>
      <c r="K81" s="71"/>
      <c r="L81" s="71"/>
      <c r="M81" s="71"/>
      <c r="N81" s="72"/>
      <c r="O81" s="71"/>
      <c r="P81" s="71"/>
      <c r="Q81" s="70"/>
      <c r="R81" s="69"/>
      <c r="S81" s="70"/>
      <c r="T81" s="73"/>
      <c r="U81" s="68"/>
      <c r="V81" s="69"/>
      <c r="W81" s="74"/>
      <c r="X81" s="68"/>
      <c r="Y81" s="69"/>
      <c r="Z81" s="74"/>
      <c r="AA81" s="75"/>
      <c r="AB81" s="76"/>
      <c r="AC81" s="77"/>
      <c r="AD81" s="78"/>
      <c r="AE81" s="81" t="s">
        <v>217</v>
      </c>
      <c r="AF81" s="71"/>
      <c r="AG81" s="71"/>
      <c r="AH81" s="71"/>
      <c r="AI81" s="80"/>
    </row>
    <row r="82" spans="1:35" ht="23.25">
      <c r="A82" s="68">
        <v>37</v>
      </c>
      <c r="B82" s="69" t="s">
        <v>325</v>
      </c>
      <c r="C82" s="69" t="s">
        <v>326</v>
      </c>
      <c r="D82" s="69" t="s">
        <v>167</v>
      </c>
      <c r="E82" s="69" t="s">
        <v>993</v>
      </c>
      <c r="F82" s="69">
        <v>47.74</v>
      </c>
      <c r="G82" s="70"/>
      <c r="H82" s="70">
        <f>SUM(G73:G82)</f>
        <v>1757.5149999999999</v>
      </c>
      <c r="I82" s="70">
        <f t="shared" ref="I82" si="170">I80+G81</f>
        <v>11496.657999999999</v>
      </c>
      <c r="J82" s="71"/>
      <c r="K82" s="71"/>
      <c r="L82" s="71"/>
      <c r="M82" s="71"/>
      <c r="N82" s="72" t="s">
        <v>134</v>
      </c>
      <c r="O82" s="71"/>
      <c r="P82" s="71"/>
      <c r="Q82" s="70">
        <v>54.939</v>
      </c>
      <c r="R82" s="69" t="s">
        <v>327</v>
      </c>
      <c r="S82" s="70">
        <f t="shared" ref="S82" si="171">(G81+G83)</f>
        <v>732.51499999999999</v>
      </c>
      <c r="T82" s="73">
        <f t="shared" ref="T82" si="172">(G81+G83)/2</f>
        <v>366.25749999999999</v>
      </c>
      <c r="U82" s="68">
        <v>192</v>
      </c>
      <c r="V82" s="69">
        <v>132</v>
      </c>
      <c r="W82" s="74">
        <f t="shared" ref="W82" si="173">U82+V82</f>
        <v>324</v>
      </c>
      <c r="X82" s="68">
        <v>193</v>
      </c>
      <c r="Y82" s="69">
        <v>144</v>
      </c>
      <c r="Z82" s="74">
        <f t="shared" ref="Z82" si="174">X82+Y82</f>
        <v>337</v>
      </c>
      <c r="AA82" s="75" t="s">
        <v>328</v>
      </c>
      <c r="AB82" s="76" t="s">
        <v>329</v>
      </c>
      <c r="AC82" s="77">
        <v>298656.228</v>
      </c>
      <c r="AD82" s="78">
        <v>2865897.2489999998</v>
      </c>
      <c r="AE82" s="81"/>
      <c r="AF82" s="71" t="s">
        <v>330</v>
      </c>
      <c r="AG82" s="71"/>
      <c r="AH82" s="71"/>
      <c r="AI82" s="80"/>
    </row>
    <row r="83" spans="1:35" ht="23.25">
      <c r="A83" s="68"/>
      <c r="B83" s="69" t="s">
        <v>134</v>
      </c>
      <c r="C83" s="69"/>
      <c r="D83" s="69"/>
      <c r="E83" s="69"/>
      <c r="F83" s="69"/>
      <c r="G83" s="70">
        <v>345</v>
      </c>
      <c r="H83" s="69"/>
      <c r="I83" s="69"/>
      <c r="J83" s="71"/>
      <c r="K83" s="71"/>
      <c r="L83" s="71"/>
      <c r="M83" s="71"/>
      <c r="N83" s="72"/>
      <c r="O83" s="71"/>
      <c r="P83" s="71"/>
      <c r="Q83" s="70"/>
      <c r="R83" s="69"/>
      <c r="S83" s="70"/>
      <c r="T83" s="73"/>
      <c r="U83" s="68"/>
      <c r="V83" s="69"/>
      <c r="W83" s="74"/>
      <c r="X83" s="68"/>
      <c r="Y83" s="69"/>
      <c r="Z83" s="74"/>
      <c r="AA83" s="75"/>
      <c r="AB83" s="76"/>
      <c r="AC83" s="77"/>
      <c r="AD83" s="78"/>
      <c r="AE83" s="81" t="s">
        <v>331</v>
      </c>
      <c r="AF83" s="71"/>
      <c r="AG83" s="71"/>
      <c r="AH83" s="71"/>
      <c r="AI83" s="80"/>
    </row>
    <row r="84" spans="1:35" ht="23.25">
      <c r="A84" s="68">
        <v>38</v>
      </c>
      <c r="B84" s="69" t="s">
        <v>134</v>
      </c>
      <c r="C84" s="69" t="s">
        <v>332</v>
      </c>
      <c r="D84" s="69" t="s">
        <v>301</v>
      </c>
      <c r="E84" s="69" t="s">
        <v>993</v>
      </c>
      <c r="F84" s="69">
        <v>54.16</v>
      </c>
      <c r="G84" s="70"/>
      <c r="H84" s="70"/>
      <c r="I84" s="70">
        <f t="shared" ref="I84" si="175">I82+G83</f>
        <v>11841.657999999999</v>
      </c>
      <c r="J84" s="71"/>
      <c r="K84" s="71"/>
      <c r="L84" s="71"/>
      <c r="M84" s="71"/>
      <c r="N84" s="72" t="s">
        <v>134</v>
      </c>
      <c r="O84" s="71"/>
      <c r="P84" s="71"/>
      <c r="Q84" s="70">
        <v>55.436999999999998</v>
      </c>
      <c r="R84" s="69" t="s">
        <v>134</v>
      </c>
      <c r="S84" s="70">
        <f t="shared" ref="S84" si="176">(G83+G85)</f>
        <v>755.29300000000001</v>
      </c>
      <c r="T84" s="73">
        <f t="shared" ref="T84" si="177">(G83+G85)/2</f>
        <v>377.6465</v>
      </c>
      <c r="U84" s="68">
        <v>212</v>
      </c>
      <c r="V84" s="69">
        <v>203</v>
      </c>
      <c r="W84" s="74">
        <f t="shared" ref="W84" si="178">U84+V84</f>
        <v>415</v>
      </c>
      <c r="X84" s="68">
        <v>201</v>
      </c>
      <c r="Y84" s="69">
        <v>204</v>
      </c>
      <c r="Z84" s="74">
        <f t="shared" ref="Z84" si="179">X84+Y84</f>
        <v>405</v>
      </c>
      <c r="AA84" s="75" t="s">
        <v>333</v>
      </c>
      <c r="AB84" s="76" t="s">
        <v>334</v>
      </c>
      <c r="AC84" s="77">
        <v>298986.587</v>
      </c>
      <c r="AD84" s="78">
        <v>2865996.6869999999</v>
      </c>
      <c r="AE84" s="81"/>
      <c r="AF84" s="71" t="s">
        <v>330</v>
      </c>
      <c r="AG84" s="71"/>
      <c r="AH84" s="71"/>
      <c r="AI84" s="80"/>
    </row>
    <row r="85" spans="1:35" ht="23.25">
      <c r="A85" s="68"/>
      <c r="B85" s="69" t="s">
        <v>134</v>
      </c>
      <c r="C85" s="69"/>
      <c r="D85" s="69"/>
      <c r="E85" s="69"/>
      <c r="F85" s="69"/>
      <c r="G85" s="70">
        <v>410.29300000000001</v>
      </c>
      <c r="H85" s="69"/>
      <c r="I85" s="69"/>
      <c r="J85" s="71"/>
      <c r="K85" s="71"/>
      <c r="L85" s="71"/>
      <c r="M85" s="71"/>
      <c r="N85" s="72"/>
      <c r="O85" s="71"/>
      <c r="P85" s="71"/>
      <c r="Q85" s="70"/>
      <c r="R85" s="69"/>
      <c r="S85" s="70"/>
      <c r="T85" s="73"/>
      <c r="U85" s="68"/>
      <c r="V85" s="69"/>
      <c r="W85" s="74"/>
      <c r="X85" s="68"/>
      <c r="Y85" s="69"/>
      <c r="Z85" s="74"/>
      <c r="AA85" s="75"/>
      <c r="AB85" s="76"/>
      <c r="AC85" s="77"/>
      <c r="AD85" s="78"/>
      <c r="AE85" s="81" t="s">
        <v>335</v>
      </c>
      <c r="AF85" s="71"/>
      <c r="AG85" s="71"/>
      <c r="AH85" s="71"/>
      <c r="AI85" s="80"/>
    </row>
    <row r="86" spans="1:35" ht="23.25">
      <c r="A86" s="68">
        <v>39</v>
      </c>
      <c r="B86" s="69" t="s">
        <v>336</v>
      </c>
      <c r="C86" s="69" t="s">
        <v>47</v>
      </c>
      <c r="D86" s="69" t="s">
        <v>337</v>
      </c>
      <c r="E86" s="69" t="s">
        <v>993</v>
      </c>
      <c r="F86" s="69">
        <v>53.74</v>
      </c>
      <c r="G86" s="70"/>
      <c r="H86" s="70">
        <f>SUM(G83:G86)</f>
        <v>755.29300000000001</v>
      </c>
      <c r="I86" s="70">
        <f t="shared" ref="I86" si="180">I84+G85</f>
        <v>12251.950999999999</v>
      </c>
      <c r="J86" s="71"/>
      <c r="K86" s="71"/>
      <c r="L86" s="71"/>
      <c r="M86" s="71"/>
      <c r="N86" s="72" t="s">
        <v>134</v>
      </c>
      <c r="O86" s="71"/>
      <c r="P86" s="71"/>
      <c r="Q86" s="70">
        <v>56.058</v>
      </c>
      <c r="R86" s="69" t="s">
        <v>338</v>
      </c>
      <c r="S86" s="70">
        <f t="shared" ref="S86" si="181">(G85+G87)</f>
        <v>802.02300000000002</v>
      </c>
      <c r="T86" s="73">
        <f t="shared" ref="T86" si="182">(G85+G87)/2</f>
        <v>401.01150000000001</v>
      </c>
      <c r="U86" s="68">
        <v>209</v>
      </c>
      <c r="V86" s="69">
        <v>211</v>
      </c>
      <c r="W86" s="74">
        <f t="shared" ref="W86" si="183">U86+V86</f>
        <v>420</v>
      </c>
      <c r="X86" s="68">
        <v>208</v>
      </c>
      <c r="Y86" s="69">
        <v>206</v>
      </c>
      <c r="Z86" s="74">
        <f t="shared" ref="Z86" si="184">X86+Y86</f>
        <v>414</v>
      </c>
      <c r="AA86" s="75" t="s">
        <v>339</v>
      </c>
      <c r="AB86" s="76" t="s">
        <v>340</v>
      </c>
      <c r="AC86" s="77">
        <v>299379.46799999999</v>
      </c>
      <c r="AD86" s="78">
        <v>2866114.9440000001</v>
      </c>
      <c r="AE86" s="81"/>
      <c r="AF86" s="71" t="s">
        <v>341</v>
      </c>
      <c r="AG86" s="71"/>
      <c r="AH86" s="71"/>
      <c r="AI86" s="80"/>
    </row>
    <row r="87" spans="1:35" ht="23.25">
      <c r="A87" s="68"/>
      <c r="B87" s="69" t="s">
        <v>134</v>
      </c>
      <c r="C87" s="69"/>
      <c r="D87" s="69"/>
      <c r="E87" s="69"/>
      <c r="F87" s="69"/>
      <c r="G87" s="70">
        <v>391.73</v>
      </c>
      <c r="H87" s="69"/>
      <c r="I87" s="69"/>
      <c r="J87" s="71"/>
      <c r="K87" s="71"/>
      <c r="L87" s="71"/>
      <c r="M87" s="71"/>
      <c r="N87" s="72"/>
      <c r="O87" s="71"/>
      <c r="P87" s="71"/>
      <c r="Q87" s="70"/>
      <c r="R87" s="69"/>
      <c r="S87" s="70"/>
      <c r="T87" s="73"/>
      <c r="U87" s="68"/>
      <c r="V87" s="69"/>
      <c r="W87" s="74"/>
      <c r="X87" s="68"/>
      <c r="Y87" s="69"/>
      <c r="Z87" s="74"/>
      <c r="AA87" s="75"/>
      <c r="AB87" s="76"/>
      <c r="AC87" s="77"/>
      <c r="AD87" s="78"/>
      <c r="AE87" s="81" t="s">
        <v>342</v>
      </c>
      <c r="AF87" s="71"/>
      <c r="AG87" s="71"/>
      <c r="AH87" s="71"/>
      <c r="AI87" s="80"/>
    </row>
    <row r="88" spans="1:35" ht="23.25">
      <c r="A88" s="68">
        <v>40</v>
      </c>
      <c r="B88" s="69" t="s">
        <v>343</v>
      </c>
      <c r="C88" s="69" t="s">
        <v>69</v>
      </c>
      <c r="D88" s="69" t="s">
        <v>344</v>
      </c>
      <c r="E88" s="69" t="s">
        <v>993</v>
      </c>
      <c r="F88" s="69">
        <v>50.74</v>
      </c>
      <c r="G88" s="70"/>
      <c r="H88" s="70">
        <f>SUM(G87:G88)</f>
        <v>391.73</v>
      </c>
      <c r="I88" s="70">
        <f t="shared" ref="I88" si="185">I86+G87</f>
        <v>12643.680999999999</v>
      </c>
      <c r="J88" s="71"/>
      <c r="K88" s="71"/>
      <c r="L88" s="71"/>
      <c r="M88" s="71"/>
      <c r="N88" s="72" t="s">
        <v>134</v>
      </c>
      <c r="O88" s="71"/>
      <c r="P88" s="71"/>
      <c r="Q88" s="70">
        <v>56.137</v>
      </c>
      <c r="R88" s="69" t="s">
        <v>345</v>
      </c>
      <c r="S88" s="70">
        <f t="shared" ref="S88" si="186">(G87+G89)</f>
        <v>691.73</v>
      </c>
      <c r="T88" s="73">
        <f t="shared" ref="T88" si="187">(G87+G89)/2</f>
        <v>345.86500000000001</v>
      </c>
      <c r="U88" s="68">
        <v>179</v>
      </c>
      <c r="V88" s="69">
        <v>36</v>
      </c>
      <c r="W88" s="74">
        <f t="shared" ref="W88" si="188">U88+V88</f>
        <v>215</v>
      </c>
      <c r="X88" s="68">
        <v>184</v>
      </c>
      <c r="Y88" s="69">
        <v>80</v>
      </c>
      <c r="Z88" s="74">
        <f t="shared" ref="Z88" si="189">X88+Y88</f>
        <v>264</v>
      </c>
      <c r="AA88" s="75" t="s">
        <v>346</v>
      </c>
      <c r="AB88" s="76" t="s">
        <v>347</v>
      </c>
      <c r="AC88" s="77">
        <v>299770.103</v>
      </c>
      <c r="AD88" s="78">
        <v>2866144.219</v>
      </c>
      <c r="AE88" s="81"/>
      <c r="AF88" s="71" t="s">
        <v>341</v>
      </c>
      <c r="AG88" s="71"/>
      <c r="AH88" s="71"/>
      <c r="AI88" s="80"/>
    </row>
    <row r="89" spans="1:35" ht="33" customHeight="1">
      <c r="A89" s="68"/>
      <c r="B89" s="69" t="s">
        <v>134</v>
      </c>
      <c r="C89" s="69"/>
      <c r="D89" s="69"/>
      <c r="E89" s="69"/>
      <c r="F89" s="69"/>
      <c r="G89" s="70">
        <v>300</v>
      </c>
      <c r="H89" s="69"/>
      <c r="I89" s="69"/>
      <c r="J89" s="71"/>
      <c r="K89" s="71"/>
      <c r="L89" s="71"/>
      <c r="M89" s="71"/>
      <c r="N89" s="72"/>
      <c r="O89" s="71"/>
      <c r="P89" s="71"/>
      <c r="Q89" s="70"/>
      <c r="R89" s="69"/>
      <c r="S89" s="70"/>
      <c r="T89" s="73"/>
      <c r="U89" s="68"/>
      <c r="V89" s="69"/>
      <c r="W89" s="74"/>
      <c r="X89" s="68"/>
      <c r="Y89" s="69"/>
      <c r="Z89" s="74"/>
      <c r="AA89" s="75"/>
      <c r="AB89" s="76"/>
      <c r="AC89" s="77"/>
      <c r="AD89" s="78"/>
      <c r="AE89" s="81" t="s">
        <v>348</v>
      </c>
      <c r="AF89" s="71"/>
      <c r="AG89" s="71"/>
      <c r="AH89" s="71"/>
      <c r="AI89" s="80"/>
    </row>
    <row r="90" spans="1:35" ht="23.25">
      <c r="A90" s="68">
        <v>41</v>
      </c>
      <c r="B90" s="69" t="s">
        <v>134</v>
      </c>
      <c r="C90" s="69" t="s">
        <v>349</v>
      </c>
      <c r="D90" s="69" t="s">
        <v>281</v>
      </c>
      <c r="E90" s="69" t="s">
        <v>993</v>
      </c>
      <c r="F90" s="69">
        <v>65.739999999999995</v>
      </c>
      <c r="G90" s="70"/>
      <c r="H90" s="70"/>
      <c r="I90" s="70">
        <f t="shared" ref="I90" si="190">I88+G89</f>
        <v>12943.680999999999</v>
      </c>
      <c r="J90" s="71"/>
      <c r="K90" s="71"/>
      <c r="L90" s="71"/>
      <c r="M90" s="71"/>
      <c r="N90" s="72" t="s">
        <v>134</v>
      </c>
      <c r="O90" s="71"/>
      <c r="P90" s="71"/>
      <c r="Q90" s="70">
        <v>55.929000000000002</v>
      </c>
      <c r="R90" s="69" t="s">
        <v>134</v>
      </c>
      <c r="S90" s="70">
        <f t="shared" ref="S90" si="191">(G89+G91)</f>
        <v>758.61599999999999</v>
      </c>
      <c r="T90" s="73">
        <f t="shared" ref="T90" si="192">(G89+G91)/2</f>
        <v>379.30799999999999</v>
      </c>
      <c r="U90" s="68">
        <v>261</v>
      </c>
      <c r="V90" s="69">
        <v>257</v>
      </c>
      <c r="W90" s="74">
        <f t="shared" ref="W90" si="193">U90+V90</f>
        <v>518</v>
      </c>
      <c r="X90" s="68">
        <v>218</v>
      </c>
      <c r="Y90" s="69">
        <v>253</v>
      </c>
      <c r="Z90" s="74">
        <f t="shared" ref="Z90" si="194">X90+Y90</f>
        <v>471</v>
      </c>
      <c r="AA90" s="75" t="s">
        <v>350</v>
      </c>
      <c r="AB90" s="76" t="s">
        <v>351</v>
      </c>
      <c r="AC90" s="77">
        <v>299950.37</v>
      </c>
      <c r="AD90" s="78">
        <v>2866384.0189999999</v>
      </c>
      <c r="AE90" s="81"/>
      <c r="AF90" s="71" t="s">
        <v>352</v>
      </c>
      <c r="AG90" s="71"/>
      <c r="AH90" s="71"/>
      <c r="AI90" s="80"/>
    </row>
    <row r="91" spans="1:35" ht="34.9" customHeight="1">
      <c r="A91" s="68"/>
      <c r="B91" s="69" t="s">
        <v>134</v>
      </c>
      <c r="C91" s="69"/>
      <c r="D91" s="69"/>
      <c r="E91" s="69"/>
      <c r="F91" s="69"/>
      <c r="G91" s="70">
        <v>458.61599999999999</v>
      </c>
      <c r="H91" s="69"/>
      <c r="I91" s="69"/>
      <c r="J91" s="71"/>
      <c r="K91" s="71"/>
      <c r="L91" s="71"/>
      <c r="M91" s="71"/>
      <c r="N91" s="72"/>
      <c r="O91" s="71"/>
      <c r="P91" s="71"/>
      <c r="Q91" s="70"/>
      <c r="R91" s="69"/>
      <c r="S91" s="70"/>
      <c r="T91" s="73"/>
      <c r="U91" s="68"/>
      <c r="V91" s="69"/>
      <c r="W91" s="74"/>
      <c r="X91" s="68"/>
      <c r="Y91" s="69"/>
      <c r="Z91" s="74"/>
      <c r="AA91" s="75"/>
      <c r="AB91" s="76"/>
      <c r="AC91" s="77"/>
      <c r="AD91" s="78"/>
      <c r="AE91" s="81" t="s">
        <v>353</v>
      </c>
      <c r="AF91" s="71"/>
      <c r="AG91" s="71"/>
      <c r="AH91" s="71"/>
      <c r="AI91" s="80" t="s">
        <v>354</v>
      </c>
    </row>
    <row r="92" spans="1:35" ht="23.25">
      <c r="A92" s="68">
        <v>42</v>
      </c>
      <c r="B92" s="69" t="s">
        <v>355</v>
      </c>
      <c r="C92" s="69" t="s">
        <v>356</v>
      </c>
      <c r="D92" s="69" t="s">
        <v>357</v>
      </c>
      <c r="E92" s="69" t="s">
        <v>993</v>
      </c>
      <c r="F92" s="69">
        <v>56.74</v>
      </c>
      <c r="G92" s="70"/>
      <c r="H92" s="70">
        <f>SUM(G89:G92)</f>
        <v>758.61599999999999</v>
      </c>
      <c r="I92" s="70">
        <f t="shared" ref="I92" si="195">I90+G91</f>
        <v>13402.296999999999</v>
      </c>
      <c r="J92" s="71"/>
      <c r="K92" s="71"/>
      <c r="L92" s="71"/>
      <c r="M92" s="71"/>
      <c r="N92" s="72">
        <v>3</v>
      </c>
      <c r="O92" s="71"/>
      <c r="P92" s="71"/>
      <c r="Q92" s="70">
        <v>55.68</v>
      </c>
      <c r="R92" s="69" t="s">
        <v>358</v>
      </c>
      <c r="S92" s="70">
        <f t="shared" ref="S92" si="196">(G91+G93)</f>
        <v>764.79600000000005</v>
      </c>
      <c r="T92" s="73">
        <f t="shared" ref="T92" si="197">(G91+G93)/2</f>
        <v>382.39800000000002</v>
      </c>
      <c r="U92" s="68">
        <v>206</v>
      </c>
      <c r="V92" s="69">
        <v>219</v>
      </c>
      <c r="W92" s="74">
        <f t="shared" ref="W92" si="198">U92+V92</f>
        <v>425</v>
      </c>
      <c r="X92" s="68">
        <v>212</v>
      </c>
      <c r="Y92" s="69">
        <v>196</v>
      </c>
      <c r="Z92" s="74">
        <f t="shared" ref="Z92" si="199">X92+Y92</f>
        <v>408</v>
      </c>
      <c r="AA92" s="75" t="s">
        <v>359</v>
      </c>
      <c r="AB92" s="76" t="s">
        <v>360</v>
      </c>
      <c r="AC92" s="77">
        <v>300225.94699999999</v>
      </c>
      <c r="AD92" s="78">
        <v>2866750.6060000001</v>
      </c>
      <c r="AE92" s="81"/>
      <c r="AF92" s="71" t="s">
        <v>361</v>
      </c>
      <c r="AG92" s="71"/>
      <c r="AH92" s="71"/>
      <c r="AI92" s="84"/>
    </row>
    <row r="93" spans="1:35" ht="23.25">
      <c r="A93" s="68"/>
      <c r="B93" s="69" t="s">
        <v>134</v>
      </c>
      <c r="C93" s="69"/>
      <c r="D93" s="69"/>
      <c r="E93" s="69"/>
      <c r="F93" s="69"/>
      <c r="G93" s="70">
        <v>306.18</v>
      </c>
      <c r="H93" s="69"/>
      <c r="I93" s="69"/>
      <c r="J93" s="71"/>
      <c r="K93" s="71"/>
      <c r="L93" s="71"/>
      <c r="M93" s="71"/>
      <c r="N93" s="72"/>
      <c r="O93" s="71"/>
      <c r="P93" s="71"/>
      <c r="Q93" s="70"/>
      <c r="R93" s="69"/>
      <c r="S93" s="70"/>
      <c r="T93" s="73"/>
      <c r="U93" s="68"/>
      <c r="V93" s="69"/>
      <c r="W93" s="74"/>
      <c r="X93" s="68"/>
      <c r="Y93" s="69"/>
      <c r="Z93" s="74"/>
      <c r="AA93" s="75"/>
      <c r="AB93" s="76"/>
      <c r="AC93" s="77"/>
      <c r="AD93" s="78"/>
      <c r="AE93" s="81" t="s">
        <v>362</v>
      </c>
      <c r="AF93" s="71"/>
      <c r="AG93" s="71"/>
      <c r="AH93" s="71"/>
      <c r="AI93" s="80"/>
    </row>
    <row r="94" spans="1:35" ht="23.25">
      <c r="A94" s="68">
        <v>43</v>
      </c>
      <c r="B94" s="69" t="s">
        <v>363</v>
      </c>
      <c r="C94" s="69" t="s">
        <v>364</v>
      </c>
      <c r="D94" s="69" t="s">
        <v>344</v>
      </c>
      <c r="E94" s="69" t="s">
        <v>993</v>
      </c>
      <c r="F94" s="69">
        <v>50.74</v>
      </c>
      <c r="G94" s="70"/>
      <c r="H94" s="70">
        <f>SUM(G93:G94)</f>
        <v>306.18</v>
      </c>
      <c r="I94" s="70">
        <f t="shared" ref="I94" si="200">I92+G93</f>
        <v>13708.476999999999</v>
      </c>
      <c r="J94" s="71"/>
      <c r="K94" s="71"/>
      <c r="L94" s="71"/>
      <c r="M94" s="71"/>
      <c r="N94" s="72" t="s">
        <v>134</v>
      </c>
      <c r="O94" s="71"/>
      <c r="P94" s="71"/>
      <c r="Q94" s="70">
        <v>55.944000000000003</v>
      </c>
      <c r="R94" s="69" t="s">
        <v>365</v>
      </c>
      <c r="S94" s="70">
        <f t="shared" ref="S94" si="201">(G93+G95)</f>
        <v>691.91800000000001</v>
      </c>
      <c r="T94" s="73">
        <f t="shared" ref="T94" si="202">(G93+G95)/2</f>
        <v>345.959</v>
      </c>
      <c r="U94" s="68">
        <v>95</v>
      </c>
      <c r="V94" s="69">
        <v>211</v>
      </c>
      <c r="W94" s="74">
        <f t="shared" ref="W94" si="203">U94+V94</f>
        <v>306</v>
      </c>
      <c r="X94" s="68">
        <v>118</v>
      </c>
      <c r="Y94" s="69">
        <v>206</v>
      </c>
      <c r="Z94" s="74">
        <f t="shared" ref="Z94" si="204">X94+Y94</f>
        <v>324</v>
      </c>
      <c r="AA94" s="75" t="s">
        <v>366</v>
      </c>
      <c r="AB94" s="76" t="s">
        <v>367</v>
      </c>
      <c r="AC94" s="77">
        <v>300531.15700000001</v>
      </c>
      <c r="AD94" s="78">
        <v>2866726.2549999999</v>
      </c>
      <c r="AE94" s="81"/>
      <c r="AF94" s="71" t="s">
        <v>368</v>
      </c>
      <c r="AG94" s="71"/>
      <c r="AH94" s="71"/>
      <c r="AI94" s="80"/>
    </row>
    <row r="95" spans="1:35" ht="23.25">
      <c r="A95" s="68"/>
      <c r="B95" s="69" t="s">
        <v>134</v>
      </c>
      <c r="C95" s="69"/>
      <c r="D95" s="69"/>
      <c r="E95" s="69"/>
      <c r="F95" s="69"/>
      <c r="G95" s="70">
        <v>385.738</v>
      </c>
      <c r="H95" s="69"/>
      <c r="I95" s="69"/>
      <c r="J95" s="71"/>
      <c r="K95" s="71"/>
      <c r="L95" s="71"/>
      <c r="M95" s="71"/>
      <c r="N95" s="72"/>
      <c r="O95" s="71"/>
      <c r="P95" s="71"/>
      <c r="Q95" s="70"/>
      <c r="R95" s="69"/>
      <c r="S95" s="70"/>
      <c r="T95" s="73"/>
      <c r="U95" s="68"/>
      <c r="V95" s="69"/>
      <c r="W95" s="74"/>
      <c r="X95" s="68"/>
      <c r="Y95" s="69"/>
      <c r="Z95" s="74"/>
      <c r="AA95" s="75"/>
      <c r="AB95" s="76"/>
      <c r="AC95" s="77"/>
      <c r="AD95" s="78"/>
      <c r="AE95" s="81" t="s">
        <v>369</v>
      </c>
      <c r="AF95" s="71"/>
      <c r="AG95" s="71"/>
      <c r="AH95" s="71"/>
      <c r="AI95" s="80"/>
    </row>
    <row r="96" spans="1:35" ht="23.25">
      <c r="A96" s="68">
        <v>44</v>
      </c>
      <c r="B96" s="69" t="s">
        <v>370</v>
      </c>
      <c r="C96" s="69" t="s">
        <v>371</v>
      </c>
      <c r="D96" s="69" t="s">
        <v>133</v>
      </c>
      <c r="E96" s="69" t="s">
        <v>993</v>
      </c>
      <c r="F96" s="69">
        <v>47.74</v>
      </c>
      <c r="G96" s="70"/>
      <c r="H96" s="70">
        <f>SUM(G95:G96)</f>
        <v>385.738</v>
      </c>
      <c r="I96" s="70">
        <f t="shared" ref="I96" si="205">I94+G95</f>
        <v>14094.214999999998</v>
      </c>
      <c r="J96" s="71"/>
      <c r="K96" s="71"/>
      <c r="L96" s="71"/>
      <c r="M96" s="71"/>
      <c r="N96" s="72" t="s">
        <v>134</v>
      </c>
      <c r="O96" s="71"/>
      <c r="P96" s="71"/>
      <c r="Q96" s="70">
        <v>55.628999999999998</v>
      </c>
      <c r="R96" s="69" t="s">
        <v>372</v>
      </c>
      <c r="S96" s="70">
        <f t="shared" ref="S96" si="206">(G95+G97)</f>
        <v>725.73800000000006</v>
      </c>
      <c r="T96" s="73">
        <f t="shared" ref="T96" si="207">(G95+G97)/2</f>
        <v>362.86900000000003</v>
      </c>
      <c r="U96" s="68">
        <v>175</v>
      </c>
      <c r="V96" s="69">
        <v>151</v>
      </c>
      <c r="W96" s="74">
        <f t="shared" ref="W96" si="208">U96+V96</f>
        <v>326</v>
      </c>
      <c r="X96" s="68">
        <v>180</v>
      </c>
      <c r="Y96" s="69">
        <v>156</v>
      </c>
      <c r="Z96" s="74">
        <f t="shared" ref="Z96" si="209">X96+Y96</f>
        <v>336</v>
      </c>
      <c r="AA96" s="75" t="s">
        <v>373</v>
      </c>
      <c r="AB96" s="76" t="s">
        <v>374</v>
      </c>
      <c r="AC96" s="77">
        <v>300771.34399999998</v>
      </c>
      <c r="AD96" s="78">
        <v>2866424.4210000001</v>
      </c>
      <c r="AE96" s="81"/>
      <c r="AF96" s="71" t="s">
        <v>368</v>
      </c>
      <c r="AG96" s="71"/>
      <c r="AH96" s="71"/>
      <c r="AI96" s="80"/>
    </row>
    <row r="97" spans="1:35" ht="34.15" customHeight="1">
      <c r="A97" s="68"/>
      <c r="B97" s="69" t="s">
        <v>134</v>
      </c>
      <c r="C97" s="69"/>
      <c r="D97" s="69"/>
      <c r="E97" s="69"/>
      <c r="F97" s="69"/>
      <c r="G97" s="70">
        <v>340</v>
      </c>
      <c r="H97" s="69"/>
      <c r="I97" s="69"/>
      <c r="J97" s="71"/>
      <c r="K97" s="71"/>
      <c r="L97" s="71"/>
      <c r="M97" s="71"/>
      <c r="N97" s="72"/>
      <c r="O97" s="71"/>
      <c r="P97" s="71"/>
      <c r="Q97" s="70"/>
      <c r="R97" s="69"/>
      <c r="S97" s="70"/>
      <c r="T97" s="73"/>
      <c r="U97" s="68"/>
      <c r="V97" s="69"/>
      <c r="W97" s="74"/>
      <c r="X97" s="68"/>
      <c r="Y97" s="69"/>
      <c r="Z97" s="74"/>
      <c r="AA97" s="75"/>
      <c r="AB97" s="76"/>
      <c r="AC97" s="77"/>
      <c r="AD97" s="78"/>
      <c r="AE97" s="81" t="s">
        <v>375</v>
      </c>
      <c r="AF97" s="71"/>
      <c r="AG97" s="71"/>
      <c r="AH97" s="71"/>
      <c r="AI97" s="80" t="s">
        <v>354</v>
      </c>
    </row>
    <row r="98" spans="1:35" ht="23.25">
      <c r="A98" s="68">
        <v>45</v>
      </c>
      <c r="B98" s="69" t="s">
        <v>134</v>
      </c>
      <c r="C98" s="69" t="s">
        <v>376</v>
      </c>
      <c r="D98" s="69" t="s">
        <v>187</v>
      </c>
      <c r="E98" s="69" t="s">
        <v>993</v>
      </c>
      <c r="F98" s="69">
        <v>51.16</v>
      </c>
      <c r="G98" s="70"/>
      <c r="H98" s="70"/>
      <c r="I98" s="70">
        <f t="shared" ref="I98" si="210">I96+G97</f>
        <v>14434.214999999998</v>
      </c>
      <c r="J98" s="71"/>
      <c r="K98" s="71"/>
      <c r="L98" s="71"/>
      <c r="M98" s="71"/>
      <c r="N98" s="72" t="s">
        <v>134</v>
      </c>
      <c r="O98" s="71"/>
      <c r="P98" s="71"/>
      <c r="Q98" s="70">
        <v>55.396000000000001</v>
      </c>
      <c r="R98" s="69" t="s">
        <v>134</v>
      </c>
      <c r="S98" s="70">
        <f t="shared" ref="S98" si="211">(G97+G99)</f>
        <v>747.56600000000003</v>
      </c>
      <c r="T98" s="73">
        <f t="shared" ref="T98" si="212">(G97+G99)/2</f>
        <v>373.78300000000002</v>
      </c>
      <c r="U98" s="68">
        <v>186</v>
      </c>
      <c r="V98" s="69">
        <v>216</v>
      </c>
      <c r="W98" s="74">
        <f t="shared" ref="W98" si="213">U98+V98</f>
        <v>402</v>
      </c>
      <c r="X98" s="68">
        <v>181</v>
      </c>
      <c r="Y98" s="69">
        <v>213</v>
      </c>
      <c r="Z98" s="74">
        <f t="shared" ref="Z98" si="214">X98+Y98</f>
        <v>394</v>
      </c>
      <c r="AA98" s="75" t="s">
        <v>377</v>
      </c>
      <c r="AB98" s="76" t="s">
        <v>378</v>
      </c>
      <c r="AC98" s="77">
        <v>301111.217</v>
      </c>
      <c r="AD98" s="78">
        <v>2866415.14</v>
      </c>
      <c r="AE98" s="81"/>
      <c r="AF98" s="71" t="s">
        <v>368</v>
      </c>
      <c r="AG98" s="71"/>
      <c r="AH98" s="71"/>
      <c r="AI98" s="80"/>
    </row>
    <row r="99" spans="1:35" ht="23.25">
      <c r="A99" s="68"/>
      <c r="B99" s="69" t="s">
        <v>134</v>
      </c>
      <c r="C99" s="69"/>
      <c r="D99" s="69"/>
      <c r="E99" s="69"/>
      <c r="F99" s="69"/>
      <c r="G99" s="70">
        <v>407.56599999999997</v>
      </c>
      <c r="H99" s="69"/>
      <c r="I99" s="69"/>
      <c r="J99" s="71"/>
      <c r="K99" s="71"/>
      <c r="L99" s="71"/>
      <c r="M99" s="71"/>
      <c r="N99" s="72"/>
      <c r="O99" s="71"/>
      <c r="P99" s="71"/>
      <c r="Q99" s="70"/>
      <c r="R99" s="69"/>
      <c r="S99" s="70"/>
      <c r="T99" s="73"/>
      <c r="U99" s="68"/>
      <c r="V99" s="69"/>
      <c r="W99" s="74"/>
      <c r="X99" s="68"/>
      <c r="Y99" s="69"/>
      <c r="Z99" s="74"/>
      <c r="AA99" s="75"/>
      <c r="AB99" s="76"/>
      <c r="AC99" s="77"/>
      <c r="AD99" s="78"/>
      <c r="AE99" s="81"/>
      <c r="AF99" s="71"/>
      <c r="AG99" s="71"/>
      <c r="AH99" s="71"/>
      <c r="AI99" s="80"/>
    </row>
    <row r="100" spans="1:35" ht="23.25">
      <c r="A100" s="68">
        <v>46</v>
      </c>
      <c r="B100" s="69" t="s">
        <v>379</v>
      </c>
      <c r="C100" s="69" t="s">
        <v>70</v>
      </c>
      <c r="D100" s="69" t="s">
        <v>133</v>
      </c>
      <c r="E100" s="69" t="s">
        <v>993</v>
      </c>
      <c r="F100" s="69">
        <v>47.74</v>
      </c>
      <c r="G100" s="70"/>
      <c r="H100" s="70">
        <f>SUM(G97:G100)</f>
        <v>747.56600000000003</v>
      </c>
      <c r="I100" s="70">
        <f t="shared" ref="I100" si="215">I98+G99</f>
        <v>14841.780999999999</v>
      </c>
      <c r="J100" s="71"/>
      <c r="K100" s="71"/>
      <c r="L100" s="71"/>
      <c r="M100" s="71"/>
      <c r="N100" s="72" t="s">
        <v>134</v>
      </c>
      <c r="O100" s="71"/>
      <c r="P100" s="71"/>
      <c r="Q100" s="70">
        <v>55.786999999999999</v>
      </c>
      <c r="R100" s="69" t="s">
        <v>380</v>
      </c>
      <c r="S100" s="70">
        <f t="shared" ref="S100" si="216">(G99+G101)</f>
        <v>731.56600000000003</v>
      </c>
      <c r="T100" s="73">
        <f t="shared" ref="T100" si="217">(G99+G101)/2</f>
        <v>365.78300000000002</v>
      </c>
      <c r="U100" s="68">
        <v>189</v>
      </c>
      <c r="V100" s="69">
        <v>141</v>
      </c>
      <c r="W100" s="74">
        <f t="shared" ref="W100" si="218">U100+V100</f>
        <v>330</v>
      </c>
      <c r="X100" s="68">
        <v>193</v>
      </c>
      <c r="Y100" s="69">
        <v>147</v>
      </c>
      <c r="Z100" s="74">
        <f t="shared" ref="Z100" si="219">X100+Y100</f>
        <v>340</v>
      </c>
      <c r="AA100" s="75" t="s">
        <v>381</v>
      </c>
      <c r="AB100" s="76" t="s">
        <v>382</v>
      </c>
      <c r="AC100" s="77">
        <v>301518.63099999999</v>
      </c>
      <c r="AD100" s="78">
        <v>2866404.0150000001</v>
      </c>
      <c r="AE100" s="81"/>
      <c r="AF100" s="71" t="s">
        <v>368</v>
      </c>
      <c r="AG100" s="71"/>
      <c r="AH100" s="71"/>
      <c r="AI100" s="80"/>
    </row>
    <row r="101" spans="1:35" ht="34.9" customHeight="1">
      <c r="A101" s="68"/>
      <c r="B101" s="69" t="s">
        <v>134</v>
      </c>
      <c r="C101" s="69"/>
      <c r="D101" s="69"/>
      <c r="E101" s="69"/>
      <c r="F101" s="69"/>
      <c r="G101" s="70">
        <v>324</v>
      </c>
      <c r="H101" s="69"/>
      <c r="I101" s="69"/>
      <c r="J101" s="71"/>
      <c r="K101" s="71"/>
      <c r="L101" s="71"/>
      <c r="M101" s="71"/>
      <c r="N101" s="72"/>
      <c r="O101" s="71"/>
      <c r="P101" s="71"/>
      <c r="Q101" s="70"/>
      <c r="R101" s="69"/>
      <c r="S101" s="70"/>
      <c r="T101" s="73"/>
      <c r="U101" s="68"/>
      <c r="V101" s="69"/>
      <c r="W101" s="74"/>
      <c r="X101" s="68"/>
      <c r="Y101" s="69"/>
      <c r="Z101" s="74"/>
      <c r="AA101" s="75"/>
      <c r="AB101" s="76"/>
      <c r="AC101" s="77"/>
      <c r="AD101" s="78"/>
      <c r="AE101" s="81" t="s">
        <v>383</v>
      </c>
      <c r="AF101" s="71"/>
      <c r="AG101" s="71"/>
      <c r="AH101" s="71"/>
      <c r="AI101" s="80"/>
    </row>
    <row r="102" spans="1:35" ht="23.25">
      <c r="A102" s="68">
        <v>47</v>
      </c>
      <c r="B102" s="69" t="s">
        <v>134</v>
      </c>
      <c r="C102" s="69" t="s">
        <v>384</v>
      </c>
      <c r="D102" s="69" t="s">
        <v>187</v>
      </c>
      <c r="E102" s="69" t="s">
        <v>993</v>
      </c>
      <c r="F102" s="69">
        <v>51.16</v>
      </c>
      <c r="G102" s="70"/>
      <c r="H102" s="70"/>
      <c r="I102" s="70">
        <f t="shared" ref="I102" si="220">I100+G101</f>
        <v>15165.780999999999</v>
      </c>
      <c r="J102" s="71"/>
      <c r="K102" s="71"/>
      <c r="L102" s="71"/>
      <c r="M102" s="71"/>
      <c r="N102" s="72" t="s">
        <v>134</v>
      </c>
      <c r="O102" s="71"/>
      <c r="P102" s="71"/>
      <c r="Q102" s="70">
        <v>55.726999999999997</v>
      </c>
      <c r="R102" s="69" t="s">
        <v>134</v>
      </c>
      <c r="S102" s="70">
        <f t="shared" ref="S102" si="221">(G101+G103)</f>
        <v>705</v>
      </c>
      <c r="T102" s="73">
        <f t="shared" ref="T102" si="222">(G101+G103)/2</f>
        <v>352.5</v>
      </c>
      <c r="U102" s="68">
        <v>180</v>
      </c>
      <c r="V102" s="69">
        <v>179</v>
      </c>
      <c r="W102" s="74">
        <f t="shared" ref="W102" si="223">U102+V102</f>
        <v>359</v>
      </c>
      <c r="X102" s="68">
        <v>174</v>
      </c>
      <c r="Y102" s="69">
        <v>183</v>
      </c>
      <c r="Z102" s="74">
        <f t="shared" ref="Z102" si="224">X102+Y102</f>
        <v>357</v>
      </c>
      <c r="AA102" s="75" t="s">
        <v>385</v>
      </c>
      <c r="AB102" s="76" t="s">
        <v>386</v>
      </c>
      <c r="AC102" s="77">
        <v>301768.848</v>
      </c>
      <c r="AD102" s="78">
        <v>2866609.8489999999</v>
      </c>
      <c r="AE102" s="81"/>
      <c r="AF102" s="71" t="s">
        <v>368</v>
      </c>
      <c r="AG102" s="71"/>
      <c r="AH102" s="71"/>
      <c r="AI102" s="80"/>
    </row>
    <row r="103" spans="1:35" ht="36" customHeight="1">
      <c r="A103" s="68"/>
      <c r="B103" s="69" t="s">
        <v>134</v>
      </c>
      <c r="C103" s="69"/>
      <c r="D103" s="69"/>
      <c r="E103" s="69"/>
      <c r="F103" s="69"/>
      <c r="G103" s="70">
        <v>381</v>
      </c>
      <c r="H103" s="69"/>
      <c r="I103" s="69"/>
      <c r="J103" s="71"/>
      <c r="K103" s="71"/>
      <c r="L103" s="71"/>
      <c r="M103" s="71"/>
      <c r="N103" s="72"/>
      <c r="O103" s="71"/>
      <c r="P103" s="71"/>
      <c r="Q103" s="70"/>
      <c r="R103" s="69"/>
      <c r="S103" s="70"/>
      <c r="T103" s="73"/>
      <c r="U103" s="68"/>
      <c r="V103" s="69"/>
      <c r="W103" s="74"/>
      <c r="X103" s="68"/>
      <c r="Y103" s="69"/>
      <c r="Z103" s="74"/>
      <c r="AA103" s="75"/>
      <c r="AB103" s="76"/>
      <c r="AC103" s="77"/>
      <c r="AD103" s="78"/>
      <c r="AE103" s="81" t="s">
        <v>387</v>
      </c>
      <c r="AF103" s="71"/>
      <c r="AG103" s="71"/>
      <c r="AH103" s="71"/>
      <c r="AI103" s="80"/>
    </row>
    <row r="104" spans="1:35" ht="23.25">
      <c r="A104" s="68">
        <v>48</v>
      </c>
      <c r="B104" s="69" t="s">
        <v>134</v>
      </c>
      <c r="C104" s="69" t="s">
        <v>388</v>
      </c>
      <c r="D104" s="69" t="s">
        <v>301</v>
      </c>
      <c r="E104" s="69" t="s">
        <v>993</v>
      </c>
      <c r="F104" s="69">
        <v>54.16</v>
      </c>
      <c r="G104" s="70"/>
      <c r="H104" s="70"/>
      <c r="I104" s="70">
        <f t="shared" ref="I104" si="225">I102+G103</f>
        <v>15546.780999999999</v>
      </c>
      <c r="J104" s="71"/>
      <c r="K104" s="71"/>
      <c r="L104" s="71"/>
      <c r="M104" s="71"/>
      <c r="N104" s="72" t="s">
        <v>134</v>
      </c>
      <c r="O104" s="71"/>
      <c r="P104" s="71"/>
      <c r="Q104" s="70">
        <v>54.917000000000002</v>
      </c>
      <c r="R104" s="69" t="s">
        <v>134</v>
      </c>
      <c r="S104" s="70">
        <f t="shared" ref="S104" si="226">(G103+G105)</f>
        <v>750.15</v>
      </c>
      <c r="T104" s="73">
        <f t="shared" ref="T104" si="227">(G103+G105)/2</f>
        <v>375.07499999999999</v>
      </c>
      <c r="U104" s="68">
        <v>203</v>
      </c>
      <c r="V104" s="69">
        <v>199</v>
      </c>
      <c r="W104" s="74">
        <f t="shared" ref="W104" si="228">U104+V104</f>
        <v>402</v>
      </c>
      <c r="X104" s="68">
        <v>199</v>
      </c>
      <c r="Y104" s="69">
        <v>195</v>
      </c>
      <c r="Z104" s="74">
        <f t="shared" ref="Z104" si="229">X104+Y104</f>
        <v>394</v>
      </c>
      <c r="AA104" s="75" t="s">
        <v>389</v>
      </c>
      <c r="AB104" s="76" t="s">
        <v>390</v>
      </c>
      <c r="AC104" s="77">
        <v>302063.08399999997</v>
      </c>
      <c r="AD104" s="78">
        <v>2866851.8939999999</v>
      </c>
      <c r="AE104" s="81"/>
      <c r="AF104" s="71" t="s">
        <v>368</v>
      </c>
      <c r="AG104" s="71"/>
      <c r="AH104" s="71"/>
      <c r="AI104" s="80"/>
    </row>
    <row r="105" spans="1:35" ht="36" customHeight="1">
      <c r="A105" s="68"/>
      <c r="B105" s="69" t="s">
        <v>134</v>
      </c>
      <c r="C105" s="69"/>
      <c r="D105" s="69"/>
      <c r="E105" s="69"/>
      <c r="F105" s="69"/>
      <c r="G105" s="70">
        <v>369.15</v>
      </c>
      <c r="H105" s="69"/>
      <c r="I105" s="69"/>
      <c r="J105" s="71"/>
      <c r="K105" s="71"/>
      <c r="L105" s="71"/>
      <c r="M105" s="71"/>
      <c r="N105" s="72"/>
      <c r="O105" s="71"/>
      <c r="P105" s="71"/>
      <c r="Q105" s="70"/>
      <c r="R105" s="69"/>
      <c r="S105" s="70"/>
      <c r="T105" s="73"/>
      <c r="U105" s="68"/>
      <c r="V105" s="69"/>
      <c r="W105" s="74"/>
      <c r="X105" s="68"/>
      <c r="Y105" s="69"/>
      <c r="Z105" s="74"/>
      <c r="AA105" s="75"/>
      <c r="AB105" s="76"/>
      <c r="AC105" s="77"/>
      <c r="AD105" s="78"/>
      <c r="AE105" s="81" t="s">
        <v>391</v>
      </c>
      <c r="AF105" s="71"/>
      <c r="AG105" s="71"/>
      <c r="AH105" s="71"/>
      <c r="AI105" s="80"/>
    </row>
    <row r="106" spans="1:35" ht="23.25">
      <c r="A106" s="68">
        <v>49</v>
      </c>
      <c r="B106" s="69" t="s">
        <v>392</v>
      </c>
      <c r="C106" s="69" t="s">
        <v>393</v>
      </c>
      <c r="D106" s="69" t="s">
        <v>245</v>
      </c>
      <c r="E106" s="69" t="s">
        <v>993</v>
      </c>
      <c r="F106" s="69">
        <v>50.74</v>
      </c>
      <c r="G106" s="70"/>
      <c r="H106" s="70">
        <f>SUM(G101:G106)</f>
        <v>1074.1500000000001</v>
      </c>
      <c r="I106" s="70">
        <f t="shared" ref="I106" si="230">I104+G105</f>
        <v>15915.930999999999</v>
      </c>
      <c r="J106" s="71"/>
      <c r="K106" s="71"/>
      <c r="L106" s="71"/>
      <c r="M106" s="71"/>
      <c r="N106" s="72" t="s">
        <v>134</v>
      </c>
      <c r="O106" s="71"/>
      <c r="P106" s="71"/>
      <c r="Q106" s="70">
        <v>55.44</v>
      </c>
      <c r="R106" s="69" t="s">
        <v>394</v>
      </c>
      <c r="S106" s="70">
        <f t="shared" ref="S106" si="231">(G105+G107)</f>
        <v>783.15</v>
      </c>
      <c r="T106" s="73">
        <f t="shared" ref="T106" si="232">(G105+G107)/2</f>
        <v>391.57499999999999</v>
      </c>
      <c r="U106" s="68">
        <v>170</v>
      </c>
      <c r="V106" s="69">
        <v>190</v>
      </c>
      <c r="W106" s="74">
        <f t="shared" ref="W106" si="233">U106+V106</f>
        <v>360</v>
      </c>
      <c r="X106" s="68">
        <v>175</v>
      </c>
      <c r="Y106" s="69">
        <v>196</v>
      </c>
      <c r="Z106" s="74">
        <f t="shared" ref="Z106" si="234">X106+Y106</f>
        <v>371</v>
      </c>
      <c r="AA106" s="75" t="s">
        <v>395</v>
      </c>
      <c r="AB106" s="76" t="s">
        <v>396</v>
      </c>
      <c r="AC106" s="77">
        <v>302348.16899999999</v>
      </c>
      <c r="AD106" s="78">
        <v>2867086.4109999998</v>
      </c>
      <c r="AE106" s="81"/>
      <c r="AF106" s="71" t="s">
        <v>397</v>
      </c>
      <c r="AG106" s="71"/>
      <c r="AH106" s="71"/>
      <c r="AI106" s="80"/>
    </row>
    <row r="107" spans="1:35" ht="23.25">
      <c r="A107" s="68"/>
      <c r="B107" s="69" t="s">
        <v>134</v>
      </c>
      <c r="C107" s="69"/>
      <c r="D107" s="69"/>
      <c r="E107" s="69"/>
      <c r="F107" s="69"/>
      <c r="G107" s="70">
        <v>414</v>
      </c>
      <c r="H107" s="69"/>
      <c r="I107" s="69"/>
      <c r="J107" s="71"/>
      <c r="K107" s="71"/>
      <c r="L107" s="71"/>
      <c r="M107" s="71"/>
      <c r="N107" s="72"/>
      <c r="O107" s="71"/>
      <c r="P107" s="71"/>
      <c r="Q107" s="70"/>
      <c r="R107" s="69"/>
      <c r="S107" s="70"/>
      <c r="T107" s="73"/>
      <c r="U107" s="68"/>
      <c r="V107" s="69"/>
      <c r="W107" s="74"/>
      <c r="X107" s="68"/>
      <c r="Y107" s="69"/>
      <c r="Z107" s="74"/>
      <c r="AA107" s="75"/>
      <c r="AB107" s="76"/>
      <c r="AC107" s="77"/>
      <c r="AD107" s="78"/>
      <c r="AE107" s="81" t="s">
        <v>398</v>
      </c>
      <c r="AF107" s="71"/>
      <c r="AG107" s="71"/>
      <c r="AH107" s="71"/>
      <c r="AI107" s="80" t="s">
        <v>354</v>
      </c>
    </row>
    <row r="108" spans="1:35" ht="23.25">
      <c r="A108" s="68">
        <v>50</v>
      </c>
      <c r="B108" s="69" t="s">
        <v>134</v>
      </c>
      <c r="C108" s="69" t="s">
        <v>399</v>
      </c>
      <c r="D108" s="69" t="s">
        <v>301</v>
      </c>
      <c r="E108" s="69" t="s">
        <v>993</v>
      </c>
      <c r="F108" s="69">
        <v>54.16</v>
      </c>
      <c r="G108" s="70"/>
      <c r="H108" s="70"/>
      <c r="I108" s="70">
        <f t="shared" ref="I108" si="235">I106+G107</f>
        <v>16329.930999999999</v>
      </c>
      <c r="J108" s="71"/>
      <c r="K108" s="71"/>
      <c r="L108" s="71"/>
      <c r="M108" s="71"/>
      <c r="N108" s="72" t="s">
        <v>134</v>
      </c>
      <c r="O108" s="71"/>
      <c r="P108" s="71"/>
      <c r="Q108" s="70">
        <v>55.762999999999998</v>
      </c>
      <c r="R108" s="69" t="s">
        <v>134</v>
      </c>
      <c r="S108" s="70">
        <f t="shared" ref="S108" si="236">(G107+G109)</f>
        <v>784</v>
      </c>
      <c r="T108" s="73">
        <f t="shared" ref="T108" si="237">(G107+G109)/2</f>
        <v>392</v>
      </c>
      <c r="U108" s="68">
        <v>224</v>
      </c>
      <c r="V108" s="69">
        <v>222</v>
      </c>
      <c r="W108" s="74">
        <f t="shared" ref="W108" si="238">U108+V108</f>
        <v>446</v>
      </c>
      <c r="X108" s="68">
        <v>219</v>
      </c>
      <c r="Y108" s="69">
        <v>210</v>
      </c>
      <c r="Z108" s="74">
        <f t="shared" ref="Z108" si="239">X108+Y108</f>
        <v>429</v>
      </c>
      <c r="AA108" s="75" t="s">
        <v>400</v>
      </c>
      <c r="AB108" s="76" t="s">
        <v>401</v>
      </c>
      <c r="AC108" s="77">
        <v>302648.092</v>
      </c>
      <c r="AD108" s="78">
        <v>2867371.7919999999</v>
      </c>
      <c r="AE108" s="81"/>
      <c r="AF108" s="71" t="s">
        <v>397</v>
      </c>
      <c r="AG108" s="71"/>
      <c r="AH108" s="71"/>
      <c r="AI108" s="80"/>
    </row>
    <row r="109" spans="1:35" ht="23.25">
      <c r="A109" s="68"/>
      <c r="B109" s="69" t="s">
        <v>134</v>
      </c>
      <c r="C109" s="69"/>
      <c r="D109" s="69"/>
      <c r="E109" s="69"/>
      <c r="F109" s="69"/>
      <c r="G109" s="70">
        <v>370</v>
      </c>
      <c r="H109" s="69"/>
      <c r="I109" s="69"/>
      <c r="J109" s="71"/>
      <c r="K109" s="71"/>
      <c r="L109" s="71"/>
      <c r="M109" s="71"/>
      <c r="N109" s="72"/>
      <c r="O109" s="71"/>
      <c r="P109" s="71"/>
      <c r="Q109" s="70"/>
      <c r="R109" s="69"/>
      <c r="S109" s="70"/>
      <c r="T109" s="73"/>
      <c r="U109" s="68"/>
      <c r="V109" s="69"/>
      <c r="W109" s="74"/>
      <c r="X109" s="68"/>
      <c r="Y109" s="69"/>
      <c r="Z109" s="74"/>
      <c r="AA109" s="75"/>
      <c r="AB109" s="76"/>
      <c r="AC109" s="77"/>
      <c r="AD109" s="78"/>
      <c r="AE109" s="81" t="s">
        <v>402</v>
      </c>
      <c r="AF109" s="71"/>
      <c r="AG109" s="71"/>
      <c r="AH109" s="71"/>
      <c r="AI109" s="80"/>
    </row>
    <row r="110" spans="1:35" ht="23.25">
      <c r="A110" s="68">
        <v>51</v>
      </c>
      <c r="B110" s="69" t="s">
        <v>134</v>
      </c>
      <c r="C110" s="69" t="s">
        <v>403</v>
      </c>
      <c r="D110" s="69" t="s">
        <v>153</v>
      </c>
      <c r="E110" s="69" t="s">
        <v>993</v>
      </c>
      <c r="F110" s="69">
        <v>48.16</v>
      </c>
      <c r="G110" s="70"/>
      <c r="H110" s="70"/>
      <c r="I110" s="70">
        <f t="shared" ref="I110" si="240">I108+G109</f>
        <v>16699.930999999997</v>
      </c>
      <c r="J110" s="71"/>
      <c r="K110" s="71"/>
      <c r="L110" s="71"/>
      <c r="M110" s="71"/>
      <c r="N110" s="72" t="s">
        <v>134</v>
      </c>
      <c r="O110" s="71"/>
      <c r="P110" s="71"/>
      <c r="Q110" s="70">
        <v>55.453000000000003</v>
      </c>
      <c r="R110" s="69" t="s">
        <v>134</v>
      </c>
      <c r="S110" s="70">
        <f t="shared" ref="S110" si="241">(G109+G111)</f>
        <v>677</v>
      </c>
      <c r="T110" s="73">
        <f t="shared" ref="T110" si="242">(G109+G111)/2</f>
        <v>338.5</v>
      </c>
      <c r="U110" s="68">
        <v>149</v>
      </c>
      <c r="V110" s="69">
        <v>153</v>
      </c>
      <c r="W110" s="74">
        <f t="shared" ref="W110" si="243">U110+V110</f>
        <v>302</v>
      </c>
      <c r="X110" s="68">
        <v>161</v>
      </c>
      <c r="Y110" s="69">
        <v>154</v>
      </c>
      <c r="Z110" s="74">
        <f t="shared" ref="Z110" si="244">X110+Y110</f>
        <v>315</v>
      </c>
      <c r="AA110" s="75" t="s">
        <v>404</v>
      </c>
      <c r="AB110" s="76" t="s">
        <v>405</v>
      </c>
      <c r="AC110" s="77">
        <v>302916.13900000002</v>
      </c>
      <c r="AD110" s="78">
        <v>2867626.8420000002</v>
      </c>
      <c r="AE110" s="81"/>
      <c r="AF110" s="71" t="s">
        <v>406</v>
      </c>
      <c r="AG110" s="71"/>
      <c r="AH110" s="71"/>
      <c r="AI110" s="80"/>
    </row>
    <row r="111" spans="1:35" ht="23.25">
      <c r="A111" s="68"/>
      <c r="B111" s="69" t="s">
        <v>134</v>
      </c>
      <c r="C111" s="69"/>
      <c r="D111" s="69"/>
      <c r="E111" s="69"/>
      <c r="F111" s="69"/>
      <c r="G111" s="70">
        <v>307</v>
      </c>
      <c r="H111" s="69"/>
      <c r="I111" s="69"/>
      <c r="J111" s="71"/>
      <c r="K111" s="71"/>
      <c r="L111" s="71"/>
      <c r="M111" s="71"/>
      <c r="N111" s="72"/>
      <c r="O111" s="71"/>
      <c r="P111" s="71"/>
      <c r="Q111" s="70"/>
      <c r="R111" s="69"/>
      <c r="S111" s="70"/>
      <c r="T111" s="73"/>
      <c r="U111" s="68"/>
      <c r="V111" s="69"/>
      <c r="W111" s="74"/>
      <c r="X111" s="68"/>
      <c r="Y111" s="69"/>
      <c r="Z111" s="74"/>
      <c r="AA111" s="75"/>
      <c r="AB111" s="76"/>
      <c r="AC111" s="77"/>
      <c r="AD111" s="78"/>
      <c r="AE111" s="81" t="s">
        <v>402</v>
      </c>
      <c r="AF111" s="71"/>
      <c r="AG111" s="71"/>
      <c r="AH111" s="71"/>
      <c r="AI111" s="80"/>
    </row>
    <row r="112" spans="1:35" ht="23.25">
      <c r="A112" s="68">
        <v>52</v>
      </c>
      <c r="B112" s="69" t="s">
        <v>134</v>
      </c>
      <c r="C112" s="69" t="s">
        <v>407</v>
      </c>
      <c r="D112" s="69" t="s">
        <v>153</v>
      </c>
      <c r="E112" s="69" t="s">
        <v>993</v>
      </c>
      <c r="F112" s="69">
        <v>48.16</v>
      </c>
      <c r="G112" s="70"/>
      <c r="H112" s="70"/>
      <c r="I112" s="70">
        <f t="shared" ref="I112" si="245">I110+G111</f>
        <v>17006.930999999997</v>
      </c>
      <c r="J112" s="71"/>
      <c r="K112" s="71"/>
      <c r="L112" s="71"/>
      <c r="M112" s="71"/>
      <c r="N112" s="72" t="s">
        <v>134</v>
      </c>
      <c r="O112" s="71"/>
      <c r="P112" s="71"/>
      <c r="Q112" s="70">
        <v>55.494999999999997</v>
      </c>
      <c r="R112" s="69" t="s">
        <v>134</v>
      </c>
      <c r="S112" s="70">
        <f t="shared" ref="S112" si="246">(G111+G113)</f>
        <v>598</v>
      </c>
      <c r="T112" s="73">
        <f t="shared" ref="T112" si="247">(G111+G113)/2</f>
        <v>299</v>
      </c>
      <c r="U112" s="68">
        <v>154</v>
      </c>
      <c r="V112" s="69">
        <v>148</v>
      </c>
      <c r="W112" s="74">
        <f t="shared" ref="W112" si="248">U112+V112</f>
        <v>302</v>
      </c>
      <c r="X112" s="68">
        <v>154</v>
      </c>
      <c r="Y112" s="69">
        <v>147</v>
      </c>
      <c r="Z112" s="74">
        <f t="shared" ref="Z112" si="249">X112+Y112</f>
        <v>301</v>
      </c>
      <c r="AA112" s="75" t="s">
        <v>408</v>
      </c>
      <c r="AB112" s="76" t="s">
        <v>409</v>
      </c>
      <c r="AC112" s="77">
        <v>303138.54599999997</v>
      </c>
      <c r="AD112" s="78">
        <v>2867838.4649999999</v>
      </c>
      <c r="AE112" s="81"/>
      <c r="AF112" s="71" t="s">
        <v>406</v>
      </c>
      <c r="AG112" s="71"/>
      <c r="AH112" s="71"/>
      <c r="AI112" s="80"/>
    </row>
    <row r="113" spans="1:35" ht="23.25">
      <c r="A113" s="68"/>
      <c r="B113" s="69" t="s">
        <v>134</v>
      </c>
      <c r="C113" s="69"/>
      <c r="D113" s="69"/>
      <c r="E113" s="69"/>
      <c r="F113" s="69"/>
      <c r="G113" s="70">
        <v>291</v>
      </c>
      <c r="H113" s="69"/>
      <c r="I113" s="69"/>
      <c r="J113" s="71"/>
      <c r="K113" s="71"/>
      <c r="L113" s="71"/>
      <c r="M113" s="71"/>
      <c r="N113" s="72"/>
      <c r="O113" s="71"/>
      <c r="P113" s="71"/>
      <c r="Q113" s="70"/>
      <c r="R113" s="69"/>
      <c r="S113" s="70"/>
      <c r="T113" s="73"/>
      <c r="U113" s="68"/>
      <c r="V113" s="69"/>
      <c r="W113" s="74"/>
      <c r="X113" s="68"/>
      <c r="Y113" s="69"/>
      <c r="Z113" s="74"/>
      <c r="AA113" s="75"/>
      <c r="AB113" s="76"/>
      <c r="AC113" s="77"/>
      <c r="AD113" s="78"/>
      <c r="AE113" s="81" t="s">
        <v>410</v>
      </c>
      <c r="AF113" s="71"/>
      <c r="AG113" s="71"/>
      <c r="AH113" s="71"/>
      <c r="AI113" s="80"/>
    </row>
    <row r="114" spans="1:35" ht="23.25">
      <c r="A114" s="68">
        <v>53</v>
      </c>
      <c r="B114" s="69" t="s">
        <v>134</v>
      </c>
      <c r="C114" s="69" t="s">
        <v>411</v>
      </c>
      <c r="D114" s="69" t="s">
        <v>153</v>
      </c>
      <c r="E114" s="69" t="s">
        <v>993</v>
      </c>
      <c r="F114" s="69">
        <v>48.16</v>
      </c>
      <c r="G114" s="70"/>
      <c r="H114" s="70"/>
      <c r="I114" s="70">
        <f t="shared" ref="I114" si="250">I112+G113</f>
        <v>17297.930999999997</v>
      </c>
      <c r="J114" s="71"/>
      <c r="K114" s="71"/>
      <c r="L114" s="71"/>
      <c r="M114" s="71"/>
      <c r="N114" s="72" t="s">
        <v>134</v>
      </c>
      <c r="O114" s="71"/>
      <c r="P114" s="71"/>
      <c r="Q114" s="70">
        <v>55.183999999999997</v>
      </c>
      <c r="R114" s="69" t="s">
        <v>134</v>
      </c>
      <c r="S114" s="70">
        <f t="shared" ref="S114" si="251">(G113+G115)</f>
        <v>625.029</v>
      </c>
      <c r="T114" s="73">
        <f t="shared" ref="T114" si="252">(G113+G115)/2</f>
        <v>312.5145</v>
      </c>
      <c r="U114" s="68">
        <v>143</v>
      </c>
      <c r="V114" s="69">
        <v>152</v>
      </c>
      <c r="W114" s="74">
        <f t="shared" ref="W114" si="253">U114+V114</f>
        <v>295</v>
      </c>
      <c r="X114" s="68">
        <v>144</v>
      </c>
      <c r="Y114" s="69">
        <v>158</v>
      </c>
      <c r="Z114" s="74">
        <f t="shared" ref="Z114" si="254">X114+Y114</f>
        <v>302</v>
      </c>
      <c r="AA114" s="75" t="s">
        <v>412</v>
      </c>
      <c r="AB114" s="76" t="s">
        <v>413</v>
      </c>
      <c r="AC114" s="77">
        <v>303349.36200000002</v>
      </c>
      <c r="AD114" s="78">
        <v>2868039.0580000002</v>
      </c>
      <c r="AE114" s="81"/>
      <c r="AF114" s="71" t="s">
        <v>406</v>
      </c>
      <c r="AG114" s="71"/>
      <c r="AH114" s="71"/>
      <c r="AI114" s="80"/>
    </row>
    <row r="115" spans="1:35" ht="33.6" customHeight="1">
      <c r="A115" s="68"/>
      <c r="B115" s="69" t="s">
        <v>134</v>
      </c>
      <c r="C115" s="69"/>
      <c r="D115" s="69"/>
      <c r="E115" s="69"/>
      <c r="F115" s="69"/>
      <c r="G115" s="70">
        <v>334.029</v>
      </c>
      <c r="H115" s="69"/>
      <c r="I115" s="69"/>
      <c r="J115" s="71"/>
      <c r="K115" s="71"/>
      <c r="L115" s="71"/>
      <c r="M115" s="71"/>
      <c r="N115" s="72"/>
      <c r="O115" s="71"/>
      <c r="P115" s="71"/>
      <c r="Q115" s="70"/>
      <c r="R115" s="69"/>
      <c r="S115" s="70"/>
      <c r="T115" s="73"/>
      <c r="U115" s="68"/>
      <c r="V115" s="69"/>
      <c r="W115" s="74"/>
      <c r="X115" s="68"/>
      <c r="Y115" s="69"/>
      <c r="Z115" s="74"/>
      <c r="AA115" s="75"/>
      <c r="AB115" s="76"/>
      <c r="AC115" s="77"/>
      <c r="AD115" s="78"/>
      <c r="AE115" s="81" t="s">
        <v>414</v>
      </c>
      <c r="AF115" s="71"/>
      <c r="AG115" s="71"/>
      <c r="AH115" s="71"/>
      <c r="AI115" s="80"/>
    </row>
    <row r="116" spans="1:35" ht="23.25">
      <c r="A116" s="68">
        <v>54</v>
      </c>
      <c r="B116" s="69" t="s">
        <v>415</v>
      </c>
      <c r="C116" s="69" t="s">
        <v>416</v>
      </c>
      <c r="D116" s="69" t="s">
        <v>344</v>
      </c>
      <c r="E116" s="69" t="s">
        <v>993</v>
      </c>
      <c r="F116" s="69">
        <v>50.74</v>
      </c>
      <c r="G116" s="70"/>
      <c r="H116" s="70">
        <f>SUM(G107:G116)</f>
        <v>1716.029</v>
      </c>
      <c r="I116" s="70">
        <f t="shared" ref="I116" si="255">I114+G115</f>
        <v>17631.959999999995</v>
      </c>
      <c r="J116" s="71"/>
      <c r="K116" s="71"/>
      <c r="L116" s="71"/>
      <c r="M116" s="71"/>
      <c r="N116" s="72" t="s">
        <v>134</v>
      </c>
      <c r="O116" s="71"/>
      <c r="P116" s="71"/>
      <c r="Q116" s="70">
        <v>54.73</v>
      </c>
      <c r="R116" s="69" t="s">
        <v>417</v>
      </c>
      <c r="S116" s="70">
        <f t="shared" ref="S116" si="256">(G115+G117)</f>
        <v>600.029</v>
      </c>
      <c r="T116" s="73">
        <f t="shared" ref="T116" si="257">(G115+G117)/2</f>
        <v>300.0145</v>
      </c>
      <c r="U116" s="68">
        <v>185</v>
      </c>
      <c r="V116" s="69">
        <v>153</v>
      </c>
      <c r="W116" s="74">
        <f t="shared" ref="W116" si="258">U116+V116</f>
        <v>338</v>
      </c>
      <c r="X116" s="68">
        <v>180</v>
      </c>
      <c r="Y116" s="69">
        <v>145</v>
      </c>
      <c r="Z116" s="74">
        <f t="shared" ref="Z116" si="259">X116+Y116</f>
        <v>325</v>
      </c>
      <c r="AA116" s="75" t="s">
        <v>418</v>
      </c>
      <c r="AB116" s="76" t="s">
        <v>419</v>
      </c>
      <c r="AC116" s="77">
        <v>303591.34999999998</v>
      </c>
      <c r="AD116" s="78">
        <v>2868269.3130000001</v>
      </c>
      <c r="AE116" s="81"/>
      <c r="AF116" s="71" t="s">
        <v>406</v>
      </c>
      <c r="AG116" s="71"/>
      <c r="AH116" s="71"/>
      <c r="AI116" s="80"/>
    </row>
    <row r="117" spans="1:35" ht="23.25">
      <c r="A117" s="68"/>
      <c r="B117" s="69" t="s">
        <v>134</v>
      </c>
      <c r="C117" s="69"/>
      <c r="D117" s="69"/>
      <c r="E117" s="69"/>
      <c r="F117" s="69"/>
      <c r="G117" s="70">
        <v>266</v>
      </c>
      <c r="H117" s="69"/>
      <c r="I117" s="69"/>
      <c r="J117" s="71"/>
      <c r="K117" s="71"/>
      <c r="L117" s="71"/>
      <c r="M117" s="71"/>
      <c r="N117" s="72"/>
      <c r="O117" s="71"/>
      <c r="P117" s="71"/>
      <c r="Q117" s="70"/>
      <c r="R117" s="69"/>
      <c r="S117" s="70"/>
      <c r="T117" s="73"/>
      <c r="U117" s="68"/>
      <c r="V117" s="69"/>
      <c r="W117" s="74"/>
      <c r="X117" s="68"/>
      <c r="Y117" s="69"/>
      <c r="Z117" s="74"/>
      <c r="AA117" s="75"/>
      <c r="AB117" s="76"/>
      <c r="AC117" s="77"/>
      <c r="AD117" s="78"/>
      <c r="AE117" s="81" t="s">
        <v>420</v>
      </c>
      <c r="AF117" s="71"/>
      <c r="AG117" s="71"/>
      <c r="AH117" s="71"/>
      <c r="AI117" s="80"/>
    </row>
    <row r="118" spans="1:35" ht="23.25">
      <c r="A118" s="68">
        <v>55</v>
      </c>
      <c r="B118" s="69" t="s">
        <v>134</v>
      </c>
      <c r="C118" s="69" t="s">
        <v>421</v>
      </c>
      <c r="D118" s="69" t="s">
        <v>153</v>
      </c>
      <c r="E118" s="69" t="s">
        <v>993</v>
      </c>
      <c r="F118" s="69">
        <v>48.16</v>
      </c>
      <c r="G118" s="70"/>
      <c r="H118" s="70"/>
      <c r="I118" s="70">
        <f t="shared" ref="I118" si="260">I116+G117</f>
        <v>17897.959999999995</v>
      </c>
      <c r="J118" s="71"/>
      <c r="K118" s="71"/>
      <c r="L118" s="71"/>
      <c r="M118" s="71"/>
      <c r="N118" s="72" t="s">
        <v>134</v>
      </c>
      <c r="O118" s="71"/>
      <c r="P118" s="71"/>
      <c r="Q118" s="70">
        <v>55.531999999999996</v>
      </c>
      <c r="R118" s="69" t="s">
        <v>134</v>
      </c>
      <c r="S118" s="70">
        <f t="shared" ref="S118" si="261">(G117+G119)</f>
        <v>521.44499999999994</v>
      </c>
      <c r="T118" s="73">
        <f t="shared" ref="T118" si="262">(G117+G119)/2</f>
        <v>260.72249999999997</v>
      </c>
      <c r="U118" s="68">
        <v>115</v>
      </c>
      <c r="V118" s="69">
        <v>132</v>
      </c>
      <c r="W118" s="74">
        <f t="shared" ref="W118" si="263">U118+V118</f>
        <v>247</v>
      </c>
      <c r="X118" s="68">
        <v>124</v>
      </c>
      <c r="Y118" s="69">
        <v>131</v>
      </c>
      <c r="Z118" s="74">
        <f t="shared" ref="Z118" si="264">X118+Y118</f>
        <v>255</v>
      </c>
      <c r="AA118" s="75" t="s">
        <v>422</v>
      </c>
      <c r="AB118" s="76" t="s">
        <v>423</v>
      </c>
      <c r="AC118" s="77">
        <v>303855.20699999999</v>
      </c>
      <c r="AD118" s="78">
        <v>2868303.0079999999</v>
      </c>
      <c r="AE118" s="81"/>
      <c r="AF118" s="71" t="s">
        <v>406</v>
      </c>
      <c r="AG118" s="71"/>
      <c r="AH118" s="71"/>
      <c r="AI118" s="80"/>
    </row>
    <row r="119" spans="1:35" ht="23.25">
      <c r="A119" s="68"/>
      <c r="B119" s="69" t="s">
        <v>134</v>
      </c>
      <c r="C119" s="69"/>
      <c r="D119" s="69"/>
      <c r="E119" s="69"/>
      <c r="F119" s="69"/>
      <c r="G119" s="70">
        <v>255.44499999999999</v>
      </c>
      <c r="H119" s="69"/>
      <c r="I119" s="69"/>
      <c r="J119" s="71"/>
      <c r="K119" s="71"/>
      <c r="L119" s="71"/>
      <c r="M119" s="71"/>
      <c r="N119" s="72"/>
      <c r="O119" s="71"/>
      <c r="P119" s="71"/>
      <c r="Q119" s="70"/>
      <c r="R119" s="69"/>
      <c r="S119" s="70"/>
      <c r="T119" s="73"/>
      <c r="U119" s="68"/>
      <c r="V119" s="69"/>
      <c r="W119" s="74"/>
      <c r="X119" s="68"/>
      <c r="Y119" s="69"/>
      <c r="Z119" s="74"/>
      <c r="AA119" s="75"/>
      <c r="AB119" s="76"/>
      <c r="AC119" s="77"/>
      <c r="AD119" s="78"/>
      <c r="AE119" s="81" t="s">
        <v>424</v>
      </c>
      <c r="AF119" s="71"/>
      <c r="AG119" s="71"/>
      <c r="AH119" s="71"/>
      <c r="AI119" s="80"/>
    </row>
    <row r="120" spans="1:35" ht="23.25">
      <c r="A120" s="68">
        <v>56</v>
      </c>
      <c r="B120" s="69" t="s">
        <v>425</v>
      </c>
      <c r="C120" s="69" t="s">
        <v>71</v>
      </c>
      <c r="D120" s="69" t="s">
        <v>133</v>
      </c>
      <c r="E120" s="69" t="s">
        <v>993</v>
      </c>
      <c r="F120" s="69">
        <v>47.74</v>
      </c>
      <c r="G120" s="70"/>
      <c r="H120" s="70">
        <f>SUM(G117:G120)</f>
        <v>521.44499999999994</v>
      </c>
      <c r="I120" s="70">
        <f t="shared" ref="I120" si="265">I118+G119</f>
        <v>18153.404999999995</v>
      </c>
      <c r="J120" s="71"/>
      <c r="K120" s="71"/>
      <c r="L120" s="71"/>
      <c r="M120" s="71"/>
      <c r="N120" s="72" t="s">
        <v>134</v>
      </c>
      <c r="O120" s="71"/>
      <c r="P120" s="71"/>
      <c r="Q120" s="70">
        <v>55.265999999999998</v>
      </c>
      <c r="R120" s="69" t="s">
        <v>426</v>
      </c>
      <c r="S120" s="70">
        <f t="shared" ref="S120" si="266">(G119+G121)</f>
        <v>606.44499999999994</v>
      </c>
      <c r="T120" s="73">
        <f t="shared" ref="T120" si="267">(G119+G121)/2</f>
        <v>303.22249999999997</v>
      </c>
      <c r="U120" s="68">
        <v>127</v>
      </c>
      <c r="V120" s="69">
        <v>139</v>
      </c>
      <c r="W120" s="74">
        <f t="shared" ref="W120" si="268">U120+V120</f>
        <v>266</v>
      </c>
      <c r="X120" s="68">
        <v>128</v>
      </c>
      <c r="Y120" s="69">
        <v>150</v>
      </c>
      <c r="Z120" s="74">
        <f t="shared" ref="Z120" si="269">X120+Y120</f>
        <v>278</v>
      </c>
      <c r="AA120" s="75" t="s">
        <v>427</v>
      </c>
      <c r="AB120" s="76" t="s">
        <v>428</v>
      </c>
      <c r="AC120" s="77">
        <v>304108.59499999997</v>
      </c>
      <c r="AD120" s="78">
        <v>2868335.3659999999</v>
      </c>
      <c r="AE120" s="81"/>
      <c r="AF120" s="71" t="s">
        <v>406</v>
      </c>
      <c r="AG120" s="71"/>
      <c r="AH120" s="71"/>
      <c r="AI120" s="80"/>
    </row>
    <row r="121" spans="1:35" ht="23.25">
      <c r="A121" s="68"/>
      <c r="B121" s="69" t="s">
        <v>134</v>
      </c>
      <c r="C121" s="69"/>
      <c r="D121" s="69"/>
      <c r="E121" s="69"/>
      <c r="F121" s="69"/>
      <c r="G121" s="70">
        <v>351</v>
      </c>
      <c r="H121" s="69"/>
      <c r="I121" s="69"/>
      <c r="J121" s="71"/>
      <c r="K121" s="71"/>
      <c r="L121" s="71"/>
      <c r="M121" s="71"/>
      <c r="N121" s="72"/>
      <c r="O121" s="71"/>
      <c r="P121" s="71"/>
      <c r="Q121" s="70"/>
      <c r="R121" s="69"/>
      <c r="S121" s="70"/>
      <c r="T121" s="73"/>
      <c r="U121" s="68"/>
      <c r="V121" s="69"/>
      <c r="W121" s="74"/>
      <c r="X121" s="68"/>
      <c r="Y121" s="69"/>
      <c r="Z121" s="74"/>
      <c r="AA121" s="75"/>
      <c r="AB121" s="76"/>
      <c r="AC121" s="77"/>
      <c r="AD121" s="78"/>
      <c r="AE121" s="81" t="s">
        <v>429</v>
      </c>
      <c r="AF121" s="71"/>
      <c r="AG121" s="71"/>
      <c r="AH121" s="71"/>
      <c r="AI121" s="80"/>
    </row>
    <row r="122" spans="1:35" ht="23.25">
      <c r="A122" s="68">
        <v>57</v>
      </c>
      <c r="B122" s="69" t="s">
        <v>134</v>
      </c>
      <c r="C122" s="69" t="s">
        <v>430</v>
      </c>
      <c r="D122" s="69" t="s">
        <v>301</v>
      </c>
      <c r="E122" s="69" t="s">
        <v>993</v>
      </c>
      <c r="F122" s="69">
        <v>54.16</v>
      </c>
      <c r="G122" s="70"/>
      <c r="H122" s="70"/>
      <c r="I122" s="70">
        <f t="shared" ref="I122" si="270">I120+G121</f>
        <v>18504.404999999995</v>
      </c>
      <c r="J122" s="71"/>
      <c r="K122" s="71"/>
      <c r="L122" s="71"/>
      <c r="M122" s="71"/>
      <c r="N122" s="72" t="s">
        <v>134</v>
      </c>
      <c r="O122" s="71"/>
      <c r="P122" s="71"/>
      <c r="Q122" s="70">
        <v>55.738999999999997</v>
      </c>
      <c r="R122" s="69" t="s">
        <v>134</v>
      </c>
      <c r="S122" s="70">
        <f t="shared" ref="S122" si="271">(G121+G123)</f>
        <v>773.029</v>
      </c>
      <c r="T122" s="73">
        <f t="shared" ref="T122" si="272">(G121+G123)/2</f>
        <v>386.5145</v>
      </c>
      <c r="U122" s="68">
        <v>215</v>
      </c>
      <c r="V122" s="69">
        <v>226</v>
      </c>
      <c r="W122" s="74">
        <f t="shared" ref="W122" si="273">U122+V122</f>
        <v>441</v>
      </c>
      <c r="X122" s="68">
        <v>205</v>
      </c>
      <c r="Y122" s="69">
        <v>222</v>
      </c>
      <c r="Z122" s="74">
        <f t="shared" ref="Z122" si="274">X122+Y122</f>
        <v>427</v>
      </c>
      <c r="AA122" s="75" t="s">
        <v>431</v>
      </c>
      <c r="AB122" s="76" t="s">
        <v>432</v>
      </c>
      <c r="AC122" s="77">
        <v>304411.53399999999</v>
      </c>
      <c r="AD122" s="78">
        <v>2868158.0839999998</v>
      </c>
      <c r="AE122" s="81"/>
      <c r="AF122" s="71" t="s">
        <v>433</v>
      </c>
      <c r="AG122" s="71"/>
      <c r="AH122" s="71"/>
      <c r="AI122" s="80"/>
    </row>
    <row r="123" spans="1:35" ht="23.25">
      <c r="A123" s="68"/>
      <c r="B123" s="69" t="s">
        <v>134</v>
      </c>
      <c r="C123" s="69"/>
      <c r="D123" s="69"/>
      <c r="E123" s="69"/>
      <c r="F123" s="69"/>
      <c r="G123" s="70">
        <v>422.029</v>
      </c>
      <c r="H123" s="69"/>
      <c r="I123" s="69"/>
      <c r="J123" s="71"/>
      <c r="K123" s="71"/>
      <c r="L123" s="71"/>
      <c r="M123" s="71"/>
      <c r="N123" s="72"/>
      <c r="O123" s="71"/>
      <c r="P123" s="71"/>
      <c r="Q123" s="70"/>
      <c r="R123" s="69"/>
      <c r="S123" s="70"/>
      <c r="T123" s="73"/>
      <c r="U123" s="68"/>
      <c r="V123" s="69"/>
      <c r="W123" s="74"/>
      <c r="X123" s="68"/>
      <c r="Y123" s="69"/>
      <c r="Z123" s="74"/>
      <c r="AA123" s="75"/>
      <c r="AB123" s="76"/>
      <c r="AC123" s="77"/>
      <c r="AD123" s="78"/>
      <c r="AE123" s="81" t="s">
        <v>434</v>
      </c>
      <c r="AF123" s="71"/>
      <c r="AG123" s="71"/>
      <c r="AH123" s="71"/>
      <c r="AI123" s="80"/>
    </row>
    <row r="124" spans="1:35" ht="23.25">
      <c r="A124" s="68">
        <v>58</v>
      </c>
      <c r="B124" s="69" t="s">
        <v>435</v>
      </c>
      <c r="C124" s="69" t="s">
        <v>436</v>
      </c>
      <c r="D124" s="69" t="s">
        <v>437</v>
      </c>
      <c r="E124" s="69" t="s">
        <v>993</v>
      </c>
      <c r="F124" s="69">
        <v>50.74</v>
      </c>
      <c r="G124" s="70"/>
      <c r="H124" s="70">
        <f>SUM(G121:G124)</f>
        <v>773.029</v>
      </c>
      <c r="I124" s="70">
        <f t="shared" ref="I124" si="275">I122+G123</f>
        <v>18926.433999999994</v>
      </c>
      <c r="J124" s="71"/>
      <c r="K124" s="71"/>
      <c r="L124" s="71"/>
      <c r="M124" s="71"/>
      <c r="N124" s="72" t="s">
        <v>134</v>
      </c>
      <c r="O124" s="71"/>
      <c r="P124" s="71"/>
      <c r="Q124" s="70">
        <v>55.604999999999997</v>
      </c>
      <c r="R124" s="69" t="s">
        <v>438</v>
      </c>
      <c r="S124" s="70">
        <f t="shared" ref="S124" si="276">(G123+G125)</f>
        <v>806.11500000000001</v>
      </c>
      <c r="T124" s="73">
        <f t="shared" ref="T124" si="277">(G123+G125)/2</f>
        <v>403.0575</v>
      </c>
      <c r="U124" s="68">
        <v>195</v>
      </c>
      <c r="V124" s="69">
        <v>209</v>
      </c>
      <c r="W124" s="74">
        <f t="shared" ref="W124" si="278">U124+V124</f>
        <v>404</v>
      </c>
      <c r="X124" s="68">
        <v>200</v>
      </c>
      <c r="Y124" s="69">
        <v>204</v>
      </c>
      <c r="Z124" s="74">
        <f t="shared" ref="Z124" si="279">X124+Y124</f>
        <v>404</v>
      </c>
      <c r="AA124" s="75" t="s">
        <v>439</v>
      </c>
      <c r="AB124" s="76" t="s">
        <v>440</v>
      </c>
      <c r="AC124" s="77">
        <v>304775.77600000001</v>
      </c>
      <c r="AD124" s="78">
        <v>2867944.926</v>
      </c>
      <c r="AE124" s="81"/>
      <c r="AF124" s="71" t="s">
        <v>441</v>
      </c>
      <c r="AG124" s="71"/>
      <c r="AH124" s="71"/>
      <c r="AI124" s="80"/>
    </row>
    <row r="125" spans="1:35" ht="23.25">
      <c r="A125" s="68"/>
      <c r="B125" s="69" t="s">
        <v>134</v>
      </c>
      <c r="C125" s="69"/>
      <c r="D125" s="69"/>
      <c r="E125" s="69"/>
      <c r="F125" s="69"/>
      <c r="G125" s="70">
        <v>384.08600000000001</v>
      </c>
      <c r="H125" s="69"/>
      <c r="I125" s="69"/>
      <c r="J125" s="71"/>
      <c r="K125" s="71"/>
      <c r="L125" s="71"/>
      <c r="M125" s="71"/>
      <c r="N125" s="72"/>
      <c r="O125" s="71"/>
      <c r="P125" s="71"/>
      <c r="Q125" s="70"/>
      <c r="R125" s="69"/>
      <c r="S125" s="70"/>
      <c r="T125" s="73"/>
      <c r="U125" s="68"/>
      <c r="V125" s="69"/>
      <c r="W125" s="74"/>
      <c r="X125" s="68"/>
      <c r="Y125" s="69"/>
      <c r="Z125" s="74"/>
      <c r="AA125" s="75"/>
      <c r="AB125" s="76"/>
      <c r="AC125" s="77"/>
      <c r="AD125" s="78"/>
      <c r="AE125" s="81"/>
      <c r="AF125" s="71"/>
      <c r="AG125" s="71"/>
      <c r="AH125" s="71"/>
      <c r="AI125" s="80"/>
    </row>
    <row r="126" spans="1:35" ht="23.25">
      <c r="A126" s="68">
        <v>59</v>
      </c>
      <c r="B126" s="69" t="s">
        <v>442</v>
      </c>
      <c r="C126" s="69" t="s">
        <v>443</v>
      </c>
      <c r="D126" s="69" t="s">
        <v>133</v>
      </c>
      <c r="E126" s="69" t="s">
        <v>993</v>
      </c>
      <c r="F126" s="69">
        <v>47.74</v>
      </c>
      <c r="G126" s="70"/>
      <c r="H126" s="70">
        <f>SUM(G125:G126)</f>
        <v>384.08600000000001</v>
      </c>
      <c r="I126" s="70">
        <f t="shared" ref="I126" si="280">I124+G125</f>
        <v>19310.519999999993</v>
      </c>
      <c r="J126" s="71"/>
      <c r="K126" s="71"/>
      <c r="L126" s="71"/>
      <c r="M126" s="71"/>
      <c r="N126" s="72" t="s">
        <v>134</v>
      </c>
      <c r="O126" s="71"/>
      <c r="P126" s="71"/>
      <c r="Q126" s="70">
        <v>55.154000000000003</v>
      </c>
      <c r="R126" s="69" t="s">
        <v>444</v>
      </c>
      <c r="S126" s="70">
        <f t="shared" ref="S126" si="281">(G125+G127)</f>
        <v>750.23700000000008</v>
      </c>
      <c r="T126" s="73">
        <f t="shared" ref="T126" si="282">(G125+G127)/2</f>
        <v>375.11850000000004</v>
      </c>
      <c r="U126" s="68">
        <v>171</v>
      </c>
      <c r="V126" s="69">
        <v>145</v>
      </c>
      <c r="W126" s="74">
        <f t="shared" ref="W126" si="283">U126+V126</f>
        <v>316</v>
      </c>
      <c r="X126" s="68">
        <v>177</v>
      </c>
      <c r="Y126" s="69">
        <v>156</v>
      </c>
      <c r="Z126" s="74">
        <f t="shared" ref="Z126" si="284">X126+Y126</f>
        <v>333</v>
      </c>
      <c r="AA126" s="75" t="s">
        <v>445</v>
      </c>
      <c r="AB126" s="76" t="s">
        <v>446</v>
      </c>
      <c r="AC126" s="77">
        <v>305146.30900000001</v>
      </c>
      <c r="AD126" s="78">
        <v>2867843.7969999998</v>
      </c>
      <c r="AE126" s="81"/>
      <c r="AF126" s="71" t="s">
        <v>433</v>
      </c>
      <c r="AG126" s="71"/>
      <c r="AH126" s="71"/>
      <c r="AI126" s="80"/>
    </row>
    <row r="127" spans="1:35" ht="23.25">
      <c r="A127" s="68"/>
      <c r="B127" s="69" t="s">
        <v>134</v>
      </c>
      <c r="C127" s="69"/>
      <c r="D127" s="69"/>
      <c r="E127" s="69"/>
      <c r="F127" s="69"/>
      <c r="G127" s="70">
        <v>366.15100000000001</v>
      </c>
      <c r="H127" s="69"/>
      <c r="I127" s="69"/>
      <c r="J127" s="71"/>
      <c r="K127" s="71"/>
      <c r="L127" s="71"/>
      <c r="M127" s="71"/>
      <c r="N127" s="72"/>
      <c r="O127" s="71"/>
      <c r="P127" s="71"/>
      <c r="Q127" s="70"/>
      <c r="R127" s="69"/>
      <c r="S127" s="70"/>
      <c r="T127" s="73"/>
      <c r="U127" s="68"/>
      <c r="V127" s="69"/>
      <c r="W127" s="74"/>
      <c r="X127" s="68"/>
      <c r="Y127" s="69"/>
      <c r="Z127" s="74"/>
      <c r="AA127" s="75"/>
      <c r="AB127" s="76"/>
      <c r="AC127" s="77"/>
      <c r="AD127" s="78"/>
      <c r="AE127" s="81" t="s">
        <v>447</v>
      </c>
      <c r="AF127" s="71"/>
      <c r="AG127" s="71"/>
      <c r="AH127" s="71"/>
      <c r="AI127" s="80"/>
    </row>
    <row r="128" spans="1:35" ht="23.25">
      <c r="A128" s="68">
        <v>60</v>
      </c>
      <c r="B128" s="69" t="s">
        <v>448</v>
      </c>
      <c r="C128" s="69" t="s">
        <v>72</v>
      </c>
      <c r="D128" s="69" t="s">
        <v>337</v>
      </c>
      <c r="E128" s="69" t="s">
        <v>993</v>
      </c>
      <c r="F128" s="69">
        <v>53.74</v>
      </c>
      <c r="G128" s="70"/>
      <c r="H128" s="70">
        <f>SUM(G127:G128)</f>
        <v>366.15100000000001</v>
      </c>
      <c r="I128" s="70">
        <f t="shared" ref="I128" si="285">I126+G127</f>
        <v>19676.670999999995</v>
      </c>
      <c r="J128" s="71"/>
      <c r="K128" s="71"/>
      <c r="L128" s="71"/>
      <c r="M128" s="71"/>
      <c r="N128" s="72" t="s">
        <v>134</v>
      </c>
      <c r="O128" s="71"/>
      <c r="P128" s="71"/>
      <c r="Q128" s="70">
        <v>55.36</v>
      </c>
      <c r="R128" s="69" t="s">
        <v>449</v>
      </c>
      <c r="S128" s="70">
        <f t="shared" ref="S128" si="286">(G127+G129)</f>
        <v>724.15100000000007</v>
      </c>
      <c r="T128" s="73">
        <f t="shared" ref="T128" si="287">(G127+G129)/2</f>
        <v>362.07550000000003</v>
      </c>
      <c r="U128" s="68">
        <v>218</v>
      </c>
      <c r="V128" s="69">
        <v>180</v>
      </c>
      <c r="W128" s="74">
        <f t="shared" ref="W128" si="288">U128+V128</f>
        <v>398</v>
      </c>
      <c r="X128" s="68">
        <v>207</v>
      </c>
      <c r="Y128" s="69">
        <v>180</v>
      </c>
      <c r="Z128" s="74">
        <f t="shared" ref="Z128" si="289">X128+Y128</f>
        <v>387</v>
      </c>
      <c r="AA128" s="75" t="s">
        <v>450</v>
      </c>
      <c r="AB128" s="76" t="s">
        <v>451</v>
      </c>
      <c r="AC128" s="77">
        <v>305433.83799999999</v>
      </c>
      <c r="AD128" s="78">
        <v>2868070.4989999998</v>
      </c>
      <c r="AE128" s="81"/>
      <c r="AF128" s="71" t="s">
        <v>441</v>
      </c>
      <c r="AG128" s="71"/>
      <c r="AH128" s="71"/>
      <c r="AI128" s="80"/>
    </row>
    <row r="129" spans="1:35" ht="23.25">
      <c r="A129" s="68"/>
      <c r="B129" s="69" t="s">
        <v>134</v>
      </c>
      <c r="C129" s="69"/>
      <c r="D129" s="69"/>
      <c r="E129" s="69"/>
      <c r="F129" s="69"/>
      <c r="G129" s="70">
        <v>358</v>
      </c>
      <c r="H129" s="69"/>
      <c r="I129" s="69"/>
      <c r="J129" s="71"/>
      <c r="K129" s="71"/>
      <c r="L129" s="71"/>
      <c r="M129" s="71"/>
      <c r="N129" s="72"/>
      <c r="O129" s="71"/>
      <c r="P129" s="71"/>
      <c r="Q129" s="70"/>
      <c r="R129" s="69"/>
      <c r="S129" s="70"/>
      <c r="T129" s="73"/>
      <c r="U129" s="68"/>
      <c r="V129" s="69"/>
      <c r="W129" s="74"/>
      <c r="X129" s="68"/>
      <c r="Y129" s="69"/>
      <c r="Z129" s="74"/>
      <c r="AA129" s="75"/>
      <c r="AB129" s="76"/>
      <c r="AC129" s="77"/>
      <c r="AD129" s="78"/>
      <c r="AE129" s="81" t="s">
        <v>342</v>
      </c>
      <c r="AF129" s="71"/>
      <c r="AG129" s="71"/>
      <c r="AH129" s="71"/>
      <c r="AI129" s="80"/>
    </row>
    <row r="130" spans="1:35" ht="23.25">
      <c r="A130" s="68">
        <v>61</v>
      </c>
      <c r="B130" s="69" t="s">
        <v>134</v>
      </c>
      <c r="C130" s="69" t="s">
        <v>452</v>
      </c>
      <c r="D130" s="69" t="s">
        <v>301</v>
      </c>
      <c r="E130" s="69" t="s">
        <v>993</v>
      </c>
      <c r="F130" s="69">
        <v>54.16</v>
      </c>
      <c r="G130" s="70"/>
      <c r="H130" s="70"/>
      <c r="I130" s="70">
        <f t="shared" ref="I130" si="290">I128+G129</f>
        <v>20034.670999999995</v>
      </c>
      <c r="J130" s="71"/>
      <c r="K130" s="71"/>
      <c r="L130" s="71"/>
      <c r="M130" s="71"/>
      <c r="N130" s="72" t="s">
        <v>134</v>
      </c>
      <c r="O130" s="71"/>
      <c r="P130" s="71"/>
      <c r="Q130" s="70">
        <v>55.063000000000002</v>
      </c>
      <c r="R130" s="69" t="s">
        <v>134</v>
      </c>
      <c r="S130" s="70">
        <f t="shared" ref="S130" si="291">(G129+G131)</f>
        <v>762.49700000000007</v>
      </c>
      <c r="T130" s="73">
        <f t="shared" ref="T130" si="292">(G129+G131)/2</f>
        <v>381.24850000000004</v>
      </c>
      <c r="U130" s="68">
        <v>177</v>
      </c>
      <c r="V130" s="69">
        <v>218</v>
      </c>
      <c r="W130" s="74">
        <f t="shared" ref="W130" si="293">U130+V130</f>
        <v>395</v>
      </c>
      <c r="X130" s="68">
        <v>178</v>
      </c>
      <c r="Y130" s="69">
        <v>214</v>
      </c>
      <c r="Z130" s="74">
        <f t="shared" ref="Z130" si="294">X130+Y130</f>
        <v>392</v>
      </c>
      <c r="AA130" s="75" t="s">
        <v>453</v>
      </c>
      <c r="AB130" s="76" t="s">
        <v>454</v>
      </c>
      <c r="AC130" s="77">
        <v>305670.58399999997</v>
      </c>
      <c r="AD130" s="78">
        <v>2868339.0419999999</v>
      </c>
      <c r="AE130" s="81"/>
      <c r="AF130" s="71" t="s">
        <v>441</v>
      </c>
      <c r="AG130" s="71"/>
      <c r="AH130" s="71"/>
      <c r="AI130" s="80"/>
    </row>
    <row r="131" spans="1:35" ht="33.6" customHeight="1">
      <c r="A131" s="68"/>
      <c r="B131" s="69" t="s">
        <v>134</v>
      </c>
      <c r="C131" s="69"/>
      <c r="D131" s="69"/>
      <c r="E131" s="69"/>
      <c r="F131" s="69"/>
      <c r="G131" s="70">
        <v>404.49700000000001</v>
      </c>
      <c r="H131" s="69"/>
      <c r="I131" s="69"/>
      <c r="J131" s="71"/>
      <c r="K131" s="71"/>
      <c r="L131" s="71"/>
      <c r="M131" s="71"/>
      <c r="N131" s="72"/>
      <c r="O131" s="71"/>
      <c r="P131" s="71"/>
      <c r="Q131" s="70"/>
      <c r="R131" s="69"/>
      <c r="S131" s="70"/>
      <c r="T131" s="73"/>
      <c r="U131" s="68"/>
      <c r="V131" s="69"/>
      <c r="W131" s="74"/>
      <c r="X131" s="68"/>
      <c r="Y131" s="69"/>
      <c r="Z131" s="74"/>
      <c r="AA131" s="75"/>
      <c r="AB131" s="76"/>
      <c r="AC131" s="77"/>
      <c r="AD131" s="78"/>
      <c r="AE131" s="81" t="s">
        <v>455</v>
      </c>
      <c r="AF131" s="71"/>
      <c r="AG131" s="71"/>
      <c r="AH131" s="71"/>
      <c r="AI131" s="80"/>
    </row>
    <row r="132" spans="1:35" ht="23.25">
      <c r="A132" s="68">
        <v>62</v>
      </c>
      <c r="B132" s="69" t="s">
        <v>456</v>
      </c>
      <c r="C132" s="69" t="s">
        <v>457</v>
      </c>
      <c r="D132" s="69" t="s">
        <v>344</v>
      </c>
      <c r="E132" s="69" t="s">
        <v>982</v>
      </c>
      <c r="F132" s="69">
        <v>50.74</v>
      </c>
      <c r="G132" s="70"/>
      <c r="H132" s="70">
        <f>SUM(G129:G132)</f>
        <v>762.49700000000007</v>
      </c>
      <c r="I132" s="70">
        <f t="shared" ref="I132" si="295">I130+G131</f>
        <v>20439.167999999994</v>
      </c>
      <c r="J132" s="71"/>
      <c r="K132" s="71"/>
      <c r="L132" s="71"/>
      <c r="M132" s="71"/>
      <c r="N132" s="72" t="s">
        <v>134</v>
      </c>
      <c r="O132" s="71"/>
      <c r="P132" s="71"/>
      <c r="Q132" s="70">
        <v>55.392000000000003</v>
      </c>
      <c r="R132" s="69" t="s">
        <v>458</v>
      </c>
      <c r="S132" s="70">
        <f t="shared" ref="S132" si="296">(G131+G133)</f>
        <v>743.65899999999999</v>
      </c>
      <c r="T132" s="73">
        <f t="shared" ref="T132" si="297">(G131+G133)/2</f>
        <v>371.8295</v>
      </c>
      <c r="U132" s="68">
        <v>190</v>
      </c>
      <c r="V132" s="69">
        <v>193</v>
      </c>
      <c r="W132" s="74">
        <f t="shared" ref="W132" si="298">U132+V132</f>
        <v>383</v>
      </c>
      <c r="X132" s="68">
        <v>194</v>
      </c>
      <c r="Y132" s="69">
        <v>187</v>
      </c>
      <c r="Z132" s="74">
        <f t="shared" ref="Z132" si="299">X132+Y132</f>
        <v>381</v>
      </c>
      <c r="AA132" s="75" t="s">
        <v>459</v>
      </c>
      <c r="AB132" s="76" t="s">
        <v>460</v>
      </c>
      <c r="AC132" s="77">
        <v>305938.07900000003</v>
      </c>
      <c r="AD132" s="78">
        <v>2868642.463</v>
      </c>
      <c r="AE132" s="81"/>
      <c r="AF132" s="71" t="s">
        <v>461</v>
      </c>
      <c r="AG132" s="71"/>
      <c r="AH132" s="71"/>
      <c r="AI132" s="80"/>
    </row>
    <row r="133" spans="1:35" ht="34.15" customHeight="1">
      <c r="A133" s="68"/>
      <c r="B133" s="69" t="s">
        <v>134</v>
      </c>
      <c r="C133" s="69"/>
      <c r="D133" s="69"/>
      <c r="E133" s="69"/>
      <c r="F133" s="69"/>
      <c r="G133" s="70">
        <v>339.16199999999998</v>
      </c>
      <c r="H133" s="69"/>
      <c r="I133" s="69"/>
      <c r="J133" s="71"/>
      <c r="K133" s="71"/>
      <c r="L133" s="71"/>
      <c r="M133" s="71"/>
      <c r="N133" s="72"/>
      <c r="O133" s="71"/>
      <c r="P133" s="71"/>
      <c r="Q133" s="70"/>
      <c r="R133" s="69"/>
      <c r="S133" s="70"/>
      <c r="T133" s="73"/>
      <c r="U133" s="68"/>
      <c r="V133" s="69"/>
      <c r="W133" s="74"/>
      <c r="X133" s="68"/>
      <c r="Y133" s="69"/>
      <c r="Z133" s="74"/>
      <c r="AA133" s="75"/>
      <c r="AB133" s="76"/>
      <c r="AC133" s="77"/>
      <c r="AD133" s="78"/>
      <c r="AE133" s="81" t="s">
        <v>462</v>
      </c>
      <c r="AF133" s="71"/>
      <c r="AG133" s="71"/>
      <c r="AH133" s="71"/>
      <c r="AI133" s="80"/>
    </row>
    <row r="134" spans="1:35" ht="24" thickBot="1">
      <c r="A134" s="86">
        <v>63</v>
      </c>
      <c r="B134" s="87" t="s">
        <v>463</v>
      </c>
      <c r="C134" s="87" t="s">
        <v>73</v>
      </c>
      <c r="D134" s="87" t="s">
        <v>133</v>
      </c>
      <c r="E134" s="87" t="s">
        <v>982</v>
      </c>
      <c r="F134" s="87">
        <v>47.74</v>
      </c>
      <c r="G134" s="88"/>
      <c r="H134" s="88">
        <f>SUM(G133:G134)</f>
        <v>339.16199999999998</v>
      </c>
      <c r="I134" s="88">
        <f t="shared" ref="I134" si="300">I132+G133</f>
        <v>20778.329999999994</v>
      </c>
      <c r="J134" s="89"/>
      <c r="K134" s="89"/>
      <c r="L134" s="89"/>
      <c r="M134" s="89"/>
      <c r="N134" s="90" t="s">
        <v>134</v>
      </c>
      <c r="O134" s="89"/>
      <c r="P134" s="89"/>
      <c r="Q134" s="88">
        <v>55.177</v>
      </c>
      <c r="R134" s="87" t="s">
        <v>464</v>
      </c>
      <c r="S134" s="88">
        <f>(G133)</f>
        <v>339.16199999999998</v>
      </c>
      <c r="T134" s="91">
        <f>(G133)/2</f>
        <v>169.58099999999999</v>
      </c>
      <c r="U134" s="86">
        <v>153</v>
      </c>
      <c r="V134" s="87">
        <v>182</v>
      </c>
      <c r="W134" s="92">
        <f t="shared" ref="W134" si="301">U134+V134</f>
        <v>335</v>
      </c>
      <c r="X134" s="86">
        <v>160</v>
      </c>
      <c r="Y134" s="87">
        <v>182</v>
      </c>
      <c r="Z134" s="92">
        <f t="shared" ref="Z134" si="302">X134+Y134</f>
        <v>342</v>
      </c>
      <c r="AA134" s="93" t="s">
        <v>465</v>
      </c>
      <c r="AB134" s="94" t="s">
        <v>466</v>
      </c>
      <c r="AC134" s="95">
        <v>306272.80900000001</v>
      </c>
      <c r="AD134" s="96">
        <v>2868697.111</v>
      </c>
      <c r="AE134" s="97"/>
      <c r="AF134" s="89" t="s">
        <v>467</v>
      </c>
      <c r="AG134" s="89"/>
      <c r="AH134" s="89"/>
      <c r="AI134" s="98"/>
    </row>
    <row r="135" spans="1:35" ht="24" thickBot="1">
      <c r="A135" s="99"/>
      <c r="B135" s="100"/>
      <c r="C135" s="100"/>
      <c r="D135" s="1896" t="s">
        <v>468</v>
      </c>
      <c r="E135" s="1896"/>
      <c r="F135" s="1897"/>
      <c r="G135" s="101">
        <f>SUM(G10:G134)/1000</f>
        <v>20.778329999999993</v>
      </c>
      <c r="H135" s="102" t="s">
        <v>469</v>
      </c>
      <c r="I135" s="103"/>
      <c r="J135" s="104"/>
      <c r="K135" s="104"/>
      <c r="L135" s="104"/>
      <c r="M135" s="104"/>
      <c r="N135" s="100"/>
      <c r="O135" s="104"/>
      <c r="P135" s="104"/>
      <c r="Q135" s="100"/>
      <c r="R135" s="100"/>
      <c r="S135" s="105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6"/>
      <c r="AD135" s="106"/>
      <c r="AE135" s="107"/>
      <c r="AF135" s="104"/>
      <c r="AG135" s="104"/>
      <c r="AH135" s="104"/>
      <c r="AI135" s="108"/>
    </row>
    <row r="136" spans="1:35" ht="27" customHeight="1" thickBot="1">
      <c r="A136" s="1882" t="s">
        <v>470</v>
      </c>
      <c r="B136" s="1883"/>
      <c r="C136" s="1883"/>
      <c r="D136" s="1883"/>
      <c r="E136" s="1883"/>
      <c r="F136" s="1883"/>
      <c r="G136" s="1883"/>
      <c r="H136" s="1883"/>
      <c r="I136" s="1883"/>
      <c r="J136" s="1883"/>
      <c r="K136" s="1883"/>
      <c r="L136" s="1883"/>
      <c r="M136" s="1883"/>
      <c r="N136" s="1883"/>
      <c r="O136" s="1883"/>
      <c r="P136" s="1883"/>
      <c r="Q136" s="1883"/>
      <c r="R136" s="1883"/>
      <c r="S136" s="1884"/>
      <c r="T136" s="1885" t="s">
        <v>471</v>
      </c>
      <c r="U136" s="1886"/>
      <c r="V136" s="1886"/>
      <c r="W136" s="1886"/>
      <c r="X136" s="1886"/>
      <c r="Y136" s="1886"/>
      <c r="Z136" s="1886"/>
      <c r="AA136" s="1886"/>
      <c r="AB136" s="1886"/>
      <c r="AC136" s="1886"/>
      <c r="AD136" s="1886"/>
      <c r="AE136" s="1886"/>
      <c r="AF136" s="1886"/>
      <c r="AG136" s="1886"/>
      <c r="AH136" s="1886"/>
      <c r="AI136" s="1887"/>
    </row>
    <row r="137" spans="1:35" ht="29.45" customHeight="1" thickBot="1">
      <c r="A137" s="1874" t="s">
        <v>472</v>
      </c>
      <c r="B137" s="1875"/>
      <c r="C137" s="1875"/>
      <c r="D137" s="1876"/>
      <c r="E137" s="393"/>
      <c r="F137" s="1838" t="s">
        <v>473</v>
      </c>
      <c r="G137" s="1839"/>
      <c r="H137" s="1839"/>
      <c r="I137" s="1840"/>
      <c r="J137" s="109" t="s">
        <v>474</v>
      </c>
      <c r="K137" s="109" t="s">
        <v>474</v>
      </c>
      <c r="L137" s="109" t="s">
        <v>474</v>
      </c>
      <c r="M137" s="109" t="s">
        <v>474</v>
      </c>
      <c r="N137" s="1838" t="s">
        <v>474</v>
      </c>
      <c r="O137" s="1839"/>
      <c r="P137" s="1839"/>
      <c r="Q137" s="1839"/>
      <c r="R137" s="1839"/>
      <c r="S137" s="1840"/>
      <c r="T137" s="1838" t="s">
        <v>473</v>
      </c>
      <c r="U137" s="1839"/>
      <c r="V137" s="1839"/>
      <c r="W137" s="1839"/>
      <c r="X137" s="1840"/>
      <c r="Y137" s="1844" t="s">
        <v>475</v>
      </c>
      <c r="Z137" s="1845"/>
      <c r="AA137" s="1845"/>
      <c r="AB137" s="1845"/>
      <c r="AC137" s="1845"/>
      <c r="AD137" s="1846"/>
      <c r="AE137" s="1844" t="s">
        <v>476</v>
      </c>
      <c r="AF137" s="1845"/>
      <c r="AG137" s="1845"/>
      <c r="AH137" s="1845"/>
      <c r="AI137" s="1846"/>
    </row>
    <row r="138" spans="1:35" ht="160.15" customHeight="1" thickBot="1">
      <c r="A138" s="1874"/>
      <c r="B138" s="1875"/>
      <c r="C138" s="1875"/>
      <c r="D138" s="1877"/>
      <c r="E138" s="393"/>
      <c r="F138" s="1835"/>
      <c r="G138" s="1836"/>
      <c r="H138" s="1836"/>
      <c r="I138" s="1837"/>
      <c r="J138" s="110"/>
      <c r="K138" s="110"/>
      <c r="L138" s="110"/>
      <c r="M138" s="110"/>
      <c r="N138" s="1835"/>
      <c r="O138" s="1836"/>
      <c r="P138" s="1836"/>
      <c r="Q138" s="1836"/>
      <c r="R138" s="1836"/>
      <c r="S138" s="1837"/>
      <c r="T138" s="1835"/>
      <c r="U138" s="1836"/>
      <c r="V138" s="1836"/>
      <c r="W138" s="1836"/>
      <c r="X138" s="1837"/>
      <c r="Y138" s="1835"/>
      <c r="Z138" s="1836"/>
      <c r="AA138" s="1836"/>
      <c r="AB138" s="1836"/>
      <c r="AC138" s="1836"/>
      <c r="AD138" s="1837"/>
      <c r="AE138" s="1871"/>
      <c r="AF138" s="1872"/>
      <c r="AG138" s="1872"/>
      <c r="AH138" s="1872"/>
      <c r="AI138" s="1873"/>
    </row>
    <row r="139" spans="1:35">
      <c r="A139" s="111"/>
      <c r="N139" s="112"/>
      <c r="AI139" s="113"/>
    </row>
    <row r="140" spans="1:35" ht="15.75">
      <c r="A140" s="111"/>
      <c r="F140" s="114" t="s">
        <v>477</v>
      </c>
      <c r="G140" s="115"/>
      <c r="H140" s="115"/>
      <c r="N140" s="112"/>
      <c r="AI140" s="113"/>
    </row>
    <row r="141" spans="1:35" ht="15.75" thickBot="1">
      <c r="A141" s="111"/>
      <c r="F141" s="112"/>
      <c r="G141" s="112"/>
      <c r="N141" s="112"/>
      <c r="AI141" s="113"/>
    </row>
    <row r="142" spans="1:35">
      <c r="A142" s="111"/>
      <c r="F142" s="116" t="s">
        <v>153</v>
      </c>
      <c r="G142" s="117" t="s">
        <v>478</v>
      </c>
      <c r="H142" s="118">
        <f t="shared" ref="H142:H159" si="303">COUNTIF($D$10:$D$1321,F142)</f>
        <v>16</v>
      </c>
      <c r="N142" s="112"/>
      <c r="AI142" s="113"/>
    </row>
    <row r="143" spans="1:35">
      <c r="A143" s="111"/>
      <c r="F143" s="119" t="s">
        <v>187</v>
      </c>
      <c r="G143" s="120" t="s">
        <v>478</v>
      </c>
      <c r="H143" s="121">
        <f t="shared" si="303"/>
        <v>5</v>
      </c>
      <c r="N143" s="112"/>
      <c r="AI143" s="113"/>
    </row>
    <row r="144" spans="1:35" ht="15" customHeight="1">
      <c r="A144" s="111"/>
      <c r="F144" s="119" t="s">
        <v>301</v>
      </c>
      <c r="G144" s="120" t="s">
        <v>478</v>
      </c>
      <c r="H144" s="121">
        <f t="shared" si="303"/>
        <v>6</v>
      </c>
      <c r="N144" s="112"/>
      <c r="AI144" s="113"/>
    </row>
    <row r="145" spans="1:35">
      <c r="A145" s="111"/>
      <c r="F145" s="119" t="s">
        <v>251</v>
      </c>
      <c r="G145" s="120" t="s">
        <v>478</v>
      </c>
      <c r="H145" s="121">
        <f t="shared" si="303"/>
        <v>1</v>
      </c>
      <c r="N145" s="112"/>
      <c r="AI145" s="113"/>
    </row>
    <row r="146" spans="1:35">
      <c r="A146" s="111"/>
      <c r="F146" s="119" t="s">
        <v>193</v>
      </c>
      <c r="G146" s="120" t="s">
        <v>478</v>
      </c>
      <c r="H146" s="121">
        <f t="shared" si="303"/>
        <v>3</v>
      </c>
      <c r="N146" s="112"/>
      <c r="AI146" s="113"/>
    </row>
    <row r="147" spans="1:35">
      <c r="A147" s="111"/>
      <c r="F147" s="119" t="s">
        <v>245</v>
      </c>
      <c r="G147" s="120" t="s">
        <v>478</v>
      </c>
      <c r="H147" s="121">
        <f t="shared" si="303"/>
        <v>3</v>
      </c>
      <c r="N147" s="112"/>
      <c r="AI147" s="113"/>
    </row>
    <row r="148" spans="1:35">
      <c r="A148" s="111"/>
      <c r="F148" s="119" t="s">
        <v>337</v>
      </c>
      <c r="G148" s="120" t="s">
        <v>478</v>
      </c>
      <c r="H148" s="121">
        <f t="shared" si="303"/>
        <v>2</v>
      </c>
      <c r="N148" s="112"/>
      <c r="AI148" s="113"/>
    </row>
    <row r="149" spans="1:35">
      <c r="A149" s="111"/>
      <c r="F149" s="119" t="s">
        <v>479</v>
      </c>
      <c r="G149" s="120" t="s">
        <v>478</v>
      </c>
      <c r="H149" s="121">
        <f t="shared" si="303"/>
        <v>0</v>
      </c>
      <c r="N149" s="112"/>
      <c r="AI149" s="113"/>
    </row>
    <row r="150" spans="1:35">
      <c r="A150" s="111"/>
      <c r="F150" s="119" t="s">
        <v>167</v>
      </c>
      <c r="G150" s="120" t="s">
        <v>478</v>
      </c>
      <c r="H150" s="121">
        <f t="shared" si="303"/>
        <v>4</v>
      </c>
      <c r="N150" s="112"/>
      <c r="AI150" s="113"/>
    </row>
    <row r="151" spans="1:35">
      <c r="A151" s="111"/>
      <c r="F151" s="119" t="s">
        <v>437</v>
      </c>
      <c r="G151" s="120" t="s">
        <v>478</v>
      </c>
      <c r="H151" s="121">
        <f t="shared" si="303"/>
        <v>1</v>
      </c>
      <c r="N151" s="112"/>
      <c r="AI151" s="113"/>
    </row>
    <row r="152" spans="1:35">
      <c r="A152" s="111"/>
      <c r="F152" s="119" t="s">
        <v>264</v>
      </c>
      <c r="G152" s="120" t="s">
        <v>478</v>
      </c>
      <c r="H152" s="121">
        <f t="shared" si="303"/>
        <v>2</v>
      </c>
      <c r="N152" s="112"/>
      <c r="AI152" s="113"/>
    </row>
    <row r="153" spans="1:35" ht="15" customHeight="1">
      <c r="A153" s="111"/>
      <c r="F153" s="119" t="s">
        <v>480</v>
      </c>
      <c r="G153" s="120" t="s">
        <v>478</v>
      </c>
      <c r="H153" s="121">
        <f t="shared" si="303"/>
        <v>0</v>
      </c>
      <c r="N153" s="112"/>
      <c r="AI153" s="113"/>
    </row>
    <row r="154" spans="1:35">
      <c r="A154" s="111"/>
      <c r="F154" s="119" t="s">
        <v>133</v>
      </c>
      <c r="G154" s="120" t="s">
        <v>478</v>
      </c>
      <c r="H154" s="121">
        <f t="shared" si="303"/>
        <v>11</v>
      </c>
      <c r="N154" s="112"/>
      <c r="AI154" s="113"/>
    </row>
    <row r="155" spans="1:35">
      <c r="A155" s="111"/>
      <c r="F155" s="119" t="s">
        <v>281</v>
      </c>
      <c r="G155" s="120" t="s">
        <v>478</v>
      </c>
      <c r="H155" s="121">
        <f t="shared" si="303"/>
        <v>2</v>
      </c>
      <c r="N155" s="112"/>
      <c r="AI155" s="113"/>
    </row>
    <row r="156" spans="1:35">
      <c r="A156" s="111"/>
      <c r="F156" s="119" t="s">
        <v>287</v>
      </c>
      <c r="G156" s="120" t="s">
        <v>478</v>
      </c>
      <c r="H156" s="121">
        <f t="shared" si="303"/>
        <v>1</v>
      </c>
      <c r="N156" s="112"/>
      <c r="AI156" s="113"/>
    </row>
    <row r="157" spans="1:35">
      <c r="A157" s="111"/>
      <c r="F157" s="119" t="s">
        <v>344</v>
      </c>
      <c r="G157" s="120" t="s">
        <v>478</v>
      </c>
      <c r="H157" s="121">
        <f t="shared" si="303"/>
        <v>4</v>
      </c>
      <c r="N157" s="112"/>
      <c r="AI157" s="113"/>
    </row>
    <row r="158" spans="1:35">
      <c r="A158" s="111"/>
      <c r="F158" s="119" t="s">
        <v>257</v>
      </c>
      <c r="G158" s="120" t="s">
        <v>478</v>
      </c>
      <c r="H158" s="121">
        <f t="shared" si="303"/>
        <v>1</v>
      </c>
      <c r="N158" s="112"/>
      <c r="AI158" s="113"/>
    </row>
    <row r="159" spans="1:35">
      <c r="A159" s="111"/>
      <c r="F159" s="119" t="s">
        <v>357</v>
      </c>
      <c r="G159" s="120" t="s">
        <v>478</v>
      </c>
      <c r="H159" s="121">
        <f t="shared" si="303"/>
        <v>1</v>
      </c>
      <c r="N159" s="112"/>
      <c r="AI159" s="113"/>
    </row>
    <row r="160" spans="1:35" ht="16.5" thickBot="1">
      <c r="A160" s="122"/>
      <c r="B160" s="104"/>
      <c r="C160" s="104"/>
      <c r="D160" s="104"/>
      <c r="E160" s="104"/>
      <c r="F160" s="123" t="s">
        <v>128</v>
      </c>
      <c r="G160" s="124" t="s">
        <v>478</v>
      </c>
      <c r="H160" s="125">
        <f>SUM(H142:H159)</f>
        <v>63</v>
      </c>
      <c r="I160" s="104"/>
      <c r="J160" s="104"/>
      <c r="K160" s="104"/>
      <c r="L160" s="104"/>
      <c r="M160" s="104"/>
      <c r="N160" s="100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26"/>
    </row>
  </sheetData>
  <autoFilter ref="A9:AI137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D135:F135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</mergeCells>
  <conditionalFormatting sqref="AI10:AI23 AI25:AI91 AI93:AI134">
    <cfRule type="containsText" dxfId="100" priority="1" operator="containsText" text="11,LT,RC">
      <formula>NOT(ISERROR(SEARCH("11,LT,RC",AI10)))</formula>
    </cfRule>
    <cfRule type="containsText" dxfId="99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2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2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808" t="s">
        <v>865</v>
      </c>
      <c r="B1" s="1809"/>
      <c r="C1" s="1809"/>
      <c r="D1" s="1809"/>
      <c r="E1" s="1809"/>
      <c r="F1" s="1809"/>
      <c r="G1" s="1809"/>
      <c r="H1" s="1809"/>
      <c r="I1" s="1809"/>
      <c r="J1" s="1809"/>
      <c r="K1" s="1809"/>
      <c r="L1" s="1809"/>
      <c r="M1" s="1809"/>
      <c r="N1" s="1809"/>
      <c r="O1" s="1809"/>
      <c r="P1" s="1809"/>
      <c r="Q1" s="1809"/>
      <c r="R1" s="1809"/>
      <c r="S1" s="1809"/>
      <c r="T1" s="1809"/>
      <c r="U1" s="1809"/>
      <c r="V1" s="1809"/>
      <c r="W1" s="1809"/>
      <c r="X1" s="1809"/>
      <c r="Y1" s="1809"/>
      <c r="Z1" s="1809"/>
      <c r="AA1" s="1809"/>
      <c r="AB1" s="1809"/>
      <c r="AC1" s="1809"/>
      <c r="AD1" s="1809"/>
      <c r="AE1" s="34"/>
      <c r="AF1" s="34"/>
      <c r="AG1" s="34"/>
      <c r="AH1" s="36"/>
    </row>
    <row r="2" spans="1:34" ht="20.25">
      <c r="A2" s="1810" t="s">
        <v>88</v>
      </c>
      <c r="B2" s="1811"/>
      <c r="C2" s="1811"/>
      <c r="D2" s="1811"/>
      <c r="E2" s="1811"/>
      <c r="F2" s="1811"/>
      <c r="G2" s="1811"/>
      <c r="H2" s="1811"/>
      <c r="I2" s="1811"/>
      <c r="J2" s="1811"/>
      <c r="K2" s="1811"/>
      <c r="L2" s="1811"/>
      <c r="M2" s="1811"/>
      <c r="N2" s="1811"/>
      <c r="O2" s="1811"/>
      <c r="P2" s="1811"/>
      <c r="Q2" s="1811"/>
      <c r="R2" s="1811"/>
      <c r="S2" s="1811"/>
      <c r="T2" s="1811"/>
      <c r="U2" s="1811"/>
      <c r="V2" s="1811"/>
      <c r="W2" s="1811"/>
      <c r="X2" s="1811"/>
      <c r="Y2" s="1811"/>
      <c r="Z2" s="1811"/>
      <c r="AA2" s="1811"/>
      <c r="AB2" s="1811"/>
      <c r="AC2" s="1811"/>
      <c r="AD2" s="1811"/>
      <c r="AE2" s="37"/>
      <c r="AF2" s="37"/>
      <c r="AG2" s="37"/>
      <c r="AH2" s="40"/>
    </row>
    <row r="3" spans="1:34" ht="23.25" customHeight="1">
      <c r="A3" s="1810" t="s">
        <v>89</v>
      </c>
      <c r="B3" s="1811"/>
      <c r="C3" s="1811"/>
      <c r="D3" s="1811"/>
      <c r="E3" s="1811"/>
      <c r="F3" s="1811"/>
      <c r="G3" s="1811"/>
      <c r="H3" s="1811"/>
      <c r="I3" s="1811"/>
      <c r="J3" s="1811"/>
      <c r="K3" s="1811"/>
      <c r="L3" s="1811"/>
      <c r="M3" s="1811"/>
      <c r="N3" s="1811"/>
      <c r="O3" s="1811"/>
      <c r="P3" s="1811"/>
      <c r="Q3" s="1811"/>
      <c r="R3" s="1811"/>
      <c r="S3" s="1811"/>
      <c r="T3" s="1811"/>
      <c r="U3" s="1811"/>
      <c r="V3" s="1811"/>
      <c r="W3" s="1811"/>
      <c r="X3" s="1811"/>
      <c r="Y3" s="1811"/>
      <c r="Z3" s="1811"/>
      <c r="AA3" s="1811"/>
      <c r="AB3" s="1811"/>
      <c r="AC3" s="1811"/>
      <c r="AD3" s="1811"/>
      <c r="AE3" s="135"/>
      <c r="AF3" s="135"/>
      <c r="AG3" s="135"/>
      <c r="AH3" s="136"/>
    </row>
    <row r="4" spans="1:34" ht="20.25">
      <c r="A4" s="1810" t="s">
        <v>91</v>
      </c>
      <c r="B4" s="1811"/>
      <c r="C4" s="1811"/>
      <c r="D4" s="1811"/>
      <c r="E4" s="1811"/>
      <c r="F4" s="1811"/>
      <c r="G4" s="1811"/>
      <c r="H4" s="1811"/>
      <c r="I4" s="1811"/>
      <c r="J4" s="1811"/>
      <c r="K4" s="1811"/>
      <c r="L4" s="1811"/>
      <c r="M4" s="1811"/>
      <c r="N4" s="1811"/>
      <c r="O4" s="1811"/>
      <c r="P4" s="1811"/>
      <c r="Q4" s="1811"/>
      <c r="R4" s="1811"/>
      <c r="S4" s="1811"/>
      <c r="T4" s="1811"/>
      <c r="U4" s="1811"/>
      <c r="V4" s="1811"/>
      <c r="W4" s="1811"/>
      <c r="X4" s="1811"/>
      <c r="Y4" s="1811"/>
      <c r="Z4" s="1811"/>
      <c r="AA4" s="1811"/>
      <c r="AB4" s="1811"/>
      <c r="AC4" s="1811"/>
      <c r="AD4" s="1811"/>
      <c r="AE4" s="284"/>
      <c r="AF4" s="284"/>
      <c r="AG4" s="1913" t="s">
        <v>90</v>
      </c>
      <c r="AH4" s="1850"/>
    </row>
    <row r="5" spans="1:34" ht="20.25">
      <c r="A5" s="1810" t="s">
        <v>93</v>
      </c>
      <c r="B5" s="1811"/>
      <c r="C5" s="1811"/>
      <c r="D5" s="1811"/>
      <c r="E5" s="1811"/>
      <c r="F5" s="1811"/>
      <c r="G5" s="1811"/>
      <c r="H5" s="1811"/>
      <c r="I5" s="1811"/>
      <c r="J5" s="1811"/>
      <c r="K5" s="1811"/>
      <c r="L5" s="1811"/>
      <c r="M5" s="1811"/>
      <c r="N5" s="1811"/>
      <c r="O5" s="1811"/>
      <c r="P5" s="1811"/>
      <c r="Q5" s="1811"/>
      <c r="R5" s="1811"/>
      <c r="S5" s="1811"/>
      <c r="T5" s="1811"/>
      <c r="U5" s="1811"/>
      <c r="V5" s="1811"/>
      <c r="W5" s="1811"/>
      <c r="X5" s="1811"/>
      <c r="Y5" s="1811"/>
      <c r="Z5" s="1811"/>
      <c r="AA5" s="1811"/>
      <c r="AB5" s="1811"/>
      <c r="AC5" s="1811"/>
      <c r="AD5" s="1811"/>
      <c r="AE5" s="284"/>
      <c r="AF5" s="284"/>
      <c r="AG5" s="1913" t="s">
        <v>864</v>
      </c>
      <c r="AH5" s="1850" t="s">
        <v>92</v>
      </c>
    </row>
    <row r="6" spans="1:34" ht="18">
      <c r="A6" s="1847" t="s">
        <v>863</v>
      </c>
      <c r="B6" s="1848"/>
      <c r="C6" s="1848"/>
      <c r="D6" s="1848"/>
      <c r="E6" s="1848"/>
      <c r="F6" s="1848"/>
      <c r="G6" s="1848"/>
      <c r="H6" s="1848"/>
      <c r="I6" s="1848"/>
      <c r="J6" s="1848"/>
      <c r="K6" s="1848"/>
      <c r="L6" s="1848"/>
      <c r="M6" s="1848"/>
      <c r="N6" s="1848"/>
      <c r="O6" s="1848"/>
      <c r="P6" s="1848"/>
      <c r="Q6" s="1848"/>
      <c r="R6" s="1848"/>
      <c r="S6" s="1848"/>
      <c r="T6" s="1848"/>
      <c r="U6" s="1848"/>
      <c r="V6" s="1848"/>
      <c r="W6" s="1848"/>
      <c r="X6" s="1848"/>
      <c r="Y6" s="1848"/>
      <c r="Z6" s="1848"/>
      <c r="AA6" s="1848"/>
      <c r="AB6" s="1848"/>
      <c r="AC6" s="1848"/>
      <c r="AD6" s="1848"/>
      <c r="AE6" s="284"/>
      <c r="AF6" s="284"/>
      <c r="AG6" s="1913" t="s">
        <v>94</v>
      </c>
      <c r="AH6" s="1850" t="s">
        <v>96</v>
      </c>
    </row>
    <row r="7" spans="1:34" ht="18.75" thickBot="1">
      <c r="A7" s="283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48"/>
      <c r="AF7" s="48"/>
      <c r="AG7" s="281"/>
      <c r="AH7" s="49"/>
    </row>
    <row r="8" spans="1:34" ht="28.9" customHeight="1" thickBot="1">
      <c r="A8" s="1860" t="s">
        <v>97</v>
      </c>
      <c r="B8" s="1860" t="s">
        <v>98</v>
      </c>
      <c r="C8" s="1860" t="s">
        <v>99</v>
      </c>
      <c r="D8" s="1860" t="s">
        <v>100</v>
      </c>
      <c r="E8" s="1860" t="s">
        <v>101</v>
      </c>
      <c r="F8" s="1860" t="s">
        <v>102</v>
      </c>
      <c r="G8" s="1860" t="s">
        <v>104</v>
      </c>
      <c r="H8" s="1860" t="s">
        <v>103</v>
      </c>
      <c r="I8" s="1891" t="s">
        <v>105</v>
      </c>
      <c r="J8" s="1893"/>
      <c r="K8" s="1893"/>
      <c r="L8" s="1878"/>
      <c r="M8" s="1860" t="s">
        <v>106</v>
      </c>
      <c r="N8" s="1891" t="s">
        <v>107</v>
      </c>
      <c r="O8" s="1878" t="s">
        <v>108</v>
      </c>
      <c r="P8" s="1860" t="s">
        <v>109</v>
      </c>
      <c r="Q8" s="1860" t="s">
        <v>110</v>
      </c>
      <c r="R8" s="1860" t="s">
        <v>111</v>
      </c>
      <c r="S8" s="1860" t="s">
        <v>112</v>
      </c>
      <c r="T8" s="1888" t="s">
        <v>113</v>
      </c>
      <c r="U8" s="1889"/>
      <c r="V8" s="1890"/>
      <c r="W8" s="1888" t="s">
        <v>114</v>
      </c>
      <c r="X8" s="1889"/>
      <c r="Y8" s="1890"/>
      <c r="Z8" s="1853" t="s">
        <v>115</v>
      </c>
      <c r="AA8" s="1855" t="s">
        <v>116</v>
      </c>
      <c r="AB8" s="1857" t="s">
        <v>117</v>
      </c>
      <c r="AC8" s="1858"/>
      <c r="AD8" s="1909" t="s">
        <v>118</v>
      </c>
      <c r="AE8" s="1905" t="s">
        <v>119</v>
      </c>
      <c r="AF8" s="1907" t="s">
        <v>120</v>
      </c>
      <c r="AG8" s="1914" t="s">
        <v>121</v>
      </c>
      <c r="AH8" s="1909" t="s">
        <v>122</v>
      </c>
    </row>
    <row r="9" spans="1:34" ht="26.25" customHeight="1" thickBot="1">
      <c r="A9" s="1895"/>
      <c r="B9" s="1895"/>
      <c r="C9" s="1895"/>
      <c r="D9" s="1895"/>
      <c r="E9" s="1895"/>
      <c r="F9" s="1895"/>
      <c r="G9" s="1895"/>
      <c r="H9" s="1895"/>
      <c r="I9" s="50" t="s">
        <v>123</v>
      </c>
      <c r="J9" s="51" t="s">
        <v>124</v>
      </c>
      <c r="K9" s="51" t="s">
        <v>125</v>
      </c>
      <c r="L9" s="52"/>
      <c r="M9" s="1895"/>
      <c r="N9" s="1892"/>
      <c r="O9" s="1879"/>
      <c r="P9" s="1895"/>
      <c r="Q9" s="1895"/>
      <c r="R9" s="1895"/>
      <c r="S9" s="1895"/>
      <c r="T9" s="280" t="s">
        <v>126</v>
      </c>
      <c r="U9" s="280" t="s">
        <v>127</v>
      </c>
      <c r="V9" s="280" t="s">
        <v>128</v>
      </c>
      <c r="W9" s="280" t="s">
        <v>126</v>
      </c>
      <c r="X9" s="280" t="s">
        <v>127</v>
      </c>
      <c r="Y9" s="280" t="s">
        <v>128</v>
      </c>
      <c r="Z9" s="1911"/>
      <c r="AA9" s="1912"/>
      <c r="AB9" s="54" t="s">
        <v>129</v>
      </c>
      <c r="AC9" s="54" t="s">
        <v>130</v>
      </c>
      <c r="AD9" s="1910"/>
      <c r="AE9" s="1906"/>
      <c r="AF9" s="1908"/>
      <c r="AG9" s="1915"/>
      <c r="AH9" s="1910"/>
    </row>
    <row r="10" spans="1:34" ht="21">
      <c r="A10" s="55">
        <v>1</v>
      </c>
      <c r="B10" s="56" t="s">
        <v>207</v>
      </c>
      <c r="C10" s="56" t="s">
        <v>65</v>
      </c>
      <c r="D10" s="56" t="s">
        <v>133</v>
      </c>
      <c r="E10" s="56">
        <v>47.74</v>
      </c>
      <c r="F10" s="59"/>
      <c r="G10" s="59">
        <v>0</v>
      </c>
      <c r="H10" s="56">
        <v>0</v>
      </c>
      <c r="I10" s="57"/>
      <c r="J10" s="57"/>
      <c r="K10" s="57"/>
      <c r="L10" s="57"/>
      <c r="M10" s="263" t="s">
        <v>134</v>
      </c>
      <c r="N10" s="57"/>
      <c r="O10" s="57"/>
      <c r="P10" s="59">
        <v>53.045999999999999</v>
      </c>
      <c r="Q10" s="56" t="s">
        <v>862</v>
      </c>
      <c r="R10" s="59">
        <v>346.90199999999999</v>
      </c>
      <c r="S10" s="60">
        <f>(F11)/2</f>
        <v>90.611500000000007</v>
      </c>
      <c r="T10" s="55">
        <v>76</v>
      </c>
      <c r="U10" s="56">
        <v>94</v>
      </c>
      <c r="V10" s="61">
        <f>T10+U10</f>
        <v>170</v>
      </c>
      <c r="W10" s="55">
        <v>81</v>
      </c>
      <c r="X10" s="56">
        <v>93</v>
      </c>
      <c r="Y10" s="61">
        <f>W10+X10</f>
        <v>174</v>
      </c>
      <c r="Z10" s="62" t="s">
        <v>861</v>
      </c>
      <c r="AA10" s="63" t="s">
        <v>860</v>
      </c>
      <c r="AB10" s="64">
        <v>292012.81400000001</v>
      </c>
      <c r="AC10" s="65">
        <v>2865602.5320000001</v>
      </c>
      <c r="AD10" s="262"/>
      <c r="AE10" s="261" t="s">
        <v>854</v>
      </c>
      <c r="AF10" s="260"/>
      <c r="AG10" s="57"/>
      <c r="AH10" s="67" t="s">
        <v>673</v>
      </c>
    </row>
    <row r="11" spans="1:34" ht="30">
      <c r="A11" s="68" t="s">
        <v>14</v>
      </c>
      <c r="B11" s="69" t="s">
        <v>134</v>
      </c>
      <c r="C11" s="69"/>
      <c r="D11" s="69"/>
      <c r="E11" s="69"/>
      <c r="F11" s="70">
        <v>181.22300000000001</v>
      </c>
      <c r="G11" s="69"/>
      <c r="H11" s="69"/>
      <c r="I11" s="71"/>
      <c r="J11" s="71"/>
      <c r="K11" s="71"/>
      <c r="L11" s="71"/>
      <c r="M11" s="259"/>
      <c r="N11" s="71"/>
      <c r="O11" s="71"/>
      <c r="P11" s="70"/>
      <c r="Q11" s="69"/>
      <c r="R11" s="70"/>
      <c r="S11" s="73"/>
      <c r="T11" s="68"/>
      <c r="U11" s="69"/>
      <c r="V11" s="74"/>
      <c r="W11" s="68"/>
      <c r="X11" s="69"/>
      <c r="Y11" s="74"/>
      <c r="Z11" s="75"/>
      <c r="AA11" s="76"/>
      <c r="AB11" s="77"/>
      <c r="AC11" s="78"/>
      <c r="AD11" s="258" t="s">
        <v>859</v>
      </c>
      <c r="AE11" s="257"/>
      <c r="AF11" s="256"/>
      <c r="AG11" s="71"/>
      <c r="AH11" s="80" t="s">
        <v>858</v>
      </c>
    </row>
    <row r="12" spans="1:34" ht="21">
      <c r="A12" s="68">
        <v>2</v>
      </c>
      <c r="B12" s="69" t="s">
        <v>212</v>
      </c>
      <c r="C12" s="69" t="s">
        <v>213</v>
      </c>
      <c r="D12" s="69" t="s">
        <v>193</v>
      </c>
      <c r="E12" s="69">
        <v>47.74</v>
      </c>
      <c r="F12" s="70"/>
      <c r="G12" s="70">
        <f>G10+F11</f>
        <v>181.22300000000001</v>
      </c>
      <c r="H12" s="70">
        <f>SUM(F11:F12)</f>
        <v>181.22300000000001</v>
      </c>
      <c r="I12" s="71"/>
      <c r="J12" s="71"/>
      <c r="K12" s="71"/>
      <c r="L12" s="71"/>
      <c r="M12" s="259" t="s">
        <v>134</v>
      </c>
      <c r="N12" s="71"/>
      <c r="O12" s="71"/>
      <c r="P12" s="70">
        <v>52.927999999999997</v>
      </c>
      <c r="Q12" s="69" t="s">
        <v>857</v>
      </c>
      <c r="R12" s="70">
        <f>F11+F13</f>
        <v>387.17500000000001</v>
      </c>
      <c r="S12" s="73">
        <f>(F11+F13)/2</f>
        <v>193.58750000000001</v>
      </c>
      <c r="T12" s="68">
        <v>91</v>
      </c>
      <c r="U12" s="69">
        <v>103</v>
      </c>
      <c r="V12" s="74">
        <f>T12+U12</f>
        <v>194</v>
      </c>
      <c r="W12" s="68">
        <v>92</v>
      </c>
      <c r="X12" s="69">
        <v>102</v>
      </c>
      <c r="Y12" s="74">
        <f>W12+X12</f>
        <v>194</v>
      </c>
      <c r="Z12" s="75" t="s">
        <v>856</v>
      </c>
      <c r="AA12" s="76" t="s">
        <v>855</v>
      </c>
      <c r="AB12" s="77">
        <v>292136.71000000002</v>
      </c>
      <c r="AC12" s="78">
        <v>2865734.787</v>
      </c>
      <c r="AD12" s="258"/>
      <c r="AE12" s="257" t="s">
        <v>854</v>
      </c>
      <c r="AF12" s="256"/>
      <c r="AG12" s="71"/>
      <c r="AH12" s="80"/>
    </row>
    <row r="13" spans="1:34" ht="30">
      <c r="A13" s="68"/>
      <c r="B13" s="69" t="s">
        <v>134</v>
      </c>
      <c r="C13" s="69"/>
      <c r="D13" s="69"/>
      <c r="E13" s="69"/>
      <c r="F13" s="70">
        <v>205.952</v>
      </c>
      <c r="G13" s="69"/>
      <c r="H13" s="69"/>
      <c r="I13" s="71"/>
      <c r="J13" s="71"/>
      <c r="K13" s="71"/>
      <c r="L13" s="71"/>
      <c r="M13" s="259"/>
      <c r="N13" s="71"/>
      <c r="O13" s="71"/>
      <c r="P13" s="70"/>
      <c r="Q13" s="69"/>
      <c r="R13" s="70"/>
      <c r="S13" s="73"/>
      <c r="T13" s="68"/>
      <c r="U13" s="69"/>
      <c r="V13" s="74"/>
      <c r="W13" s="68"/>
      <c r="X13" s="69"/>
      <c r="Y13" s="74"/>
      <c r="Z13" s="75"/>
      <c r="AA13" s="76"/>
      <c r="AB13" s="77"/>
      <c r="AC13" s="78"/>
      <c r="AD13" s="258" t="s">
        <v>853</v>
      </c>
      <c r="AE13" s="257"/>
      <c r="AF13" s="256"/>
      <c r="AG13" s="71"/>
      <c r="AH13" s="80"/>
    </row>
    <row r="14" spans="1:34" ht="30.75" customHeight="1">
      <c r="A14" s="68">
        <v>3</v>
      </c>
      <c r="B14" s="69" t="s">
        <v>218</v>
      </c>
      <c r="C14" s="69" t="s">
        <v>66</v>
      </c>
      <c r="D14" s="69" t="s">
        <v>133</v>
      </c>
      <c r="E14" s="69">
        <v>47.74</v>
      </c>
      <c r="F14" s="70"/>
      <c r="G14" s="70">
        <f>G12+F13</f>
        <v>387.17500000000001</v>
      </c>
      <c r="H14" s="70">
        <f>SUM(F13:F14)</f>
        <v>205.952</v>
      </c>
      <c r="I14" s="71"/>
      <c r="J14" s="71"/>
      <c r="K14" s="71"/>
      <c r="L14" s="71"/>
      <c r="M14" s="259" t="s">
        <v>134</v>
      </c>
      <c r="N14" s="71"/>
      <c r="O14" s="71"/>
      <c r="P14" s="70">
        <v>52.774999999999999</v>
      </c>
      <c r="Q14" s="69" t="s">
        <v>852</v>
      </c>
      <c r="R14" s="70">
        <f>F13+F15</f>
        <v>517.47500000000002</v>
      </c>
      <c r="S14" s="73">
        <f>(F13+F15)/2</f>
        <v>258.73750000000001</v>
      </c>
      <c r="T14" s="68">
        <v>100</v>
      </c>
      <c r="U14" s="69">
        <v>154</v>
      </c>
      <c r="V14" s="74">
        <f>T14+U14</f>
        <v>254</v>
      </c>
      <c r="W14" s="68">
        <v>101</v>
      </c>
      <c r="X14" s="69">
        <v>153</v>
      </c>
      <c r="Y14" s="74">
        <f>W14+X14</f>
        <v>254</v>
      </c>
      <c r="Z14" s="75" t="s">
        <v>851</v>
      </c>
      <c r="AA14" s="76" t="s">
        <v>850</v>
      </c>
      <c r="AB14" s="77">
        <v>292255.52399999998</v>
      </c>
      <c r="AC14" s="78">
        <v>2865903.0120000001</v>
      </c>
      <c r="AD14" s="279"/>
      <c r="AE14" s="257" t="s">
        <v>844</v>
      </c>
      <c r="AF14" s="256"/>
      <c r="AG14" s="71"/>
      <c r="AH14" s="85"/>
    </row>
    <row r="15" spans="1:34" ht="33.6" customHeight="1">
      <c r="A15" s="68"/>
      <c r="B15" s="69" t="s">
        <v>134</v>
      </c>
      <c r="C15" s="69"/>
      <c r="D15" s="69"/>
      <c r="E15" s="69"/>
      <c r="F15" s="70">
        <v>311.52300000000002</v>
      </c>
      <c r="G15" s="69"/>
      <c r="H15" s="69"/>
      <c r="I15" s="71"/>
      <c r="J15" s="71"/>
      <c r="K15" s="71"/>
      <c r="L15" s="71"/>
      <c r="M15" s="259"/>
      <c r="N15" s="71"/>
      <c r="O15" s="71"/>
      <c r="P15" s="70"/>
      <c r="Q15" s="69"/>
      <c r="R15" s="70"/>
      <c r="S15" s="73"/>
      <c r="T15" s="68"/>
      <c r="U15" s="69"/>
      <c r="V15" s="74"/>
      <c r="W15" s="68"/>
      <c r="X15" s="69"/>
      <c r="Y15" s="74"/>
      <c r="Z15" s="75"/>
      <c r="AA15" s="76"/>
      <c r="AB15" s="77"/>
      <c r="AC15" s="78"/>
      <c r="AD15" s="258" t="s">
        <v>849</v>
      </c>
      <c r="AE15" s="257"/>
      <c r="AF15" s="256"/>
      <c r="AG15" s="71"/>
      <c r="AH15" s="80" t="s">
        <v>848</v>
      </c>
    </row>
    <row r="16" spans="1:34" ht="21">
      <c r="A16" s="68">
        <v>4</v>
      </c>
      <c r="B16" s="69" t="s">
        <v>223</v>
      </c>
      <c r="C16" s="69" t="s">
        <v>224</v>
      </c>
      <c r="D16" s="69" t="s">
        <v>133</v>
      </c>
      <c r="E16" s="69">
        <v>47.74</v>
      </c>
      <c r="F16" s="70"/>
      <c r="G16" s="70">
        <f>G14+F15</f>
        <v>698.69800000000009</v>
      </c>
      <c r="H16" s="70">
        <f>SUM(F15:F16)</f>
        <v>311.52300000000002</v>
      </c>
      <c r="I16" s="71"/>
      <c r="J16" s="71"/>
      <c r="K16" s="71"/>
      <c r="L16" s="71"/>
      <c r="M16" s="259" t="s">
        <v>134</v>
      </c>
      <c r="N16" s="71"/>
      <c r="O16" s="71"/>
      <c r="P16" s="70">
        <v>52.65</v>
      </c>
      <c r="Q16" s="69" t="s">
        <v>847</v>
      </c>
      <c r="R16" s="70">
        <f>F15+F17</f>
        <v>552.55600000000004</v>
      </c>
      <c r="S16" s="73">
        <f>(F15+F17)/2</f>
        <v>276.27800000000002</v>
      </c>
      <c r="T16" s="68">
        <v>152</v>
      </c>
      <c r="U16" s="69">
        <v>122</v>
      </c>
      <c r="V16" s="74">
        <f>T16+U16</f>
        <v>274</v>
      </c>
      <c r="W16" s="68">
        <v>152</v>
      </c>
      <c r="X16" s="69">
        <v>121</v>
      </c>
      <c r="Y16" s="74">
        <f>W16+X16</f>
        <v>273</v>
      </c>
      <c r="Z16" s="75" t="s">
        <v>846</v>
      </c>
      <c r="AA16" s="76" t="s">
        <v>845</v>
      </c>
      <c r="AB16" s="77">
        <v>292567.00699999998</v>
      </c>
      <c r="AC16" s="78">
        <v>2865907.99</v>
      </c>
      <c r="AD16" s="258"/>
      <c r="AE16" s="257" t="s">
        <v>844</v>
      </c>
      <c r="AF16" s="256"/>
      <c r="AG16" s="71"/>
      <c r="AH16" s="80" t="s">
        <v>14</v>
      </c>
    </row>
    <row r="17" spans="1:34" ht="21">
      <c r="A17" s="68"/>
      <c r="B17" s="69" t="s">
        <v>134</v>
      </c>
      <c r="C17" s="69"/>
      <c r="D17" s="69"/>
      <c r="E17" s="69"/>
      <c r="F17" s="70">
        <v>241.03299999999999</v>
      </c>
      <c r="G17" s="69"/>
      <c r="H17" s="69"/>
      <c r="I17" s="71"/>
      <c r="J17" s="71"/>
      <c r="K17" s="71"/>
      <c r="L17" s="71"/>
      <c r="M17" s="259"/>
      <c r="N17" s="71"/>
      <c r="O17" s="71"/>
      <c r="P17" s="70"/>
      <c r="Q17" s="69"/>
      <c r="R17" s="70"/>
      <c r="S17" s="73"/>
      <c r="T17" s="68"/>
      <c r="U17" s="69"/>
      <c r="V17" s="74"/>
      <c r="W17" s="68"/>
      <c r="X17" s="69"/>
      <c r="Y17" s="74"/>
      <c r="Z17" s="75"/>
      <c r="AA17" s="76"/>
      <c r="AB17" s="77"/>
      <c r="AC17" s="78"/>
      <c r="AD17" s="258" t="s">
        <v>843</v>
      </c>
      <c r="AE17" s="257"/>
      <c r="AF17" s="256"/>
      <c r="AG17" s="71"/>
      <c r="AH17" s="80"/>
    </row>
    <row r="18" spans="1:34" ht="21">
      <c r="A18" s="68">
        <v>5</v>
      </c>
      <c r="B18" s="69" t="s">
        <v>244</v>
      </c>
      <c r="C18" s="69" t="s">
        <v>67</v>
      </c>
      <c r="D18" s="69" t="s">
        <v>193</v>
      </c>
      <c r="E18" s="69">
        <v>47.74</v>
      </c>
      <c r="F18" s="70"/>
      <c r="G18" s="70">
        <f>G16+F17</f>
        <v>939.73100000000011</v>
      </c>
      <c r="H18" s="70">
        <f>SUM(F17:F18)</f>
        <v>241.03299999999999</v>
      </c>
      <c r="I18" s="71"/>
      <c r="J18" s="71"/>
      <c r="K18" s="71"/>
      <c r="L18" s="71"/>
      <c r="M18" s="259" t="s">
        <v>134</v>
      </c>
      <c r="N18" s="71"/>
      <c r="O18" s="71"/>
      <c r="P18" s="70">
        <v>52.357999999999997</v>
      </c>
      <c r="Q18" s="69" t="s">
        <v>842</v>
      </c>
      <c r="R18" s="70">
        <f>F17+F19</f>
        <v>371.73199999999997</v>
      </c>
      <c r="S18" s="73">
        <f>(F17+F19)/2</f>
        <v>185.86599999999999</v>
      </c>
      <c r="T18" s="68">
        <v>116</v>
      </c>
      <c r="U18" s="69">
        <v>59</v>
      </c>
      <c r="V18" s="74">
        <f>T18+U18</f>
        <v>175</v>
      </c>
      <c r="W18" s="68">
        <v>118</v>
      </c>
      <c r="X18" s="69">
        <v>64</v>
      </c>
      <c r="Y18" s="74">
        <f>W18+X18</f>
        <v>182</v>
      </c>
      <c r="Z18" s="75" t="s">
        <v>841</v>
      </c>
      <c r="AA18" s="76" t="s">
        <v>840</v>
      </c>
      <c r="AB18" s="77">
        <v>292740.87</v>
      </c>
      <c r="AC18" s="78">
        <v>2865741.051</v>
      </c>
      <c r="AD18" s="258"/>
      <c r="AE18" s="257" t="s">
        <v>834</v>
      </c>
      <c r="AF18" s="256"/>
      <c r="AG18" s="71"/>
      <c r="AH18" s="80"/>
    </row>
    <row r="19" spans="1:34" ht="31.9" customHeight="1">
      <c r="A19" s="68"/>
      <c r="B19" s="69" t="s">
        <v>134</v>
      </c>
      <c r="C19" s="69"/>
      <c r="D19" s="69"/>
      <c r="E19" s="69"/>
      <c r="F19" s="70">
        <v>130.69900000000001</v>
      </c>
      <c r="G19" s="69"/>
      <c r="H19" s="69"/>
      <c r="I19" s="71"/>
      <c r="J19" s="71"/>
      <c r="K19" s="71"/>
      <c r="L19" s="71"/>
      <c r="M19" s="259"/>
      <c r="N19" s="71"/>
      <c r="O19" s="71"/>
      <c r="P19" s="70"/>
      <c r="Q19" s="69"/>
      <c r="R19" s="70"/>
      <c r="S19" s="73"/>
      <c r="T19" s="68"/>
      <c r="U19" s="69"/>
      <c r="V19" s="74"/>
      <c r="W19" s="68"/>
      <c r="X19" s="69"/>
      <c r="Y19" s="74"/>
      <c r="Z19" s="75"/>
      <c r="AA19" s="76"/>
      <c r="AB19" s="77"/>
      <c r="AC19" s="78"/>
      <c r="AD19" s="258" t="s">
        <v>839</v>
      </c>
      <c r="AE19" s="257"/>
      <c r="AF19" s="256"/>
      <c r="AG19" s="71"/>
      <c r="AH19" s="80" t="s">
        <v>838</v>
      </c>
    </row>
    <row r="20" spans="1:34" ht="21">
      <c r="A20" s="68">
        <v>6</v>
      </c>
      <c r="B20" s="69" t="s">
        <v>256</v>
      </c>
      <c r="C20" s="69" t="s">
        <v>68</v>
      </c>
      <c r="D20" s="69" t="s">
        <v>133</v>
      </c>
      <c r="E20" s="69">
        <v>47.74</v>
      </c>
      <c r="F20" s="70"/>
      <c r="G20" s="70">
        <f>G18+F19</f>
        <v>1070.43</v>
      </c>
      <c r="H20" s="70">
        <f>SUM(F19:F20)</f>
        <v>130.69900000000001</v>
      </c>
      <c r="I20" s="71"/>
      <c r="J20" s="71"/>
      <c r="K20" s="71"/>
      <c r="L20" s="71"/>
      <c r="M20" s="259" t="s">
        <v>134</v>
      </c>
      <c r="N20" s="71"/>
      <c r="O20" s="71"/>
      <c r="P20" s="70">
        <v>52.759</v>
      </c>
      <c r="Q20" s="69" t="s">
        <v>837</v>
      </c>
      <c r="R20" s="70">
        <f>F19+F21</f>
        <v>449.524</v>
      </c>
      <c r="S20" s="73">
        <f>(F19+F21)/2</f>
        <v>224.762</v>
      </c>
      <c r="T20" s="68">
        <v>75</v>
      </c>
      <c r="U20" s="69">
        <v>161</v>
      </c>
      <c r="V20" s="74">
        <f>T20+U20</f>
        <v>236</v>
      </c>
      <c r="W20" s="68">
        <v>70</v>
      </c>
      <c r="X20" s="69">
        <v>161</v>
      </c>
      <c r="Y20" s="74">
        <f>W20+X20</f>
        <v>231</v>
      </c>
      <c r="Z20" s="75" t="s">
        <v>836</v>
      </c>
      <c r="AA20" s="76" t="s">
        <v>835</v>
      </c>
      <c r="AB20" s="77">
        <v>292844.47700000001</v>
      </c>
      <c r="AC20" s="78">
        <v>2865661.378</v>
      </c>
      <c r="AD20" s="258"/>
      <c r="AE20" s="257" t="s">
        <v>834</v>
      </c>
      <c r="AF20" s="256"/>
      <c r="AG20" s="71"/>
      <c r="AH20" s="80"/>
    </row>
    <row r="21" spans="1:34" ht="36" customHeight="1">
      <c r="A21" s="68"/>
      <c r="B21" s="69" t="s">
        <v>134</v>
      </c>
      <c r="C21" s="69"/>
      <c r="D21" s="69"/>
      <c r="E21" s="69"/>
      <c r="F21" s="70">
        <v>318.82499999999999</v>
      </c>
      <c r="G21" s="69"/>
      <c r="H21" s="69"/>
      <c r="I21" s="71"/>
      <c r="J21" s="71"/>
      <c r="K21" s="71"/>
      <c r="L21" s="71"/>
      <c r="M21" s="259"/>
      <c r="N21" s="71"/>
      <c r="O21" s="71"/>
      <c r="P21" s="70"/>
      <c r="Q21" s="69"/>
      <c r="R21" s="70"/>
      <c r="S21" s="73"/>
      <c r="T21" s="68"/>
      <c r="U21" s="69"/>
      <c r="V21" s="74"/>
      <c r="W21" s="68"/>
      <c r="X21" s="69"/>
      <c r="Y21" s="74"/>
      <c r="Z21" s="75"/>
      <c r="AA21" s="76"/>
      <c r="AB21" s="77"/>
      <c r="AC21" s="78"/>
      <c r="AD21" s="258" t="s">
        <v>833</v>
      </c>
      <c r="AE21" s="257"/>
      <c r="AF21" s="256"/>
      <c r="AG21" s="71"/>
      <c r="AH21" s="80" t="s">
        <v>832</v>
      </c>
    </row>
    <row r="22" spans="1:34" ht="17.25" customHeight="1">
      <c r="A22" s="68">
        <v>7</v>
      </c>
      <c r="B22" s="69" t="s">
        <v>263</v>
      </c>
      <c r="C22" s="69" t="s">
        <v>56</v>
      </c>
      <c r="D22" s="69" t="s">
        <v>167</v>
      </c>
      <c r="E22" s="69">
        <v>47.74</v>
      </c>
      <c r="F22" s="70"/>
      <c r="G22" s="70">
        <f>G20+F21</f>
        <v>1389.2550000000001</v>
      </c>
      <c r="H22" s="70">
        <f>SUM(F21:F22)</f>
        <v>318.82499999999999</v>
      </c>
      <c r="I22" s="71"/>
      <c r="J22" s="71"/>
      <c r="K22" s="71"/>
      <c r="L22" s="71"/>
      <c r="M22" s="259" t="s">
        <v>134</v>
      </c>
      <c r="N22" s="71"/>
      <c r="O22" s="71"/>
      <c r="P22" s="70">
        <v>52.634999999999998</v>
      </c>
      <c r="Q22" s="69" t="s">
        <v>831</v>
      </c>
      <c r="R22" s="70">
        <f>F21+F23</f>
        <v>523.84299999999996</v>
      </c>
      <c r="S22" s="73">
        <f>(F21+F23)/2</f>
        <v>261.92149999999998</v>
      </c>
      <c r="T22" s="68">
        <v>159</v>
      </c>
      <c r="U22" s="69">
        <v>104</v>
      </c>
      <c r="V22" s="74">
        <f>T22+U22</f>
        <v>263</v>
      </c>
      <c r="W22" s="68">
        <v>160</v>
      </c>
      <c r="X22" s="69">
        <v>104</v>
      </c>
      <c r="Y22" s="74">
        <f>W22+X22</f>
        <v>264</v>
      </c>
      <c r="Z22" s="75" t="s">
        <v>830</v>
      </c>
      <c r="AA22" s="76" t="s">
        <v>829</v>
      </c>
      <c r="AB22" s="77">
        <v>293161.489</v>
      </c>
      <c r="AC22" s="78">
        <v>2865695.3280000002</v>
      </c>
      <c r="AD22" s="258"/>
      <c r="AE22" s="257" t="s">
        <v>138</v>
      </c>
      <c r="AF22" s="256"/>
      <c r="AG22" s="71"/>
      <c r="AH22" s="85"/>
    </row>
    <row r="23" spans="1:34" ht="21">
      <c r="A23" s="68"/>
      <c r="B23" s="69" t="s">
        <v>134</v>
      </c>
      <c r="C23" s="69"/>
      <c r="D23" s="69"/>
      <c r="E23" s="69"/>
      <c r="F23" s="70">
        <v>205.018</v>
      </c>
      <c r="G23" s="69"/>
      <c r="H23" s="69"/>
      <c r="I23" s="71"/>
      <c r="J23" s="71"/>
      <c r="K23" s="71"/>
      <c r="L23" s="71"/>
      <c r="M23" s="259"/>
      <c r="N23" s="71"/>
      <c r="O23" s="71"/>
      <c r="P23" s="70"/>
      <c r="Q23" s="69"/>
      <c r="R23" s="70"/>
      <c r="S23" s="73"/>
      <c r="T23" s="68"/>
      <c r="U23" s="69"/>
      <c r="V23" s="74"/>
      <c r="W23" s="68"/>
      <c r="X23" s="69"/>
      <c r="Y23" s="74"/>
      <c r="Z23" s="75"/>
      <c r="AA23" s="76"/>
      <c r="AB23" s="77"/>
      <c r="AC23" s="78"/>
      <c r="AD23" s="258" t="s">
        <v>719</v>
      </c>
      <c r="AE23" s="257"/>
      <c r="AF23" s="256"/>
      <c r="AG23" s="71"/>
      <c r="AH23" s="80"/>
    </row>
    <row r="24" spans="1:34" ht="16.5" customHeight="1">
      <c r="A24" s="68">
        <v>8</v>
      </c>
      <c r="B24" s="69" t="s">
        <v>270</v>
      </c>
      <c r="C24" s="69" t="s">
        <v>60</v>
      </c>
      <c r="D24" s="69" t="s">
        <v>133</v>
      </c>
      <c r="E24" s="69">
        <v>47.74</v>
      </c>
      <c r="F24" s="70"/>
      <c r="G24" s="70">
        <f>G22+F23</f>
        <v>1594.2730000000001</v>
      </c>
      <c r="H24" s="70">
        <f>SUM(F23:F24)</f>
        <v>205.018</v>
      </c>
      <c r="I24" s="71"/>
      <c r="J24" s="71"/>
      <c r="K24" s="71"/>
      <c r="L24" s="71"/>
      <c r="M24" s="259" t="s">
        <v>134</v>
      </c>
      <c r="N24" s="71"/>
      <c r="O24" s="71"/>
      <c r="P24" s="70">
        <v>52.591999999999999</v>
      </c>
      <c r="Q24" s="69" t="s">
        <v>828</v>
      </c>
      <c r="R24" s="70">
        <f>F23+F25</f>
        <v>341.596</v>
      </c>
      <c r="S24" s="73">
        <f>(F23+F25)/2</f>
        <v>170.798</v>
      </c>
      <c r="T24" s="68">
        <v>103</v>
      </c>
      <c r="U24" s="69">
        <v>-47</v>
      </c>
      <c r="V24" s="74">
        <f>T24+U24</f>
        <v>56</v>
      </c>
      <c r="W24" s="68">
        <v>103</v>
      </c>
      <c r="X24" s="69">
        <v>29</v>
      </c>
      <c r="Y24" s="74">
        <f>W24+X24</f>
        <v>132</v>
      </c>
      <c r="Z24" s="75" t="s">
        <v>827</v>
      </c>
      <c r="AA24" s="76" t="s">
        <v>826</v>
      </c>
      <c r="AB24" s="77">
        <v>293356.24699999997</v>
      </c>
      <c r="AC24" s="78">
        <v>2865631.2820000001</v>
      </c>
      <c r="AD24" s="279"/>
      <c r="AE24" s="257" t="s">
        <v>138</v>
      </c>
      <c r="AF24" s="256"/>
      <c r="AG24" s="71"/>
      <c r="AH24" s="85"/>
    </row>
    <row r="25" spans="1:34" ht="21">
      <c r="A25" s="68"/>
      <c r="B25" s="69" t="s">
        <v>134</v>
      </c>
      <c r="C25" s="69"/>
      <c r="D25" s="69"/>
      <c r="E25" s="69"/>
      <c r="F25" s="70">
        <v>136.578</v>
      </c>
      <c r="G25" s="69"/>
      <c r="H25" s="69"/>
      <c r="I25" s="71"/>
      <c r="J25" s="71"/>
      <c r="K25" s="71"/>
      <c r="L25" s="71"/>
      <c r="M25" s="259"/>
      <c r="N25" s="71"/>
      <c r="O25" s="71"/>
      <c r="P25" s="70"/>
      <c r="Q25" s="69"/>
      <c r="R25" s="70"/>
      <c r="S25" s="73"/>
      <c r="T25" s="68"/>
      <c r="U25" s="69"/>
      <c r="V25" s="74"/>
      <c r="W25" s="68"/>
      <c r="X25" s="69"/>
      <c r="Y25" s="74"/>
      <c r="Z25" s="75"/>
      <c r="AA25" s="76"/>
      <c r="AB25" s="77"/>
      <c r="AC25" s="78"/>
      <c r="AD25" s="258" t="s">
        <v>825</v>
      </c>
      <c r="AE25" s="257"/>
      <c r="AF25" s="256"/>
      <c r="AG25" s="71"/>
      <c r="AH25" s="80"/>
    </row>
    <row r="26" spans="1:34" ht="21.75" thickBot="1">
      <c r="A26" s="86">
        <v>9</v>
      </c>
      <c r="B26" s="87" t="s">
        <v>280</v>
      </c>
      <c r="C26" s="87" t="s">
        <v>55</v>
      </c>
      <c r="D26" s="87" t="s">
        <v>264</v>
      </c>
      <c r="E26" s="87">
        <v>53.74</v>
      </c>
      <c r="F26" s="88"/>
      <c r="G26" s="88">
        <f>G24+F25</f>
        <v>1730.8510000000001</v>
      </c>
      <c r="H26" s="88">
        <f>SUM(F25:F26)</f>
        <v>136.578</v>
      </c>
      <c r="I26" s="89"/>
      <c r="J26" s="89"/>
      <c r="K26" s="89"/>
      <c r="L26" s="89"/>
      <c r="M26" s="255" t="s">
        <v>134</v>
      </c>
      <c r="N26" s="89"/>
      <c r="O26" s="89"/>
      <c r="P26" s="88">
        <v>52.317</v>
      </c>
      <c r="Q26" s="87" t="s">
        <v>824</v>
      </c>
      <c r="R26" s="88">
        <v>271.267</v>
      </c>
      <c r="S26" s="91">
        <f>(F25)/2</f>
        <v>68.289000000000001</v>
      </c>
      <c r="T26" s="86">
        <v>185</v>
      </c>
      <c r="U26" s="87">
        <v>-176</v>
      </c>
      <c r="V26" s="92">
        <f>T26+U26</f>
        <v>9</v>
      </c>
      <c r="W26" s="86">
        <v>109</v>
      </c>
      <c r="X26" s="87">
        <v>-14</v>
      </c>
      <c r="Y26" s="92">
        <f>W26+X26</f>
        <v>95</v>
      </c>
      <c r="Z26" s="93" t="s">
        <v>823</v>
      </c>
      <c r="AA26" s="94" t="s">
        <v>822</v>
      </c>
      <c r="AB26" s="95">
        <v>293476.38400000002</v>
      </c>
      <c r="AC26" s="96">
        <v>2865696.2480000001</v>
      </c>
      <c r="AD26" s="254" t="s">
        <v>14</v>
      </c>
      <c r="AE26" s="253" t="s">
        <v>821</v>
      </c>
      <c r="AF26" s="252"/>
      <c r="AG26" s="89"/>
      <c r="AH26" s="98" t="s">
        <v>673</v>
      </c>
    </row>
    <row r="27" spans="1:34" ht="21.75" hidden="1" thickBot="1">
      <c r="A27" s="68"/>
      <c r="B27" s="69"/>
      <c r="C27" s="69"/>
      <c r="D27" s="69"/>
      <c r="E27" s="69"/>
      <c r="F27" s="70"/>
      <c r="G27" s="69"/>
      <c r="H27" s="69"/>
      <c r="I27" s="71"/>
      <c r="J27" s="71"/>
      <c r="K27" s="71"/>
      <c r="L27" s="71"/>
      <c r="M27" s="259"/>
      <c r="N27" s="71"/>
      <c r="O27" s="71"/>
      <c r="P27" s="70"/>
      <c r="Q27" s="69"/>
      <c r="R27" s="70"/>
      <c r="S27" s="73"/>
      <c r="T27" s="68"/>
      <c r="U27" s="69"/>
      <c r="V27" s="74"/>
      <c r="W27" s="68"/>
      <c r="X27" s="69"/>
      <c r="Y27" s="74"/>
      <c r="Z27" s="75"/>
      <c r="AA27" s="76"/>
      <c r="AB27" s="77"/>
      <c r="AC27" s="78"/>
      <c r="AD27" s="258"/>
      <c r="AE27" s="257"/>
      <c r="AF27" s="256"/>
      <c r="AG27" s="71"/>
      <c r="AH27" s="80"/>
    </row>
    <row r="28" spans="1:34" ht="21.75" hidden="1" thickBot="1">
      <c r="A28" s="55">
        <v>10</v>
      </c>
      <c r="B28" s="56" t="s">
        <v>343</v>
      </c>
      <c r="C28" s="56" t="s">
        <v>69</v>
      </c>
      <c r="D28" s="56" t="s">
        <v>337</v>
      </c>
      <c r="E28" s="56">
        <v>53.74</v>
      </c>
      <c r="F28" s="59"/>
      <c r="G28" s="59">
        <v>0</v>
      </c>
      <c r="H28" s="56">
        <v>0</v>
      </c>
      <c r="I28" s="57"/>
      <c r="J28" s="57"/>
      <c r="K28" s="57"/>
      <c r="L28" s="57"/>
      <c r="M28" s="263" t="s">
        <v>134</v>
      </c>
      <c r="N28" s="57"/>
      <c r="O28" s="57"/>
      <c r="P28" s="59">
        <v>52.901000000000003</v>
      </c>
      <c r="Q28" s="56" t="s">
        <v>820</v>
      </c>
      <c r="R28" s="59">
        <v>614.39</v>
      </c>
      <c r="S28" s="60">
        <f>(F29)/2</f>
        <v>126.706</v>
      </c>
      <c r="T28" s="55">
        <v>159</v>
      </c>
      <c r="U28" s="56">
        <v>184</v>
      </c>
      <c r="V28" s="61">
        <f>T28+U28</f>
        <v>343</v>
      </c>
      <c r="W28" s="55">
        <v>166</v>
      </c>
      <c r="X28" s="56">
        <v>158</v>
      </c>
      <c r="Y28" s="61">
        <f>W28+X28</f>
        <v>324</v>
      </c>
      <c r="Z28" s="62" t="s">
        <v>819</v>
      </c>
      <c r="AA28" s="63" t="s">
        <v>818</v>
      </c>
      <c r="AB28" s="64">
        <v>294869.23100000003</v>
      </c>
      <c r="AC28" s="65">
        <v>2865832.8130000001</v>
      </c>
      <c r="AD28" s="262"/>
      <c r="AE28" s="261" t="s">
        <v>814</v>
      </c>
      <c r="AF28" s="260"/>
      <c r="AG28" s="57"/>
      <c r="AH28" s="67" t="s">
        <v>673</v>
      </c>
    </row>
    <row r="29" spans="1:34" ht="21.75" hidden="1" thickBot="1">
      <c r="A29" s="68"/>
      <c r="B29" s="69" t="s">
        <v>134</v>
      </c>
      <c r="C29" s="69"/>
      <c r="D29" s="69"/>
      <c r="E29" s="69"/>
      <c r="F29" s="70">
        <v>253.41200000000001</v>
      </c>
      <c r="G29" s="69"/>
      <c r="H29" s="69"/>
      <c r="I29" s="71"/>
      <c r="J29" s="71"/>
      <c r="K29" s="71"/>
      <c r="L29" s="71"/>
      <c r="M29" s="259"/>
      <c r="N29" s="71"/>
      <c r="O29" s="71"/>
      <c r="P29" s="70"/>
      <c r="Q29" s="69"/>
      <c r="R29" s="70"/>
      <c r="S29" s="73"/>
      <c r="T29" s="68"/>
      <c r="U29" s="69"/>
      <c r="V29" s="74"/>
      <c r="W29" s="68"/>
      <c r="X29" s="69"/>
      <c r="Y29" s="74"/>
      <c r="Z29" s="75"/>
      <c r="AA29" s="76"/>
      <c r="AB29" s="77"/>
      <c r="AC29" s="78"/>
      <c r="AD29" s="258" t="s">
        <v>14</v>
      </c>
      <c r="AE29" s="257"/>
      <c r="AF29" s="256"/>
      <c r="AG29" s="71"/>
      <c r="AH29" s="80"/>
    </row>
    <row r="30" spans="1:34" ht="21.75" hidden="1" thickBot="1">
      <c r="A30" s="68">
        <v>11</v>
      </c>
      <c r="B30" s="69" t="s">
        <v>355</v>
      </c>
      <c r="C30" s="69" t="s">
        <v>356</v>
      </c>
      <c r="D30" s="69" t="s">
        <v>193</v>
      </c>
      <c r="E30" s="69">
        <v>47.74</v>
      </c>
      <c r="F30" s="70"/>
      <c r="G30" s="70">
        <f>G28+F29</f>
        <v>253.41200000000001</v>
      </c>
      <c r="H30" s="70">
        <f>SUM(F29:F30)</f>
        <v>253.41200000000001</v>
      </c>
      <c r="I30" s="71"/>
      <c r="J30" s="71"/>
      <c r="K30" s="71"/>
      <c r="L30" s="71"/>
      <c r="M30" s="259" t="s">
        <v>134</v>
      </c>
      <c r="N30" s="71"/>
      <c r="O30" s="71"/>
      <c r="P30" s="70">
        <v>52.768999999999998</v>
      </c>
      <c r="Q30" s="69" t="s">
        <v>817</v>
      </c>
      <c r="R30" s="70">
        <f>F29+F31</f>
        <v>568.41200000000003</v>
      </c>
      <c r="S30" s="73">
        <f>(F29+F31)/2</f>
        <v>284.20600000000002</v>
      </c>
      <c r="T30" s="68">
        <v>69</v>
      </c>
      <c r="U30" s="69">
        <v>164</v>
      </c>
      <c r="V30" s="74">
        <f>T30+U30</f>
        <v>233</v>
      </c>
      <c r="W30" s="68">
        <v>95</v>
      </c>
      <c r="X30" s="69">
        <v>162</v>
      </c>
      <c r="Y30" s="74">
        <f>W30+X30</f>
        <v>257</v>
      </c>
      <c r="Z30" s="75" t="s">
        <v>816</v>
      </c>
      <c r="AA30" s="76" t="s">
        <v>815</v>
      </c>
      <c r="AB30" s="77">
        <v>295122.02399999998</v>
      </c>
      <c r="AC30" s="78">
        <v>2865815.1150000002</v>
      </c>
      <c r="AD30" s="258"/>
      <c r="AE30" s="257" t="s">
        <v>814</v>
      </c>
      <c r="AF30" s="256"/>
      <c r="AG30" s="71"/>
      <c r="AH30" s="80"/>
    </row>
    <row r="31" spans="1:34" ht="34.9" hidden="1" customHeight="1">
      <c r="A31" s="68"/>
      <c r="B31" s="69" t="s">
        <v>134</v>
      </c>
      <c r="C31" s="69"/>
      <c r="D31" s="69"/>
      <c r="E31" s="69"/>
      <c r="F31" s="70">
        <v>315</v>
      </c>
      <c r="G31" s="69"/>
      <c r="H31" s="69"/>
      <c r="I31" s="71"/>
      <c r="J31" s="71"/>
      <c r="K31" s="71"/>
      <c r="L31" s="71"/>
      <c r="M31" s="259"/>
      <c r="N31" s="71"/>
      <c r="O31" s="71"/>
      <c r="P31" s="70"/>
      <c r="Q31" s="69"/>
      <c r="R31" s="70"/>
      <c r="S31" s="73"/>
      <c r="T31" s="68"/>
      <c r="U31" s="69"/>
      <c r="V31" s="74"/>
      <c r="W31" s="68"/>
      <c r="X31" s="69"/>
      <c r="Y31" s="74"/>
      <c r="Z31" s="75"/>
      <c r="AA31" s="76"/>
      <c r="AB31" s="77"/>
      <c r="AC31" s="78"/>
      <c r="AD31" s="258" t="s">
        <v>813</v>
      </c>
      <c r="AE31" s="257"/>
      <c r="AF31" s="256"/>
      <c r="AG31" s="71"/>
      <c r="AH31" s="80" t="s">
        <v>812</v>
      </c>
    </row>
    <row r="32" spans="1:34" ht="21.75" hidden="1" thickBot="1">
      <c r="A32" s="68">
        <v>12</v>
      </c>
      <c r="B32" s="69" t="s">
        <v>134</v>
      </c>
      <c r="C32" s="69" t="s">
        <v>811</v>
      </c>
      <c r="D32" s="69" t="s">
        <v>153</v>
      </c>
      <c r="E32" s="69">
        <v>48.16</v>
      </c>
      <c r="F32" s="70"/>
      <c r="G32" s="70">
        <f>G30+F31</f>
        <v>568.41200000000003</v>
      </c>
      <c r="H32" s="69" t="s">
        <v>134</v>
      </c>
      <c r="I32" s="71"/>
      <c r="J32" s="71"/>
      <c r="K32" s="71"/>
      <c r="L32" s="71"/>
      <c r="M32" s="259" t="s">
        <v>134</v>
      </c>
      <c r="N32" s="71"/>
      <c r="O32" s="71"/>
      <c r="P32" s="70">
        <v>51.823</v>
      </c>
      <c r="Q32" s="69" t="s">
        <v>134</v>
      </c>
      <c r="R32" s="70">
        <f>F31+F33</f>
        <v>612.88099999999997</v>
      </c>
      <c r="S32" s="73">
        <f>(F31+F33)/2</f>
        <v>306.44049999999999</v>
      </c>
      <c r="T32" s="68">
        <v>151</v>
      </c>
      <c r="U32" s="69">
        <v>145</v>
      </c>
      <c r="V32" s="74">
        <f>T32+U32</f>
        <v>296</v>
      </c>
      <c r="W32" s="68">
        <v>153</v>
      </c>
      <c r="X32" s="69">
        <v>147</v>
      </c>
      <c r="Y32" s="74">
        <f>W32+X32</f>
        <v>300</v>
      </c>
      <c r="Z32" s="75" t="s">
        <v>810</v>
      </c>
      <c r="AA32" s="76" t="s">
        <v>809</v>
      </c>
      <c r="AB32" s="77">
        <v>295427.51899999997</v>
      </c>
      <c r="AC32" s="78">
        <v>2865738.3190000001</v>
      </c>
      <c r="AD32" s="258"/>
      <c r="AE32" s="257" t="s">
        <v>278</v>
      </c>
      <c r="AF32" s="256"/>
      <c r="AG32" s="71"/>
      <c r="AH32" s="80" t="s">
        <v>14</v>
      </c>
    </row>
    <row r="33" spans="1:34" ht="31.9" hidden="1" customHeight="1">
      <c r="A33" s="68"/>
      <c r="B33" s="69" t="s">
        <v>134</v>
      </c>
      <c r="C33" s="69"/>
      <c r="D33" s="69"/>
      <c r="E33" s="69"/>
      <c r="F33" s="70">
        <v>297.88099999999997</v>
      </c>
      <c r="G33" s="69"/>
      <c r="H33" s="69"/>
      <c r="I33" s="71"/>
      <c r="J33" s="71"/>
      <c r="K33" s="71"/>
      <c r="L33" s="71"/>
      <c r="M33" s="259"/>
      <c r="N33" s="71"/>
      <c r="O33" s="71"/>
      <c r="P33" s="70"/>
      <c r="Q33" s="69"/>
      <c r="R33" s="70"/>
      <c r="S33" s="73"/>
      <c r="T33" s="68"/>
      <c r="U33" s="69"/>
      <c r="V33" s="74"/>
      <c r="W33" s="68"/>
      <c r="X33" s="69"/>
      <c r="Y33" s="74"/>
      <c r="Z33" s="75"/>
      <c r="AA33" s="76"/>
      <c r="AB33" s="77"/>
      <c r="AC33" s="78"/>
      <c r="AD33" s="258" t="s">
        <v>808</v>
      </c>
      <c r="AE33" s="257"/>
      <c r="AF33" s="256"/>
      <c r="AG33" s="71"/>
      <c r="AH33" s="80" t="s">
        <v>807</v>
      </c>
    </row>
    <row r="34" spans="1:34" ht="16.5" hidden="1" customHeight="1">
      <c r="A34" s="68">
        <v>13</v>
      </c>
      <c r="B34" s="69" t="s">
        <v>363</v>
      </c>
      <c r="C34" s="69" t="s">
        <v>364</v>
      </c>
      <c r="D34" s="69" t="s">
        <v>133</v>
      </c>
      <c r="E34" s="69">
        <v>47.74</v>
      </c>
      <c r="F34" s="70"/>
      <c r="G34" s="70">
        <f>G32+F33</f>
        <v>866.29300000000001</v>
      </c>
      <c r="H34" s="70">
        <f>SUM(F31:F34)</f>
        <v>612.88099999999997</v>
      </c>
      <c r="I34" s="71"/>
      <c r="J34" s="71"/>
      <c r="K34" s="71"/>
      <c r="L34" s="71"/>
      <c r="M34" s="259" t="s">
        <v>134</v>
      </c>
      <c r="N34" s="71"/>
      <c r="O34" s="71"/>
      <c r="P34" s="70">
        <v>52.536999999999999</v>
      </c>
      <c r="Q34" s="69" t="s">
        <v>806</v>
      </c>
      <c r="R34" s="70">
        <f>F33+F35</f>
        <v>717.88099999999997</v>
      </c>
      <c r="S34" s="73">
        <f>(F33+F35)/2</f>
        <v>358.94049999999999</v>
      </c>
      <c r="T34" s="68">
        <v>155</v>
      </c>
      <c r="U34" s="69">
        <v>184</v>
      </c>
      <c r="V34" s="74">
        <f>T34+U34</f>
        <v>339</v>
      </c>
      <c r="W34" s="68">
        <v>154</v>
      </c>
      <c r="X34" s="69">
        <v>193</v>
      </c>
      <c r="Y34" s="74">
        <f>W34+X34</f>
        <v>347</v>
      </c>
      <c r="Z34" s="75" t="s">
        <v>805</v>
      </c>
      <c r="AA34" s="76" t="s">
        <v>804</v>
      </c>
      <c r="AB34" s="77">
        <v>295716.413</v>
      </c>
      <c r="AC34" s="78">
        <v>2865665.6970000002</v>
      </c>
      <c r="AD34" s="258"/>
      <c r="AE34" s="257" t="s">
        <v>278</v>
      </c>
      <c r="AF34" s="256"/>
      <c r="AG34" s="71"/>
      <c r="AH34" s="80"/>
    </row>
    <row r="35" spans="1:34" ht="21.75" hidden="1" thickBot="1">
      <c r="A35" s="68"/>
      <c r="B35" s="69" t="s">
        <v>134</v>
      </c>
      <c r="C35" s="69"/>
      <c r="D35" s="69"/>
      <c r="E35" s="69"/>
      <c r="F35" s="70">
        <v>420</v>
      </c>
      <c r="G35" s="69"/>
      <c r="H35" s="69"/>
      <c r="I35" s="71"/>
      <c r="J35" s="71"/>
      <c r="K35" s="71"/>
      <c r="L35" s="71"/>
      <c r="M35" s="259"/>
      <c r="N35" s="71"/>
      <c r="O35" s="71"/>
      <c r="P35" s="70"/>
      <c r="Q35" s="69"/>
      <c r="R35" s="70"/>
      <c r="S35" s="73"/>
      <c r="T35" s="68"/>
      <c r="U35" s="69"/>
      <c r="V35" s="74"/>
      <c r="W35" s="68"/>
      <c r="X35" s="69"/>
      <c r="Y35" s="74"/>
      <c r="Z35" s="75"/>
      <c r="AA35" s="76"/>
      <c r="AB35" s="77"/>
      <c r="AC35" s="78"/>
      <c r="AD35" s="258" t="s">
        <v>719</v>
      </c>
      <c r="AE35" s="257"/>
      <c r="AF35" s="256"/>
      <c r="AG35" s="71"/>
      <c r="AH35" s="80"/>
    </row>
    <row r="36" spans="1:34" ht="21.75" hidden="1" thickBot="1">
      <c r="A36" s="68">
        <v>14</v>
      </c>
      <c r="B36" s="69" t="s">
        <v>134</v>
      </c>
      <c r="C36" s="69" t="s">
        <v>803</v>
      </c>
      <c r="D36" s="69" t="s">
        <v>301</v>
      </c>
      <c r="E36" s="69">
        <v>54.16</v>
      </c>
      <c r="F36" s="70"/>
      <c r="G36" s="70">
        <f>G34+F35</f>
        <v>1286.2930000000001</v>
      </c>
      <c r="H36" s="69" t="s">
        <v>134</v>
      </c>
      <c r="I36" s="71"/>
      <c r="J36" s="71"/>
      <c r="K36" s="71"/>
      <c r="L36" s="71"/>
      <c r="M36" s="259" t="s">
        <v>134</v>
      </c>
      <c r="N36" s="71"/>
      <c r="O36" s="71"/>
      <c r="P36" s="70">
        <v>51.901000000000003</v>
      </c>
      <c r="Q36" s="69" t="s">
        <v>134</v>
      </c>
      <c r="R36" s="70">
        <f>F35+F37</f>
        <v>776</v>
      </c>
      <c r="S36" s="73">
        <f>(F35+F37)/2</f>
        <v>388</v>
      </c>
      <c r="T36" s="68">
        <v>238</v>
      </c>
      <c r="U36" s="69">
        <v>213</v>
      </c>
      <c r="V36" s="74">
        <f>T36+U36</f>
        <v>451</v>
      </c>
      <c r="W36" s="68">
        <v>231</v>
      </c>
      <c r="X36" s="69">
        <v>203</v>
      </c>
      <c r="Y36" s="74">
        <f>W36+X36</f>
        <v>434</v>
      </c>
      <c r="Z36" s="75" t="s">
        <v>802</v>
      </c>
      <c r="AA36" s="76" t="s">
        <v>801</v>
      </c>
      <c r="AB36" s="77">
        <v>296114.65700000001</v>
      </c>
      <c r="AC36" s="78">
        <v>2865799.12</v>
      </c>
      <c r="AD36" s="258"/>
      <c r="AE36" s="257" t="s">
        <v>278</v>
      </c>
      <c r="AF36" s="256"/>
      <c r="AG36" s="71"/>
      <c r="AH36" s="80"/>
    </row>
    <row r="37" spans="1:34" ht="21.75" hidden="1" thickBot="1">
      <c r="A37" s="68"/>
      <c r="B37" s="69" t="s">
        <v>134</v>
      </c>
      <c r="C37" s="69"/>
      <c r="D37" s="69"/>
      <c r="E37" s="69"/>
      <c r="F37" s="70">
        <v>356</v>
      </c>
      <c r="G37" s="69"/>
      <c r="H37" s="69"/>
      <c r="I37" s="71"/>
      <c r="J37" s="71"/>
      <c r="K37" s="71"/>
      <c r="L37" s="71"/>
      <c r="M37" s="259"/>
      <c r="N37" s="71"/>
      <c r="O37" s="71"/>
      <c r="P37" s="70"/>
      <c r="Q37" s="69"/>
      <c r="R37" s="70"/>
      <c r="S37" s="73"/>
      <c r="T37" s="68"/>
      <c r="U37" s="69"/>
      <c r="V37" s="74"/>
      <c r="W37" s="68"/>
      <c r="X37" s="69"/>
      <c r="Y37" s="74"/>
      <c r="Z37" s="75"/>
      <c r="AA37" s="76"/>
      <c r="AB37" s="77"/>
      <c r="AC37" s="78"/>
      <c r="AD37" s="258" t="s">
        <v>800</v>
      </c>
      <c r="AE37" s="257"/>
      <c r="AF37" s="256"/>
      <c r="AG37" s="71"/>
      <c r="AH37" s="80"/>
    </row>
    <row r="38" spans="1:34" ht="21.75" hidden="1" thickBot="1">
      <c r="A38" s="68">
        <v>15</v>
      </c>
      <c r="B38" s="69" t="s">
        <v>134</v>
      </c>
      <c r="C38" s="69" t="s">
        <v>799</v>
      </c>
      <c r="D38" s="69" t="s">
        <v>153</v>
      </c>
      <c r="E38" s="69">
        <v>48.16</v>
      </c>
      <c r="F38" s="70"/>
      <c r="G38" s="70">
        <f>G36+F37</f>
        <v>1642.2930000000001</v>
      </c>
      <c r="H38" s="69" t="s">
        <v>134</v>
      </c>
      <c r="I38" s="71"/>
      <c r="J38" s="71"/>
      <c r="K38" s="71"/>
      <c r="L38" s="71"/>
      <c r="M38" s="259" t="s">
        <v>134</v>
      </c>
      <c r="N38" s="71"/>
      <c r="O38" s="71"/>
      <c r="P38" s="70">
        <v>52.106999999999999</v>
      </c>
      <c r="Q38" s="69" t="s">
        <v>134</v>
      </c>
      <c r="R38" s="70">
        <f>F37+F39</f>
        <v>714</v>
      </c>
      <c r="S38" s="73">
        <f>(F37+F39)/2</f>
        <v>357</v>
      </c>
      <c r="T38" s="68">
        <v>144</v>
      </c>
      <c r="U38" s="69">
        <v>176</v>
      </c>
      <c r="V38" s="74">
        <f>T38+U38</f>
        <v>320</v>
      </c>
      <c r="W38" s="68">
        <v>154</v>
      </c>
      <c r="X38" s="69">
        <v>177</v>
      </c>
      <c r="Y38" s="74">
        <f>W38+X38</f>
        <v>331</v>
      </c>
      <c r="Z38" s="75" t="s">
        <v>798</v>
      </c>
      <c r="AA38" s="76" t="s">
        <v>797</v>
      </c>
      <c r="AB38" s="77">
        <v>296452.21600000001</v>
      </c>
      <c r="AC38" s="78">
        <v>2865912.2110000001</v>
      </c>
      <c r="AD38" s="258"/>
      <c r="AE38" s="257" t="s">
        <v>268</v>
      </c>
      <c r="AF38" s="256"/>
      <c r="AG38" s="71"/>
      <c r="AH38" s="80"/>
    </row>
    <row r="39" spans="1:34" ht="21.75" hidden="1" thickBot="1">
      <c r="A39" s="68"/>
      <c r="B39" s="69" t="s">
        <v>134</v>
      </c>
      <c r="C39" s="69"/>
      <c r="D39" s="69"/>
      <c r="E39" s="69"/>
      <c r="F39" s="70">
        <v>358</v>
      </c>
      <c r="G39" s="69"/>
      <c r="H39" s="69"/>
      <c r="I39" s="71"/>
      <c r="J39" s="71"/>
      <c r="K39" s="71"/>
      <c r="L39" s="71"/>
      <c r="M39" s="259"/>
      <c r="N39" s="71"/>
      <c r="O39" s="71"/>
      <c r="P39" s="70"/>
      <c r="Q39" s="69"/>
      <c r="R39" s="70"/>
      <c r="S39" s="73"/>
      <c r="T39" s="68"/>
      <c r="U39" s="69"/>
      <c r="V39" s="74"/>
      <c r="W39" s="68"/>
      <c r="X39" s="69"/>
      <c r="Y39" s="74"/>
      <c r="Z39" s="75"/>
      <c r="AA39" s="76"/>
      <c r="AB39" s="77"/>
      <c r="AC39" s="78"/>
      <c r="AD39" s="258" t="s">
        <v>796</v>
      </c>
      <c r="AE39" s="257"/>
      <c r="AF39" s="256"/>
      <c r="AG39" s="71"/>
      <c r="AH39" s="80"/>
    </row>
    <row r="40" spans="1:34" ht="21.75" hidden="1" thickBot="1">
      <c r="A40" s="68">
        <v>16</v>
      </c>
      <c r="B40" s="69" t="s">
        <v>134</v>
      </c>
      <c r="C40" s="69" t="s">
        <v>795</v>
      </c>
      <c r="D40" s="69" t="s">
        <v>153</v>
      </c>
      <c r="E40" s="69">
        <v>48.16</v>
      </c>
      <c r="F40" s="70"/>
      <c r="G40" s="70">
        <f>G38+F39</f>
        <v>2000.2930000000001</v>
      </c>
      <c r="H40" s="69" t="s">
        <v>134</v>
      </c>
      <c r="I40" s="71"/>
      <c r="J40" s="71"/>
      <c r="K40" s="71"/>
      <c r="L40" s="71"/>
      <c r="M40" s="259" t="s">
        <v>134</v>
      </c>
      <c r="N40" s="71"/>
      <c r="O40" s="71"/>
      <c r="P40" s="70">
        <v>52.613</v>
      </c>
      <c r="Q40" s="69" t="s">
        <v>134</v>
      </c>
      <c r="R40" s="70">
        <f>F39+F41</f>
        <v>675.51800000000003</v>
      </c>
      <c r="S40" s="73">
        <f>(F39+F41)/2</f>
        <v>337.75900000000001</v>
      </c>
      <c r="T40" s="68">
        <v>182</v>
      </c>
      <c r="U40" s="69">
        <v>157</v>
      </c>
      <c r="V40" s="74">
        <f>T40+U40</f>
        <v>339</v>
      </c>
      <c r="W40" s="68">
        <v>182</v>
      </c>
      <c r="X40" s="69">
        <v>158</v>
      </c>
      <c r="Y40" s="74">
        <f>W40+X40</f>
        <v>340</v>
      </c>
      <c r="Z40" s="75" t="s">
        <v>794</v>
      </c>
      <c r="AA40" s="76" t="s">
        <v>793</v>
      </c>
      <c r="AB40" s="77">
        <v>296791.67200000002</v>
      </c>
      <c r="AC40" s="78">
        <v>2866025.9369999999</v>
      </c>
      <c r="AD40" s="258"/>
      <c r="AE40" s="257" t="s">
        <v>268</v>
      </c>
      <c r="AF40" s="256"/>
      <c r="AG40" s="71"/>
      <c r="AH40" s="80"/>
    </row>
    <row r="41" spans="1:34" ht="21.75" hidden="1" thickBot="1">
      <c r="A41" s="68"/>
      <c r="B41" s="69" t="s">
        <v>134</v>
      </c>
      <c r="C41" s="69"/>
      <c r="D41" s="69"/>
      <c r="E41" s="69"/>
      <c r="F41" s="70">
        <v>317.51799999999997</v>
      </c>
      <c r="G41" s="69"/>
      <c r="H41" s="69"/>
      <c r="I41" s="71"/>
      <c r="J41" s="71"/>
      <c r="K41" s="71"/>
      <c r="L41" s="71"/>
      <c r="M41" s="259"/>
      <c r="N41" s="71"/>
      <c r="O41" s="71"/>
      <c r="P41" s="70"/>
      <c r="Q41" s="69"/>
      <c r="R41" s="70"/>
      <c r="S41" s="73"/>
      <c r="T41" s="68"/>
      <c r="U41" s="69"/>
      <c r="V41" s="74"/>
      <c r="W41" s="68"/>
      <c r="X41" s="69"/>
      <c r="Y41" s="74"/>
      <c r="Z41" s="75"/>
      <c r="AA41" s="76"/>
      <c r="AB41" s="77"/>
      <c r="AC41" s="78"/>
      <c r="AD41" s="258" t="s">
        <v>700</v>
      </c>
      <c r="AE41" s="257"/>
      <c r="AF41" s="256"/>
      <c r="AG41" s="71"/>
      <c r="AH41" s="80"/>
    </row>
    <row r="42" spans="1:34" ht="21.75" hidden="1" thickBot="1">
      <c r="A42" s="68">
        <v>17</v>
      </c>
      <c r="B42" s="69" t="s">
        <v>370</v>
      </c>
      <c r="C42" s="69" t="s">
        <v>371</v>
      </c>
      <c r="D42" s="69" t="s">
        <v>133</v>
      </c>
      <c r="E42" s="69">
        <v>47.74</v>
      </c>
      <c r="F42" s="70"/>
      <c r="G42" s="70">
        <f>G40+F41</f>
        <v>2317.8110000000001</v>
      </c>
      <c r="H42" s="70">
        <f>SUM(F35:F42)</f>
        <v>1451.518</v>
      </c>
      <c r="I42" s="71"/>
      <c r="J42" s="71"/>
      <c r="K42" s="71"/>
      <c r="L42" s="71"/>
      <c r="M42" s="259" t="s">
        <v>134</v>
      </c>
      <c r="N42" s="71"/>
      <c r="O42" s="71"/>
      <c r="P42" s="70">
        <v>52.682000000000002</v>
      </c>
      <c r="Q42" s="69" t="s">
        <v>792</v>
      </c>
      <c r="R42" s="70">
        <f>F41+F43</f>
        <v>586.51800000000003</v>
      </c>
      <c r="S42" s="73">
        <f>(F41+F43)/2</f>
        <v>293.25900000000001</v>
      </c>
      <c r="T42" s="68">
        <v>158</v>
      </c>
      <c r="U42" s="69">
        <v>133</v>
      </c>
      <c r="V42" s="74">
        <f>T42+U42</f>
        <v>291</v>
      </c>
      <c r="W42" s="68">
        <v>158</v>
      </c>
      <c r="X42" s="69">
        <v>133</v>
      </c>
      <c r="Y42" s="74">
        <f>W42+X42</f>
        <v>291</v>
      </c>
      <c r="Z42" s="75" t="s">
        <v>791</v>
      </c>
      <c r="AA42" s="76" t="s">
        <v>790</v>
      </c>
      <c r="AB42" s="77">
        <v>297092.74300000002</v>
      </c>
      <c r="AC42" s="78">
        <v>2866126.804</v>
      </c>
      <c r="AD42" s="258"/>
      <c r="AE42" s="257" t="s">
        <v>268</v>
      </c>
      <c r="AF42" s="256"/>
      <c r="AG42" s="71"/>
      <c r="AH42" s="80"/>
    </row>
    <row r="43" spans="1:34" ht="31.9" hidden="1" customHeight="1">
      <c r="A43" s="68"/>
      <c r="B43" s="69" t="s">
        <v>134</v>
      </c>
      <c r="C43" s="69"/>
      <c r="D43" s="69"/>
      <c r="E43" s="69"/>
      <c r="F43" s="70">
        <v>269</v>
      </c>
      <c r="G43" s="69"/>
      <c r="H43" s="69"/>
      <c r="I43" s="71"/>
      <c r="J43" s="71"/>
      <c r="K43" s="71"/>
      <c r="L43" s="71"/>
      <c r="M43" s="259"/>
      <c r="N43" s="71"/>
      <c r="O43" s="71"/>
      <c r="P43" s="70"/>
      <c r="Q43" s="69"/>
      <c r="R43" s="70"/>
      <c r="S43" s="73"/>
      <c r="T43" s="68"/>
      <c r="U43" s="69"/>
      <c r="V43" s="74"/>
      <c r="W43" s="68"/>
      <c r="X43" s="69"/>
      <c r="Y43" s="74"/>
      <c r="Z43" s="75"/>
      <c r="AA43" s="76"/>
      <c r="AB43" s="77"/>
      <c r="AC43" s="78"/>
      <c r="AD43" s="258" t="s">
        <v>789</v>
      </c>
      <c r="AE43" s="257"/>
      <c r="AF43" s="256"/>
      <c r="AG43" s="71"/>
      <c r="AH43" s="80"/>
    </row>
    <row r="44" spans="1:34" ht="21.75" hidden="1" thickBot="1">
      <c r="A44" s="68">
        <v>18</v>
      </c>
      <c r="B44" s="69" t="s">
        <v>134</v>
      </c>
      <c r="C44" s="69" t="s">
        <v>376</v>
      </c>
      <c r="D44" s="69" t="s">
        <v>153</v>
      </c>
      <c r="E44" s="69">
        <v>48.16</v>
      </c>
      <c r="F44" s="70"/>
      <c r="G44" s="70">
        <f>G42+F43</f>
        <v>2586.8110000000001</v>
      </c>
      <c r="H44" s="69" t="s">
        <v>134</v>
      </c>
      <c r="I44" s="71"/>
      <c r="J44" s="71"/>
      <c r="K44" s="71"/>
      <c r="L44" s="71"/>
      <c r="M44" s="259" t="s">
        <v>134</v>
      </c>
      <c r="N44" s="71"/>
      <c r="O44" s="71"/>
      <c r="P44" s="70">
        <v>52.67</v>
      </c>
      <c r="Q44" s="69" t="s">
        <v>134</v>
      </c>
      <c r="R44" s="70">
        <f>F43+F45</f>
        <v>509.12900000000002</v>
      </c>
      <c r="S44" s="73">
        <f>(F43+F45)/2</f>
        <v>254.56450000000001</v>
      </c>
      <c r="T44" s="68">
        <v>133</v>
      </c>
      <c r="U44" s="69">
        <v>124</v>
      </c>
      <c r="V44" s="74">
        <f>T44+U44</f>
        <v>257</v>
      </c>
      <c r="W44" s="68">
        <v>133</v>
      </c>
      <c r="X44" s="69">
        <v>123</v>
      </c>
      <c r="Y44" s="74">
        <f>W44+X44</f>
        <v>256</v>
      </c>
      <c r="Z44" s="75" t="s">
        <v>788</v>
      </c>
      <c r="AA44" s="76" t="s">
        <v>787</v>
      </c>
      <c r="AB44" s="77">
        <v>297345.89500000002</v>
      </c>
      <c r="AC44" s="78">
        <v>2866035.8360000001</v>
      </c>
      <c r="AD44" s="258"/>
      <c r="AE44" s="257" t="s">
        <v>268</v>
      </c>
      <c r="AF44" s="256"/>
      <c r="AG44" s="71"/>
      <c r="AH44" s="80" t="s">
        <v>14</v>
      </c>
    </row>
    <row r="45" spans="1:34" ht="33" hidden="1" customHeight="1">
      <c r="A45" s="68"/>
      <c r="B45" s="69" t="s">
        <v>134</v>
      </c>
      <c r="C45" s="69"/>
      <c r="D45" s="69"/>
      <c r="E45" s="69"/>
      <c r="F45" s="70">
        <v>240.12899999999999</v>
      </c>
      <c r="G45" s="69"/>
      <c r="H45" s="69"/>
      <c r="I45" s="71"/>
      <c r="J45" s="71"/>
      <c r="K45" s="71"/>
      <c r="L45" s="71"/>
      <c r="M45" s="259"/>
      <c r="N45" s="71"/>
      <c r="O45" s="71"/>
      <c r="P45" s="70"/>
      <c r="Q45" s="69"/>
      <c r="R45" s="70"/>
      <c r="S45" s="73"/>
      <c r="T45" s="68"/>
      <c r="U45" s="69"/>
      <c r="V45" s="74"/>
      <c r="W45" s="68"/>
      <c r="X45" s="69"/>
      <c r="Y45" s="74"/>
      <c r="Z45" s="75"/>
      <c r="AA45" s="76"/>
      <c r="AB45" s="77"/>
      <c r="AC45" s="78"/>
      <c r="AD45" s="258" t="s">
        <v>786</v>
      </c>
      <c r="AE45" s="257"/>
      <c r="AF45" s="256"/>
      <c r="AG45" s="71"/>
      <c r="AH45" s="80" t="s">
        <v>785</v>
      </c>
    </row>
    <row r="46" spans="1:34" ht="21.75" hidden="1" thickBot="1">
      <c r="A46" s="68">
        <v>19</v>
      </c>
      <c r="B46" s="69" t="s">
        <v>379</v>
      </c>
      <c r="C46" s="69" t="s">
        <v>70</v>
      </c>
      <c r="D46" s="69" t="s">
        <v>167</v>
      </c>
      <c r="E46" s="69">
        <v>47.74</v>
      </c>
      <c r="F46" s="70"/>
      <c r="G46" s="70">
        <f>G44+F45</f>
        <v>2826.94</v>
      </c>
      <c r="H46" s="70">
        <f>SUM(F43:F46)</f>
        <v>509.12900000000002</v>
      </c>
      <c r="I46" s="71"/>
      <c r="J46" s="71"/>
      <c r="K46" s="71"/>
      <c r="L46" s="71"/>
      <c r="M46" s="259" t="s">
        <v>134</v>
      </c>
      <c r="N46" s="71"/>
      <c r="O46" s="71"/>
      <c r="P46" s="70">
        <v>52.387</v>
      </c>
      <c r="Q46" s="69" t="s">
        <v>784</v>
      </c>
      <c r="R46" s="70">
        <f>F45+F47</f>
        <v>591.12900000000002</v>
      </c>
      <c r="S46" s="73">
        <f>(F45+F47)/2</f>
        <v>295.56450000000001</v>
      </c>
      <c r="T46" s="68">
        <v>118</v>
      </c>
      <c r="U46" s="69">
        <v>174</v>
      </c>
      <c r="V46" s="74">
        <f>T46+U46</f>
        <v>292</v>
      </c>
      <c r="W46" s="68">
        <v>119</v>
      </c>
      <c r="X46" s="69">
        <v>175</v>
      </c>
      <c r="Y46" s="74">
        <f>W46+X46</f>
        <v>294</v>
      </c>
      <c r="Z46" s="75" t="s">
        <v>783</v>
      </c>
      <c r="AA46" s="76" t="s">
        <v>782</v>
      </c>
      <c r="AB46" s="77">
        <v>297571.87699999998</v>
      </c>
      <c r="AC46" s="78">
        <v>2865954.6310000001</v>
      </c>
      <c r="AD46" s="258"/>
      <c r="AE46" s="257" t="s">
        <v>317</v>
      </c>
      <c r="AF46" s="256"/>
      <c r="AG46" s="71"/>
      <c r="AH46" s="80" t="s">
        <v>14</v>
      </c>
    </row>
    <row r="47" spans="1:34" ht="33" hidden="1" customHeight="1">
      <c r="A47" s="68"/>
      <c r="B47" s="69" t="s">
        <v>134</v>
      </c>
      <c r="C47" s="69"/>
      <c r="D47" s="69"/>
      <c r="E47" s="69"/>
      <c r="F47" s="70">
        <v>351</v>
      </c>
      <c r="G47" s="69"/>
      <c r="H47" s="69"/>
      <c r="I47" s="71"/>
      <c r="J47" s="71"/>
      <c r="K47" s="71"/>
      <c r="L47" s="71"/>
      <c r="M47" s="259"/>
      <c r="N47" s="71"/>
      <c r="O47" s="71"/>
      <c r="P47" s="70"/>
      <c r="Q47" s="69"/>
      <c r="R47" s="70"/>
      <c r="S47" s="73"/>
      <c r="T47" s="68"/>
      <c r="U47" s="69"/>
      <c r="V47" s="74"/>
      <c r="W47" s="68"/>
      <c r="X47" s="69"/>
      <c r="Y47" s="74"/>
      <c r="Z47" s="75"/>
      <c r="AA47" s="76"/>
      <c r="AB47" s="77"/>
      <c r="AC47" s="78"/>
      <c r="AD47" s="258" t="s">
        <v>700</v>
      </c>
      <c r="AE47" s="257"/>
      <c r="AF47" s="256"/>
      <c r="AG47" s="71"/>
      <c r="AH47" s="80" t="s">
        <v>781</v>
      </c>
    </row>
    <row r="48" spans="1:34" ht="21.75" hidden="1" thickBot="1">
      <c r="A48" s="68">
        <v>20</v>
      </c>
      <c r="B48" s="69" t="s">
        <v>134</v>
      </c>
      <c r="C48" s="69" t="s">
        <v>384</v>
      </c>
      <c r="D48" s="69" t="s">
        <v>153</v>
      </c>
      <c r="E48" s="69">
        <v>48.16</v>
      </c>
      <c r="F48" s="70"/>
      <c r="G48" s="70">
        <f>G46+F47</f>
        <v>3177.94</v>
      </c>
      <c r="H48" s="69" t="s">
        <v>134</v>
      </c>
      <c r="I48" s="71"/>
      <c r="J48" s="71"/>
      <c r="K48" s="71"/>
      <c r="L48" s="71"/>
      <c r="M48" s="259" t="s">
        <v>134</v>
      </c>
      <c r="N48" s="71"/>
      <c r="O48" s="71"/>
      <c r="P48" s="70">
        <v>52.823</v>
      </c>
      <c r="Q48" s="69" t="s">
        <v>134</v>
      </c>
      <c r="R48" s="70">
        <f>F47+F49</f>
        <v>708.00900000000001</v>
      </c>
      <c r="S48" s="73">
        <f>(F47+F49)/2</f>
        <v>354.00450000000001</v>
      </c>
      <c r="T48" s="68">
        <v>179</v>
      </c>
      <c r="U48" s="69">
        <v>160</v>
      </c>
      <c r="V48" s="74">
        <f>T48+U48</f>
        <v>339</v>
      </c>
      <c r="W48" s="68">
        <v>179</v>
      </c>
      <c r="X48" s="69">
        <v>166</v>
      </c>
      <c r="Y48" s="74">
        <f>W48+X48</f>
        <v>345</v>
      </c>
      <c r="Z48" s="75" t="s">
        <v>780</v>
      </c>
      <c r="AA48" s="76" t="s">
        <v>779</v>
      </c>
      <c r="AB48" s="77">
        <v>297920.83399999997</v>
      </c>
      <c r="AC48" s="78">
        <v>2865992.4389999998</v>
      </c>
      <c r="AD48" s="258"/>
      <c r="AE48" s="257" t="s">
        <v>317</v>
      </c>
      <c r="AF48" s="256"/>
      <c r="AG48" s="71"/>
      <c r="AH48" s="80"/>
    </row>
    <row r="49" spans="1:34" ht="21.75" hidden="1" thickBot="1">
      <c r="A49" s="68"/>
      <c r="B49" s="69" t="s">
        <v>134</v>
      </c>
      <c r="C49" s="69"/>
      <c r="D49" s="69"/>
      <c r="E49" s="69"/>
      <c r="F49" s="70">
        <v>357.00900000000001</v>
      </c>
      <c r="G49" s="69"/>
      <c r="H49" s="69"/>
      <c r="I49" s="71"/>
      <c r="J49" s="71"/>
      <c r="K49" s="71"/>
      <c r="L49" s="71"/>
      <c r="M49" s="259"/>
      <c r="N49" s="71"/>
      <c r="O49" s="71"/>
      <c r="P49" s="70"/>
      <c r="Q49" s="69"/>
      <c r="R49" s="70"/>
      <c r="S49" s="73"/>
      <c r="T49" s="68"/>
      <c r="U49" s="69"/>
      <c r="V49" s="74"/>
      <c r="W49" s="68"/>
      <c r="X49" s="69"/>
      <c r="Y49" s="74"/>
      <c r="Z49" s="75"/>
      <c r="AA49" s="76"/>
      <c r="AB49" s="77"/>
      <c r="AC49" s="78"/>
      <c r="AD49" s="258" t="s">
        <v>778</v>
      </c>
      <c r="AE49" s="257"/>
      <c r="AF49" s="256"/>
      <c r="AG49" s="71"/>
      <c r="AH49" s="80"/>
    </row>
    <row r="50" spans="1:34" ht="21.75" hidden="1" thickBot="1">
      <c r="A50" s="68">
        <v>21</v>
      </c>
      <c r="B50" s="69" t="s">
        <v>392</v>
      </c>
      <c r="C50" s="69" t="s">
        <v>393</v>
      </c>
      <c r="D50" s="69" t="s">
        <v>245</v>
      </c>
      <c r="E50" s="69">
        <v>50.74</v>
      </c>
      <c r="F50" s="70"/>
      <c r="G50" s="70">
        <f>G48+F49</f>
        <v>3534.9490000000001</v>
      </c>
      <c r="H50" s="70">
        <f>SUM(F47:F50)</f>
        <v>708.00900000000001</v>
      </c>
      <c r="I50" s="71"/>
      <c r="J50" s="71"/>
      <c r="K50" s="71"/>
      <c r="L50" s="71"/>
      <c r="M50" s="259" t="s">
        <v>134</v>
      </c>
      <c r="N50" s="71"/>
      <c r="O50" s="71"/>
      <c r="P50" s="70">
        <v>52.838999999999999</v>
      </c>
      <c r="Q50" s="69" t="s">
        <v>777</v>
      </c>
      <c r="R50" s="70">
        <f>F49+F51</f>
        <v>754.81400000000008</v>
      </c>
      <c r="S50" s="73">
        <f>(F49+F51)/2</f>
        <v>377.40700000000004</v>
      </c>
      <c r="T50" s="68">
        <v>196</v>
      </c>
      <c r="U50" s="69">
        <v>218</v>
      </c>
      <c r="V50" s="74">
        <f>T50+U50</f>
        <v>414</v>
      </c>
      <c r="W50" s="68">
        <v>191</v>
      </c>
      <c r="X50" s="69">
        <v>213</v>
      </c>
      <c r="Y50" s="74">
        <f>W50+X50</f>
        <v>404</v>
      </c>
      <c r="Z50" s="75" t="s">
        <v>776</v>
      </c>
      <c r="AA50" s="76" t="s">
        <v>775</v>
      </c>
      <c r="AB50" s="77">
        <v>298275.766</v>
      </c>
      <c r="AC50" s="78">
        <v>2866030.895</v>
      </c>
      <c r="AD50" s="258"/>
      <c r="AE50" s="257" t="s">
        <v>317</v>
      </c>
      <c r="AF50" s="256"/>
      <c r="AG50" s="71"/>
      <c r="AH50" s="80"/>
    </row>
    <row r="51" spans="1:34" ht="34.15" hidden="1" customHeight="1">
      <c r="A51" s="68"/>
      <c r="B51" s="69" t="s">
        <v>134</v>
      </c>
      <c r="C51" s="69"/>
      <c r="D51" s="69"/>
      <c r="E51" s="69"/>
      <c r="F51" s="70">
        <v>397.80500000000001</v>
      </c>
      <c r="G51" s="69"/>
      <c r="H51" s="69"/>
      <c r="I51" s="71"/>
      <c r="J51" s="71"/>
      <c r="K51" s="71"/>
      <c r="L51" s="71"/>
      <c r="M51" s="259"/>
      <c r="N51" s="71"/>
      <c r="O51" s="71"/>
      <c r="P51" s="70"/>
      <c r="Q51" s="69"/>
      <c r="R51" s="70"/>
      <c r="S51" s="73"/>
      <c r="T51" s="68"/>
      <c r="U51" s="69"/>
      <c r="V51" s="74"/>
      <c r="W51" s="68"/>
      <c r="X51" s="69"/>
      <c r="Y51" s="74"/>
      <c r="Z51" s="75"/>
      <c r="AA51" s="76"/>
      <c r="AB51" s="77"/>
      <c r="AC51" s="78"/>
      <c r="AD51" s="258" t="s">
        <v>774</v>
      </c>
      <c r="AE51" s="257"/>
      <c r="AF51" s="256"/>
      <c r="AG51" s="71"/>
      <c r="AH51" s="80" t="s">
        <v>773</v>
      </c>
    </row>
    <row r="52" spans="1:34" ht="21.75" hidden="1" thickBot="1">
      <c r="A52" s="68">
        <v>22</v>
      </c>
      <c r="B52" s="69" t="s">
        <v>415</v>
      </c>
      <c r="C52" s="69" t="s">
        <v>416</v>
      </c>
      <c r="D52" s="69" t="s">
        <v>133</v>
      </c>
      <c r="E52" s="69">
        <v>47.74</v>
      </c>
      <c r="F52" s="70"/>
      <c r="G52" s="70">
        <f>G50+F51</f>
        <v>3932.7539999999999</v>
      </c>
      <c r="H52" s="70">
        <f>SUM(F51:F52)</f>
        <v>397.80500000000001</v>
      </c>
      <c r="I52" s="71"/>
      <c r="J52" s="71"/>
      <c r="K52" s="71"/>
      <c r="L52" s="71"/>
      <c r="M52" s="259" t="s">
        <v>134</v>
      </c>
      <c r="N52" s="71"/>
      <c r="O52" s="71"/>
      <c r="P52" s="70">
        <v>52.570999999999998</v>
      </c>
      <c r="Q52" s="69" t="s">
        <v>772</v>
      </c>
      <c r="R52" s="70">
        <f>F51+F53</f>
        <v>696.80500000000006</v>
      </c>
      <c r="S52" s="73">
        <f>(F51+F53)/2</f>
        <v>348.40250000000003</v>
      </c>
      <c r="T52" s="68">
        <v>184</v>
      </c>
      <c r="U52" s="69">
        <v>106</v>
      </c>
      <c r="V52" s="74">
        <f>T52+U52</f>
        <v>290</v>
      </c>
      <c r="W52" s="68">
        <v>189</v>
      </c>
      <c r="X52" s="69">
        <v>121</v>
      </c>
      <c r="Y52" s="74">
        <f>W52+X52</f>
        <v>310</v>
      </c>
      <c r="Z52" s="75" t="s">
        <v>771</v>
      </c>
      <c r="AA52" s="76" t="s">
        <v>770</v>
      </c>
      <c r="AB52" s="77">
        <v>298669.59100000001</v>
      </c>
      <c r="AC52" s="78">
        <v>2865974.7650000001</v>
      </c>
      <c r="AD52" s="258"/>
      <c r="AE52" s="257" t="s">
        <v>330</v>
      </c>
      <c r="AF52" s="256"/>
      <c r="AG52" s="71"/>
      <c r="AH52" s="80"/>
    </row>
    <row r="53" spans="1:34" ht="21.75" hidden="1" thickBot="1">
      <c r="A53" s="68"/>
      <c r="B53" s="69" t="s">
        <v>134</v>
      </c>
      <c r="C53" s="69"/>
      <c r="D53" s="69"/>
      <c r="E53" s="69"/>
      <c r="F53" s="70">
        <v>299</v>
      </c>
      <c r="G53" s="69"/>
      <c r="H53" s="69"/>
      <c r="I53" s="71"/>
      <c r="J53" s="71"/>
      <c r="K53" s="71"/>
      <c r="L53" s="71"/>
      <c r="M53" s="259"/>
      <c r="N53" s="71"/>
      <c r="O53" s="71"/>
      <c r="P53" s="70"/>
      <c r="Q53" s="69"/>
      <c r="R53" s="70"/>
      <c r="S53" s="73"/>
      <c r="T53" s="68"/>
      <c r="U53" s="69"/>
      <c r="V53" s="74"/>
      <c r="W53" s="68"/>
      <c r="X53" s="69"/>
      <c r="Y53" s="74"/>
      <c r="Z53" s="75"/>
      <c r="AA53" s="76"/>
      <c r="AB53" s="77"/>
      <c r="AC53" s="78"/>
      <c r="AD53" s="258" t="s">
        <v>769</v>
      </c>
      <c r="AE53" s="257"/>
      <c r="AF53" s="256"/>
      <c r="AG53" s="71"/>
      <c r="AH53" s="80"/>
    </row>
    <row r="54" spans="1:34" ht="21.75" hidden="1" thickBot="1">
      <c r="A54" s="68">
        <v>23</v>
      </c>
      <c r="B54" s="69" t="s">
        <v>134</v>
      </c>
      <c r="C54" s="69" t="s">
        <v>421</v>
      </c>
      <c r="D54" s="69" t="s">
        <v>301</v>
      </c>
      <c r="E54" s="69">
        <v>54.16</v>
      </c>
      <c r="F54" s="70"/>
      <c r="G54" s="70">
        <f>G52+F53</f>
        <v>4231.7539999999999</v>
      </c>
      <c r="H54" s="69" t="s">
        <v>134</v>
      </c>
      <c r="I54" s="71"/>
      <c r="J54" s="71"/>
      <c r="K54" s="71"/>
      <c r="L54" s="71"/>
      <c r="M54" s="259" t="s">
        <v>134</v>
      </c>
      <c r="N54" s="71"/>
      <c r="O54" s="71"/>
      <c r="P54" s="70">
        <v>52.997999999999998</v>
      </c>
      <c r="Q54" s="69" t="s">
        <v>134</v>
      </c>
      <c r="R54" s="70">
        <f>F53+F55</f>
        <v>681.29700000000003</v>
      </c>
      <c r="S54" s="73">
        <f>(F53+F55)/2</f>
        <v>340.64850000000001</v>
      </c>
      <c r="T54" s="68">
        <v>197</v>
      </c>
      <c r="U54" s="69">
        <v>207</v>
      </c>
      <c r="V54" s="74">
        <f>T54+U54</f>
        <v>404</v>
      </c>
      <c r="W54" s="68">
        <v>183</v>
      </c>
      <c r="X54" s="69">
        <v>202</v>
      </c>
      <c r="Y54" s="74">
        <f>W54+X54</f>
        <v>385</v>
      </c>
      <c r="Z54" s="75" t="s">
        <v>768</v>
      </c>
      <c r="AA54" s="76" t="s">
        <v>767</v>
      </c>
      <c r="AB54" s="77">
        <v>298864.99300000002</v>
      </c>
      <c r="AC54" s="78">
        <v>2866201.0819999999</v>
      </c>
      <c r="AD54" s="258"/>
      <c r="AE54" s="257" t="s">
        <v>330</v>
      </c>
      <c r="AF54" s="256"/>
      <c r="AG54" s="71"/>
      <c r="AH54" s="80"/>
    </row>
    <row r="55" spans="1:34" ht="21.75" hidden="1" thickBot="1">
      <c r="A55" s="68"/>
      <c r="B55" s="69" t="s">
        <v>134</v>
      </c>
      <c r="C55" s="69"/>
      <c r="D55" s="69"/>
      <c r="E55" s="69"/>
      <c r="F55" s="70">
        <v>382.29700000000003</v>
      </c>
      <c r="G55" s="69"/>
      <c r="H55" s="69"/>
      <c r="I55" s="71"/>
      <c r="J55" s="71"/>
      <c r="K55" s="71"/>
      <c r="L55" s="71"/>
      <c r="M55" s="259"/>
      <c r="N55" s="71"/>
      <c r="O55" s="71"/>
      <c r="P55" s="70"/>
      <c r="Q55" s="69"/>
      <c r="R55" s="70"/>
      <c r="S55" s="73"/>
      <c r="T55" s="68"/>
      <c r="U55" s="69"/>
      <c r="V55" s="74"/>
      <c r="W55" s="68"/>
      <c r="X55" s="69"/>
      <c r="Y55" s="74"/>
      <c r="Z55" s="75"/>
      <c r="AA55" s="76"/>
      <c r="AB55" s="77"/>
      <c r="AC55" s="78"/>
      <c r="AD55" s="258" t="s">
        <v>766</v>
      </c>
      <c r="AE55" s="257"/>
      <c r="AF55" s="256"/>
      <c r="AG55" s="71"/>
      <c r="AH55" s="80"/>
    </row>
    <row r="56" spans="1:34" ht="21.75" hidden="1" thickBot="1">
      <c r="A56" s="68">
        <v>24</v>
      </c>
      <c r="B56" s="69" t="s">
        <v>425</v>
      </c>
      <c r="C56" s="69" t="s">
        <v>71</v>
      </c>
      <c r="D56" s="69" t="s">
        <v>344</v>
      </c>
      <c r="E56" s="69">
        <v>50.74</v>
      </c>
      <c r="F56" s="70"/>
      <c r="G56" s="70">
        <f>G54+F55</f>
        <v>4614.0509999999995</v>
      </c>
      <c r="H56" s="70">
        <f>SUM(F53:F56)</f>
        <v>681.29700000000003</v>
      </c>
      <c r="I56" s="71"/>
      <c r="J56" s="71"/>
      <c r="K56" s="71"/>
      <c r="L56" s="71"/>
      <c r="M56" s="259" t="s">
        <v>134</v>
      </c>
      <c r="N56" s="71"/>
      <c r="O56" s="71"/>
      <c r="P56" s="70">
        <v>53.143000000000001</v>
      </c>
      <c r="Q56" s="69" t="s">
        <v>765</v>
      </c>
      <c r="R56" s="70">
        <f>F55+F57</f>
        <v>730.33899999999994</v>
      </c>
      <c r="S56" s="73">
        <f>(F55+F57)/2</f>
        <v>365.16949999999997</v>
      </c>
      <c r="T56" s="68">
        <v>174</v>
      </c>
      <c r="U56" s="69">
        <v>190</v>
      </c>
      <c r="V56" s="74">
        <f>T56+U56</f>
        <v>364</v>
      </c>
      <c r="W56" s="68">
        <v>180</v>
      </c>
      <c r="X56" s="69">
        <v>185</v>
      </c>
      <c r="Y56" s="74">
        <f>W56+X56</f>
        <v>365</v>
      </c>
      <c r="Z56" s="75" t="s">
        <v>764</v>
      </c>
      <c r="AA56" s="76" t="s">
        <v>763</v>
      </c>
      <c r="AB56" s="77">
        <v>299114.83100000001</v>
      </c>
      <c r="AC56" s="78">
        <v>2866490.4470000002</v>
      </c>
      <c r="AD56" s="258"/>
      <c r="AE56" s="257" t="s">
        <v>330</v>
      </c>
      <c r="AF56" s="256"/>
      <c r="AG56" s="71"/>
      <c r="AH56" s="80"/>
    </row>
    <row r="57" spans="1:34" ht="21.75" hidden="1" thickBot="1">
      <c r="A57" s="68"/>
      <c r="B57" s="69" t="s">
        <v>134</v>
      </c>
      <c r="C57" s="69"/>
      <c r="D57" s="69"/>
      <c r="E57" s="69"/>
      <c r="F57" s="70">
        <v>348.04199999999997</v>
      </c>
      <c r="G57" s="69"/>
      <c r="H57" s="69"/>
      <c r="I57" s="71"/>
      <c r="J57" s="71"/>
      <c r="K57" s="71"/>
      <c r="L57" s="71"/>
      <c r="M57" s="259"/>
      <c r="N57" s="71"/>
      <c r="O57" s="71"/>
      <c r="P57" s="70"/>
      <c r="Q57" s="69"/>
      <c r="R57" s="70"/>
      <c r="S57" s="73"/>
      <c r="T57" s="68"/>
      <c r="U57" s="69"/>
      <c r="V57" s="74"/>
      <c r="W57" s="68"/>
      <c r="X57" s="69"/>
      <c r="Y57" s="74"/>
      <c r="Z57" s="75"/>
      <c r="AA57" s="76"/>
      <c r="AB57" s="77"/>
      <c r="AC57" s="78"/>
      <c r="AD57" s="258"/>
      <c r="AE57" s="257"/>
      <c r="AF57" s="256"/>
      <c r="AG57" s="71"/>
      <c r="AH57" s="80"/>
    </row>
    <row r="58" spans="1:34" ht="21.75" hidden="1" thickBot="1">
      <c r="A58" s="68">
        <v>25</v>
      </c>
      <c r="B58" s="69" t="s">
        <v>435</v>
      </c>
      <c r="C58" s="69" t="s">
        <v>436</v>
      </c>
      <c r="D58" s="69" t="s">
        <v>133</v>
      </c>
      <c r="E58" s="69">
        <v>47.74</v>
      </c>
      <c r="F58" s="70"/>
      <c r="G58" s="70">
        <f>G56+F57</f>
        <v>4962.0929999999998</v>
      </c>
      <c r="H58" s="70">
        <f>SUM(F57:F58)</f>
        <v>348.04199999999997</v>
      </c>
      <c r="I58" s="71"/>
      <c r="J58" s="71"/>
      <c r="K58" s="71"/>
      <c r="L58" s="71"/>
      <c r="M58" s="259" t="s">
        <v>134</v>
      </c>
      <c r="N58" s="71"/>
      <c r="O58" s="71"/>
      <c r="P58" s="70">
        <v>53.66</v>
      </c>
      <c r="Q58" s="69" t="s">
        <v>762</v>
      </c>
      <c r="R58" s="70">
        <f>F57+F59</f>
        <v>626.58699999999999</v>
      </c>
      <c r="S58" s="73">
        <f>(F57+F59)/2</f>
        <v>313.29349999999999</v>
      </c>
      <c r="T58" s="68">
        <v>159</v>
      </c>
      <c r="U58" s="69">
        <v>137</v>
      </c>
      <c r="V58" s="74">
        <f>T58+U58</f>
        <v>296</v>
      </c>
      <c r="W58" s="68">
        <v>164</v>
      </c>
      <c r="X58" s="69">
        <v>138</v>
      </c>
      <c r="Y58" s="74">
        <f>W58+X58</f>
        <v>302</v>
      </c>
      <c r="Z58" s="75" t="s">
        <v>761</v>
      </c>
      <c r="AA58" s="76" t="s">
        <v>760</v>
      </c>
      <c r="AB58" s="77">
        <v>299447.52399999998</v>
      </c>
      <c r="AC58" s="78">
        <v>2866592.6669999999</v>
      </c>
      <c r="AD58" s="258"/>
      <c r="AE58" s="257" t="s">
        <v>352</v>
      </c>
      <c r="AF58" s="256"/>
      <c r="AG58" s="71"/>
      <c r="AH58" s="80"/>
    </row>
    <row r="59" spans="1:34" ht="31.15" hidden="1" customHeight="1">
      <c r="A59" s="68"/>
      <c r="B59" s="69" t="s">
        <v>134</v>
      </c>
      <c r="C59" s="69"/>
      <c r="D59" s="69"/>
      <c r="E59" s="69"/>
      <c r="F59" s="70">
        <v>278.54500000000002</v>
      </c>
      <c r="G59" s="69"/>
      <c r="H59" s="69"/>
      <c r="I59" s="71"/>
      <c r="J59" s="71"/>
      <c r="K59" s="71"/>
      <c r="L59" s="71"/>
      <c r="M59" s="259"/>
      <c r="N59" s="71"/>
      <c r="O59" s="71"/>
      <c r="P59" s="70"/>
      <c r="Q59" s="69"/>
      <c r="R59" s="70"/>
      <c r="S59" s="73"/>
      <c r="T59" s="68"/>
      <c r="U59" s="69"/>
      <c r="V59" s="74"/>
      <c r="W59" s="68"/>
      <c r="X59" s="69"/>
      <c r="Y59" s="74"/>
      <c r="Z59" s="75"/>
      <c r="AA59" s="76"/>
      <c r="AB59" s="77"/>
      <c r="AC59" s="78"/>
      <c r="AD59" s="258" t="s">
        <v>759</v>
      </c>
      <c r="AE59" s="257"/>
      <c r="AF59" s="256"/>
      <c r="AG59" s="71"/>
      <c r="AH59" s="80"/>
    </row>
    <row r="60" spans="1:34" ht="21.75" hidden="1" thickBot="1">
      <c r="A60" s="68">
        <v>26</v>
      </c>
      <c r="B60" s="69" t="s">
        <v>442</v>
      </c>
      <c r="C60" s="69" t="s">
        <v>443</v>
      </c>
      <c r="D60" s="69" t="s">
        <v>133</v>
      </c>
      <c r="E60" s="69">
        <v>47.74</v>
      </c>
      <c r="F60" s="70"/>
      <c r="G60" s="70">
        <f>G58+F59</f>
        <v>5240.6379999999999</v>
      </c>
      <c r="H60" s="70">
        <f>SUM(F59:F60)</f>
        <v>278.54500000000002</v>
      </c>
      <c r="I60" s="71"/>
      <c r="J60" s="71"/>
      <c r="K60" s="71"/>
      <c r="L60" s="71"/>
      <c r="M60" s="259" t="s">
        <v>134</v>
      </c>
      <c r="N60" s="71"/>
      <c r="O60" s="71"/>
      <c r="P60" s="70">
        <v>53.92</v>
      </c>
      <c r="Q60" s="69" t="s">
        <v>758</v>
      </c>
      <c r="R60" s="70">
        <f>F59+F61</f>
        <v>492.50200000000001</v>
      </c>
      <c r="S60" s="73">
        <f>(F59+F61)/2</f>
        <v>246.251</v>
      </c>
      <c r="T60" s="68">
        <v>141</v>
      </c>
      <c r="U60" s="69">
        <v>101</v>
      </c>
      <c r="V60" s="74">
        <f>T60+U60</f>
        <v>242</v>
      </c>
      <c r="W60" s="68">
        <v>140</v>
      </c>
      <c r="X60" s="69">
        <v>104</v>
      </c>
      <c r="Y60" s="74">
        <f>W60+X60</f>
        <v>244</v>
      </c>
      <c r="Z60" s="75" t="s">
        <v>757</v>
      </c>
      <c r="AA60" s="76" t="s">
        <v>756</v>
      </c>
      <c r="AB60" s="77">
        <v>299591.37800000003</v>
      </c>
      <c r="AC60" s="78">
        <v>2866831.19</v>
      </c>
      <c r="AD60" s="258"/>
      <c r="AE60" s="257" t="s">
        <v>361</v>
      </c>
      <c r="AF60" s="256"/>
      <c r="AG60" s="71"/>
      <c r="AH60" s="80" t="s">
        <v>14</v>
      </c>
    </row>
    <row r="61" spans="1:34" ht="21.75" hidden="1" thickBot="1">
      <c r="A61" s="68"/>
      <c r="B61" s="69" t="s">
        <v>134</v>
      </c>
      <c r="C61" s="69"/>
      <c r="D61" s="69"/>
      <c r="E61" s="69"/>
      <c r="F61" s="70">
        <v>213.95699999999999</v>
      </c>
      <c r="G61" s="69"/>
      <c r="H61" s="69"/>
      <c r="I61" s="71"/>
      <c r="J61" s="71"/>
      <c r="K61" s="71"/>
      <c r="L61" s="71"/>
      <c r="M61" s="259"/>
      <c r="N61" s="71"/>
      <c r="O61" s="71"/>
      <c r="P61" s="70"/>
      <c r="Q61" s="69"/>
      <c r="R61" s="70"/>
      <c r="S61" s="73"/>
      <c r="T61" s="68"/>
      <c r="U61" s="69"/>
      <c r="V61" s="74"/>
      <c r="W61" s="68"/>
      <c r="X61" s="69"/>
      <c r="Y61" s="74"/>
      <c r="Z61" s="75"/>
      <c r="AA61" s="76"/>
      <c r="AB61" s="77"/>
      <c r="AC61" s="78"/>
      <c r="AD61" s="258" t="s">
        <v>755</v>
      </c>
      <c r="AE61" s="257"/>
      <c r="AF61" s="256"/>
      <c r="AG61" s="71"/>
      <c r="AH61" s="80" t="s">
        <v>754</v>
      </c>
    </row>
    <row r="62" spans="1:34" ht="21.75" hidden="1" thickBot="1">
      <c r="A62" s="68">
        <v>27</v>
      </c>
      <c r="B62" s="69" t="s">
        <v>448</v>
      </c>
      <c r="C62" s="69" t="s">
        <v>72</v>
      </c>
      <c r="D62" s="69" t="s">
        <v>133</v>
      </c>
      <c r="E62" s="69">
        <v>47.74</v>
      </c>
      <c r="F62" s="70"/>
      <c r="G62" s="70">
        <f>G60+F61</f>
        <v>5454.5950000000003</v>
      </c>
      <c r="H62" s="70">
        <f>SUM(F61:F62)</f>
        <v>213.95699999999999</v>
      </c>
      <c r="I62" s="71"/>
      <c r="J62" s="71"/>
      <c r="K62" s="71"/>
      <c r="L62" s="71"/>
      <c r="M62" s="259">
        <v>1</v>
      </c>
      <c r="N62" s="71"/>
      <c r="O62" s="71"/>
      <c r="P62" s="70">
        <v>53.378999999999998</v>
      </c>
      <c r="Q62" s="69" t="s">
        <v>753</v>
      </c>
      <c r="R62" s="70">
        <f>F61+F63</f>
        <v>457.68</v>
      </c>
      <c r="S62" s="73">
        <f>(F61+F63)/2</f>
        <v>228.84</v>
      </c>
      <c r="T62" s="68">
        <v>112</v>
      </c>
      <c r="U62" s="69">
        <v>131</v>
      </c>
      <c r="V62" s="74">
        <f>T62+U62</f>
        <v>243</v>
      </c>
      <c r="W62" s="68">
        <v>109</v>
      </c>
      <c r="X62" s="69">
        <v>127</v>
      </c>
      <c r="Y62" s="74">
        <f>W62+X62</f>
        <v>236</v>
      </c>
      <c r="Z62" s="75" t="s">
        <v>752</v>
      </c>
      <c r="AA62" s="76" t="s">
        <v>751</v>
      </c>
      <c r="AB62" s="77">
        <v>299805.179</v>
      </c>
      <c r="AC62" s="78">
        <v>2866839.3560000001</v>
      </c>
      <c r="AD62" s="258"/>
      <c r="AE62" s="257" t="s">
        <v>361</v>
      </c>
      <c r="AF62" s="256"/>
      <c r="AG62" s="71"/>
      <c r="AH62" s="80" t="s">
        <v>750</v>
      </c>
    </row>
    <row r="63" spans="1:34" ht="21.75" hidden="1" thickBot="1">
      <c r="A63" s="68"/>
      <c r="B63" s="69" t="s">
        <v>134</v>
      </c>
      <c r="C63" s="69"/>
      <c r="D63" s="69"/>
      <c r="E63" s="69"/>
      <c r="F63" s="70">
        <v>243.72300000000001</v>
      </c>
      <c r="G63" s="69"/>
      <c r="H63" s="69"/>
      <c r="I63" s="71"/>
      <c r="J63" s="71"/>
      <c r="K63" s="71"/>
      <c r="L63" s="71"/>
      <c r="M63" s="259"/>
      <c r="N63" s="71"/>
      <c r="O63" s="71"/>
      <c r="P63" s="70"/>
      <c r="Q63" s="69"/>
      <c r="R63" s="70"/>
      <c r="S63" s="73"/>
      <c r="T63" s="68"/>
      <c r="U63" s="69"/>
      <c r="V63" s="74"/>
      <c r="W63" s="68"/>
      <c r="X63" s="69"/>
      <c r="Y63" s="74"/>
      <c r="Z63" s="75"/>
      <c r="AA63" s="76"/>
      <c r="AB63" s="77"/>
      <c r="AC63" s="78"/>
      <c r="AD63" s="258" t="s">
        <v>749</v>
      </c>
      <c r="AE63" s="257"/>
      <c r="AF63" s="256"/>
      <c r="AG63" s="71"/>
      <c r="AH63" s="80" t="s">
        <v>748</v>
      </c>
    </row>
    <row r="64" spans="1:34" ht="21.75" hidden="1" thickBot="1">
      <c r="A64" s="86">
        <v>28</v>
      </c>
      <c r="B64" s="87" t="s">
        <v>456</v>
      </c>
      <c r="C64" s="87" t="s">
        <v>457</v>
      </c>
      <c r="D64" s="87" t="s">
        <v>133</v>
      </c>
      <c r="E64" s="87">
        <v>47.74</v>
      </c>
      <c r="F64" s="88"/>
      <c r="G64" s="88">
        <f>G62+F63</f>
        <v>5698.3180000000002</v>
      </c>
      <c r="H64" s="88">
        <f>SUM(F63:F64)</f>
        <v>243.72300000000001</v>
      </c>
      <c r="I64" s="89"/>
      <c r="J64" s="89"/>
      <c r="K64" s="89"/>
      <c r="L64" s="89"/>
      <c r="M64" s="255" t="s">
        <v>134</v>
      </c>
      <c r="N64" s="89"/>
      <c r="O64" s="89"/>
      <c r="P64" s="88">
        <v>53.442</v>
      </c>
      <c r="Q64" s="87" t="s">
        <v>747</v>
      </c>
      <c r="R64" s="88">
        <v>573.72299999999996</v>
      </c>
      <c r="S64" s="91">
        <f>(F63)/2</f>
        <v>121.86150000000001</v>
      </c>
      <c r="T64" s="86">
        <v>113</v>
      </c>
      <c r="U64" s="87">
        <v>161</v>
      </c>
      <c r="V64" s="92">
        <f>T64+U64</f>
        <v>274</v>
      </c>
      <c r="W64" s="86">
        <v>117</v>
      </c>
      <c r="X64" s="87">
        <v>163</v>
      </c>
      <c r="Y64" s="92">
        <f>W64+X64</f>
        <v>280</v>
      </c>
      <c r="Z64" s="93" t="s">
        <v>746</v>
      </c>
      <c r="AA64" s="94" t="s">
        <v>745</v>
      </c>
      <c r="AB64" s="95">
        <v>299978.81199999998</v>
      </c>
      <c r="AC64" s="96">
        <v>2867010.39</v>
      </c>
      <c r="AD64" s="254" t="s">
        <v>14</v>
      </c>
      <c r="AE64" s="253" t="s">
        <v>744</v>
      </c>
      <c r="AF64" s="252"/>
      <c r="AG64" s="89"/>
      <c r="AH64" s="98" t="s">
        <v>673</v>
      </c>
    </row>
    <row r="65" spans="1:34" ht="21.75" thickBot="1">
      <c r="A65" s="275"/>
      <c r="B65" s="274"/>
      <c r="C65" s="274"/>
      <c r="D65" s="274"/>
      <c r="E65" s="274"/>
      <c r="F65" s="277"/>
      <c r="G65" s="277"/>
      <c r="H65" s="277"/>
      <c r="I65" s="265"/>
      <c r="J65" s="265"/>
      <c r="K65" s="265"/>
      <c r="L65" s="265"/>
      <c r="M65" s="278"/>
      <c r="N65" s="265"/>
      <c r="O65" s="265"/>
      <c r="P65" s="277"/>
      <c r="Q65" s="274"/>
      <c r="R65" s="277"/>
      <c r="S65" s="276"/>
      <c r="T65" s="275"/>
      <c r="U65" s="274"/>
      <c r="V65" s="273"/>
      <c r="W65" s="275"/>
      <c r="X65" s="274"/>
      <c r="Y65" s="273"/>
      <c r="Z65" s="272"/>
      <c r="AA65" s="271"/>
      <c r="AB65" s="270"/>
      <c r="AC65" s="269"/>
      <c r="AD65" s="268"/>
      <c r="AE65" s="267"/>
      <c r="AF65" s="266"/>
      <c r="AG65" s="265"/>
      <c r="AH65" s="264"/>
    </row>
    <row r="66" spans="1:34" ht="21">
      <c r="A66" s="55">
        <v>29</v>
      </c>
      <c r="B66" s="56" t="s">
        <v>560</v>
      </c>
      <c r="C66" s="56" t="s">
        <v>44</v>
      </c>
      <c r="D66" s="56" t="s">
        <v>357</v>
      </c>
      <c r="E66" s="56">
        <v>56.74</v>
      </c>
      <c r="F66" s="59"/>
      <c r="G66" s="59">
        <v>0</v>
      </c>
      <c r="H66" s="56">
        <v>0</v>
      </c>
      <c r="I66" s="57"/>
      <c r="J66" s="57"/>
      <c r="K66" s="57"/>
      <c r="L66" s="57"/>
      <c r="M66" s="263" t="s">
        <v>134</v>
      </c>
      <c r="N66" s="57"/>
      <c r="O66" s="57"/>
      <c r="P66" s="59">
        <v>52.972999999999999</v>
      </c>
      <c r="Q66" s="56" t="s">
        <v>743</v>
      </c>
      <c r="R66" s="59">
        <v>786.096</v>
      </c>
      <c r="S66" s="60">
        <f>(F67)/2</f>
        <v>192.59950000000001</v>
      </c>
      <c r="T66" s="55">
        <v>230</v>
      </c>
      <c r="U66" s="56">
        <v>210</v>
      </c>
      <c r="V66" s="61">
        <f>T66+U66</f>
        <v>440</v>
      </c>
      <c r="W66" s="55">
        <v>222</v>
      </c>
      <c r="X66" s="56">
        <v>207</v>
      </c>
      <c r="Y66" s="61">
        <f>W66+X66</f>
        <v>429</v>
      </c>
      <c r="Z66" s="62" t="s">
        <v>742</v>
      </c>
      <c r="AA66" s="63" t="s">
        <v>741</v>
      </c>
      <c r="AB66" s="64">
        <v>301909.49300000002</v>
      </c>
      <c r="AC66" s="65">
        <v>2867121.5490000001</v>
      </c>
      <c r="AD66" s="262"/>
      <c r="AE66" s="261" t="s">
        <v>368</v>
      </c>
      <c r="AF66" s="260"/>
      <c r="AG66" s="57"/>
      <c r="AH66" s="67" t="s">
        <v>673</v>
      </c>
    </row>
    <row r="67" spans="1:34" ht="30">
      <c r="A67" s="68"/>
      <c r="B67" s="69" t="s">
        <v>134</v>
      </c>
      <c r="C67" s="69"/>
      <c r="D67" s="69"/>
      <c r="E67" s="69"/>
      <c r="F67" s="70">
        <v>385.19900000000001</v>
      </c>
      <c r="G67" s="70"/>
      <c r="H67" s="69"/>
      <c r="I67" s="71"/>
      <c r="J67" s="71"/>
      <c r="K67" s="71"/>
      <c r="L67" s="71"/>
      <c r="M67" s="259"/>
      <c r="N67" s="71"/>
      <c r="O67" s="71"/>
      <c r="P67" s="70"/>
      <c r="Q67" s="69"/>
      <c r="R67" s="70"/>
      <c r="S67" s="73"/>
      <c r="T67" s="68"/>
      <c r="U67" s="69"/>
      <c r="V67" s="74"/>
      <c r="W67" s="68"/>
      <c r="X67" s="69"/>
      <c r="Y67" s="74"/>
      <c r="Z67" s="75"/>
      <c r="AA67" s="76"/>
      <c r="AB67" s="77"/>
      <c r="AC67" s="78"/>
      <c r="AD67" s="258" t="s">
        <v>740</v>
      </c>
      <c r="AE67" s="257"/>
      <c r="AF67" s="256"/>
      <c r="AG67" s="71"/>
      <c r="AH67" s="80"/>
    </row>
    <row r="68" spans="1:34" ht="21">
      <c r="A68" s="68">
        <v>30</v>
      </c>
      <c r="B68" s="69" t="s">
        <v>739</v>
      </c>
      <c r="C68" s="69" t="s">
        <v>40</v>
      </c>
      <c r="D68" s="69" t="s">
        <v>257</v>
      </c>
      <c r="E68" s="69">
        <v>53.74</v>
      </c>
      <c r="F68" s="70"/>
      <c r="G68" s="70">
        <f>G66+F67</f>
        <v>385.19900000000001</v>
      </c>
      <c r="H68" s="70">
        <f>SUM(F67:F68)</f>
        <v>385.19900000000001</v>
      </c>
      <c r="I68" s="71"/>
      <c r="J68" s="71"/>
      <c r="K68" s="71"/>
      <c r="L68" s="71"/>
      <c r="M68" s="259" t="s">
        <v>134</v>
      </c>
      <c r="N68" s="71"/>
      <c r="O68" s="71"/>
      <c r="P68" s="70">
        <v>53.234999999999999</v>
      </c>
      <c r="Q68" s="69" t="s">
        <v>738</v>
      </c>
      <c r="R68" s="70">
        <f>F67+F69</f>
        <v>763.6690000000001</v>
      </c>
      <c r="S68" s="73">
        <f>(F67+F69)/2</f>
        <v>381.83450000000005</v>
      </c>
      <c r="T68" s="68">
        <v>181</v>
      </c>
      <c r="U68" s="69">
        <v>224</v>
      </c>
      <c r="V68" s="74">
        <f>T68+U68</f>
        <v>405</v>
      </c>
      <c r="W68" s="68">
        <v>186</v>
      </c>
      <c r="X68" s="69">
        <v>215</v>
      </c>
      <c r="Y68" s="74">
        <f>W68+X68</f>
        <v>401</v>
      </c>
      <c r="Z68" s="75" t="s">
        <v>737</v>
      </c>
      <c r="AA68" s="76" t="s">
        <v>736</v>
      </c>
      <c r="AB68" s="77">
        <v>302289.60800000001</v>
      </c>
      <c r="AC68" s="78">
        <v>2867183.9240000001</v>
      </c>
      <c r="AD68" s="258"/>
      <c r="AE68" s="257" t="s">
        <v>397</v>
      </c>
      <c r="AF68" s="256"/>
      <c r="AG68" s="71"/>
      <c r="AH68" s="80"/>
    </row>
    <row r="69" spans="1:34" ht="21">
      <c r="A69" s="68"/>
      <c r="B69" s="69" t="s">
        <v>134</v>
      </c>
      <c r="C69" s="69"/>
      <c r="D69" s="69"/>
      <c r="E69" s="69"/>
      <c r="F69" s="70">
        <v>378.47</v>
      </c>
      <c r="G69" s="70"/>
      <c r="H69" s="69"/>
      <c r="I69" s="71"/>
      <c r="J69" s="71"/>
      <c r="K69" s="71"/>
      <c r="L69" s="71"/>
      <c r="M69" s="259"/>
      <c r="N69" s="71"/>
      <c r="O69" s="71"/>
      <c r="P69" s="70"/>
      <c r="Q69" s="69"/>
      <c r="R69" s="70"/>
      <c r="S69" s="73"/>
      <c r="T69" s="68"/>
      <c r="U69" s="69"/>
      <c r="V69" s="74"/>
      <c r="W69" s="68"/>
      <c r="X69" s="69"/>
      <c r="Y69" s="74"/>
      <c r="Z69" s="75"/>
      <c r="AA69" s="76"/>
      <c r="AB69" s="77"/>
      <c r="AC69" s="78"/>
      <c r="AD69" s="258" t="s">
        <v>735</v>
      </c>
      <c r="AE69" s="257"/>
      <c r="AF69" s="256"/>
      <c r="AG69" s="71"/>
      <c r="AH69" s="80"/>
    </row>
    <row r="70" spans="1:34" ht="21">
      <c r="A70" s="68">
        <v>31</v>
      </c>
      <c r="B70" s="69" t="s">
        <v>734</v>
      </c>
      <c r="C70" s="69" t="s">
        <v>74</v>
      </c>
      <c r="D70" s="69" t="s">
        <v>193</v>
      </c>
      <c r="E70" s="69">
        <v>47.74</v>
      </c>
      <c r="F70" s="70"/>
      <c r="G70" s="70">
        <f>G68+F69</f>
        <v>763.6690000000001</v>
      </c>
      <c r="H70" s="70">
        <f>SUM(F69:F70)</f>
        <v>378.47</v>
      </c>
      <c r="I70" s="71"/>
      <c r="J70" s="71"/>
      <c r="K70" s="71"/>
      <c r="L70" s="71"/>
      <c r="M70" s="259" t="s">
        <v>134</v>
      </c>
      <c r="N70" s="71"/>
      <c r="O70" s="71"/>
      <c r="P70" s="70">
        <v>53.277000000000001</v>
      </c>
      <c r="Q70" s="69" t="s">
        <v>733</v>
      </c>
      <c r="R70" s="70">
        <f>F69+F71</f>
        <v>791.47</v>
      </c>
      <c r="S70" s="73">
        <f>(F69+F71)/2</f>
        <v>395.73500000000001</v>
      </c>
      <c r="T70" s="68">
        <v>158</v>
      </c>
      <c r="U70" s="69">
        <v>180</v>
      </c>
      <c r="V70" s="74">
        <f>T70+U70</f>
        <v>338</v>
      </c>
      <c r="W70" s="68">
        <v>168</v>
      </c>
      <c r="X70" s="69">
        <v>188</v>
      </c>
      <c r="Y70" s="74">
        <f>W70+X70</f>
        <v>356</v>
      </c>
      <c r="Z70" s="75" t="s">
        <v>732</v>
      </c>
      <c r="AA70" s="76" t="s">
        <v>731</v>
      </c>
      <c r="AB70" s="77">
        <v>302568.42200000002</v>
      </c>
      <c r="AC70" s="78">
        <v>2867439.858</v>
      </c>
      <c r="AD70" s="258"/>
      <c r="AE70" s="257" t="s">
        <v>397</v>
      </c>
      <c r="AF70" s="256"/>
      <c r="AG70" s="71"/>
      <c r="AH70" s="80"/>
    </row>
    <row r="71" spans="1:34" ht="21">
      <c r="A71" s="68"/>
      <c r="B71" s="69" t="s">
        <v>134</v>
      </c>
      <c r="C71" s="69"/>
      <c r="D71" s="69"/>
      <c r="E71" s="69"/>
      <c r="F71" s="70">
        <v>413</v>
      </c>
      <c r="G71" s="70"/>
      <c r="H71" s="69"/>
      <c r="I71" s="71"/>
      <c r="J71" s="71"/>
      <c r="K71" s="71"/>
      <c r="L71" s="71"/>
      <c r="M71" s="259"/>
      <c r="N71" s="71"/>
      <c r="O71" s="71"/>
      <c r="P71" s="70"/>
      <c r="Q71" s="69"/>
      <c r="R71" s="70"/>
      <c r="S71" s="73"/>
      <c r="T71" s="68"/>
      <c r="U71" s="69"/>
      <c r="V71" s="74"/>
      <c r="W71" s="68"/>
      <c r="X71" s="69"/>
      <c r="Y71" s="74"/>
      <c r="Z71" s="75"/>
      <c r="AA71" s="76"/>
      <c r="AB71" s="77"/>
      <c r="AC71" s="78"/>
      <c r="AD71" s="258" t="s">
        <v>730</v>
      </c>
      <c r="AE71" s="257"/>
      <c r="AF71" s="256"/>
      <c r="AG71" s="71"/>
      <c r="AH71" s="80"/>
    </row>
    <row r="72" spans="1:34" ht="21">
      <c r="A72" s="68">
        <v>32</v>
      </c>
      <c r="B72" s="69" t="s">
        <v>134</v>
      </c>
      <c r="C72" s="69" t="s">
        <v>729</v>
      </c>
      <c r="D72" s="69" t="s">
        <v>301</v>
      </c>
      <c r="E72" s="69">
        <v>54.16</v>
      </c>
      <c r="F72" s="70"/>
      <c r="G72" s="70">
        <f>G70+F71</f>
        <v>1176.6690000000001</v>
      </c>
      <c r="H72" s="69" t="s">
        <v>134</v>
      </c>
      <c r="I72" s="71"/>
      <c r="J72" s="71"/>
      <c r="K72" s="71"/>
      <c r="L72" s="71"/>
      <c r="M72" s="259" t="s">
        <v>134</v>
      </c>
      <c r="N72" s="71"/>
      <c r="O72" s="71"/>
      <c r="P72" s="70">
        <v>52.686999999999998</v>
      </c>
      <c r="Q72" s="69" t="s">
        <v>134</v>
      </c>
      <c r="R72" s="70">
        <f>F71+F73</f>
        <v>799</v>
      </c>
      <c r="S72" s="73">
        <f>(F71+F73)/2</f>
        <v>399.5</v>
      </c>
      <c r="T72" s="68">
        <v>234</v>
      </c>
      <c r="U72" s="69">
        <v>212</v>
      </c>
      <c r="V72" s="74">
        <f>T72+U72</f>
        <v>446</v>
      </c>
      <c r="W72" s="68">
        <v>227</v>
      </c>
      <c r="X72" s="69">
        <v>207</v>
      </c>
      <c r="Y72" s="74">
        <f>W72+X72</f>
        <v>434</v>
      </c>
      <c r="Z72" s="75" t="s">
        <v>728</v>
      </c>
      <c r="AA72" s="76" t="s">
        <v>727</v>
      </c>
      <c r="AB72" s="77">
        <v>302813.54300000001</v>
      </c>
      <c r="AC72" s="78">
        <v>2867772.2510000002</v>
      </c>
      <c r="AD72" s="258"/>
      <c r="AE72" s="257" t="s">
        <v>397</v>
      </c>
      <c r="AF72" s="256"/>
      <c r="AG72" s="71"/>
      <c r="AH72" s="80"/>
    </row>
    <row r="73" spans="1:34" ht="21">
      <c r="A73" s="68"/>
      <c r="B73" s="69" t="s">
        <v>134</v>
      </c>
      <c r="C73" s="69"/>
      <c r="D73" s="69"/>
      <c r="E73" s="69"/>
      <c r="F73" s="70">
        <v>386</v>
      </c>
      <c r="G73" s="70"/>
      <c r="H73" s="69"/>
      <c r="I73" s="71"/>
      <c r="J73" s="71"/>
      <c r="K73" s="71"/>
      <c r="L73" s="71"/>
      <c r="M73" s="259"/>
      <c r="N73" s="71"/>
      <c r="O73" s="71"/>
      <c r="P73" s="70"/>
      <c r="Q73" s="69"/>
      <c r="R73" s="70"/>
      <c r="S73" s="73"/>
      <c r="T73" s="68"/>
      <c r="U73" s="69"/>
      <c r="V73" s="74"/>
      <c r="W73" s="68"/>
      <c r="X73" s="69"/>
      <c r="Y73" s="74"/>
      <c r="Z73" s="75"/>
      <c r="AA73" s="76"/>
      <c r="AB73" s="77"/>
      <c r="AC73" s="78"/>
      <c r="AD73" s="258" t="s">
        <v>723</v>
      </c>
      <c r="AE73" s="257"/>
      <c r="AF73" s="256"/>
      <c r="AG73" s="71"/>
      <c r="AH73" s="80"/>
    </row>
    <row r="74" spans="1:34" ht="21">
      <c r="A74" s="68">
        <v>33</v>
      </c>
      <c r="B74" s="69" t="s">
        <v>134</v>
      </c>
      <c r="C74" s="69" t="s">
        <v>726</v>
      </c>
      <c r="D74" s="69" t="s">
        <v>187</v>
      </c>
      <c r="E74" s="69">
        <v>51.16</v>
      </c>
      <c r="F74" s="70"/>
      <c r="G74" s="70">
        <f>G72+F73</f>
        <v>1562.6690000000001</v>
      </c>
      <c r="H74" s="69" t="s">
        <v>134</v>
      </c>
      <c r="I74" s="71"/>
      <c r="J74" s="71"/>
      <c r="K74" s="71"/>
      <c r="L74" s="71"/>
      <c r="M74" s="259" t="s">
        <v>134</v>
      </c>
      <c r="N74" s="71"/>
      <c r="O74" s="71"/>
      <c r="P74" s="70">
        <v>52.137999999999998</v>
      </c>
      <c r="Q74" s="69" t="s">
        <v>134</v>
      </c>
      <c r="R74" s="70">
        <f>F73+F75</f>
        <v>784</v>
      </c>
      <c r="S74" s="73">
        <f>(F73+F75)/2</f>
        <v>392</v>
      </c>
      <c r="T74" s="68">
        <v>174</v>
      </c>
      <c r="U74" s="69">
        <v>217</v>
      </c>
      <c r="V74" s="74">
        <f>T74+U74</f>
        <v>391</v>
      </c>
      <c r="W74" s="68">
        <v>180</v>
      </c>
      <c r="X74" s="69">
        <v>213</v>
      </c>
      <c r="Y74" s="74">
        <f>W74+X74</f>
        <v>393</v>
      </c>
      <c r="Z74" s="75" t="s">
        <v>725</v>
      </c>
      <c r="AA74" s="76" t="s">
        <v>724</v>
      </c>
      <c r="AB74" s="77">
        <v>303042.63799999998</v>
      </c>
      <c r="AC74" s="78">
        <v>2868082.9139999999</v>
      </c>
      <c r="AD74" s="258"/>
      <c r="AE74" s="257" t="s">
        <v>406</v>
      </c>
      <c r="AF74" s="256"/>
      <c r="AG74" s="71"/>
      <c r="AH74" s="80"/>
    </row>
    <row r="75" spans="1:34" ht="21">
      <c r="A75" s="68"/>
      <c r="B75" s="69" t="s">
        <v>134</v>
      </c>
      <c r="C75" s="69"/>
      <c r="D75" s="69"/>
      <c r="E75" s="69"/>
      <c r="F75" s="70">
        <v>398</v>
      </c>
      <c r="G75" s="70"/>
      <c r="H75" s="69"/>
      <c r="I75" s="71"/>
      <c r="J75" s="71"/>
      <c r="K75" s="71"/>
      <c r="L75" s="71"/>
      <c r="M75" s="259"/>
      <c r="N75" s="71"/>
      <c r="O75" s="71"/>
      <c r="P75" s="70"/>
      <c r="Q75" s="69"/>
      <c r="R75" s="70"/>
      <c r="S75" s="73"/>
      <c r="T75" s="68"/>
      <c r="U75" s="69"/>
      <c r="V75" s="74"/>
      <c r="W75" s="68"/>
      <c r="X75" s="69"/>
      <c r="Y75" s="74"/>
      <c r="Z75" s="75"/>
      <c r="AA75" s="76"/>
      <c r="AB75" s="77"/>
      <c r="AC75" s="78"/>
      <c r="AD75" s="258" t="s">
        <v>723</v>
      </c>
      <c r="AE75" s="257"/>
      <c r="AF75" s="256"/>
      <c r="AG75" s="71"/>
      <c r="AH75" s="80"/>
    </row>
    <row r="76" spans="1:34" ht="21">
      <c r="A76" s="68">
        <v>34</v>
      </c>
      <c r="B76" s="69" t="s">
        <v>134</v>
      </c>
      <c r="C76" s="69" t="s">
        <v>722</v>
      </c>
      <c r="D76" s="69" t="s">
        <v>153</v>
      </c>
      <c r="E76" s="69">
        <v>48.16</v>
      </c>
      <c r="F76" s="70"/>
      <c r="G76" s="70">
        <f>G74+F75</f>
        <v>1960.6690000000001</v>
      </c>
      <c r="H76" s="69" t="s">
        <v>134</v>
      </c>
      <c r="I76" s="71"/>
      <c r="J76" s="71"/>
      <c r="K76" s="71"/>
      <c r="L76" s="71"/>
      <c r="M76" s="259" t="s">
        <v>134</v>
      </c>
      <c r="N76" s="71"/>
      <c r="O76" s="71"/>
      <c r="P76" s="70">
        <v>51.658999999999999</v>
      </c>
      <c r="Q76" s="69" t="s">
        <v>134</v>
      </c>
      <c r="R76" s="70">
        <f>F75+F77</f>
        <v>799</v>
      </c>
      <c r="S76" s="73">
        <f>(F75+F77)/2</f>
        <v>399.5</v>
      </c>
      <c r="T76" s="68">
        <v>181</v>
      </c>
      <c r="U76" s="69">
        <v>181</v>
      </c>
      <c r="V76" s="74">
        <f>T76+U76</f>
        <v>362</v>
      </c>
      <c r="W76" s="68">
        <v>186</v>
      </c>
      <c r="X76" s="69">
        <v>187</v>
      </c>
      <c r="Y76" s="74">
        <f>W76+X76</f>
        <v>373</v>
      </c>
      <c r="Z76" s="75" t="s">
        <v>721</v>
      </c>
      <c r="AA76" s="76" t="s">
        <v>720</v>
      </c>
      <c r="AB76" s="77">
        <v>303278.85600000003</v>
      </c>
      <c r="AC76" s="78">
        <v>2868403.2340000002</v>
      </c>
      <c r="AD76" s="258"/>
      <c r="AE76" s="257" t="s">
        <v>406</v>
      </c>
      <c r="AF76" s="256"/>
      <c r="AG76" s="71"/>
      <c r="AH76" s="80"/>
    </row>
    <row r="77" spans="1:34" ht="21">
      <c r="A77" s="68"/>
      <c r="B77" s="69" t="s">
        <v>134</v>
      </c>
      <c r="C77" s="69"/>
      <c r="D77" s="69"/>
      <c r="E77" s="69"/>
      <c r="F77" s="70">
        <v>401</v>
      </c>
      <c r="G77" s="70"/>
      <c r="H77" s="69"/>
      <c r="I77" s="71"/>
      <c r="J77" s="71"/>
      <c r="K77" s="71"/>
      <c r="L77" s="71"/>
      <c r="M77" s="259"/>
      <c r="N77" s="71"/>
      <c r="O77" s="71"/>
      <c r="P77" s="70"/>
      <c r="Q77" s="69"/>
      <c r="R77" s="70"/>
      <c r="S77" s="73"/>
      <c r="T77" s="68"/>
      <c r="U77" s="69"/>
      <c r="V77" s="74"/>
      <c r="W77" s="68"/>
      <c r="X77" s="69"/>
      <c r="Y77" s="74"/>
      <c r="Z77" s="75"/>
      <c r="AA77" s="76"/>
      <c r="AB77" s="77"/>
      <c r="AC77" s="78"/>
      <c r="AD77" s="258" t="s">
        <v>719</v>
      </c>
      <c r="AE77" s="257"/>
      <c r="AF77" s="256"/>
      <c r="AG77" s="71"/>
      <c r="AH77" s="80"/>
    </row>
    <row r="78" spans="1:34" ht="21">
      <c r="A78" s="68">
        <v>35</v>
      </c>
      <c r="B78" s="69" t="s">
        <v>134</v>
      </c>
      <c r="C78" s="69" t="s">
        <v>718</v>
      </c>
      <c r="D78" s="69" t="s">
        <v>187</v>
      </c>
      <c r="E78" s="69">
        <v>51.16</v>
      </c>
      <c r="F78" s="70"/>
      <c r="G78" s="70">
        <f>G76+F77</f>
        <v>2361.6689999999999</v>
      </c>
      <c r="H78" s="69" t="s">
        <v>134</v>
      </c>
      <c r="I78" s="71"/>
      <c r="J78" s="71"/>
      <c r="K78" s="71"/>
      <c r="L78" s="71"/>
      <c r="M78" s="259" t="s">
        <v>134</v>
      </c>
      <c r="N78" s="71"/>
      <c r="O78" s="71"/>
      <c r="P78" s="70">
        <v>52.432000000000002</v>
      </c>
      <c r="Q78" s="69" t="s">
        <v>134</v>
      </c>
      <c r="R78" s="70">
        <f>F77+F79</f>
        <v>768</v>
      </c>
      <c r="S78" s="73">
        <f>(F77+F79)/2</f>
        <v>384</v>
      </c>
      <c r="T78" s="68">
        <v>220</v>
      </c>
      <c r="U78" s="69">
        <v>183</v>
      </c>
      <c r="V78" s="74">
        <f>T78+U78</f>
        <v>403</v>
      </c>
      <c r="W78" s="68">
        <v>215</v>
      </c>
      <c r="X78" s="69">
        <v>183</v>
      </c>
      <c r="Y78" s="74">
        <f>W78+X78</f>
        <v>398</v>
      </c>
      <c r="Z78" s="75" t="s">
        <v>717</v>
      </c>
      <c r="AA78" s="76" t="s">
        <v>716</v>
      </c>
      <c r="AB78" s="77">
        <v>303516.85399999999</v>
      </c>
      <c r="AC78" s="78">
        <v>2868725.969</v>
      </c>
      <c r="AD78" s="258"/>
      <c r="AE78" s="257" t="s">
        <v>715</v>
      </c>
      <c r="AF78" s="256"/>
      <c r="AG78" s="71"/>
      <c r="AH78" s="80"/>
    </row>
    <row r="79" spans="1:34" ht="31.15" customHeight="1">
      <c r="A79" s="68"/>
      <c r="B79" s="69" t="s">
        <v>134</v>
      </c>
      <c r="C79" s="69"/>
      <c r="D79" s="69"/>
      <c r="E79" s="69"/>
      <c r="F79" s="70">
        <v>367</v>
      </c>
      <c r="G79" s="70"/>
      <c r="H79" s="69"/>
      <c r="I79" s="71"/>
      <c r="J79" s="71"/>
      <c r="K79" s="71"/>
      <c r="L79" s="71"/>
      <c r="M79" s="259"/>
      <c r="N79" s="71"/>
      <c r="O79" s="71"/>
      <c r="P79" s="70"/>
      <c r="Q79" s="69"/>
      <c r="R79" s="70"/>
      <c r="S79" s="73"/>
      <c r="T79" s="68"/>
      <c r="U79" s="69"/>
      <c r="V79" s="74"/>
      <c r="W79" s="68"/>
      <c r="X79" s="69"/>
      <c r="Y79" s="74"/>
      <c r="Z79" s="75"/>
      <c r="AA79" s="76"/>
      <c r="AB79" s="77"/>
      <c r="AC79" s="78"/>
      <c r="AD79" s="258" t="s">
        <v>714</v>
      </c>
      <c r="AE79" s="257"/>
      <c r="AF79" s="256"/>
      <c r="AG79" s="71"/>
      <c r="AH79" s="80"/>
    </row>
    <row r="80" spans="1:34" ht="21">
      <c r="A80" s="68">
        <v>36</v>
      </c>
      <c r="B80" s="69" t="s">
        <v>134</v>
      </c>
      <c r="C80" s="69" t="s">
        <v>713</v>
      </c>
      <c r="D80" s="69" t="s">
        <v>187</v>
      </c>
      <c r="E80" s="69">
        <v>51.16</v>
      </c>
      <c r="F80" s="70"/>
      <c r="G80" s="70">
        <f>G78+F79</f>
        <v>2728.6689999999999</v>
      </c>
      <c r="H80" s="69" t="s">
        <v>134</v>
      </c>
      <c r="I80" s="71"/>
      <c r="J80" s="71"/>
      <c r="K80" s="71"/>
      <c r="L80" s="71"/>
      <c r="M80" s="259" t="s">
        <v>134</v>
      </c>
      <c r="N80" s="71"/>
      <c r="O80" s="71"/>
      <c r="P80" s="70">
        <v>52.557000000000002</v>
      </c>
      <c r="Q80" s="69" t="s">
        <v>134</v>
      </c>
      <c r="R80" s="70">
        <f>F79+F81</f>
        <v>799.74299999999994</v>
      </c>
      <c r="S80" s="73">
        <f>(F79+F81)/2</f>
        <v>399.87149999999997</v>
      </c>
      <c r="T80" s="68">
        <v>184</v>
      </c>
      <c r="U80" s="69">
        <v>199</v>
      </c>
      <c r="V80" s="74">
        <f>T80+U80</f>
        <v>383</v>
      </c>
      <c r="W80" s="68">
        <v>184</v>
      </c>
      <c r="X80" s="69">
        <v>204</v>
      </c>
      <c r="Y80" s="74">
        <f>W80+X80</f>
        <v>388</v>
      </c>
      <c r="Z80" s="75" t="s">
        <v>712</v>
      </c>
      <c r="AA80" s="76" t="s">
        <v>711</v>
      </c>
      <c r="AB80" s="77">
        <v>303734.67300000001</v>
      </c>
      <c r="AC80" s="78">
        <v>2869021.34</v>
      </c>
      <c r="AD80" s="258"/>
      <c r="AE80" s="257" t="s">
        <v>692</v>
      </c>
      <c r="AF80" s="256"/>
      <c r="AG80" s="71"/>
      <c r="AH80" s="80"/>
    </row>
    <row r="81" spans="1:34" ht="21">
      <c r="A81" s="68"/>
      <c r="B81" s="69" t="s">
        <v>134</v>
      </c>
      <c r="C81" s="69"/>
      <c r="D81" s="69"/>
      <c r="E81" s="69"/>
      <c r="F81" s="70">
        <v>432.74299999999999</v>
      </c>
      <c r="G81" s="70"/>
      <c r="H81" s="69"/>
      <c r="I81" s="71"/>
      <c r="J81" s="71"/>
      <c r="K81" s="71"/>
      <c r="L81" s="71"/>
      <c r="M81" s="259"/>
      <c r="N81" s="71"/>
      <c r="O81" s="71"/>
      <c r="P81" s="70"/>
      <c r="Q81" s="69"/>
      <c r="R81" s="70"/>
      <c r="S81" s="73"/>
      <c r="T81" s="68"/>
      <c r="U81" s="69"/>
      <c r="V81" s="74"/>
      <c r="W81" s="68"/>
      <c r="X81" s="69"/>
      <c r="Y81" s="74"/>
      <c r="Z81" s="75"/>
      <c r="AA81" s="76"/>
      <c r="AB81" s="77"/>
      <c r="AC81" s="78"/>
      <c r="AD81" s="258"/>
      <c r="AE81" s="257"/>
      <c r="AF81" s="256"/>
      <c r="AG81" s="71"/>
      <c r="AH81" s="80"/>
    </row>
    <row r="82" spans="1:34" ht="21">
      <c r="A82" s="68">
        <v>37</v>
      </c>
      <c r="B82" s="69" t="s">
        <v>710</v>
      </c>
      <c r="C82" s="69" t="s">
        <v>54</v>
      </c>
      <c r="D82" s="69" t="s">
        <v>337</v>
      </c>
      <c r="E82" s="69">
        <v>53.74</v>
      </c>
      <c r="F82" s="70"/>
      <c r="G82" s="70">
        <f>G80+F81</f>
        <v>3161.4119999999998</v>
      </c>
      <c r="H82" s="70">
        <f>SUM(F71:F82)</f>
        <v>2397.7429999999999</v>
      </c>
      <c r="I82" s="71"/>
      <c r="J82" s="71"/>
      <c r="K82" s="71"/>
      <c r="L82" s="71"/>
      <c r="M82" s="259" t="s">
        <v>134</v>
      </c>
      <c r="N82" s="71"/>
      <c r="O82" s="71"/>
      <c r="P82" s="70">
        <v>53.261000000000003</v>
      </c>
      <c r="Q82" s="69" t="s">
        <v>709</v>
      </c>
      <c r="R82" s="70">
        <f>F81+F83</f>
        <v>769.81999999999994</v>
      </c>
      <c r="S82" s="73">
        <f>(F81+F83)/2</f>
        <v>384.90999999999997</v>
      </c>
      <c r="T82" s="68">
        <v>235</v>
      </c>
      <c r="U82" s="69">
        <v>209</v>
      </c>
      <c r="V82" s="74">
        <f>T82+U82</f>
        <v>444</v>
      </c>
      <c r="W82" s="68">
        <v>230</v>
      </c>
      <c r="X82" s="69">
        <v>196</v>
      </c>
      <c r="Y82" s="74">
        <f>W82+X82</f>
        <v>426</v>
      </c>
      <c r="Z82" s="75" t="s">
        <v>708</v>
      </c>
      <c r="AA82" s="76" t="s">
        <v>707</v>
      </c>
      <c r="AB82" s="77">
        <v>303991.511</v>
      </c>
      <c r="AC82" s="78">
        <v>2869369.6230000001</v>
      </c>
      <c r="AD82" s="258"/>
      <c r="AE82" s="257" t="s">
        <v>692</v>
      </c>
      <c r="AF82" s="256"/>
      <c r="AG82" s="71"/>
      <c r="AH82" s="80"/>
    </row>
    <row r="83" spans="1:34" ht="21">
      <c r="A83" s="68"/>
      <c r="B83" s="69" t="s">
        <v>134</v>
      </c>
      <c r="C83" s="69"/>
      <c r="D83" s="69"/>
      <c r="E83" s="69"/>
      <c r="F83" s="70">
        <v>337.077</v>
      </c>
      <c r="G83" s="70"/>
      <c r="H83" s="69"/>
      <c r="I83" s="71"/>
      <c r="J83" s="71"/>
      <c r="K83" s="71"/>
      <c r="L83" s="71"/>
      <c r="M83" s="259"/>
      <c r="N83" s="71"/>
      <c r="O83" s="71"/>
      <c r="P83" s="70"/>
      <c r="Q83" s="69"/>
      <c r="R83" s="70"/>
      <c r="S83" s="73"/>
      <c r="T83" s="68"/>
      <c r="U83" s="69"/>
      <c r="V83" s="74"/>
      <c r="W83" s="68"/>
      <c r="X83" s="69"/>
      <c r="Y83" s="74"/>
      <c r="Z83" s="75"/>
      <c r="AA83" s="76"/>
      <c r="AB83" s="77"/>
      <c r="AC83" s="78"/>
      <c r="AD83" s="258" t="s">
        <v>706</v>
      </c>
      <c r="AE83" s="257"/>
      <c r="AF83" s="256"/>
      <c r="AG83" s="71"/>
      <c r="AH83" s="80"/>
    </row>
    <row r="84" spans="1:34" ht="21">
      <c r="A84" s="68">
        <v>38</v>
      </c>
      <c r="B84" s="69" t="s">
        <v>705</v>
      </c>
      <c r="C84" s="69" t="s">
        <v>704</v>
      </c>
      <c r="D84" s="69" t="s">
        <v>167</v>
      </c>
      <c r="E84" s="69">
        <v>47.74</v>
      </c>
      <c r="F84" s="70"/>
      <c r="G84" s="70">
        <f>G82+F83</f>
        <v>3498.4889999999996</v>
      </c>
      <c r="H84" s="70">
        <f>SUM(F83:F84)</f>
        <v>337.077</v>
      </c>
      <c r="I84" s="71"/>
      <c r="J84" s="71"/>
      <c r="K84" s="71"/>
      <c r="L84" s="71"/>
      <c r="M84" s="259" t="s">
        <v>134</v>
      </c>
      <c r="N84" s="71"/>
      <c r="O84" s="71"/>
      <c r="P84" s="70">
        <v>52.930999999999997</v>
      </c>
      <c r="Q84" s="69" t="s">
        <v>703</v>
      </c>
      <c r="R84" s="70">
        <f>F83+F85</f>
        <v>652.077</v>
      </c>
      <c r="S84" s="73">
        <f>(F83+F85)/2</f>
        <v>326.0385</v>
      </c>
      <c r="T84" s="68">
        <v>127</v>
      </c>
      <c r="U84" s="69">
        <v>162</v>
      </c>
      <c r="V84" s="74">
        <f>T84+U84</f>
        <v>289</v>
      </c>
      <c r="W84" s="68">
        <v>141</v>
      </c>
      <c r="X84" s="69">
        <v>160</v>
      </c>
      <c r="Y84" s="74">
        <f>W84+X84</f>
        <v>301</v>
      </c>
      <c r="Z84" s="75" t="s">
        <v>702</v>
      </c>
      <c r="AA84" s="76" t="s">
        <v>701</v>
      </c>
      <c r="AB84" s="77">
        <v>304150.18900000001</v>
      </c>
      <c r="AC84" s="78">
        <v>2869667.0159999998</v>
      </c>
      <c r="AD84" s="258"/>
      <c r="AE84" s="257" t="s">
        <v>692</v>
      </c>
      <c r="AF84" s="256"/>
      <c r="AG84" s="71"/>
      <c r="AH84" s="80" t="s">
        <v>14</v>
      </c>
    </row>
    <row r="85" spans="1:34" ht="21">
      <c r="A85" s="68"/>
      <c r="B85" s="69" t="s">
        <v>134</v>
      </c>
      <c r="C85" s="69"/>
      <c r="D85" s="69"/>
      <c r="E85" s="69"/>
      <c r="F85" s="70">
        <v>315</v>
      </c>
      <c r="G85" s="70"/>
      <c r="H85" s="69"/>
      <c r="I85" s="71"/>
      <c r="J85" s="71"/>
      <c r="K85" s="71"/>
      <c r="L85" s="71"/>
      <c r="M85" s="259"/>
      <c r="N85" s="71"/>
      <c r="O85" s="71"/>
      <c r="P85" s="70"/>
      <c r="Q85" s="69"/>
      <c r="R85" s="70"/>
      <c r="S85" s="73"/>
      <c r="T85" s="68"/>
      <c r="U85" s="69"/>
      <c r="V85" s="74"/>
      <c r="W85" s="68"/>
      <c r="X85" s="69"/>
      <c r="Y85" s="74"/>
      <c r="Z85" s="75"/>
      <c r="AA85" s="76"/>
      <c r="AB85" s="77"/>
      <c r="AC85" s="78"/>
      <c r="AD85" s="258" t="s">
        <v>700</v>
      </c>
      <c r="AE85" s="257"/>
      <c r="AF85" s="256"/>
      <c r="AG85" s="71"/>
      <c r="AH85" s="80"/>
    </row>
    <row r="86" spans="1:34" ht="21">
      <c r="A86" s="68">
        <v>39</v>
      </c>
      <c r="B86" s="69" t="s">
        <v>134</v>
      </c>
      <c r="C86" s="69" t="s">
        <v>699</v>
      </c>
      <c r="D86" s="69" t="s">
        <v>153</v>
      </c>
      <c r="E86" s="69">
        <v>48.16</v>
      </c>
      <c r="F86" s="70"/>
      <c r="G86" s="70">
        <f>G84+F85</f>
        <v>3813.4889999999996</v>
      </c>
      <c r="H86" s="69" t="s">
        <v>134</v>
      </c>
      <c r="I86" s="71"/>
      <c r="J86" s="71"/>
      <c r="K86" s="71"/>
      <c r="L86" s="71"/>
      <c r="M86" s="259" t="s">
        <v>134</v>
      </c>
      <c r="N86" s="71"/>
      <c r="O86" s="71"/>
      <c r="P86" s="70">
        <v>52.225999999999999</v>
      </c>
      <c r="Q86" s="69" t="s">
        <v>134</v>
      </c>
      <c r="R86" s="70">
        <f>F85+F87</f>
        <v>631.64499999999998</v>
      </c>
      <c r="S86" s="73">
        <f>(F85+F87)/2</f>
        <v>315.82249999999999</v>
      </c>
      <c r="T86" s="68">
        <v>152</v>
      </c>
      <c r="U86" s="69">
        <v>157</v>
      </c>
      <c r="V86" s="74">
        <f>T86+U86</f>
        <v>309</v>
      </c>
      <c r="W86" s="68">
        <v>154</v>
      </c>
      <c r="X86" s="69">
        <v>157</v>
      </c>
      <c r="Y86" s="74">
        <f>W86+X86</f>
        <v>311</v>
      </c>
      <c r="Z86" s="75" t="s">
        <v>698</v>
      </c>
      <c r="AA86" s="76" t="s">
        <v>697</v>
      </c>
      <c r="AB86" s="77">
        <v>304391.31300000002</v>
      </c>
      <c r="AC86" s="78">
        <v>2869869.7080000001</v>
      </c>
      <c r="AD86" s="258"/>
      <c r="AE86" s="257" t="s">
        <v>692</v>
      </c>
      <c r="AF86" s="256"/>
      <c r="AG86" s="71"/>
      <c r="AH86" s="80"/>
    </row>
    <row r="87" spans="1:34" ht="21">
      <c r="A87" s="68"/>
      <c r="B87" s="69" t="s">
        <v>134</v>
      </c>
      <c r="C87" s="69"/>
      <c r="D87" s="69"/>
      <c r="E87" s="69"/>
      <c r="F87" s="70">
        <v>316.64499999999998</v>
      </c>
      <c r="G87" s="70"/>
      <c r="H87" s="69"/>
      <c r="I87" s="71"/>
      <c r="J87" s="71"/>
      <c r="K87" s="71"/>
      <c r="L87" s="71"/>
      <c r="M87" s="259"/>
      <c r="N87" s="71"/>
      <c r="O87" s="71"/>
      <c r="P87" s="70"/>
      <c r="Q87" s="69"/>
      <c r="R87" s="70"/>
      <c r="S87" s="73"/>
      <c r="T87" s="68"/>
      <c r="U87" s="69"/>
      <c r="V87" s="74"/>
      <c r="W87" s="68"/>
      <c r="X87" s="69"/>
      <c r="Y87" s="74"/>
      <c r="Z87" s="75"/>
      <c r="AA87" s="76"/>
      <c r="AB87" s="77"/>
      <c r="AC87" s="78"/>
      <c r="AD87" s="258" t="s">
        <v>321</v>
      </c>
      <c r="AE87" s="257"/>
      <c r="AF87" s="256"/>
      <c r="AG87" s="71"/>
      <c r="AH87" s="80"/>
    </row>
    <row r="88" spans="1:34" ht="21">
      <c r="A88" s="68">
        <v>40</v>
      </c>
      <c r="B88" s="69" t="s">
        <v>696</v>
      </c>
      <c r="C88" s="69" t="s">
        <v>75</v>
      </c>
      <c r="D88" s="69" t="s">
        <v>133</v>
      </c>
      <c r="E88" s="69">
        <v>47.74</v>
      </c>
      <c r="F88" s="70"/>
      <c r="G88" s="70">
        <f>G86+F87</f>
        <v>4130.134</v>
      </c>
      <c r="H88" s="70">
        <f>SUM(F85:F88)</f>
        <v>631.64499999999998</v>
      </c>
      <c r="I88" s="71"/>
      <c r="J88" s="71"/>
      <c r="K88" s="71"/>
      <c r="L88" s="71"/>
      <c r="M88" s="259" t="s">
        <v>134</v>
      </c>
      <c r="N88" s="71"/>
      <c r="O88" s="71"/>
      <c r="P88" s="70">
        <v>52.201999999999998</v>
      </c>
      <c r="Q88" s="69" t="s">
        <v>695</v>
      </c>
      <c r="R88" s="70">
        <f>F87+F89</f>
        <v>693.69499999999994</v>
      </c>
      <c r="S88" s="73">
        <f>(F87+F89)/2</f>
        <v>346.84749999999997</v>
      </c>
      <c r="T88" s="68">
        <v>156</v>
      </c>
      <c r="U88" s="69">
        <v>164</v>
      </c>
      <c r="V88" s="74">
        <f>T88+U88</f>
        <v>320</v>
      </c>
      <c r="W88" s="68">
        <v>157</v>
      </c>
      <c r="X88" s="69">
        <v>170</v>
      </c>
      <c r="Y88" s="74">
        <f>W88+X88</f>
        <v>327</v>
      </c>
      <c r="Z88" s="75" t="s">
        <v>694</v>
      </c>
      <c r="AA88" s="76" t="s">
        <v>693</v>
      </c>
      <c r="AB88" s="77">
        <v>304633.69699999999</v>
      </c>
      <c r="AC88" s="78">
        <v>2870073.4589999998</v>
      </c>
      <c r="AD88" s="258"/>
      <c r="AE88" s="257" t="s">
        <v>692</v>
      </c>
      <c r="AF88" s="256"/>
      <c r="AG88" s="71"/>
      <c r="AH88" s="80"/>
    </row>
    <row r="89" spans="1:34" ht="21">
      <c r="A89" s="68"/>
      <c r="B89" s="69" t="s">
        <v>134</v>
      </c>
      <c r="C89" s="69"/>
      <c r="D89" s="69"/>
      <c r="E89" s="69"/>
      <c r="F89" s="70">
        <v>377.05</v>
      </c>
      <c r="G89" s="70"/>
      <c r="H89" s="69"/>
      <c r="I89" s="71"/>
      <c r="J89" s="71"/>
      <c r="K89" s="71"/>
      <c r="L89" s="71"/>
      <c r="M89" s="259"/>
      <c r="N89" s="71"/>
      <c r="O89" s="71"/>
      <c r="P89" s="70"/>
      <c r="Q89" s="69"/>
      <c r="R89" s="70"/>
      <c r="S89" s="73"/>
      <c r="T89" s="68"/>
      <c r="U89" s="69"/>
      <c r="V89" s="74"/>
      <c r="W89" s="68"/>
      <c r="X89" s="69"/>
      <c r="Y89" s="74"/>
      <c r="Z89" s="75"/>
      <c r="AA89" s="76"/>
      <c r="AB89" s="77"/>
      <c r="AC89" s="78"/>
      <c r="AD89" s="258" t="s">
        <v>691</v>
      </c>
      <c r="AE89" s="257"/>
      <c r="AF89" s="256"/>
      <c r="AG89" s="71"/>
      <c r="AH89" s="80"/>
    </row>
    <row r="90" spans="1:34" ht="21">
      <c r="A90" s="68">
        <v>41</v>
      </c>
      <c r="B90" s="69" t="s">
        <v>690</v>
      </c>
      <c r="C90" s="69" t="s">
        <v>689</v>
      </c>
      <c r="D90" s="69" t="s">
        <v>344</v>
      </c>
      <c r="E90" s="69">
        <v>50.74</v>
      </c>
      <c r="F90" s="70"/>
      <c r="G90" s="70">
        <f>G88+F89</f>
        <v>4507.1840000000002</v>
      </c>
      <c r="H90" s="70">
        <f>SUM(F89:F90)</f>
        <v>377.05</v>
      </c>
      <c r="I90" s="71"/>
      <c r="J90" s="71"/>
      <c r="K90" s="71"/>
      <c r="L90" s="71"/>
      <c r="M90" s="259" t="s">
        <v>134</v>
      </c>
      <c r="N90" s="71"/>
      <c r="O90" s="71"/>
      <c r="P90" s="70">
        <v>52.963999999999999</v>
      </c>
      <c r="Q90" s="69" t="s">
        <v>688</v>
      </c>
      <c r="R90" s="70">
        <f>F89+F91</f>
        <v>723.15300000000002</v>
      </c>
      <c r="S90" s="73">
        <f>(F89+F91)/2</f>
        <v>361.57650000000001</v>
      </c>
      <c r="T90" s="68">
        <v>207</v>
      </c>
      <c r="U90" s="69">
        <v>193</v>
      </c>
      <c r="V90" s="74">
        <f>T90+U90</f>
        <v>400</v>
      </c>
      <c r="W90" s="68">
        <v>200</v>
      </c>
      <c r="X90" s="69">
        <v>186</v>
      </c>
      <c r="Y90" s="74">
        <f>W90+X90</f>
        <v>386</v>
      </c>
      <c r="Z90" s="75" t="s">
        <v>687</v>
      </c>
      <c r="AA90" s="76" t="s">
        <v>686</v>
      </c>
      <c r="AB90" s="77">
        <v>305000.64</v>
      </c>
      <c r="AC90" s="78">
        <v>2869986.7420000001</v>
      </c>
      <c r="AD90" s="258"/>
      <c r="AE90" s="257" t="s">
        <v>685</v>
      </c>
      <c r="AF90" s="256"/>
      <c r="AG90" s="71"/>
      <c r="AH90" s="80"/>
    </row>
    <row r="91" spans="1:34" ht="21">
      <c r="A91" s="68"/>
      <c r="B91" s="69" t="s">
        <v>134</v>
      </c>
      <c r="C91" s="69"/>
      <c r="D91" s="69"/>
      <c r="E91" s="69"/>
      <c r="F91" s="70">
        <v>346.10300000000001</v>
      </c>
      <c r="G91" s="70"/>
      <c r="H91" s="69"/>
      <c r="I91" s="71"/>
      <c r="J91" s="71"/>
      <c r="K91" s="71"/>
      <c r="L91" s="71"/>
      <c r="M91" s="259"/>
      <c r="N91" s="71"/>
      <c r="O91" s="71"/>
      <c r="P91" s="70"/>
      <c r="Q91" s="69"/>
      <c r="R91" s="70"/>
      <c r="S91" s="73"/>
      <c r="T91" s="68"/>
      <c r="U91" s="69"/>
      <c r="V91" s="74"/>
      <c r="W91" s="68"/>
      <c r="X91" s="69"/>
      <c r="Y91" s="74"/>
      <c r="Z91" s="75"/>
      <c r="AA91" s="76"/>
      <c r="AB91" s="77"/>
      <c r="AC91" s="78"/>
      <c r="AD91" s="258" t="s">
        <v>684</v>
      </c>
      <c r="AE91" s="257"/>
      <c r="AF91" s="256"/>
      <c r="AG91" s="71"/>
      <c r="AH91" s="80"/>
    </row>
    <row r="92" spans="1:34" ht="21">
      <c r="A92" s="68">
        <v>42</v>
      </c>
      <c r="B92" s="69" t="s">
        <v>683</v>
      </c>
      <c r="C92" s="69" t="s">
        <v>51</v>
      </c>
      <c r="D92" s="69" t="s">
        <v>133</v>
      </c>
      <c r="E92" s="69">
        <v>47.74</v>
      </c>
      <c r="F92" s="70"/>
      <c r="G92" s="70">
        <f>G90+F91</f>
        <v>4853.2870000000003</v>
      </c>
      <c r="H92" s="70">
        <f>SUM(F91:F92)</f>
        <v>346.10300000000001</v>
      </c>
      <c r="I92" s="71"/>
      <c r="J92" s="71"/>
      <c r="K92" s="71"/>
      <c r="L92" s="71"/>
      <c r="M92" s="259" t="s">
        <v>134</v>
      </c>
      <c r="N92" s="71"/>
      <c r="O92" s="71"/>
      <c r="P92" s="70">
        <v>52.768999999999998</v>
      </c>
      <c r="Q92" s="69" t="s">
        <v>682</v>
      </c>
      <c r="R92" s="70">
        <f>F91+F93</f>
        <v>686.98299999999995</v>
      </c>
      <c r="S92" s="73">
        <f>(F91+F93)/2</f>
        <v>343.49149999999997</v>
      </c>
      <c r="T92" s="68">
        <v>153</v>
      </c>
      <c r="U92" s="69">
        <v>153</v>
      </c>
      <c r="V92" s="74">
        <f>T92+U92</f>
        <v>306</v>
      </c>
      <c r="W92" s="68">
        <v>159</v>
      </c>
      <c r="X92" s="69">
        <v>160</v>
      </c>
      <c r="Y92" s="74">
        <f>W92+X92</f>
        <v>319</v>
      </c>
      <c r="Z92" s="75" t="s">
        <v>681</v>
      </c>
      <c r="AA92" s="76" t="s">
        <v>680</v>
      </c>
      <c r="AB92" s="77">
        <v>305123.00300000003</v>
      </c>
      <c r="AC92" s="78">
        <v>2869662.9909999999</v>
      </c>
      <c r="AD92" s="258"/>
      <c r="AE92" s="257" t="s">
        <v>674</v>
      </c>
      <c r="AF92" s="256"/>
      <c r="AG92" s="71"/>
      <c r="AH92" s="80"/>
    </row>
    <row r="93" spans="1:34" ht="21">
      <c r="A93" s="68"/>
      <c r="B93" s="69" t="s">
        <v>134</v>
      </c>
      <c r="C93" s="69"/>
      <c r="D93" s="69"/>
      <c r="E93" s="69"/>
      <c r="F93" s="70">
        <v>340.88</v>
      </c>
      <c r="G93" s="70"/>
      <c r="H93" s="69"/>
      <c r="I93" s="71"/>
      <c r="J93" s="71"/>
      <c r="K93" s="71"/>
      <c r="L93" s="71"/>
      <c r="M93" s="259"/>
      <c r="N93" s="71"/>
      <c r="O93" s="71"/>
      <c r="P93" s="70"/>
      <c r="Q93" s="69"/>
      <c r="R93" s="70"/>
      <c r="S93" s="73"/>
      <c r="T93" s="68"/>
      <c r="U93" s="69"/>
      <c r="V93" s="74"/>
      <c r="W93" s="68"/>
      <c r="X93" s="69"/>
      <c r="Y93" s="74"/>
      <c r="Z93" s="75"/>
      <c r="AA93" s="76"/>
      <c r="AB93" s="77"/>
      <c r="AC93" s="78"/>
      <c r="AD93" s="258" t="s">
        <v>679</v>
      </c>
      <c r="AE93" s="257"/>
      <c r="AF93" s="256"/>
      <c r="AG93" s="71"/>
      <c r="AH93" s="80"/>
    </row>
    <row r="94" spans="1:34" ht="21.75" thickBot="1">
      <c r="A94" s="86">
        <v>43</v>
      </c>
      <c r="B94" s="87" t="s">
        <v>678</v>
      </c>
      <c r="C94" s="87" t="s">
        <v>76</v>
      </c>
      <c r="D94" s="87" t="s">
        <v>344</v>
      </c>
      <c r="E94" s="87">
        <v>50.74</v>
      </c>
      <c r="F94" s="88"/>
      <c r="G94" s="88">
        <f>G92+F93</f>
        <v>5194.1670000000004</v>
      </c>
      <c r="H94" s="88">
        <f>SUM(F93:F94)</f>
        <v>340.88</v>
      </c>
      <c r="I94" s="89"/>
      <c r="J94" s="89"/>
      <c r="K94" s="89"/>
      <c r="L94" s="89"/>
      <c r="M94" s="255" t="s">
        <v>134</v>
      </c>
      <c r="N94" s="89"/>
      <c r="O94" s="89"/>
      <c r="P94" s="88">
        <v>53.027000000000001</v>
      </c>
      <c r="Q94" s="87" t="s">
        <v>677</v>
      </c>
      <c r="R94" s="88">
        <v>679.80600000000004</v>
      </c>
      <c r="S94" s="91">
        <f>(F93)/2</f>
        <v>170.44</v>
      </c>
      <c r="T94" s="86">
        <v>194</v>
      </c>
      <c r="U94" s="87">
        <v>173</v>
      </c>
      <c r="V94" s="92">
        <f>T94+U94</f>
        <v>367</v>
      </c>
      <c r="W94" s="86">
        <v>188</v>
      </c>
      <c r="X94" s="87">
        <v>174</v>
      </c>
      <c r="Y94" s="92">
        <f>W94+X94</f>
        <v>362</v>
      </c>
      <c r="Z94" s="93" t="s">
        <v>676</v>
      </c>
      <c r="AA94" s="94" t="s">
        <v>675</v>
      </c>
      <c r="AB94" s="95">
        <v>305406.61099999998</v>
      </c>
      <c r="AC94" s="96">
        <v>2869473.872</v>
      </c>
      <c r="AD94" s="254" t="s">
        <v>14</v>
      </c>
      <c r="AE94" s="253" t="s">
        <v>674</v>
      </c>
      <c r="AF94" s="252"/>
      <c r="AG94" s="89"/>
      <c r="AH94" s="98" t="s">
        <v>673</v>
      </c>
    </row>
    <row r="95" spans="1:34" ht="24" customHeight="1" thickBot="1">
      <c r="A95" s="251"/>
      <c r="B95" s="112"/>
      <c r="C95" s="112"/>
      <c r="D95" s="1900" t="s">
        <v>468</v>
      </c>
      <c r="E95" s="1901"/>
      <c r="F95" s="250">
        <f>SUM(F10:F94)/1000</f>
        <v>12.623335999999998</v>
      </c>
      <c r="G95" s="249" t="s">
        <v>469</v>
      </c>
      <c r="H95" s="248"/>
      <c r="P95" s="112"/>
      <c r="Q95" s="112"/>
      <c r="R95" s="247"/>
      <c r="S95" s="112"/>
      <c r="T95" s="112"/>
      <c r="U95" s="112"/>
      <c r="V95" s="112"/>
      <c r="W95" s="112"/>
      <c r="X95" s="112"/>
      <c r="Y95" s="112"/>
      <c r="Z95" s="112"/>
      <c r="AA95" s="112"/>
      <c r="AB95" s="246"/>
      <c r="AC95" s="246"/>
      <c r="AD95" s="245"/>
      <c r="AH95" s="244"/>
    </row>
    <row r="96" spans="1:34" ht="42" customHeight="1" thickBot="1">
      <c r="A96" s="1838" t="s">
        <v>470</v>
      </c>
      <c r="B96" s="1839"/>
      <c r="C96" s="1839"/>
      <c r="D96" s="1839"/>
      <c r="E96" s="1839"/>
      <c r="F96" s="1839"/>
      <c r="G96" s="1839"/>
      <c r="H96" s="1839"/>
      <c r="I96" s="1839"/>
      <c r="J96" s="1839"/>
      <c r="K96" s="1839"/>
      <c r="L96" s="1839"/>
      <c r="M96" s="1839"/>
      <c r="N96" s="1839"/>
      <c r="O96" s="1839"/>
      <c r="P96" s="1839"/>
      <c r="Q96" s="1839"/>
      <c r="R96" s="1840"/>
      <c r="S96" s="1841" t="s">
        <v>471</v>
      </c>
      <c r="T96" s="1842"/>
      <c r="U96" s="1842"/>
      <c r="V96" s="1842"/>
      <c r="W96" s="1842"/>
      <c r="X96" s="1842"/>
      <c r="Y96" s="1842"/>
      <c r="Z96" s="1842"/>
      <c r="AA96" s="1842"/>
      <c r="AB96" s="1842"/>
      <c r="AC96" s="1842"/>
      <c r="AD96" s="1842"/>
      <c r="AE96" s="1842"/>
      <c r="AF96" s="1842"/>
      <c r="AG96" s="1842"/>
      <c r="AH96" s="1843"/>
    </row>
    <row r="97" spans="1:34" ht="24" customHeight="1" thickBot="1">
      <c r="A97" s="1902" t="s">
        <v>472</v>
      </c>
      <c r="B97" s="1903"/>
      <c r="C97" s="1903"/>
      <c r="D97" s="1904"/>
      <c r="E97" s="1838" t="s">
        <v>473</v>
      </c>
      <c r="F97" s="1839"/>
      <c r="G97" s="1839"/>
      <c r="H97" s="1840"/>
      <c r="I97" s="109" t="s">
        <v>474</v>
      </c>
      <c r="J97" s="109" t="s">
        <v>474</v>
      </c>
      <c r="K97" s="109" t="s">
        <v>474</v>
      </c>
      <c r="L97" s="109" t="s">
        <v>474</v>
      </c>
      <c r="M97" s="1838" t="s">
        <v>474</v>
      </c>
      <c r="N97" s="1839"/>
      <c r="O97" s="1839"/>
      <c r="P97" s="1839"/>
      <c r="Q97" s="1839"/>
      <c r="R97" s="1840"/>
      <c r="S97" s="1838" t="s">
        <v>473</v>
      </c>
      <c r="T97" s="1839"/>
      <c r="U97" s="1839"/>
      <c r="V97" s="1839"/>
      <c r="W97" s="1840"/>
      <c r="X97" s="1844" t="s">
        <v>475</v>
      </c>
      <c r="Y97" s="1845"/>
      <c r="Z97" s="1845"/>
      <c r="AA97" s="1845"/>
      <c r="AB97" s="1845"/>
      <c r="AC97" s="1846"/>
      <c r="AD97" s="1844" t="s">
        <v>476</v>
      </c>
      <c r="AE97" s="1845"/>
      <c r="AF97" s="1845"/>
      <c r="AG97" s="1845"/>
      <c r="AH97" s="1846"/>
    </row>
    <row r="98" spans="1:34" ht="144.6" customHeight="1" thickBot="1">
      <c r="A98" s="1874"/>
      <c r="B98" s="1875"/>
      <c r="C98" s="1875"/>
      <c r="D98" s="1877"/>
      <c r="E98" s="1835"/>
      <c r="F98" s="1836"/>
      <c r="G98" s="1836"/>
      <c r="H98" s="1837"/>
      <c r="I98" s="110"/>
      <c r="J98" s="110"/>
      <c r="K98" s="110"/>
      <c r="L98" s="110"/>
      <c r="M98" s="1835"/>
      <c r="N98" s="1836"/>
      <c r="O98" s="1836"/>
      <c r="P98" s="1836"/>
      <c r="Q98" s="1836"/>
      <c r="R98" s="1837"/>
      <c r="S98" s="1835"/>
      <c r="T98" s="1836"/>
      <c r="U98" s="1836"/>
      <c r="V98" s="1836"/>
      <c r="W98" s="1837"/>
      <c r="X98" s="1835"/>
      <c r="Y98" s="1836"/>
      <c r="Z98" s="1836"/>
      <c r="AA98" s="1836"/>
      <c r="AB98" s="1836"/>
      <c r="AC98" s="1837"/>
      <c r="AD98" s="1871"/>
      <c r="AE98" s="1872"/>
      <c r="AF98" s="1872"/>
      <c r="AG98" s="1872"/>
      <c r="AH98" s="1873"/>
    </row>
    <row r="99" spans="1:34">
      <c r="A99" s="111"/>
      <c r="AH99" s="113"/>
    </row>
    <row r="100" spans="1:34" ht="15.75">
      <c r="A100" s="111"/>
      <c r="E100" s="243" t="s">
        <v>477</v>
      </c>
      <c r="F100" s="115"/>
      <c r="G100" s="115"/>
      <c r="AH100" s="113"/>
    </row>
    <row r="101" spans="1:34">
      <c r="A101" s="111"/>
      <c r="E101" s="112"/>
      <c r="F101" s="112"/>
      <c r="AH101" s="113"/>
    </row>
    <row r="102" spans="1:34">
      <c r="A102" s="111"/>
      <c r="E102" s="1" t="s">
        <v>153</v>
      </c>
      <c r="F102" s="242" t="s">
        <v>478</v>
      </c>
      <c r="G102" s="29">
        <f t="shared" ref="G102:G119" si="0">COUNTIF($D$10:$D$1281,E102)</f>
        <v>7</v>
      </c>
      <c r="AH102" s="113"/>
    </row>
    <row r="103" spans="1:34">
      <c r="A103" s="111"/>
      <c r="E103" s="1" t="s">
        <v>187</v>
      </c>
      <c r="F103" s="242" t="s">
        <v>478</v>
      </c>
      <c r="G103" s="29">
        <f t="shared" si="0"/>
        <v>3</v>
      </c>
      <c r="AH103" s="113"/>
    </row>
    <row r="104" spans="1:34">
      <c r="A104" s="111"/>
      <c r="E104" s="1" t="s">
        <v>301</v>
      </c>
      <c r="F104" s="242" t="s">
        <v>478</v>
      </c>
      <c r="G104" s="29">
        <f t="shared" si="0"/>
        <v>3</v>
      </c>
      <c r="AH104" s="113"/>
    </row>
    <row r="105" spans="1:34">
      <c r="A105" s="111"/>
      <c r="E105" s="1" t="s">
        <v>251</v>
      </c>
      <c r="F105" s="242" t="s">
        <v>478</v>
      </c>
      <c r="G105" s="29">
        <f t="shared" si="0"/>
        <v>0</v>
      </c>
      <c r="AH105" s="113"/>
    </row>
    <row r="106" spans="1:34">
      <c r="A106" s="111"/>
      <c r="E106" s="1" t="s">
        <v>193</v>
      </c>
      <c r="F106" s="242" t="s">
        <v>478</v>
      </c>
      <c r="G106" s="29">
        <f t="shared" si="0"/>
        <v>4</v>
      </c>
      <c r="AH106" s="113"/>
    </row>
    <row r="107" spans="1:34">
      <c r="A107" s="111"/>
      <c r="E107" s="1" t="s">
        <v>245</v>
      </c>
      <c r="F107" s="242" t="s">
        <v>478</v>
      </c>
      <c r="G107" s="29">
        <f t="shared" si="0"/>
        <v>1</v>
      </c>
      <c r="AH107" s="113"/>
    </row>
    <row r="108" spans="1:34">
      <c r="A108" s="111"/>
      <c r="E108" s="1" t="s">
        <v>337</v>
      </c>
      <c r="F108" s="242" t="s">
        <v>478</v>
      </c>
      <c r="G108" s="29">
        <f t="shared" si="0"/>
        <v>2</v>
      </c>
      <c r="AH108" s="113"/>
    </row>
    <row r="109" spans="1:34">
      <c r="A109" s="111"/>
      <c r="E109" s="1" t="s">
        <v>479</v>
      </c>
      <c r="F109" s="242" t="s">
        <v>478</v>
      </c>
      <c r="G109" s="29">
        <f t="shared" si="0"/>
        <v>0</v>
      </c>
      <c r="AH109" s="113"/>
    </row>
    <row r="110" spans="1:34">
      <c r="A110" s="111"/>
      <c r="E110" s="1" t="s">
        <v>167</v>
      </c>
      <c r="F110" s="242" t="s">
        <v>478</v>
      </c>
      <c r="G110" s="29">
        <f t="shared" si="0"/>
        <v>3</v>
      </c>
      <c r="AH110" s="113"/>
    </row>
    <row r="111" spans="1:34">
      <c r="A111" s="111"/>
      <c r="E111" s="1" t="s">
        <v>437</v>
      </c>
      <c r="F111" s="242" t="s">
        <v>478</v>
      </c>
      <c r="G111" s="29">
        <f t="shared" si="0"/>
        <v>0</v>
      </c>
      <c r="AH111" s="113"/>
    </row>
    <row r="112" spans="1:34">
      <c r="A112" s="111"/>
      <c r="E112" s="1" t="s">
        <v>264</v>
      </c>
      <c r="F112" s="242" t="s">
        <v>478</v>
      </c>
      <c r="G112" s="29">
        <f t="shared" si="0"/>
        <v>1</v>
      </c>
      <c r="AH112" s="113"/>
    </row>
    <row r="113" spans="1:34">
      <c r="A113" s="111"/>
      <c r="E113" s="1" t="s">
        <v>480</v>
      </c>
      <c r="F113" s="242" t="s">
        <v>478</v>
      </c>
      <c r="G113" s="29">
        <f t="shared" si="0"/>
        <v>0</v>
      </c>
      <c r="AH113" s="113"/>
    </row>
    <row r="114" spans="1:34">
      <c r="A114" s="111"/>
      <c r="E114" s="1" t="s">
        <v>133</v>
      </c>
      <c r="F114" s="242" t="s">
        <v>478</v>
      </c>
      <c r="G114" s="29">
        <f t="shared" si="0"/>
        <v>14</v>
      </c>
      <c r="AH114" s="113"/>
    </row>
    <row r="115" spans="1:34">
      <c r="A115" s="111"/>
      <c r="E115" s="1" t="s">
        <v>281</v>
      </c>
      <c r="F115" s="242" t="s">
        <v>478</v>
      </c>
      <c r="G115" s="29">
        <f t="shared" si="0"/>
        <v>0</v>
      </c>
      <c r="AH115" s="113"/>
    </row>
    <row r="116" spans="1:34">
      <c r="A116" s="111"/>
      <c r="E116" s="1" t="s">
        <v>287</v>
      </c>
      <c r="F116" s="242" t="s">
        <v>478</v>
      </c>
      <c r="G116" s="29">
        <f t="shared" si="0"/>
        <v>0</v>
      </c>
      <c r="AH116" s="113"/>
    </row>
    <row r="117" spans="1:34">
      <c r="A117" s="111"/>
      <c r="E117" s="1" t="s">
        <v>344</v>
      </c>
      <c r="F117" s="242" t="s">
        <v>478</v>
      </c>
      <c r="G117" s="29">
        <f t="shared" si="0"/>
        <v>3</v>
      </c>
      <c r="AH117" s="113"/>
    </row>
    <row r="118" spans="1:34">
      <c r="A118" s="111"/>
      <c r="E118" s="1" t="s">
        <v>257</v>
      </c>
      <c r="F118" s="242" t="s">
        <v>478</v>
      </c>
      <c r="G118" s="29">
        <f t="shared" si="0"/>
        <v>1</v>
      </c>
      <c r="AH118" s="113"/>
    </row>
    <row r="119" spans="1:34">
      <c r="A119" s="111"/>
      <c r="E119" s="1" t="s">
        <v>357</v>
      </c>
      <c r="F119" s="242" t="s">
        <v>478</v>
      </c>
      <c r="G119" s="29">
        <f t="shared" si="0"/>
        <v>1</v>
      </c>
      <c r="AH119" s="113"/>
    </row>
    <row r="120" spans="1:34" ht="16.5" thickBot="1">
      <c r="A120" s="122"/>
      <c r="B120" s="104"/>
      <c r="C120" s="104"/>
      <c r="D120" s="104"/>
      <c r="E120" s="241" t="s">
        <v>128</v>
      </c>
      <c r="F120" s="124" t="s">
        <v>478</v>
      </c>
      <c r="G120" s="241">
        <f>SUM(G102:G119)</f>
        <v>43</v>
      </c>
      <c r="H120" s="104"/>
      <c r="I120" s="104"/>
      <c r="J120" s="104"/>
      <c r="K120" s="104"/>
      <c r="L120" s="104"/>
      <c r="M120" s="100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26"/>
    </row>
  </sheetData>
  <autoFilter ref="A9:AH26"/>
  <mergeCells count="50">
    <mergeCell ref="A1:AD1"/>
    <mergeCell ref="A2:AD2"/>
    <mergeCell ref="A3:AD3"/>
    <mergeCell ref="A4:AD4"/>
    <mergeCell ref="AG4:AH4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P8:P9"/>
    <mergeCell ref="B8:B9"/>
    <mergeCell ref="C8:C9"/>
    <mergeCell ref="D8:D9"/>
    <mergeCell ref="E8:E9"/>
    <mergeCell ref="F8:F9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98:D98"/>
    <mergeCell ref="E98:H98"/>
    <mergeCell ref="M98:R98"/>
    <mergeCell ref="S98:W98"/>
    <mergeCell ref="X98:AC98"/>
  </mergeCells>
  <conditionalFormatting sqref="AH10:AH94">
    <cfRule type="containsText" dxfId="98" priority="1" operator="containsText" text="11,LT,RC">
      <formula>NOT(ISERROR(SEARCH("11,LT,RC",AH10)))</formula>
    </cfRule>
    <cfRule type="containsText" dxfId="97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933" t="s">
        <v>866</v>
      </c>
      <c r="B1" s="1933"/>
      <c r="C1" s="1933"/>
      <c r="D1" s="1933"/>
      <c r="E1" s="1933"/>
      <c r="F1" s="1933"/>
      <c r="G1" s="1933"/>
    </row>
    <row r="2" spans="1:7">
      <c r="A2" s="285"/>
      <c r="B2" s="285"/>
      <c r="C2" s="285"/>
      <c r="D2" s="285"/>
      <c r="E2" s="285"/>
      <c r="F2" s="285"/>
      <c r="G2" s="285"/>
    </row>
    <row r="3" spans="1:7">
      <c r="A3" s="1934" t="s">
        <v>867</v>
      </c>
      <c r="B3" s="1934" t="s">
        <v>868</v>
      </c>
      <c r="C3" s="1934" t="s">
        <v>0</v>
      </c>
      <c r="D3" s="1934"/>
      <c r="E3" s="286" t="s">
        <v>869</v>
      </c>
      <c r="F3" s="286" t="s">
        <v>870</v>
      </c>
      <c r="G3" s="1935" t="s">
        <v>871</v>
      </c>
    </row>
    <row r="4" spans="1:7">
      <c r="A4" s="1934"/>
      <c r="B4" s="1934"/>
      <c r="C4" s="1934"/>
      <c r="D4" s="1934"/>
      <c r="E4" s="286" t="s">
        <v>872</v>
      </c>
      <c r="F4" s="286" t="s">
        <v>873</v>
      </c>
      <c r="G4" s="1935"/>
    </row>
    <row r="5" spans="1:7">
      <c r="A5" s="1931">
        <v>1</v>
      </c>
      <c r="B5" s="1932" t="s">
        <v>874</v>
      </c>
      <c r="C5" s="287" t="s">
        <v>875</v>
      </c>
      <c r="D5" s="288" t="s">
        <v>876</v>
      </c>
      <c r="E5" s="288">
        <v>40</v>
      </c>
      <c r="F5" s="288">
        <v>122</v>
      </c>
      <c r="G5" s="288"/>
    </row>
    <row r="6" spans="1:7">
      <c r="A6" s="1931"/>
      <c r="B6" s="1932"/>
      <c r="C6" s="1932" t="s">
        <v>877</v>
      </c>
      <c r="D6" s="288" t="s">
        <v>878</v>
      </c>
      <c r="E6" s="288">
        <v>41.27</v>
      </c>
      <c r="F6" s="288">
        <v>127</v>
      </c>
      <c r="G6" s="288"/>
    </row>
    <row r="7" spans="1:7">
      <c r="A7" s="1931"/>
      <c r="B7" s="1932"/>
      <c r="C7" s="1932"/>
      <c r="D7" s="288" t="s">
        <v>879</v>
      </c>
      <c r="E7" s="288">
        <v>41.27</v>
      </c>
      <c r="F7" s="288">
        <v>127</v>
      </c>
      <c r="G7" s="288"/>
    </row>
    <row r="8" spans="1:7">
      <c r="A8" s="1931"/>
      <c r="B8" s="1932"/>
      <c r="C8" s="1932" t="s">
        <v>880</v>
      </c>
      <c r="D8" s="288" t="s">
        <v>29</v>
      </c>
      <c r="E8" s="288">
        <v>41.27</v>
      </c>
      <c r="F8" s="288">
        <v>127</v>
      </c>
      <c r="G8" s="288"/>
    </row>
    <row r="9" spans="1:7" ht="60">
      <c r="A9" s="1931"/>
      <c r="B9" s="1932"/>
      <c r="C9" s="1932"/>
      <c r="D9" s="288" t="s">
        <v>878</v>
      </c>
      <c r="E9" s="288">
        <f>20.778+12.623</f>
        <v>33.400999999999996</v>
      </c>
      <c r="F9" s="288">
        <v>63</v>
      </c>
      <c r="G9" s="289" t="s">
        <v>881</v>
      </c>
    </row>
    <row r="10" spans="1:7">
      <c r="A10" s="1931"/>
      <c r="B10" s="1932"/>
      <c r="C10" s="1932"/>
      <c r="D10" s="288" t="s">
        <v>879</v>
      </c>
      <c r="E10" s="288">
        <v>18.7</v>
      </c>
      <c r="F10" s="288">
        <v>53</v>
      </c>
      <c r="G10" s="288"/>
    </row>
    <row r="11" spans="1:7">
      <c r="A11" s="1931"/>
      <c r="B11" s="1932"/>
      <c r="C11" s="1932" t="s">
        <v>882</v>
      </c>
      <c r="D11" s="288" t="s">
        <v>29</v>
      </c>
      <c r="E11" s="288">
        <v>13.583</v>
      </c>
      <c r="F11" s="288">
        <v>44</v>
      </c>
      <c r="G11" s="290" t="s">
        <v>883</v>
      </c>
    </row>
    <row r="12" spans="1:7">
      <c r="A12" s="1931"/>
      <c r="B12" s="1932"/>
      <c r="C12" s="1932"/>
      <c r="D12" s="288" t="s">
        <v>878</v>
      </c>
      <c r="E12" s="288">
        <v>0</v>
      </c>
      <c r="F12" s="288">
        <v>0</v>
      </c>
      <c r="G12" s="288"/>
    </row>
    <row r="13" spans="1:7">
      <c r="A13" s="1931"/>
      <c r="B13" s="1932"/>
      <c r="C13" s="1932"/>
      <c r="D13" s="288" t="s">
        <v>879</v>
      </c>
      <c r="E13" s="288">
        <v>0</v>
      </c>
      <c r="F13" s="288">
        <v>0</v>
      </c>
      <c r="G13" s="288"/>
    </row>
    <row r="14" spans="1:7">
      <c r="A14" s="288"/>
      <c r="B14" s="288"/>
      <c r="C14" s="288"/>
      <c r="D14" s="288"/>
      <c r="E14" s="288"/>
      <c r="F14" s="288"/>
      <c r="G14" s="288"/>
    </row>
    <row r="15" spans="1:7">
      <c r="A15" s="1931">
        <v>2</v>
      </c>
      <c r="B15" s="1932" t="s">
        <v>884</v>
      </c>
      <c r="C15" s="287" t="s">
        <v>885</v>
      </c>
      <c r="D15" s="288" t="s">
        <v>876</v>
      </c>
      <c r="E15" s="288">
        <v>100</v>
      </c>
      <c r="F15" s="288">
        <v>360</v>
      </c>
      <c r="G15" s="288"/>
    </row>
    <row r="16" spans="1:7">
      <c r="A16" s="1931"/>
      <c r="B16" s="1932"/>
      <c r="C16" s="1932" t="s">
        <v>877</v>
      </c>
      <c r="D16" s="288" t="s">
        <v>878</v>
      </c>
      <c r="E16" s="288">
        <v>102.96</v>
      </c>
      <c r="F16" s="288">
        <v>343</v>
      </c>
      <c r="G16" s="288"/>
    </row>
    <row r="17" spans="1:7">
      <c r="A17" s="1931"/>
      <c r="B17" s="1932"/>
      <c r="C17" s="1932"/>
      <c r="D17" s="288" t="s">
        <v>879</v>
      </c>
      <c r="E17" s="288">
        <v>102.96</v>
      </c>
      <c r="F17" s="288">
        <v>343</v>
      </c>
      <c r="G17" s="288"/>
    </row>
    <row r="18" spans="1:7">
      <c r="A18" s="1931"/>
      <c r="B18" s="1932"/>
      <c r="C18" s="1932" t="s">
        <v>880</v>
      </c>
      <c r="D18" s="288" t="s">
        <v>29</v>
      </c>
      <c r="E18" s="288">
        <v>102.96</v>
      </c>
      <c r="F18" s="288">
        <v>343</v>
      </c>
      <c r="G18" s="291"/>
    </row>
    <row r="19" spans="1:7" ht="45">
      <c r="A19" s="1931"/>
      <c r="B19" s="1932"/>
      <c r="C19" s="1932"/>
      <c r="D19" s="288" t="s">
        <v>878</v>
      </c>
      <c r="E19" s="288">
        <v>20.11</v>
      </c>
      <c r="F19" s="288">
        <v>67</v>
      </c>
      <c r="G19" s="289" t="s">
        <v>886</v>
      </c>
    </row>
    <row r="20" spans="1:7">
      <c r="A20" s="1931"/>
      <c r="B20" s="1932"/>
      <c r="C20" s="1932"/>
      <c r="D20" s="288" t="s">
        <v>879</v>
      </c>
      <c r="E20" s="288">
        <v>20.11</v>
      </c>
      <c r="F20" s="288">
        <v>67</v>
      </c>
      <c r="G20" s="288"/>
    </row>
    <row r="21" spans="1:7">
      <c r="A21" s="1931"/>
      <c r="B21" s="1932"/>
      <c r="C21" s="1932" t="s">
        <v>882</v>
      </c>
      <c r="D21" s="288" t="s">
        <v>29</v>
      </c>
      <c r="E21" s="288">
        <v>20.11</v>
      </c>
      <c r="F21" s="288">
        <v>67</v>
      </c>
      <c r="G21" s="288"/>
    </row>
    <row r="22" spans="1:7">
      <c r="A22" s="1931"/>
      <c r="B22" s="1932"/>
      <c r="C22" s="1932"/>
      <c r="D22" s="288" t="s">
        <v>878</v>
      </c>
      <c r="E22" s="288">
        <v>20.11</v>
      </c>
      <c r="F22" s="288">
        <v>67</v>
      </c>
      <c r="G22" s="288"/>
    </row>
    <row r="23" spans="1:7">
      <c r="A23" s="1931"/>
      <c r="B23" s="1932"/>
      <c r="C23" s="1932"/>
      <c r="D23" s="288" t="s">
        <v>879</v>
      </c>
      <c r="E23" s="288">
        <v>20.11</v>
      </c>
      <c r="F23" s="288">
        <v>67</v>
      </c>
      <c r="G23" s="288"/>
    </row>
    <row r="24" spans="1:7">
      <c r="A24" s="288"/>
      <c r="B24" s="288"/>
      <c r="C24" s="288"/>
      <c r="D24" s="288"/>
      <c r="E24" s="288"/>
      <c r="F24" s="288"/>
      <c r="G24" s="288"/>
    </row>
    <row r="25" spans="1:7">
      <c r="A25" s="1931">
        <v>3</v>
      </c>
      <c r="B25" s="1932" t="s">
        <v>887</v>
      </c>
      <c r="C25" s="287" t="s">
        <v>885</v>
      </c>
      <c r="D25" s="288" t="s">
        <v>876</v>
      </c>
      <c r="E25" s="288">
        <v>25</v>
      </c>
      <c r="F25" s="288">
        <v>82</v>
      </c>
      <c r="G25" s="288"/>
    </row>
    <row r="26" spans="1:7">
      <c r="A26" s="1931"/>
      <c r="B26" s="1932"/>
      <c r="C26" s="1932" t="s">
        <v>877</v>
      </c>
      <c r="D26" s="288" t="s">
        <v>878</v>
      </c>
      <c r="E26" s="288">
        <v>6.6</v>
      </c>
      <c r="F26" s="288">
        <v>28</v>
      </c>
      <c r="G26" s="288"/>
    </row>
    <row r="27" spans="1:7" ht="60">
      <c r="A27" s="1931"/>
      <c r="B27" s="1932"/>
      <c r="C27" s="1932"/>
      <c r="D27" s="288" t="s">
        <v>879</v>
      </c>
      <c r="E27" s="288">
        <v>6.4</v>
      </c>
      <c r="F27" s="288">
        <v>28</v>
      </c>
      <c r="G27" s="289" t="s">
        <v>888</v>
      </c>
    </row>
    <row r="28" spans="1:7">
      <c r="A28" s="1931"/>
      <c r="B28" s="1932"/>
      <c r="C28" s="1932" t="s">
        <v>880</v>
      </c>
      <c r="D28" s="288" t="s">
        <v>29</v>
      </c>
      <c r="E28" s="288">
        <v>6.6</v>
      </c>
      <c r="F28" s="288">
        <v>29</v>
      </c>
      <c r="G28" s="288"/>
    </row>
    <row r="29" spans="1:7">
      <c r="A29" s="1931"/>
      <c r="B29" s="1932"/>
      <c r="C29" s="1932"/>
      <c r="D29" s="288" t="s">
        <v>878</v>
      </c>
      <c r="E29" s="288">
        <v>6.6</v>
      </c>
      <c r="F29" s="288">
        <v>29</v>
      </c>
      <c r="G29" s="288"/>
    </row>
    <row r="30" spans="1:7">
      <c r="A30" s="1931"/>
      <c r="B30" s="1932"/>
      <c r="C30" s="1932"/>
      <c r="D30" s="288" t="s">
        <v>879</v>
      </c>
      <c r="E30" s="288">
        <v>6.4</v>
      </c>
      <c r="F30" s="288">
        <v>29</v>
      </c>
      <c r="G30" s="288"/>
    </row>
    <row r="31" spans="1:7">
      <c r="A31" s="1931"/>
      <c r="B31" s="1932"/>
      <c r="C31" s="1932" t="s">
        <v>882</v>
      </c>
      <c r="D31" s="288" t="s">
        <v>29</v>
      </c>
      <c r="E31" s="288">
        <v>5.5</v>
      </c>
      <c r="F31" s="288">
        <v>22</v>
      </c>
      <c r="G31" s="288"/>
    </row>
    <row r="32" spans="1:7">
      <c r="A32" s="1931"/>
      <c r="B32" s="1932"/>
      <c r="C32" s="1932"/>
      <c r="D32" s="288" t="s">
        <v>878</v>
      </c>
      <c r="E32" s="288">
        <v>5.5</v>
      </c>
      <c r="F32" s="288">
        <v>22</v>
      </c>
      <c r="G32" s="288"/>
    </row>
    <row r="33" spans="1:7">
      <c r="A33" s="1931"/>
      <c r="B33" s="1932"/>
      <c r="C33" s="1932"/>
      <c r="D33" s="288" t="s">
        <v>879</v>
      </c>
      <c r="E33" s="288">
        <v>5.5</v>
      </c>
      <c r="F33" s="288">
        <v>22</v>
      </c>
      <c r="G33" s="288"/>
    </row>
    <row r="34" spans="1:7" ht="15.75" thickBot="1">
      <c r="A34" s="292"/>
    </row>
    <row r="35" spans="1:7" ht="16.5" thickBot="1">
      <c r="A35" s="1928" t="s">
        <v>866</v>
      </c>
      <c r="B35" s="1929"/>
      <c r="C35" s="1929"/>
      <c r="D35" s="1929"/>
      <c r="E35" s="1929"/>
      <c r="F35" s="1929"/>
      <c r="G35" s="1930"/>
    </row>
    <row r="36" spans="1:7" ht="32.25" thickBot="1">
      <c r="A36" s="1922" t="s">
        <v>867</v>
      </c>
      <c r="B36" s="1922" t="s">
        <v>868</v>
      </c>
      <c r="C36" s="1924" t="s">
        <v>0</v>
      </c>
      <c r="D36" s="1925"/>
      <c r="E36" s="528" t="s">
        <v>869</v>
      </c>
      <c r="F36" s="528" t="s">
        <v>870</v>
      </c>
      <c r="G36" s="1922" t="s">
        <v>871</v>
      </c>
    </row>
    <row r="37" spans="1:7" ht="16.5" thickBot="1">
      <c r="A37" s="1923"/>
      <c r="B37" s="1923"/>
      <c r="C37" s="1926"/>
      <c r="D37" s="1927"/>
      <c r="E37" s="528" t="s">
        <v>872</v>
      </c>
      <c r="F37" s="528" t="s">
        <v>873</v>
      </c>
      <c r="G37" s="1923"/>
    </row>
    <row r="38" spans="1:7" ht="16.5" thickBot="1">
      <c r="A38" s="1919">
        <v>1</v>
      </c>
      <c r="B38" s="1919" t="s">
        <v>874</v>
      </c>
      <c r="C38" s="529" t="s">
        <v>875</v>
      </c>
      <c r="D38" s="529" t="s">
        <v>876</v>
      </c>
      <c r="E38" s="529">
        <v>40</v>
      </c>
      <c r="F38" s="529">
        <v>122</v>
      </c>
      <c r="G38" s="529"/>
    </row>
    <row r="39" spans="1:7" ht="16.5" thickBot="1">
      <c r="A39" s="1920"/>
      <c r="B39" s="1920"/>
      <c r="C39" s="1919" t="s">
        <v>877</v>
      </c>
      <c r="D39" s="529" t="s">
        <v>878</v>
      </c>
      <c r="E39" s="529">
        <v>41.27</v>
      </c>
      <c r="F39" s="529">
        <v>127</v>
      </c>
      <c r="G39" s="529"/>
    </row>
    <row r="40" spans="1:7" ht="32.25" thickBot="1">
      <c r="A40" s="1920"/>
      <c r="B40" s="1920"/>
      <c r="C40" s="1921"/>
      <c r="D40" s="529" t="s">
        <v>879</v>
      </c>
      <c r="E40" s="529">
        <v>39.698</v>
      </c>
      <c r="F40" s="529">
        <v>122</v>
      </c>
      <c r="G40" s="529" t="s">
        <v>1084</v>
      </c>
    </row>
    <row r="41" spans="1:7" ht="32.25" thickBot="1">
      <c r="A41" s="1920"/>
      <c r="B41" s="1920"/>
      <c r="C41" s="1919" t="s">
        <v>880</v>
      </c>
      <c r="D41" s="529" t="s">
        <v>29</v>
      </c>
      <c r="E41" s="5">
        <v>33.401000000000003</v>
      </c>
      <c r="F41" s="529">
        <v>106</v>
      </c>
      <c r="G41" s="529" t="s">
        <v>1079</v>
      </c>
    </row>
    <row r="42" spans="1:7" ht="36.75" customHeight="1" thickBot="1">
      <c r="A42" s="1920"/>
      <c r="B42" s="1920"/>
      <c r="C42" s="1920"/>
      <c r="D42" s="529" t="s">
        <v>878</v>
      </c>
      <c r="E42" s="529">
        <v>33.401000000000003</v>
      </c>
      <c r="F42" s="529">
        <v>106</v>
      </c>
      <c r="G42" s="529" t="s">
        <v>1082</v>
      </c>
    </row>
    <row r="43" spans="1:7" ht="16.5" thickBot="1">
      <c r="A43" s="1920"/>
      <c r="B43" s="1920"/>
      <c r="C43" s="1921"/>
      <c r="D43" s="529" t="s">
        <v>879</v>
      </c>
      <c r="E43" s="529">
        <v>20.777999999999999</v>
      </c>
      <c r="F43" s="529">
        <v>63</v>
      </c>
      <c r="G43" s="529"/>
    </row>
    <row r="44" spans="1:7" ht="16.5" thickBot="1">
      <c r="A44" s="1920"/>
      <c r="B44" s="1920"/>
      <c r="C44" s="1919" t="s">
        <v>882</v>
      </c>
      <c r="D44" s="529" t="s">
        <v>29</v>
      </c>
      <c r="E44" s="529">
        <v>17.238</v>
      </c>
      <c r="F44" s="529">
        <v>52</v>
      </c>
      <c r="G44" s="529" t="s">
        <v>1080</v>
      </c>
    </row>
    <row r="45" spans="1:7" ht="16.5" thickBot="1">
      <c r="A45" s="1920"/>
      <c r="B45" s="1920"/>
      <c r="C45" s="1920"/>
      <c r="D45" s="529" t="s">
        <v>878</v>
      </c>
      <c r="E45" s="529">
        <v>0</v>
      </c>
      <c r="F45" s="529">
        <v>0</v>
      </c>
      <c r="G45" s="529"/>
    </row>
    <row r="46" spans="1:7" ht="16.5" thickBot="1">
      <c r="A46" s="1921"/>
      <c r="B46" s="1921"/>
      <c r="C46" s="1921"/>
      <c r="D46" s="529" t="s">
        <v>879</v>
      </c>
      <c r="E46" s="529">
        <v>0</v>
      </c>
      <c r="F46" s="529">
        <v>0</v>
      </c>
      <c r="G46" s="529"/>
    </row>
    <row r="47" spans="1:7" ht="16.5" thickBot="1">
      <c r="A47" s="1916"/>
      <c r="B47" s="1917"/>
      <c r="C47" s="1917"/>
      <c r="D47" s="1917"/>
      <c r="E47" s="1917"/>
      <c r="F47" s="1917"/>
      <c r="G47" s="1918"/>
    </row>
    <row r="48" spans="1:7" ht="16.5" thickBot="1">
      <c r="A48" s="1919">
        <v>2</v>
      </c>
      <c r="B48" s="1919" t="s">
        <v>884</v>
      </c>
      <c r="C48" s="529" t="s">
        <v>875</v>
      </c>
      <c r="D48" s="529" t="s">
        <v>876</v>
      </c>
      <c r="E48" s="529">
        <v>100</v>
      </c>
      <c r="F48" s="529">
        <v>360</v>
      </c>
      <c r="G48" s="529"/>
    </row>
    <row r="49" spans="1:7" ht="16.5" thickBot="1">
      <c r="A49" s="1920"/>
      <c r="B49" s="1920"/>
      <c r="C49" s="1919" t="s">
        <v>877</v>
      </c>
      <c r="D49" s="529" t="s">
        <v>878</v>
      </c>
      <c r="E49" s="529">
        <v>102.96</v>
      </c>
      <c r="F49" s="529">
        <v>343</v>
      </c>
      <c r="G49" s="529"/>
    </row>
    <row r="50" spans="1:7" ht="16.5" thickBot="1">
      <c r="A50" s="1920"/>
      <c r="B50" s="1920"/>
      <c r="C50" s="1921"/>
      <c r="D50" s="529" t="s">
        <v>879</v>
      </c>
      <c r="E50" s="529">
        <v>102.96</v>
      </c>
      <c r="F50" s="529">
        <v>343</v>
      </c>
      <c r="G50" s="529"/>
    </row>
    <row r="51" spans="1:7" ht="16.5" thickBot="1">
      <c r="A51" s="1920"/>
      <c r="B51" s="1920"/>
      <c r="C51" s="1919" t="s">
        <v>880</v>
      </c>
      <c r="D51" s="529" t="s">
        <v>29</v>
      </c>
      <c r="E51" s="529">
        <v>101.44199999999999</v>
      </c>
      <c r="F51" s="529">
        <v>343</v>
      </c>
      <c r="G51" s="529" t="s">
        <v>1074</v>
      </c>
    </row>
    <row r="52" spans="1:7" ht="48" thickBot="1">
      <c r="A52" s="1920"/>
      <c r="B52" s="1920"/>
      <c r="C52" s="1920"/>
      <c r="D52" s="529" t="s">
        <v>878</v>
      </c>
      <c r="E52" s="529">
        <f>20.11+72.752</f>
        <v>92.861999999999995</v>
      </c>
      <c r="F52" s="529">
        <f>67+133+86+20+9</f>
        <v>315</v>
      </c>
      <c r="G52" s="530" t="s">
        <v>1081</v>
      </c>
    </row>
    <row r="53" spans="1:7" ht="15" customHeight="1" thickBot="1">
      <c r="A53" s="1920"/>
      <c r="B53" s="1920"/>
      <c r="C53" s="1920"/>
      <c r="D53" s="527" t="s">
        <v>879</v>
      </c>
      <c r="E53" s="527">
        <v>20.11</v>
      </c>
      <c r="F53" s="527">
        <v>67</v>
      </c>
      <c r="G53" s="527"/>
    </row>
    <row r="54" spans="1:7" ht="16.5" thickBot="1">
      <c r="A54" s="1920"/>
      <c r="B54" s="1920"/>
      <c r="C54" s="1919" t="s">
        <v>882</v>
      </c>
      <c r="D54" s="529" t="s">
        <v>29</v>
      </c>
      <c r="E54" s="529">
        <v>30.045999999999999</v>
      </c>
      <c r="F54" s="529">
        <v>87</v>
      </c>
      <c r="G54" s="529"/>
    </row>
    <row r="55" spans="1:7" ht="16.5" thickBot="1">
      <c r="A55" s="1920"/>
      <c r="B55" s="1920"/>
      <c r="C55" s="1920"/>
      <c r="D55" s="529" t="s">
        <v>878</v>
      </c>
      <c r="E55" s="529">
        <v>18.54</v>
      </c>
      <c r="F55" s="529">
        <v>63</v>
      </c>
      <c r="G55" s="529" t="s">
        <v>1080</v>
      </c>
    </row>
    <row r="56" spans="1:7" ht="16.5" thickBot="1">
      <c r="A56" s="1921"/>
      <c r="B56" s="1921"/>
      <c r="C56" s="1921"/>
      <c r="D56" s="529" t="s">
        <v>879</v>
      </c>
      <c r="E56" s="529">
        <v>18.54</v>
      </c>
      <c r="F56" s="529">
        <v>63</v>
      </c>
      <c r="G56" s="529"/>
    </row>
    <row r="57" spans="1:7" ht="16.5" thickBot="1">
      <c r="A57" s="1916"/>
      <c r="B57" s="1917"/>
      <c r="C57" s="1917"/>
      <c r="D57" s="1917"/>
      <c r="E57" s="1917"/>
      <c r="F57" s="1917"/>
      <c r="G57" s="1918"/>
    </row>
    <row r="58" spans="1:7" ht="16.5" thickBot="1">
      <c r="A58" s="1919">
        <v>3</v>
      </c>
      <c r="B58" s="1919" t="s">
        <v>887</v>
      </c>
      <c r="C58" s="529" t="s">
        <v>875</v>
      </c>
      <c r="D58" s="529" t="s">
        <v>876</v>
      </c>
      <c r="E58" s="529">
        <v>25</v>
      </c>
      <c r="F58" s="529">
        <v>82</v>
      </c>
      <c r="G58" s="529"/>
    </row>
    <row r="59" spans="1:7" ht="16.5" thickBot="1">
      <c r="A59" s="1920"/>
      <c r="B59" s="1920"/>
      <c r="C59" s="1919" t="s">
        <v>877</v>
      </c>
      <c r="D59" s="529" t="s">
        <v>878</v>
      </c>
      <c r="E59" s="529">
        <v>6.6</v>
      </c>
      <c r="F59" s="529">
        <v>29</v>
      </c>
      <c r="G59" s="529"/>
    </row>
    <row r="60" spans="1:7" ht="15" customHeight="1" thickBot="1">
      <c r="A60" s="1920"/>
      <c r="B60" s="1920"/>
      <c r="C60" s="1920"/>
      <c r="D60" s="527" t="s">
        <v>879</v>
      </c>
      <c r="E60" s="527">
        <v>6.6</v>
      </c>
      <c r="F60" s="527">
        <v>29</v>
      </c>
      <c r="G60" s="531"/>
    </row>
    <row r="61" spans="1:7" ht="15" customHeight="1" thickBot="1">
      <c r="A61" s="1920"/>
      <c r="B61" s="1920"/>
      <c r="C61" s="1919" t="s">
        <v>880</v>
      </c>
      <c r="D61" s="527" t="s">
        <v>29</v>
      </c>
      <c r="E61" s="527">
        <v>6.6</v>
      </c>
      <c r="F61" s="527">
        <v>29</v>
      </c>
      <c r="G61" s="527"/>
    </row>
    <row r="62" spans="1:7" ht="16.5" thickBot="1">
      <c r="A62" s="1920"/>
      <c r="B62" s="1920"/>
      <c r="C62" s="1920"/>
      <c r="D62" s="529" t="s">
        <v>878</v>
      </c>
      <c r="E62" s="529">
        <v>6.4749999999999996</v>
      </c>
      <c r="F62" s="529">
        <v>27</v>
      </c>
      <c r="G62" s="1919" t="s">
        <v>1083</v>
      </c>
    </row>
    <row r="63" spans="1:7" ht="16.5" thickBot="1">
      <c r="A63" s="1920"/>
      <c r="B63" s="1920"/>
      <c r="C63" s="1921"/>
      <c r="D63" s="529" t="s">
        <v>879</v>
      </c>
      <c r="E63" s="529">
        <v>6.4749999999999996</v>
      </c>
      <c r="F63" s="529">
        <v>27</v>
      </c>
      <c r="G63" s="1920"/>
    </row>
    <row r="64" spans="1:7" ht="16.5" thickBot="1">
      <c r="A64" s="1920"/>
      <c r="B64" s="1920"/>
      <c r="C64" s="1919" t="s">
        <v>882</v>
      </c>
      <c r="D64" s="529" t="s">
        <v>29</v>
      </c>
      <c r="E64" s="529">
        <v>5.5</v>
      </c>
      <c r="F64" s="529">
        <v>22</v>
      </c>
      <c r="G64" s="1921"/>
    </row>
    <row r="65" spans="1:7" ht="16.5" thickBot="1">
      <c r="A65" s="1920"/>
      <c r="B65" s="1920"/>
      <c r="C65" s="1920"/>
      <c r="D65" s="529" t="s">
        <v>878</v>
      </c>
      <c r="E65" s="529">
        <v>5.5</v>
      </c>
      <c r="F65" s="529">
        <v>22</v>
      </c>
      <c r="G65" s="529"/>
    </row>
    <row r="66" spans="1:7" ht="16.5" thickBot="1">
      <c r="A66" s="1921"/>
      <c r="B66" s="1921"/>
      <c r="C66" s="1921"/>
      <c r="D66" s="529" t="s">
        <v>879</v>
      </c>
      <c r="E66" s="529">
        <v>5.5</v>
      </c>
      <c r="F66" s="529">
        <v>22</v>
      </c>
      <c r="G66" s="529"/>
    </row>
  </sheetData>
  <mergeCells count="43">
    <mergeCell ref="A1:G1"/>
    <mergeCell ref="A3:A4"/>
    <mergeCell ref="B3:B4"/>
    <mergeCell ref="C3:D4"/>
    <mergeCell ref="G3:G4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47:G47"/>
    <mergeCell ref="A48:A56"/>
    <mergeCell ref="B48:B56"/>
    <mergeCell ref="C49:C50"/>
    <mergeCell ref="C51:C53"/>
    <mergeCell ref="C54:C56"/>
    <mergeCell ref="A57:G57"/>
    <mergeCell ref="A58:A66"/>
    <mergeCell ref="B58:B66"/>
    <mergeCell ref="C59:C60"/>
    <mergeCell ref="C61:C63"/>
    <mergeCell ref="C64:C66"/>
    <mergeCell ref="G62:G6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56"/>
  <sheetViews>
    <sheetView showGridLines="0" zoomScaleNormal="100" workbookViewId="0">
      <selection activeCell="I14" sqref="I14:I19"/>
    </sheetView>
  </sheetViews>
  <sheetFormatPr defaultColWidth="14.42578125" defaultRowHeight="15" customHeight="1"/>
  <cols>
    <col min="1" max="1" width="6.5703125" style="681" customWidth="1"/>
    <col min="2" max="2" width="16.5703125" style="681" bestFit="1" customWidth="1"/>
    <col min="3" max="3" width="15.85546875" style="681" bestFit="1" customWidth="1"/>
    <col min="4" max="4" width="17.28515625" style="681" bestFit="1" customWidth="1"/>
    <col min="5" max="5" width="17.42578125" style="681" bestFit="1" customWidth="1"/>
    <col min="6" max="7" width="11.7109375" style="681" bestFit="1" customWidth="1"/>
    <col min="8" max="9" width="11.5703125" style="681" bestFit="1" customWidth="1"/>
    <col min="10" max="10" width="15.5703125" style="681" customWidth="1"/>
    <col min="11" max="11" width="13.140625" style="681" bestFit="1" customWidth="1"/>
    <col min="12" max="16384" width="14.42578125" style="681"/>
  </cols>
  <sheetData>
    <row r="1" spans="1:11" ht="18.75">
      <c r="A1" s="1936" t="s">
        <v>85</v>
      </c>
      <c r="B1" s="1937"/>
      <c r="C1" s="1937"/>
      <c r="D1" s="1937"/>
      <c r="E1" s="1937"/>
      <c r="F1" s="1937"/>
      <c r="G1" s="1937"/>
      <c r="H1" s="1937"/>
      <c r="I1" s="1937"/>
      <c r="J1" s="1937"/>
      <c r="K1" s="1937"/>
    </row>
    <row r="2" spans="1:11" ht="26.45" customHeight="1">
      <c r="A2" s="943" t="s">
        <v>25</v>
      </c>
      <c r="B2" s="944" t="s">
        <v>551</v>
      </c>
      <c r="C2" s="943" t="s">
        <v>38</v>
      </c>
      <c r="D2" s="944" t="s">
        <v>37</v>
      </c>
      <c r="E2" s="943" t="s">
        <v>36</v>
      </c>
      <c r="F2" s="943" t="s">
        <v>1657</v>
      </c>
      <c r="G2" s="943" t="s">
        <v>1658</v>
      </c>
      <c r="H2" s="943" t="s">
        <v>1594</v>
      </c>
      <c r="I2" s="943" t="s">
        <v>1659</v>
      </c>
      <c r="J2" s="943" t="s">
        <v>35</v>
      </c>
      <c r="K2" s="943" t="s">
        <v>2</v>
      </c>
    </row>
    <row r="3" spans="1:11" ht="18" customHeight="1">
      <c r="A3" s="945"/>
      <c r="B3" s="945"/>
      <c r="C3" s="945"/>
      <c r="D3" s="945"/>
      <c r="E3" s="945"/>
      <c r="F3" s="945"/>
      <c r="G3" s="945"/>
      <c r="H3" s="945"/>
      <c r="I3" s="945"/>
      <c r="J3" s="945">
        <f>COUNTIF(J4:J199,"Completed")</f>
        <v>196</v>
      </c>
      <c r="K3" s="945"/>
    </row>
    <row r="4" spans="1:11" ht="16.5" customHeight="1">
      <c r="A4" s="941">
        <v>1</v>
      </c>
      <c r="B4" s="941" t="s">
        <v>561</v>
      </c>
      <c r="C4" s="941" t="s">
        <v>34</v>
      </c>
      <c r="D4" s="1228" t="s">
        <v>61</v>
      </c>
      <c r="E4" s="941" t="s">
        <v>41</v>
      </c>
      <c r="F4" s="940">
        <v>45463</v>
      </c>
      <c r="G4" s="940">
        <v>45466</v>
      </c>
      <c r="H4" s="940" t="s">
        <v>1589</v>
      </c>
      <c r="I4" s="941">
        <v>1</v>
      </c>
      <c r="J4" s="683" t="s">
        <v>29</v>
      </c>
      <c r="K4" s="945"/>
    </row>
    <row r="5" spans="1:11" ht="18" customHeight="1">
      <c r="A5" s="941">
        <v>2</v>
      </c>
      <c r="B5" s="941" t="s">
        <v>60</v>
      </c>
      <c r="C5" s="941" t="s">
        <v>45</v>
      </c>
      <c r="D5" s="941" t="s">
        <v>61</v>
      </c>
      <c r="E5" s="941" t="s">
        <v>41</v>
      </c>
      <c r="F5" s="940">
        <v>45474</v>
      </c>
      <c r="G5" s="940">
        <v>45478</v>
      </c>
      <c r="H5" s="940" t="s">
        <v>1590</v>
      </c>
      <c r="I5" s="941">
        <v>1</v>
      </c>
      <c r="J5" s="683" t="s">
        <v>29</v>
      </c>
      <c r="K5" s="945"/>
    </row>
    <row r="6" spans="1:11" ht="18" customHeight="1">
      <c r="A6" s="941">
        <v>3</v>
      </c>
      <c r="B6" s="941" t="s">
        <v>59</v>
      </c>
      <c r="C6" s="941" t="s">
        <v>50</v>
      </c>
      <c r="D6" s="1228" t="s">
        <v>31</v>
      </c>
      <c r="E6" s="941" t="s">
        <v>41</v>
      </c>
      <c r="F6" s="940">
        <v>45501</v>
      </c>
      <c r="G6" s="940">
        <v>45507</v>
      </c>
      <c r="H6" s="1945" t="s">
        <v>1591</v>
      </c>
      <c r="I6" s="1946">
        <v>4</v>
      </c>
      <c r="J6" s="683" t="s">
        <v>29</v>
      </c>
      <c r="K6" s="945"/>
    </row>
    <row r="7" spans="1:11">
      <c r="A7" s="941">
        <v>4</v>
      </c>
      <c r="B7" s="941" t="s">
        <v>58</v>
      </c>
      <c r="C7" s="941" t="s">
        <v>57</v>
      </c>
      <c r="D7" s="1228" t="s">
        <v>31</v>
      </c>
      <c r="E7" s="941" t="s">
        <v>41</v>
      </c>
      <c r="F7" s="940">
        <v>45506</v>
      </c>
      <c r="G7" s="940">
        <v>45512</v>
      </c>
      <c r="H7" s="1945"/>
      <c r="I7" s="1946"/>
      <c r="J7" s="683" t="s">
        <v>29</v>
      </c>
      <c r="K7" s="683"/>
    </row>
    <row r="8" spans="1:11" ht="18" customHeight="1">
      <c r="A8" s="941">
        <v>5</v>
      </c>
      <c r="B8" s="941" t="s">
        <v>565</v>
      </c>
      <c r="C8" s="941" t="s">
        <v>48</v>
      </c>
      <c r="D8" s="1228" t="s">
        <v>31</v>
      </c>
      <c r="E8" s="941" t="s">
        <v>41</v>
      </c>
      <c r="F8" s="940">
        <v>45512</v>
      </c>
      <c r="G8" s="940">
        <v>45517</v>
      </c>
      <c r="H8" s="1945"/>
      <c r="I8" s="1946"/>
      <c r="J8" s="683" t="s">
        <v>29</v>
      </c>
      <c r="K8" s="683"/>
    </row>
    <row r="9" spans="1:11" ht="18" customHeight="1">
      <c r="A9" s="941">
        <v>6</v>
      </c>
      <c r="B9" s="941" t="s">
        <v>55</v>
      </c>
      <c r="C9" s="941" t="s">
        <v>45</v>
      </c>
      <c r="D9" s="1228" t="s">
        <v>31</v>
      </c>
      <c r="E9" s="941" t="s">
        <v>41</v>
      </c>
      <c r="F9" s="940">
        <v>45521</v>
      </c>
      <c r="G9" s="940">
        <v>45528</v>
      </c>
      <c r="H9" s="1945"/>
      <c r="I9" s="1946"/>
      <c r="J9" s="683" t="s">
        <v>29</v>
      </c>
      <c r="K9" s="683"/>
    </row>
    <row r="10" spans="1:11" ht="18" customHeight="1">
      <c r="A10" s="941">
        <v>7</v>
      </c>
      <c r="B10" s="941" t="s">
        <v>54</v>
      </c>
      <c r="C10" s="941" t="s">
        <v>53</v>
      </c>
      <c r="D10" s="1228" t="s">
        <v>31</v>
      </c>
      <c r="E10" s="941" t="s">
        <v>41</v>
      </c>
      <c r="F10" s="940">
        <v>45534</v>
      </c>
      <c r="G10" s="940">
        <v>45539</v>
      </c>
      <c r="H10" s="1945" t="s">
        <v>1592</v>
      </c>
      <c r="I10" s="1946">
        <v>4</v>
      </c>
      <c r="J10" s="683" t="s">
        <v>29</v>
      </c>
      <c r="K10" s="683"/>
    </row>
    <row r="11" spans="1:11" ht="18" customHeight="1">
      <c r="A11" s="941">
        <v>8</v>
      </c>
      <c r="B11" s="941" t="s">
        <v>51</v>
      </c>
      <c r="C11" s="941" t="s">
        <v>50</v>
      </c>
      <c r="D11" s="1228" t="s">
        <v>31</v>
      </c>
      <c r="E11" s="941" t="s">
        <v>41</v>
      </c>
      <c r="F11" s="940">
        <v>45551</v>
      </c>
      <c r="G11" s="940">
        <v>45555</v>
      </c>
      <c r="H11" s="1945"/>
      <c r="I11" s="1946"/>
      <c r="J11" s="683" t="s">
        <v>29</v>
      </c>
      <c r="K11" s="683"/>
    </row>
    <row r="12" spans="1:11" ht="18" customHeight="1">
      <c r="A12" s="941">
        <v>9</v>
      </c>
      <c r="B12" s="941" t="s">
        <v>56</v>
      </c>
      <c r="C12" s="941" t="s">
        <v>43</v>
      </c>
      <c r="D12" s="1228" t="s">
        <v>31</v>
      </c>
      <c r="E12" s="941" t="s">
        <v>30</v>
      </c>
      <c r="F12" s="940">
        <v>45553</v>
      </c>
      <c r="G12" s="940">
        <v>45557</v>
      </c>
      <c r="H12" s="1945"/>
      <c r="I12" s="1946"/>
      <c r="J12" s="683" t="s">
        <v>29</v>
      </c>
      <c r="K12" s="683"/>
    </row>
    <row r="13" spans="1:11" ht="18" customHeight="1">
      <c r="A13" s="941">
        <v>10</v>
      </c>
      <c r="B13" s="941" t="s">
        <v>564</v>
      </c>
      <c r="C13" s="941" t="s">
        <v>48</v>
      </c>
      <c r="D13" s="1228" t="s">
        <v>31</v>
      </c>
      <c r="E13" s="941" t="s">
        <v>30</v>
      </c>
      <c r="F13" s="940">
        <v>45556</v>
      </c>
      <c r="G13" s="940">
        <v>45561</v>
      </c>
      <c r="H13" s="1945"/>
      <c r="I13" s="1946"/>
      <c r="J13" s="683" t="s">
        <v>29</v>
      </c>
      <c r="K13" s="683"/>
    </row>
    <row r="14" spans="1:11" ht="18" customHeight="1">
      <c r="A14" s="941">
        <v>11</v>
      </c>
      <c r="B14" s="941" t="s">
        <v>40</v>
      </c>
      <c r="C14" s="941" t="s">
        <v>39</v>
      </c>
      <c r="D14" s="1228" t="s">
        <v>42</v>
      </c>
      <c r="E14" s="941" t="s">
        <v>30</v>
      </c>
      <c r="F14" s="940">
        <v>45567</v>
      </c>
      <c r="G14" s="940">
        <v>45571</v>
      </c>
      <c r="H14" s="1945" t="s">
        <v>1593</v>
      </c>
      <c r="I14" s="1946">
        <v>6</v>
      </c>
      <c r="J14" s="683" t="s">
        <v>29</v>
      </c>
      <c r="K14" s="683"/>
    </row>
    <row r="15" spans="1:11" ht="18" customHeight="1">
      <c r="A15" s="941">
        <v>12</v>
      </c>
      <c r="B15" s="941" t="s">
        <v>563</v>
      </c>
      <c r="C15" s="941" t="s">
        <v>49</v>
      </c>
      <c r="D15" s="1228" t="s">
        <v>42</v>
      </c>
      <c r="E15" s="941" t="s">
        <v>30</v>
      </c>
      <c r="F15" s="940">
        <v>45572</v>
      </c>
      <c r="G15" s="940">
        <v>45576</v>
      </c>
      <c r="H15" s="1945"/>
      <c r="I15" s="1946"/>
      <c r="J15" s="683" t="s">
        <v>29</v>
      </c>
      <c r="K15" s="683"/>
    </row>
    <row r="16" spans="1:11" ht="18" customHeight="1">
      <c r="A16" s="941">
        <v>13</v>
      </c>
      <c r="B16" s="941" t="s">
        <v>46</v>
      </c>
      <c r="C16" s="941" t="s">
        <v>45</v>
      </c>
      <c r="D16" s="1228" t="s">
        <v>42</v>
      </c>
      <c r="E16" s="941" t="s">
        <v>30</v>
      </c>
      <c r="F16" s="940">
        <v>45578</v>
      </c>
      <c r="G16" s="940">
        <v>45583</v>
      </c>
      <c r="H16" s="1945"/>
      <c r="I16" s="1946"/>
      <c r="J16" s="683" t="s">
        <v>29</v>
      </c>
      <c r="K16" s="683"/>
    </row>
    <row r="17" spans="1:11" ht="18" customHeight="1">
      <c r="A17" s="941">
        <v>14</v>
      </c>
      <c r="B17" s="941" t="s">
        <v>296</v>
      </c>
      <c r="C17" s="941" t="s">
        <v>48</v>
      </c>
      <c r="D17" s="1228" t="s">
        <v>42</v>
      </c>
      <c r="E17" s="941" t="s">
        <v>30</v>
      </c>
      <c r="F17" s="940">
        <v>45584</v>
      </c>
      <c r="G17" s="940">
        <v>45588</v>
      </c>
      <c r="H17" s="1945"/>
      <c r="I17" s="1946"/>
      <c r="J17" s="683" t="s">
        <v>29</v>
      </c>
      <c r="K17" s="683"/>
    </row>
    <row r="18" spans="1:11" ht="18" customHeight="1">
      <c r="A18" s="941">
        <v>15</v>
      </c>
      <c r="B18" s="941" t="s">
        <v>44</v>
      </c>
      <c r="C18" s="941" t="s">
        <v>43</v>
      </c>
      <c r="D18" s="1228" t="s">
        <v>42</v>
      </c>
      <c r="E18" s="941" t="s">
        <v>41</v>
      </c>
      <c r="F18" s="940">
        <v>45586</v>
      </c>
      <c r="G18" s="940">
        <v>45591</v>
      </c>
      <c r="H18" s="1945"/>
      <c r="I18" s="1946"/>
      <c r="J18" s="683" t="s">
        <v>29</v>
      </c>
      <c r="K18" s="683"/>
    </row>
    <row r="19" spans="1:11" ht="18" customHeight="1">
      <c r="A19" s="941">
        <v>16</v>
      </c>
      <c r="B19" s="941" t="s">
        <v>47</v>
      </c>
      <c r="C19" s="941" t="s">
        <v>43</v>
      </c>
      <c r="D19" s="963" t="s">
        <v>42</v>
      </c>
      <c r="E19" s="941" t="s">
        <v>1638</v>
      </c>
      <c r="F19" s="940">
        <v>45593</v>
      </c>
      <c r="G19" s="940">
        <v>45595</v>
      </c>
      <c r="H19" s="1945"/>
      <c r="I19" s="1946"/>
      <c r="J19" s="683" t="s">
        <v>29</v>
      </c>
      <c r="K19" s="683"/>
    </row>
    <row r="20" spans="1:11" ht="18" customHeight="1">
      <c r="A20" s="941">
        <v>17</v>
      </c>
      <c r="B20" s="941" t="s">
        <v>1166</v>
      </c>
      <c r="C20" s="941" t="s">
        <v>32</v>
      </c>
      <c r="D20" s="941" t="s">
        <v>42</v>
      </c>
      <c r="E20" s="941" t="s">
        <v>1165</v>
      </c>
      <c r="F20" s="940">
        <v>45992</v>
      </c>
      <c r="G20" s="940">
        <v>45993</v>
      </c>
      <c r="H20" s="1943" t="s">
        <v>1595</v>
      </c>
      <c r="I20" s="1944">
        <v>18</v>
      </c>
      <c r="J20" s="683" t="s">
        <v>29</v>
      </c>
      <c r="K20" s="682"/>
    </row>
    <row r="21" spans="1:11" ht="18" customHeight="1">
      <c r="A21" s="941">
        <v>18</v>
      </c>
      <c r="B21" s="941" t="s">
        <v>1169</v>
      </c>
      <c r="C21" s="941" t="s">
        <v>43</v>
      </c>
      <c r="D21" s="941" t="s">
        <v>42</v>
      </c>
      <c r="E21" s="941" t="s">
        <v>1165</v>
      </c>
      <c r="F21" s="940">
        <v>45992</v>
      </c>
      <c r="G21" s="940">
        <v>45995</v>
      </c>
      <c r="H21" s="1943"/>
      <c r="I21" s="1944"/>
      <c r="J21" s="683" t="s">
        <v>29</v>
      </c>
      <c r="K21" s="682"/>
    </row>
    <row r="22" spans="1:11" ht="18" customHeight="1">
      <c r="A22" s="941">
        <v>19</v>
      </c>
      <c r="B22" s="941" t="s">
        <v>1178</v>
      </c>
      <c r="C22" s="941" t="s">
        <v>34</v>
      </c>
      <c r="D22" s="941" t="s">
        <v>42</v>
      </c>
      <c r="E22" s="941" t="s">
        <v>1165</v>
      </c>
      <c r="F22" s="940">
        <f>G21</f>
        <v>45995</v>
      </c>
      <c r="G22" s="940">
        <f>G21+3</f>
        <v>45998</v>
      </c>
      <c r="H22" s="1943"/>
      <c r="I22" s="1944"/>
      <c r="J22" s="683" t="s">
        <v>29</v>
      </c>
      <c r="K22" s="682"/>
    </row>
    <row r="23" spans="1:11" ht="18" customHeight="1">
      <c r="A23" s="941">
        <v>20</v>
      </c>
      <c r="B23" s="941" t="s">
        <v>1168</v>
      </c>
      <c r="C23" s="941" t="s">
        <v>1181</v>
      </c>
      <c r="D23" s="941" t="s">
        <v>61</v>
      </c>
      <c r="E23" s="941" t="s">
        <v>41</v>
      </c>
      <c r="F23" s="940">
        <v>45992</v>
      </c>
      <c r="G23" s="940">
        <v>45999</v>
      </c>
      <c r="H23" s="1943"/>
      <c r="I23" s="1944"/>
      <c r="J23" s="683" t="s">
        <v>29</v>
      </c>
      <c r="K23" s="682"/>
    </row>
    <row r="24" spans="1:11" ht="18" customHeight="1">
      <c r="A24" s="941">
        <v>21</v>
      </c>
      <c r="B24" s="941" t="s">
        <v>1179</v>
      </c>
      <c r="C24" s="941" t="s">
        <v>32</v>
      </c>
      <c r="D24" s="941" t="s">
        <v>42</v>
      </c>
      <c r="E24" s="941" t="s">
        <v>1165</v>
      </c>
      <c r="F24" s="940">
        <f>G22</f>
        <v>45998</v>
      </c>
      <c r="G24" s="940">
        <v>46000</v>
      </c>
      <c r="H24" s="1943"/>
      <c r="I24" s="1944"/>
      <c r="J24" s="683" t="s">
        <v>29</v>
      </c>
      <c r="K24" s="682"/>
    </row>
    <row r="25" spans="1:11" ht="18" customHeight="1">
      <c r="A25" s="941">
        <v>22</v>
      </c>
      <c r="B25" s="941" t="s">
        <v>1210</v>
      </c>
      <c r="C25" s="941" t="s">
        <v>43</v>
      </c>
      <c r="D25" s="941" t="s">
        <v>42</v>
      </c>
      <c r="E25" s="941" t="s">
        <v>1165</v>
      </c>
      <c r="F25" s="940">
        <f>G23</f>
        <v>45999</v>
      </c>
      <c r="G25" s="940">
        <f>F25+3</f>
        <v>46002</v>
      </c>
      <c r="H25" s="1943"/>
      <c r="I25" s="1944"/>
      <c r="J25" s="683" t="s">
        <v>29</v>
      </c>
      <c r="K25" s="682"/>
    </row>
    <row r="26" spans="1:11" ht="18" customHeight="1">
      <c r="A26" s="941">
        <v>23</v>
      </c>
      <c r="B26" s="941" t="s">
        <v>1182</v>
      </c>
      <c r="C26" s="941" t="s">
        <v>34</v>
      </c>
      <c r="D26" s="941" t="s">
        <v>31</v>
      </c>
      <c r="E26" s="941" t="s">
        <v>41</v>
      </c>
      <c r="F26" s="940">
        <f>G24</f>
        <v>46000</v>
      </c>
      <c r="G26" s="940">
        <f>F26+2</f>
        <v>46002</v>
      </c>
      <c r="H26" s="1943"/>
      <c r="I26" s="1944"/>
      <c r="J26" s="683" t="s">
        <v>29</v>
      </c>
      <c r="K26" s="682"/>
    </row>
    <row r="27" spans="1:11" ht="18" customHeight="1">
      <c r="A27" s="941">
        <v>24</v>
      </c>
      <c r="B27" s="941" t="s">
        <v>1301</v>
      </c>
      <c r="C27" s="941" t="s">
        <v>48</v>
      </c>
      <c r="D27" s="941" t="s">
        <v>42</v>
      </c>
      <c r="E27" s="941" t="s">
        <v>1165</v>
      </c>
      <c r="F27" s="940">
        <f>G26</f>
        <v>46002</v>
      </c>
      <c r="G27" s="940">
        <f>F27+3</f>
        <v>46005</v>
      </c>
      <c r="H27" s="1943"/>
      <c r="I27" s="1944"/>
      <c r="J27" s="683" t="s">
        <v>29</v>
      </c>
      <c r="K27" s="682"/>
    </row>
    <row r="28" spans="1:11" ht="18" customHeight="1">
      <c r="A28" s="941">
        <v>25</v>
      </c>
      <c r="B28" s="941" t="s">
        <v>1190</v>
      </c>
      <c r="C28" s="941" t="s">
        <v>48</v>
      </c>
      <c r="D28" s="941" t="s">
        <v>42</v>
      </c>
      <c r="E28" s="941" t="s">
        <v>1165</v>
      </c>
      <c r="F28" s="940">
        <f>G27</f>
        <v>46005</v>
      </c>
      <c r="G28" s="940">
        <f>F28+2</f>
        <v>46007</v>
      </c>
      <c r="H28" s="1943"/>
      <c r="I28" s="1944"/>
      <c r="J28" s="683" t="s">
        <v>29</v>
      </c>
      <c r="K28" s="682"/>
    </row>
    <row r="29" spans="1:11" ht="18" customHeight="1">
      <c r="A29" s="941">
        <v>26</v>
      </c>
      <c r="B29" s="941" t="s">
        <v>1196</v>
      </c>
      <c r="C29" s="941" t="s">
        <v>32</v>
      </c>
      <c r="D29" s="941" t="s">
        <v>42</v>
      </c>
      <c r="E29" s="941" t="s">
        <v>1165</v>
      </c>
      <c r="F29" s="940">
        <f>F28</f>
        <v>46005</v>
      </c>
      <c r="G29" s="940">
        <v>46009</v>
      </c>
      <c r="H29" s="1943"/>
      <c r="I29" s="1944"/>
      <c r="J29" s="683" t="s">
        <v>29</v>
      </c>
      <c r="K29" s="682"/>
    </row>
    <row r="30" spans="1:11" ht="18" customHeight="1">
      <c r="A30" s="941">
        <v>27</v>
      </c>
      <c r="B30" s="941" t="s">
        <v>1206</v>
      </c>
      <c r="C30" s="941" t="s">
        <v>50</v>
      </c>
      <c r="D30" s="941" t="s">
        <v>61</v>
      </c>
      <c r="E30" s="941" t="s">
        <v>41</v>
      </c>
      <c r="F30" s="940">
        <f>G26</f>
        <v>46002</v>
      </c>
      <c r="G30" s="940">
        <v>46010</v>
      </c>
      <c r="H30" s="1943"/>
      <c r="I30" s="1944"/>
      <c r="J30" s="683" t="s">
        <v>29</v>
      </c>
      <c r="K30" s="682"/>
    </row>
    <row r="31" spans="1:11" ht="18" customHeight="1">
      <c r="A31" s="941">
        <v>28</v>
      </c>
      <c r="B31" s="941" t="s">
        <v>1197</v>
      </c>
      <c r="C31" s="941" t="s">
        <v>32</v>
      </c>
      <c r="D31" s="941" t="s">
        <v>61</v>
      </c>
      <c r="E31" s="941" t="s">
        <v>1165</v>
      </c>
      <c r="F31" s="940">
        <v>46008</v>
      </c>
      <c r="G31" s="940">
        <v>46011</v>
      </c>
      <c r="H31" s="1943"/>
      <c r="I31" s="1944"/>
      <c r="J31" s="683" t="s">
        <v>29</v>
      </c>
      <c r="K31" s="682"/>
    </row>
    <row r="32" spans="1:11" ht="18.75" customHeight="1">
      <c r="A32" s="941">
        <v>29</v>
      </c>
      <c r="B32" s="941" t="s">
        <v>1191</v>
      </c>
      <c r="C32" s="941" t="s">
        <v>32</v>
      </c>
      <c r="D32" s="941" t="s">
        <v>42</v>
      </c>
      <c r="E32" s="941" t="s">
        <v>1165</v>
      </c>
      <c r="F32" s="940">
        <v>46010</v>
      </c>
      <c r="G32" s="940">
        <v>46013</v>
      </c>
      <c r="H32" s="1943"/>
      <c r="I32" s="1944"/>
      <c r="J32" s="683" t="s">
        <v>29</v>
      </c>
      <c r="K32" s="682"/>
    </row>
    <row r="33" spans="1:11" ht="18.75" customHeight="1">
      <c r="A33" s="941">
        <v>30</v>
      </c>
      <c r="B33" s="941" t="s">
        <v>1199</v>
      </c>
      <c r="C33" s="941" t="s">
        <v>34</v>
      </c>
      <c r="D33" s="941" t="s">
        <v>42</v>
      </c>
      <c r="E33" s="941" t="s">
        <v>1165</v>
      </c>
      <c r="F33" s="940">
        <v>46013</v>
      </c>
      <c r="G33" s="940">
        <v>46016</v>
      </c>
      <c r="H33" s="1943"/>
      <c r="I33" s="1944"/>
      <c r="J33" s="683" t="s">
        <v>29</v>
      </c>
      <c r="K33" s="682"/>
    </row>
    <row r="34" spans="1:11" ht="18.75" customHeight="1">
      <c r="A34" s="941">
        <v>31</v>
      </c>
      <c r="B34" s="941" t="s">
        <v>1238</v>
      </c>
      <c r="C34" s="941" t="s">
        <v>50</v>
      </c>
      <c r="D34" s="941" t="s">
        <v>61</v>
      </c>
      <c r="E34" s="941" t="s">
        <v>41</v>
      </c>
      <c r="F34" s="940">
        <v>46012</v>
      </c>
      <c r="G34" s="940">
        <v>46018</v>
      </c>
      <c r="H34" s="1943"/>
      <c r="I34" s="1944"/>
      <c r="J34" s="683" t="s">
        <v>29</v>
      </c>
      <c r="K34" s="682"/>
    </row>
    <row r="35" spans="1:11" ht="18.75" customHeight="1">
      <c r="A35" s="941">
        <v>32</v>
      </c>
      <c r="B35" s="946" t="s">
        <v>1241</v>
      </c>
      <c r="C35" s="946" t="s">
        <v>32</v>
      </c>
      <c r="D35" s="942" t="s">
        <v>42</v>
      </c>
      <c r="E35" s="941" t="s">
        <v>41</v>
      </c>
      <c r="F35" s="940">
        <v>46018</v>
      </c>
      <c r="G35" s="940">
        <v>46021</v>
      </c>
      <c r="H35" s="1943"/>
      <c r="I35" s="1944"/>
      <c r="J35" s="683" t="s">
        <v>29</v>
      </c>
      <c r="K35" s="682"/>
    </row>
    <row r="36" spans="1:11" ht="18.75" customHeight="1">
      <c r="A36" s="941">
        <v>33</v>
      </c>
      <c r="B36" s="941" t="s">
        <v>1173</v>
      </c>
      <c r="C36" s="941" t="s">
        <v>48</v>
      </c>
      <c r="D36" s="941" t="s">
        <v>1606</v>
      </c>
      <c r="E36" s="941" t="s">
        <v>1165</v>
      </c>
      <c r="F36" s="940">
        <v>46019</v>
      </c>
      <c r="G36" s="940">
        <v>46022</v>
      </c>
      <c r="H36" s="1943"/>
      <c r="I36" s="1944"/>
      <c r="J36" s="683" t="s">
        <v>29</v>
      </c>
      <c r="K36" s="682"/>
    </row>
    <row r="37" spans="1:11" ht="18.75" customHeight="1">
      <c r="A37" s="941">
        <v>34</v>
      </c>
      <c r="B37" s="941" t="s">
        <v>1172</v>
      </c>
      <c r="C37" s="941" t="s">
        <v>48</v>
      </c>
      <c r="D37" s="941" t="s">
        <v>1606</v>
      </c>
      <c r="E37" s="941" t="s">
        <v>1165</v>
      </c>
      <c r="F37" s="940">
        <v>46017</v>
      </c>
      <c r="G37" s="940">
        <v>46020</v>
      </c>
      <c r="H37" s="1943"/>
      <c r="I37" s="1944"/>
      <c r="J37" s="683" t="s">
        <v>29</v>
      </c>
      <c r="K37" s="682"/>
    </row>
    <row r="38" spans="1:11" ht="18.75" customHeight="1">
      <c r="A38" s="941">
        <v>35</v>
      </c>
      <c r="B38" s="941" t="s">
        <v>1240</v>
      </c>
      <c r="C38" s="941" t="s">
        <v>32</v>
      </c>
      <c r="D38" s="941" t="s">
        <v>42</v>
      </c>
      <c r="E38" s="941" t="s">
        <v>41</v>
      </c>
      <c r="F38" s="940">
        <v>46021</v>
      </c>
      <c r="G38" s="940">
        <v>46027</v>
      </c>
      <c r="H38" s="1943" t="s">
        <v>1633</v>
      </c>
      <c r="I38" s="1944">
        <v>8</v>
      </c>
      <c r="J38" s="683" t="s">
        <v>29</v>
      </c>
      <c r="K38" s="682"/>
    </row>
    <row r="39" spans="1:11" ht="18.75" customHeight="1">
      <c r="A39" s="941">
        <v>36</v>
      </c>
      <c r="B39" s="941" t="s">
        <v>1239</v>
      </c>
      <c r="C39" s="941" t="s">
        <v>50</v>
      </c>
      <c r="D39" s="941" t="s">
        <v>61</v>
      </c>
      <c r="E39" s="941" t="s">
        <v>41</v>
      </c>
      <c r="F39" s="940">
        <v>46026</v>
      </c>
      <c r="G39" s="940">
        <v>46031</v>
      </c>
      <c r="H39" s="1943"/>
      <c r="I39" s="1944"/>
      <c r="J39" s="683" t="s">
        <v>29</v>
      </c>
      <c r="K39" s="682"/>
    </row>
    <row r="40" spans="1:11" ht="18.75" customHeight="1">
      <c r="A40" s="941">
        <v>37</v>
      </c>
      <c r="B40" s="941" t="s">
        <v>1278</v>
      </c>
      <c r="C40" s="941" t="s">
        <v>1423</v>
      </c>
      <c r="D40" s="941" t="s">
        <v>61</v>
      </c>
      <c r="E40" s="941" t="s">
        <v>41</v>
      </c>
      <c r="F40" s="940">
        <v>46032</v>
      </c>
      <c r="G40" s="940">
        <v>46037</v>
      </c>
      <c r="H40" s="1943"/>
      <c r="I40" s="1944"/>
      <c r="J40" s="683" t="s">
        <v>29</v>
      </c>
      <c r="K40" s="682"/>
    </row>
    <row r="41" spans="1:11" ht="18.75" customHeight="1">
      <c r="A41" s="941">
        <v>38</v>
      </c>
      <c r="B41" s="941" t="s">
        <v>1195</v>
      </c>
      <c r="C41" s="941" t="s">
        <v>32</v>
      </c>
      <c r="D41" s="941" t="s">
        <v>42</v>
      </c>
      <c r="E41" s="941" t="s">
        <v>41</v>
      </c>
      <c r="F41" s="940">
        <v>46038</v>
      </c>
      <c r="G41" s="940">
        <v>46040</v>
      </c>
      <c r="H41" s="1943"/>
      <c r="I41" s="1944"/>
      <c r="J41" s="683" t="s">
        <v>29</v>
      </c>
      <c r="K41" s="682"/>
    </row>
    <row r="42" spans="1:11" ht="18.75" customHeight="1">
      <c r="A42" s="941">
        <v>39</v>
      </c>
      <c r="B42" s="941" t="s">
        <v>1344</v>
      </c>
      <c r="C42" s="941" t="s">
        <v>49</v>
      </c>
      <c r="D42" s="941" t="s">
        <v>61</v>
      </c>
      <c r="E42" s="941" t="s">
        <v>1890</v>
      </c>
      <c r="F42" s="940">
        <v>46044</v>
      </c>
      <c r="G42" s="940">
        <v>46049</v>
      </c>
      <c r="H42" s="1943"/>
      <c r="I42" s="1944"/>
      <c r="J42" s="683" t="s">
        <v>29</v>
      </c>
      <c r="K42" s="682"/>
    </row>
    <row r="43" spans="1:11" ht="18.75" customHeight="1">
      <c r="A43" s="941">
        <v>40</v>
      </c>
      <c r="B43" s="941" t="s">
        <v>1343</v>
      </c>
      <c r="C43" s="941" t="s">
        <v>32</v>
      </c>
      <c r="D43" s="941" t="s">
        <v>42</v>
      </c>
      <c r="E43" s="1228" t="s">
        <v>1890</v>
      </c>
      <c r="F43" s="940">
        <v>46049</v>
      </c>
      <c r="G43" s="940">
        <v>46052</v>
      </c>
      <c r="H43" s="1943"/>
      <c r="I43" s="1944"/>
      <c r="J43" s="683" t="s">
        <v>29</v>
      </c>
      <c r="K43" s="682"/>
    </row>
    <row r="44" spans="1:11" ht="18.75" customHeight="1">
      <c r="A44" s="941">
        <v>41</v>
      </c>
      <c r="B44" s="941" t="s">
        <v>1279</v>
      </c>
      <c r="C44" s="941" t="s">
        <v>50</v>
      </c>
      <c r="D44" s="941" t="s">
        <v>61</v>
      </c>
      <c r="E44" s="941" t="s">
        <v>41</v>
      </c>
      <c r="F44" s="940">
        <v>46042</v>
      </c>
      <c r="G44" s="940">
        <v>46053</v>
      </c>
      <c r="H44" s="1943"/>
      <c r="I44" s="1944"/>
      <c r="J44" s="683" t="s">
        <v>29</v>
      </c>
      <c r="K44" s="682"/>
    </row>
    <row r="45" spans="1:11" ht="18.75" customHeight="1">
      <c r="A45" s="941">
        <v>42</v>
      </c>
      <c r="B45" s="941" t="s">
        <v>1693</v>
      </c>
      <c r="C45" s="941" t="s">
        <v>1181</v>
      </c>
      <c r="D45" s="941" t="s">
        <v>42</v>
      </c>
      <c r="E45" s="1183" t="s">
        <v>1635</v>
      </c>
      <c r="F45" s="940">
        <v>46049</v>
      </c>
      <c r="G45" s="940">
        <v>46053</v>
      </c>
      <c r="H45" s="1943"/>
      <c r="I45" s="1944"/>
      <c r="J45" s="683" t="s">
        <v>29</v>
      </c>
      <c r="K45" s="682"/>
    </row>
    <row r="46" spans="1:11" ht="18.75" customHeight="1">
      <c r="A46" s="941">
        <v>43</v>
      </c>
      <c r="B46" s="1228" t="s">
        <v>1346</v>
      </c>
      <c r="C46" s="1228" t="s">
        <v>49</v>
      </c>
      <c r="D46" s="1228" t="s">
        <v>42</v>
      </c>
      <c r="E46" s="1228" t="s">
        <v>1890</v>
      </c>
      <c r="F46" s="940">
        <v>46049</v>
      </c>
      <c r="G46" s="940">
        <v>46056</v>
      </c>
      <c r="H46" s="1943" t="s">
        <v>1828</v>
      </c>
      <c r="I46" s="1951">
        <v>30</v>
      </c>
      <c r="J46" s="683" t="s">
        <v>29</v>
      </c>
      <c r="K46" s="682"/>
    </row>
    <row r="47" spans="1:11" ht="18.75" customHeight="1">
      <c r="A47" s="941">
        <v>44</v>
      </c>
      <c r="B47" s="1228" t="s">
        <v>1351</v>
      </c>
      <c r="C47" s="1228" t="s">
        <v>50</v>
      </c>
      <c r="D47" s="1228" t="s">
        <v>61</v>
      </c>
      <c r="E47" s="1228" t="s">
        <v>1890</v>
      </c>
      <c r="F47" s="940">
        <v>46053</v>
      </c>
      <c r="G47" s="940">
        <v>46058</v>
      </c>
      <c r="H47" s="1943"/>
      <c r="I47" s="1951"/>
      <c r="J47" s="683" t="s">
        <v>29</v>
      </c>
      <c r="K47" s="682"/>
    </row>
    <row r="48" spans="1:11" ht="18.75" customHeight="1">
      <c r="A48" s="941">
        <v>45</v>
      </c>
      <c r="B48" s="1228" t="s">
        <v>1350</v>
      </c>
      <c r="C48" s="1228" t="s">
        <v>49</v>
      </c>
      <c r="D48" s="1228" t="s">
        <v>42</v>
      </c>
      <c r="E48" s="1228" t="s">
        <v>1890</v>
      </c>
      <c r="F48" s="940">
        <v>46055</v>
      </c>
      <c r="G48" s="940">
        <v>46058</v>
      </c>
      <c r="H48" s="1943"/>
      <c r="I48" s="1951"/>
      <c r="J48" s="683" t="s">
        <v>29</v>
      </c>
      <c r="K48" s="682"/>
    </row>
    <row r="49" spans="1:11" ht="18.75" customHeight="1">
      <c r="A49" s="941">
        <v>46</v>
      </c>
      <c r="B49" s="1228" t="s">
        <v>1342</v>
      </c>
      <c r="C49" s="1228" t="s">
        <v>32</v>
      </c>
      <c r="D49" s="1228" t="s">
        <v>42</v>
      </c>
      <c r="E49" s="1228" t="s">
        <v>1890</v>
      </c>
      <c r="F49" s="940">
        <v>46055</v>
      </c>
      <c r="G49" s="940">
        <v>46060</v>
      </c>
      <c r="H49" s="1943"/>
      <c r="I49" s="1951"/>
      <c r="J49" s="683" t="s">
        <v>29</v>
      </c>
      <c r="K49" s="682"/>
    </row>
    <row r="50" spans="1:11" ht="18.75" customHeight="1">
      <c r="A50" s="941">
        <v>47</v>
      </c>
      <c r="B50" s="1228" t="s">
        <v>1280</v>
      </c>
      <c r="C50" s="1228" t="s">
        <v>34</v>
      </c>
      <c r="D50" s="1228" t="s">
        <v>61</v>
      </c>
      <c r="E50" s="1228" t="s">
        <v>41</v>
      </c>
      <c r="F50" s="940">
        <v>46055</v>
      </c>
      <c r="G50" s="940">
        <v>46060</v>
      </c>
      <c r="H50" s="1943"/>
      <c r="I50" s="1951"/>
      <c r="J50" s="683" t="s">
        <v>29</v>
      </c>
      <c r="K50" s="682"/>
    </row>
    <row r="51" spans="1:11" ht="18.75" customHeight="1">
      <c r="A51" s="941">
        <v>48</v>
      </c>
      <c r="B51" s="1228" t="s">
        <v>1338</v>
      </c>
      <c r="C51" s="1228" t="s">
        <v>50</v>
      </c>
      <c r="D51" s="1228" t="s">
        <v>42</v>
      </c>
      <c r="E51" s="1228" t="s">
        <v>1733</v>
      </c>
      <c r="F51" s="940">
        <v>46049</v>
      </c>
      <c r="G51" s="940">
        <v>46060</v>
      </c>
      <c r="H51" s="1943"/>
      <c r="I51" s="1951"/>
      <c r="J51" s="683" t="s">
        <v>29</v>
      </c>
      <c r="K51" s="682"/>
    </row>
    <row r="52" spans="1:11" ht="18.75" customHeight="1">
      <c r="A52" s="941">
        <v>49</v>
      </c>
      <c r="B52" s="1228" t="s">
        <v>1639</v>
      </c>
      <c r="C52" s="1228" t="s">
        <v>32</v>
      </c>
      <c r="D52" s="1228" t="s">
        <v>42</v>
      </c>
      <c r="E52" s="1228" t="s">
        <v>1635</v>
      </c>
      <c r="F52" s="940">
        <v>46055</v>
      </c>
      <c r="G52" s="940">
        <v>46061</v>
      </c>
      <c r="H52" s="1943"/>
      <c r="I52" s="1951"/>
      <c r="J52" s="683" t="s">
        <v>29</v>
      </c>
      <c r="K52" s="682"/>
    </row>
    <row r="53" spans="1:11" ht="18.75" customHeight="1">
      <c r="A53" s="941">
        <v>50</v>
      </c>
      <c r="B53" s="1228" t="s">
        <v>1340</v>
      </c>
      <c r="C53" s="1228" t="s">
        <v>50</v>
      </c>
      <c r="D53" s="1228" t="s">
        <v>42</v>
      </c>
      <c r="E53" s="1228" t="s">
        <v>1890</v>
      </c>
      <c r="F53" s="940">
        <v>46060</v>
      </c>
      <c r="G53" s="940">
        <v>46062</v>
      </c>
      <c r="H53" s="1943"/>
      <c r="I53" s="1951"/>
      <c r="J53" s="683" t="s">
        <v>29</v>
      </c>
      <c r="K53" s="682"/>
    </row>
    <row r="54" spans="1:11" ht="18.75" customHeight="1">
      <c r="A54" s="941">
        <v>51</v>
      </c>
      <c r="B54" s="941" t="s">
        <v>1321</v>
      </c>
      <c r="C54" s="941" t="s">
        <v>1181</v>
      </c>
      <c r="D54" s="814" t="s">
        <v>61</v>
      </c>
      <c r="E54" s="941" t="s">
        <v>1855</v>
      </c>
      <c r="F54" s="940">
        <v>46049</v>
      </c>
      <c r="G54" s="940">
        <v>46063</v>
      </c>
      <c r="H54" s="1943"/>
      <c r="I54" s="1951"/>
      <c r="J54" s="683" t="s">
        <v>29</v>
      </c>
      <c r="K54" s="682"/>
    </row>
    <row r="55" spans="1:11" ht="18.75" customHeight="1">
      <c r="A55" s="941">
        <v>52</v>
      </c>
      <c r="B55" s="941" t="s">
        <v>1281</v>
      </c>
      <c r="C55" s="941" t="s">
        <v>1181</v>
      </c>
      <c r="D55" s="814" t="s">
        <v>61</v>
      </c>
      <c r="E55" s="941" t="s">
        <v>41</v>
      </c>
      <c r="F55" s="940">
        <v>46058</v>
      </c>
      <c r="G55" s="940">
        <v>46064</v>
      </c>
      <c r="H55" s="1943"/>
      <c r="I55" s="1951"/>
      <c r="J55" s="683" t="s">
        <v>29</v>
      </c>
      <c r="K55" s="682"/>
    </row>
    <row r="56" spans="1:11" ht="18.75" customHeight="1">
      <c r="A56" s="941">
        <v>53</v>
      </c>
      <c r="B56" s="946" t="s">
        <v>1337</v>
      </c>
      <c r="C56" s="946" t="s">
        <v>32</v>
      </c>
      <c r="D56" s="942" t="s">
        <v>42</v>
      </c>
      <c r="E56" s="941" t="s">
        <v>1733</v>
      </c>
      <c r="F56" s="940">
        <v>46058</v>
      </c>
      <c r="G56" s="940">
        <v>46065</v>
      </c>
      <c r="H56" s="1943"/>
      <c r="I56" s="1951"/>
      <c r="J56" s="683" t="s">
        <v>29</v>
      </c>
      <c r="K56" s="682"/>
    </row>
    <row r="57" spans="1:11" ht="18.75" customHeight="1">
      <c r="A57" s="941">
        <v>54</v>
      </c>
      <c r="B57" s="941" t="s">
        <v>1322</v>
      </c>
      <c r="C57" s="941" t="s">
        <v>32</v>
      </c>
      <c r="D57" s="814" t="s">
        <v>61</v>
      </c>
      <c r="E57" s="941" t="s">
        <v>1855</v>
      </c>
      <c r="F57" s="940">
        <f>G54</f>
        <v>46063</v>
      </c>
      <c r="G57" s="940">
        <v>46068</v>
      </c>
      <c r="H57" s="1943"/>
      <c r="I57" s="1951"/>
      <c r="J57" s="683" t="s">
        <v>29</v>
      </c>
      <c r="K57" s="682"/>
    </row>
    <row r="58" spans="1:11" ht="18.75" customHeight="1">
      <c r="A58" s="941">
        <v>55</v>
      </c>
      <c r="B58" s="941" t="s">
        <v>1686</v>
      </c>
      <c r="C58" s="941" t="s">
        <v>1181</v>
      </c>
      <c r="D58" s="814" t="s">
        <v>42</v>
      </c>
      <c r="E58" s="1183" t="s">
        <v>1635</v>
      </c>
      <c r="F58" s="940">
        <v>46058</v>
      </c>
      <c r="G58" s="940">
        <v>46068</v>
      </c>
      <c r="H58" s="1943"/>
      <c r="I58" s="1951"/>
      <c r="J58" s="683" t="s">
        <v>29</v>
      </c>
      <c r="K58" s="682"/>
    </row>
    <row r="59" spans="1:11" ht="18.75" customHeight="1">
      <c r="A59" s="941">
        <v>56</v>
      </c>
      <c r="B59" s="941" t="s">
        <v>1282</v>
      </c>
      <c r="C59" s="941" t="s">
        <v>1423</v>
      </c>
      <c r="D59" s="814" t="s">
        <v>61</v>
      </c>
      <c r="E59" s="941" t="s">
        <v>41</v>
      </c>
      <c r="F59" s="940">
        <v>46065</v>
      </c>
      <c r="G59" s="940">
        <v>46069</v>
      </c>
      <c r="H59" s="1943"/>
      <c r="I59" s="1951"/>
      <c r="J59" s="683" t="s">
        <v>29</v>
      </c>
      <c r="K59" s="682"/>
    </row>
    <row r="60" spans="1:11" ht="18.75" customHeight="1">
      <c r="A60" s="941">
        <v>57</v>
      </c>
      <c r="B60" s="946" t="s">
        <v>1339</v>
      </c>
      <c r="C60" s="946" t="s">
        <v>48</v>
      </c>
      <c r="D60" s="942" t="s">
        <v>42</v>
      </c>
      <c r="E60" s="941" t="s">
        <v>1733</v>
      </c>
      <c r="F60" s="940">
        <v>46058</v>
      </c>
      <c r="G60" s="940">
        <v>46071</v>
      </c>
      <c r="H60" s="1943"/>
      <c r="I60" s="1951"/>
      <c r="J60" s="683" t="s">
        <v>29</v>
      </c>
      <c r="K60" s="682"/>
    </row>
    <row r="61" spans="1:11" ht="18.75" customHeight="1">
      <c r="A61" s="941">
        <v>58</v>
      </c>
      <c r="B61" s="1228" t="s">
        <v>1369</v>
      </c>
      <c r="C61" s="1228" t="s">
        <v>1175</v>
      </c>
      <c r="D61" s="1228" t="s">
        <v>42</v>
      </c>
      <c r="E61" s="1228" t="s">
        <v>1854</v>
      </c>
      <c r="F61" s="940">
        <v>46061</v>
      </c>
      <c r="G61" s="940">
        <v>46071</v>
      </c>
      <c r="H61" s="1943"/>
      <c r="I61" s="1951"/>
      <c r="J61" s="683" t="s">
        <v>29</v>
      </c>
      <c r="K61" s="682"/>
    </row>
    <row r="62" spans="1:11" ht="18.75" customHeight="1">
      <c r="A62" s="941">
        <v>59</v>
      </c>
      <c r="B62" s="1228" t="s">
        <v>1379</v>
      </c>
      <c r="C62" s="1228" t="s">
        <v>45</v>
      </c>
      <c r="D62" s="1228" t="s">
        <v>61</v>
      </c>
      <c r="E62" s="1228" t="s">
        <v>1890</v>
      </c>
      <c r="F62" s="940">
        <v>46065</v>
      </c>
      <c r="G62" s="940">
        <v>46071</v>
      </c>
      <c r="H62" s="1943"/>
      <c r="I62" s="1951"/>
      <c r="J62" s="683" t="s">
        <v>29</v>
      </c>
      <c r="K62" s="682"/>
    </row>
    <row r="63" spans="1:11" ht="18.75" customHeight="1">
      <c r="A63" s="941">
        <v>60</v>
      </c>
      <c r="B63" s="1228" t="s">
        <v>1685</v>
      </c>
      <c r="C63" s="1228" t="s">
        <v>34</v>
      </c>
      <c r="D63" s="1228" t="s">
        <v>42</v>
      </c>
      <c r="E63" s="1228" t="s">
        <v>1635</v>
      </c>
      <c r="F63" s="940">
        <v>46068</v>
      </c>
      <c r="G63" s="940">
        <v>46072</v>
      </c>
      <c r="H63" s="1943"/>
      <c r="I63" s="1951"/>
      <c r="J63" s="683" t="s">
        <v>29</v>
      </c>
      <c r="K63" s="682"/>
    </row>
    <row r="64" spans="1:11" ht="18.75" customHeight="1">
      <c r="A64" s="941">
        <v>61</v>
      </c>
      <c r="B64" s="1228" t="s">
        <v>1352</v>
      </c>
      <c r="C64" s="1228" t="s">
        <v>1181</v>
      </c>
      <c r="D64" s="1228" t="s">
        <v>42</v>
      </c>
      <c r="E64" s="1228" t="s">
        <v>1890</v>
      </c>
      <c r="F64" s="940">
        <f>G53</f>
        <v>46062</v>
      </c>
      <c r="G64" s="940">
        <v>46073</v>
      </c>
      <c r="H64" s="1943"/>
      <c r="I64" s="1951"/>
      <c r="J64" s="683" t="s">
        <v>29</v>
      </c>
      <c r="K64" s="682"/>
    </row>
    <row r="65" spans="1:11" ht="18.75" customHeight="1">
      <c r="A65" s="941">
        <v>62</v>
      </c>
      <c r="B65" s="1228" t="s">
        <v>1323</v>
      </c>
      <c r="C65" s="1228" t="s">
        <v>50</v>
      </c>
      <c r="D65" s="1228" t="s">
        <v>42</v>
      </c>
      <c r="E65" s="1228" t="s">
        <v>1855</v>
      </c>
      <c r="F65" s="940">
        <v>46068</v>
      </c>
      <c r="G65" s="940">
        <v>46074</v>
      </c>
      <c r="H65" s="1943"/>
      <c r="I65" s="1951"/>
      <c r="J65" s="683" t="s">
        <v>29</v>
      </c>
      <c r="K65" s="682"/>
    </row>
    <row r="66" spans="1:11" ht="18.75" customHeight="1">
      <c r="A66" s="941">
        <v>63</v>
      </c>
      <c r="B66" s="1228" t="s">
        <v>1194</v>
      </c>
      <c r="C66" s="1228" t="s">
        <v>1181</v>
      </c>
      <c r="D66" s="1228" t="s">
        <v>61</v>
      </c>
      <c r="E66" s="1228" t="s">
        <v>41</v>
      </c>
      <c r="F66" s="940">
        <f>G52</f>
        <v>46061</v>
      </c>
      <c r="G66" s="940">
        <v>46074</v>
      </c>
      <c r="H66" s="1943"/>
      <c r="I66" s="1951"/>
      <c r="J66" s="683" t="s">
        <v>29</v>
      </c>
      <c r="K66" s="682"/>
    </row>
    <row r="67" spans="1:11" ht="18.75" customHeight="1">
      <c r="A67" s="941">
        <v>64</v>
      </c>
      <c r="B67" s="1228" t="s">
        <v>1345</v>
      </c>
      <c r="C67" s="1228" t="s">
        <v>53</v>
      </c>
      <c r="D67" s="1228" t="s">
        <v>42</v>
      </c>
      <c r="E67" s="1228" t="s">
        <v>1890</v>
      </c>
      <c r="F67" s="940">
        <v>46073</v>
      </c>
      <c r="G67" s="940">
        <v>46076</v>
      </c>
      <c r="H67" s="1943"/>
      <c r="I67" s="1951"/>
      <c r="J67" s="683" t="s">
        <v>29</v>
      </c>
      <c r="K67" s="682"/>
    </row>
    <row r="68" spans="1:11" ht="18.75" customHeight="1">
      <c r="A68" s="941">
        <v>65</v>
      </c>
      <c r="B68" s="1228" t="s">
        <v>1687</v>
      </c>
      <c r="C68" s="1228" t="s">
        <v>53</v>
      </c>
      <c r="D68" s="1228" t="s">
        <v>42</v>
      </c>
      <c r="E68" s="1228" t="s">
        <v>1635</v>
      </c>
      <c r="F68" s="940">
        <v>46072</v>
      </c>
      <c r="G68" s="940">
        <v>46076</v>
      </c>
      <c r="H68" s="1943"/>
      <c r="I68" s="1951"/>
      <c r="J68" s="683" t="s">
        <v>29</v>
      </c>
      <c r="K68" s="682"/>
    </row>
    <row r="69" spans="1:11" ht="18.75" customHeight="1">
      <c r="A69" s="941">
        <v>66</v>
      </c>
      <c r="B69" s="1228" t="s">
        <v>1370</v>
      </c>
      <c r="C69" s="1228" t="s">
        <v>48</v>
      </c>
      <c r="D69" s="1228" t="s">
        <v>42</v>
      </c>
      <c r="E69" s="1228" t="s">
        <v>1854</v>
      </c>
      <c r="F69" s="940">
        <v>46073</v>
      </c>
      <c r="G69" s="940">
        <v>46076</v>
      </c>
      <c r="H69" s="1943"/>
      <c r="I69" s="1951"/>
      <c r="J69" s="683" t="s">
        <v>29</v>
      </c>
      <c r="K69" s="682"/>
    </row>
    <row r="70" spans="1:11" ht="18.75" customHeight="1">
      <c r="A70" s="941">
        <v>67</v>
      </c>
      <c r="B70" s="1228" t="s">
        <v>1287</v>
      </c>
      <c r="C70" s="1228" t="s">
        <v>48</v>
      </c>
      <c r="D70" s="1228" t="s">
        <v>42</v>
      </c>
      <c r="E70" s="1228" t="s">
        <v>41</v>
      </c>
      <c r="F70" s="940">
        <v>46074</v>
      </c>
      <c r="G70" s="940">
        <v>46078</v>
      </c>
      <c r="H70" s="1943"/>
      <c r="I70" s="1951"/>
      <c r="J70" s="683" t="s">
        <v>29</v>
      </c>
      <c r="K70" s="682"/>
    </row>
    <row r="71" spans="1:11" ht="15" customHeight="1">
      <c r="A71" s="941">
        <v>68</v>
      </c>
      <c r="B71" s="1228" t="s">
        <v>1347</v>
      </c>
      <c r="C71" s="1228" t="s">
        <v>43</v>
      </c>
      <c r="D71" s="1228" t="s">
        <v>42</v>
      </c>
      <c r="E71" s="1228" t="s">
        <v>1890</v>
      </c>
      <c r="F71" s="940">
        <v>46076</v>
      </c>
      <c r="G71" s="940">
        <v>46078</v>
      </c>
      <c r="H71" s="1943"/>
      <c r="I71" s="1951"/>
      <c r="J71" s="683" t="s">
        <v>29</v>
      </c>
      <c r="K71" s="682"/>
    </row>
    <row r="72" spans="1:11" ht="18.75" customHeight="1">
      <c r="A72" s="941">
        <v>69</v>
      </c>
      <c r="B72" s="946" t="s">
        <v>1180</v>
      </c>
      <c r="C72" s="946" t="s">
        <v>53</v>
      </c>
      <c r="D72" s="942" t="s">
        <v>42</v>
      </c>
      <c r="E72" s="941" t="s">
        <v>1855</v>
      </c>
      <c r="F72" s="940">
        <v>46073</v>
      </c>
      <c r="G72" s="940">
        <v>46079</v>
      </c>
      <c r="H72" s="1943"/>
      <c r="I72" s="1951"/>
      <c r="J72" s="683" t="s">
        <v>29</v>
      </c>
      <c r="K72" s="682"/>
    </row>
    <row r="73" spans="1:11" ht="15" customHeight="1">
      <c r="A73" s="941">
        <v>70</v>
      </c>
      <c r="B73" s="1228" t="s">
        <v>1371</v>
      </c>
      <c r="C73" s="1228" t="s">
        <v>32</v>
      </c>
      <c r="D73" s="1228" t="s">
        <v>42</v>
      </c>
      <c r="E73" s="1228" t="s">
        <v>1854</v>
      </c>
      <c r="F73" s="940">
        <f>G69</f>
        <v>46076</v>
      </c>
      <c r="G73" s="940">
        <v>46080</v>
      </c>
      <c r="H73" s="1943"/>
      <c r="I73" s="1951"/>
      <c r="J73" s="683" t="s">
        <v>29</v>
      </c>
      <c r="K73" s="682"/>
    </row>
    <row r="74" spans="1:11" ht="15" customHeight="1">
      <c r="A74" s="941">
        <v>71</v>
      </c>
      <c r="B74" s="1228" t="s">
        <v>1288</v>
      </c>
      <c r="C74" s="1228" t="s">
        <v>1424</v>
      </c>
      <c r="D74" s="1228" t="s">
        <v>42</v>
      </c>
      <c r="E74" s="1228" t="s">
        <v>41</v>
      </c>
      <c r="F74" s="940">
        <v>46078</v>
      </c>
      <c r="G74" s="940">
        <v>46081</v>
      </c>
      <c r="H74" s="1943"/>
      <c r="I74" s="1951"/>
      <c r="J74" s="683" t="s">
        <v>29</v>
      </c>
      <c r="K74" s="682"/>
    </row>
    <row r="75" spans="1:11" s="395" customFormat="1" ht="15" customHeight="1">
      <c r="A75" s="965">
        <v>72</v>
      </c>
      <c r="B75" s="1228" t="s">
        <v>1691</v>
      </c>
      <c r="C75" s="1228" t="s">
        <v>53</v>
      </c>
      <c r="D75" s="1228" t="s">
        <v>61</v>
      </c>
      <c r="E75" s="1228" t="s">
        <v>1635</v>
      </c>
      <c r="F75" s="966">
        <v>46076</v>
      </c>
      <c r="G75" s="966">
        <v>46081</v>
      </c>
      <c r="H75" s="1943"/>
      <c r="I75" s="1951"/>
      <c r="J75" s="967" t="s">
        <v>29</v>
      </c>
      <c r="K75" s="969"/>
    </row>
    <row r="76" spans="1:11" ht="15" customHeight="1">
      <c r="A76" s="941">
        <v>73</v>
      </c>
      <c r="B76" s="1228" t="s">
        <v>1198</v>
      </c>
      <c r="C76" s="1228" t="s">
        <v>53</v>
      </c>
      <c r="D76" s="1228" t="s">
        <v>42</v>
      </c>
      <c r="E76" s="1228" t="s">
        <v>1855</v>
      </c>
      <c r="F76" s="940">
        <v>46080</v>
      </c>
      <c r="G76" s="940">
        <v>46084</v>
      </c>
      <c r="H76" s="1943" t="s">
        <v>1888</v>
      </c>
      <c r="I76" s="1951">
        <v>24</v>
      </c>
      <c r="J76" s="683" t="s">
        <v>29</v>
      </c>
      <c r="K76" s="682"/>
    </row>
    <row r="77" spans="1:11" ht="15" customHeight="1">
      <c r="A77" s="941">
        <v>74</v>
      </c>
      <c r="B77" s="1228" t="s">
        <v>1386</v>
      </c>
      <c r="C77" s="1228" t="s">
        <v>48</v>
      </c>
      <c r="D77" s="1228" t="s">
        <v>42</v>
      </c>
      <c r="E77" s="1228" t="s">
        <v>1854</v>
      </c>
      <c r="F77" s="940">
        <v>46080</v>
      </c>
      <c r="G77" s="940">
        <v>46084</v>
      </c>
      <c r="H77" s="1943"/>
      <c r="I77" s="1951"/>
      <c r="J77" s="683" t="s">
        <v>29</v>
      </c>
      <c r="K77" s="682"/>
    </row>
    <row r="78" spans="1:11" ht="15" customHeight="1">
      <c r="A78" s="941">
        <v>75</v>
      </c>
      <c r="B78" s="1228" t="s">
        <v>1286</v>
      </c>
      <c r="C78" s="1228" t="s">
        <v>43</v>
      </c>
      <c r="D78" s="1228" t="s">
        <v>61</v>
      </c>
      <c r="E78" s="1228" t="s">
        <v>41</v>
      </c>
      <c r="F78" s="940">
        <v>46080</v>
      </c>
      <c r="G78" s="940">
        <v>46084</v>
      </c>
      <c r="H78" s="1943"/>
      <c r="I78" s="1951"/>
      <c r="J78" s="683" t="s">
        <v>29</v>
      </c>
      <c r="K78" s="682"/>
    </row>
    <row r="79" spans="1:11" ht="15" customHeight="1">
      <c r="A79" s="941">
        <v>76</v>
      </c>
      <c r="B79" s="1228" t="s">
        <v>1285</v>
      </c>
      <c r="C79" s="1228" t="s">
        <v>48</v>
      </c>
      <c r="D79" s="1228" t="s">
        <v>61</v>
      </c>
      <c r="E79" s="1228" t="s">
        <v>41</v>
      </c>
      <c r="F79" s="940">
        <v>46089</v>
      </c>
      <c r="G79" s="940">
        <v>46093</v>
      </c>
      <c r="H79" s="1943"/>
      <c r="I79" s="1951"/>
      <c r="J79" s="683" t="s">
        <v>29</v>
      </c>
      <c r="K79" s="682"/>
    </row>
    <row r="80" spans="1:11" ht="15" customHeight="1">
      <c r="A80" s="941">
        <v>77</v>
      </c>
      <c r="B80" s="1228" t="s">
        <v>1684</v>
      </c>
      <c r="C80" s="1228" t="s">
        <v>48</v>
      </c>
      <c r="D80" s="1228" t="s">
        <v>42</v>
      </c>
      <c r="E80" s="1228" t="s">
        <v>1635</v>
      </c>
      <c r="F80" s="940">
        <v>46089</v>
      </c>
      <c r="G80" s="940">
        <v>46093</v>
      </c>
      <c r="H80" s="1943"/>
      <c r="I80" s="1951"/>
      <c r="J80" s="683" t="s">
        <v>29</v>
      </c>
      <c r="K80" s="682"/>
    </row>
    <row r="81" spans="1:11" ht="15" customHeight="1">
      <c r="A81" s="941">
        <v>78</v>
      </c>
      <c r="B81" s="1228" t="s">
        <v>1284</v>
      </c>
      <c r="C81" s="1228" t="s">
        <v>32</v>
      </c>
      <c r="D81" s="1228" t="s">
        <v>42</v>
      </c>
      <c r="E81" s="1228" t="s">
        <v>41</v>
      </c>
      <c r="F81" s="940">
        <v>46093</v>
      </c>
      <c r="G81" s="940">
        <v>46096</v>
      </c>
      <c r="H81" s="1943"/>
      <c r="I81" s="1951"/>
      <c r="J81" s="683" t="s">
        <v>29</v>
      </c>
      <c r="K81" s="682"/>
    </row>
    <row r="82" spans="1:11" s="395" customFormat="1" ht="15" customHeight="1">
      <c r="A82" s="965">
        <v>79</v>
      </c>
      <c r="B82" s="1228" t="s">
        <v>1695</v>
      </c>
      <c r="C82" s="1228" t="s">
        <v>32</v>
      </c>
      <c r="D82" s="1228" t="s">
        <v>61</v>
      </c>
      <c r="E82" s="1228" t="s">
        <v>1635</v>
      </c>
      <c r="F82" s="966">
        <v>46094</v>
      </c>
      <c r="G82" s="966">
        <v>46097</v>
      </c>
      <c r="H82" s="1943"/>
      <c r="I82" s="1951"/>
      <c r="J82" s="967" t="s">
        <v>29</v>
      </c>
      <c r="K82" s="969"/>
    </row>
    <row r="83" spans="1:11" ht="15" customHeight="1">
      <c r="A83" s="941">
        <v>80</v>
      </c>
      <c r="B83" s="1228" t="s">
        <v>1349</v>
      </c>
      <c r="C83" s="1228" t="s">
        <v>49</v>
      </c>
      <c r="D83" s="1228" t="s">
        <v>42</v>
      </c>
      <c r="E83" s="1228" t="s">
        <v>1890</v>
      </c>
      <c r="F83" s="940">
        <v>46094</v>
      </c>
      <c r="G83" s="940">
        <v>46097</v>
      </c>
      <c r="H83" s="1943"/>
      <c r="I83" s="1951"/>
      <c r="J83" s="683" t="s">
        <v>29</v>
      </c>
      <c r="K83" s="682"/>
    </row>
    <row r="84" spans="1:11" ht="15" customHeight="1">
      <c r="A84" s="941">
        <v>81</v>
      </c>
      <c r="B84" s="1228" t="s">
        <v>1200</v>
      </c>
      <c r="C84" s="1228" t="s">
        <v>34</v>
      </c>
      <c r="D84" s="1228" t="s">
        <v>61</v>
      </c>
      <c r="E84" s="1228" t="s">
        <v>1855</v>
      </c>
      <c r="F84" s="940">
        <v>46091</v>
      </c>
      <c r="G84" s="940">
        <v>46100</v>
      </c>
      <c r="H84" s="1943"/>
      <c r="I84" s="1951"/>
      <c r="J84" s="683" t="s">
        <v>29</v>
      </c>
      <c r="K84" s="682"/>
    </row>
    <row r="85" spans="1:11" ht="15" customHeight="1">
      <c r="A85" s="941">
        <v>82</v>
      </c>
      <c r="B85" s="1228" t="s">
        <v>1696</v>
      </c>
      <c r="C85" s="1228" t="s">
        <v>48</v>
      </c>
      <c r="D85" s="1228" t="s">
        <v>61</v>
      </c>
      <c r="E85" s="1228" t="s">
        <v>1635</v>
      </c>
      <c r="F85" s="940">
        <v>46094</v>
      </c>
      <c r="G85" s="940">
        <v>46100</v>
      </c>
      <c r="H85" s="1943"/>
      <c r="I85" s="1951"/>
      <c r="J85" s="683" t="s">
        <v>29</v>
      </c>
      <c r="K85" s="682"/>
    </row>
    <row r="86" spans="1:11" ht="15" customHeight="1">
      <c r="A86" s="953">
        <v>83</v>
      </c>
      <c r="B86" s="1228" t="s">
        <v>1372</v>
      </c>
      <c r="C86" s="1228" t="s">
        <v>43</v>
      </c>
      <c r="D86" s="1228" t="s">
        <v>61</v>
      </c>
      <c r="E86" s="1228" t="s">
        <v>1854</v>
      </c>
      <c r="F86" s="954">
        <v>46091</v>
      </c>
      <c r="G86" s="954">
        <v>46101</v>
      </c>
      <c r="H86" s="1943"/>
      <c r="I86" s="1951"/>
      <c r="J86" s="683" t="s">
        <v>29</v>
      </c>
      <c r="K86" s="682"/>
    </row>
    <row r="87" spans="1:11" ht="15" customHeight="1">
      <c r="A87" s="953">
        <v>84</v>
      </c>
      <c r="B87" s="1228" t="s">
        <v>1193</v>
      </c>
      <c r="C87" s="1228" t="s">
        <v>50</v>
      </c>
      <c r="D87" s="1228" t="s">
        <v>61</v>
      </c>
      <c r="E87" s="1228" t="s">
        <v>41</v>
      </c>
      <c r="F87" s="954">
        <v>46096</v>
      </c>
      <c r="G87" s="954">
        <v>46103</v>
      </c>
      <c r="H87" s="1943"/>
      <c r="I87" s="1951"/>
      <c r="J87" s="683" t="s">
        <v>29</v>
      </c>
      <c r="K87" s="682"/>
    </row>
    <row r="88" spans="1:11" ht="15" customHeight="1">
      <c r="A88" s="953">
        <v>85</v>
      </c>
      <c r="B88" s="1228" t="s">
        <v>1336</v>
      </c>
      <c r="C88" s="1228" t="s">
        <v>1898</v>
      </c>
      <c r="D88" s="1228" t="s">
        <v>61</v>
      </c>
      <c r="E88" s="1228" t="s">
        <v>1890</v>
      </c>
      <c r="F88" s="954">
        <v>46099</v>
      </c>
      <c r="G88" s="954">
        <v>46103</v>
      </c>
      <c r="H88" s="1943"/>
      <c r="I88" s="1951"/>
      <c r="J88" s="683" t="s">
        <v>29</v>
      </c>
      <c r="K88" s="682"/>
    </row>
    <row r="89" spans="1:11" ht="15" customHeight="1">
      <c r="A89" s="953">
        <v>86</v>
      </c>
      <c r="B89" s="1228" t="s">
        <v>1694</v>
      </c>
      <c r="C89" s="1228" t="s">
        <v>32</v>
      </c>
      <c r="D89" s="1228" t="s">
        <v>61</v>
      </c>
      <c r="E89" s="1228" t="s">
        <v>1635</v>
      </c>
      <c r="F89" s="954">
        <v>46100</v>
      </c>
      <c r="G89" s="954">
        <v>46103</v>
      </c>
      <c r="H89" s="1943"/>
      <c r="I89" s="1951"/>
      <c r="J89" s="683" t="s">
        <v>29</v>
      </c>
      <c r="K89" s="682"/>
    </row>
    <row r="90" spans="1:11" ht="15" customHeight="1">
      <c r="A90" s="941">
        <v>87</v>
      </c>
      <c r="B90" s="1228" t="s">
        <v>1408</v>
      </c>
      <c r="C90" s="1228" t="s">
        <v>32</v>
      </c>
      <c r="D90" s="1228" t="s">
        <v>42</v>
      </c>
      <c r="E90" s="1228" t="s">
        <v>1887</v>
      </c>
      <c r="F90" s="940">
        <v>46096</v>
      </c>
      <c r="G90" s="940">
        <v>46104</v>
      </c>
      <c r="H90" s="1943"/>
      <c r="I90" s="1951"/>
      <c r="J90" s="683" t="s">
        <v>29</v>
      </c>
      <c r="K90" s="682"/>
    </row>
    <row r="91" spans="1:11" ht="15" customHeight="1">
      <c r="A91" s="941">
        <v>88</v>
      </c>
      <c r="B91" s="1228" t="s">
        <v>1335</v>
      </c>
      <c r="C91" s="1228" t="s">
        <v>1946</v>
      </c>
      <c r="D91" s="1228" t="s">
        <v>42</v>
      </c>
      <c r="E91" s="1228" t="s">
        <v>1890</v>
      </c>
      <c r="F91" s="940">
        <v>46112</v>
      </c>
      <c r="G91" s="940">
        <v>46105</v>
      </c>
      <c r="H91" s="1943"/>
      <c r="I91" s="1951"/>
      <c r="J91" s="683" t="s">
        <v>29</v>
      </c>
      <c r="K91" s="682"/>
    </row>
    <row r="92" spans="1:11" ht="15" customHeight="1">
      <c r="A92" s="953">
        <v>89</v>
      </c>
      <c r="B92" s="1228" t="s">
        <v>1303</v>
      </c>
      <c r="C92" s="1228" t="s">
        <v>32</v>
      </c>
      <c r="D92" s="1228" t="s">
        <v>61</v>
      </c>
      <c r="E92" s="1228" t="s">
        <v>1855</v>
      </c>
      <c r="F92" s="954">
        <v>46100</v>
      </c>
      <c r="G92" s="954">
        <v>46106</v>
      </c>
      <c r="H92" s="1943"/>
      <c r="I92" s="1951"/>
      <c r="J92" s="683" t="s">
        <v>29</v>
      </c>
      <c r="K92" s="682"/>
    </row>
    <row r="93" spans="1:11" ht="15" customHeight="1">
      <c r="A93" s="941">
        <v>90</v>
      </c>
      <c r="B93" s="1228" t="s">
        <v>1699</v>
      </c>
      <c r="C93" s="1228" t="s">
        <v>1175</v>
      </c>
      <c r="D93" s="1228" t="s">
        <v>61</v>
      </c>
      <c r="E93" s="1228" t="s">
        <v>1635</v>
      </c>
      <c r="F93" s="940">
        <v>46103</v>
      </c>
      <c r="G93" s="940">
        <v>46107</v>
      </c>
      <c r="H93" s="1943"/>
      <c r="I93" s="1951"/>
      <c r="J93" s="683" t="s">
        <v>29</v>
      </c>
      <c r="K93" s="682"/>
    </row>
    <row r="94" spans="1:11" ht="15" customHeight="1">
      <c r="A94" s="953">
        <v>91</v>
      </c>
      <c r="B94" s="1228" t="s">
        <v>1334</v>
      </c>
      <c r="C94" s="1228" t="s">
        <v>1904</v>
      </c>
      <c r="D94" s="1228" t="s">
        <v>42</v>
      </c>
      <c r="E94" s="1228" t="s">
        <v>1890</v>
      </c>
      <c r="F94" s="954">
        <v>46105</v>
      </c>
      <c r="G94" s="954">
        <v>46108</v>
      </c>
      <c r="H94" s="1943"/>
      <c r="I94" s="1951"/>
      <c r="J94" s="683" t="s">
        <v>29</v>
      </c>
      <c r="K94" s="682"/>
    </row>
    <row r="95" spans="1:11" ht="15" customHeight="1">
      <c r="A95" s="953">
        <v>92</v>
      </c>
      <c r="B95" s="1228" t="s">
        <v>1407</v>
      </c>
      <c r="C95" s="1228" t="s">
        <v>1181</v>
      </c>
      <c r="D95" s="1228" t="s">
        <v>42</v>
      </c>
      <c r="E95" s="1228" t="s">
        <v>1887</v>
      </c>
      <c r="F95" s="954">
        <v>46103</v>
      </c>
      <c r="G95" s="954">
        <v>46110</v>
      </c>
      <c r="H95" s="1943"/>
      <c r="I95" s="1951"/>
      <c r="J95" s="683" t="s">
        <v>29</v>
      </c>
      <c r="K95" s="682"/>
    </row>
    <row r="96" spans="1:11" ht="15" customHeight="1">
      <c r="A96" s="941">
        <v>93</v>
      </c>
      <c r="B96" s="1228" t="s">
        <v>1332</v>
      </c>
      <c r="C96" s="1228" t="s">
        <v>1905</v>
      </c>
      <c r="D96" s="1228" t="s">
        <v>61</v>
      </c>
      <c r="E96" s="1228" t="s">
        <v>1890</v>
      </c>
      <c r="F96" s="940">
        <v>46105</v>
      </c>
      <c r="G96" s="940">
        <v>46111</v>
      </c>
      <c r="H96" s="1943"/>
      <c r="I96" s="1951"/>
      <c r="J96" s="683" t="s">
        <v>29</v>
      </c>
      <c r="K96" s="682"/>
    </row>
    <row r="97" spans="1:11" ht="15" customHeight="1">
      <c r="A97" s="953">
        <v>94</v>
      </c>
      <c r="B97" s="1228" t="s">
        <v>1697</v>
      </c>
      <c r="C97" s="1228" t="s">
        <v>1904</v>
      </c>
      <c r="D97" s="1228" t="s">
        <v>61</v>
      </c>
      <c r="E97" s="1228" t="s">
        <v>1635</v>
      </c>
      <c r="F97" s="954">
        <v>46107</v>
      </c>
      <c r="G97" s="954">
        <v>46112</v>
      </c>
      <c r="H97" s="1943"/>
      <c r="I97" s="1951"/>
      <c r="J97" s="683" t="s">
        <v>29</v>
      </c>
      <c r="K97" s="682"/>
    </row>
    <row r="98" spans="1:11" ht="15" customHeight="1">
      <c r="A98" s="941">
        <v>95</v>
      </c>
      <c r="B98" s="1228" t="s">
        <v>1387</v>
      </c>
      <c r="C98" s="1228" t="s">
        <v>1181</v>
      </c>
      <c r="D98" s="1228" t="s">
        <v>61</v>
      </c>
      <c r="E98" s="1228" t="s">
        <v>1854</v>
      </c>
      <c r="F98" s="940">
        <v>46104</v>
      </c>
      <c r="G98" s="940">
        <v>46112</v>
      </c>
      <c r="H98" s="1943"/>
      <c r="I98" s="1951"/>
      <c r="J98" s="683" t="s">
        <v>29</v>
      </c>
      <c r="K98" s="682"/>
    </row>
    <row r="99" spans="1:11" ht="15" customHeight="1">
      <c r="A99" s="941">
        <v>96</v>
      </c>
      <c r="B99" s="1228" t="s">
        <v>1328</v>
      </c>
      <c r="C99" s="1228" t="s">
        <v>32</v>
      </c>
      <c r="D99" s="1228" t="s">
        <v>61</v>
      </c>
      <c r="E99" s="1228" t="s">
        <v>1890</v>
      </c>
      <c r="F99" s="940">
        <v>46105</v>
      </c>
      <c r="G99" s="940">
        <v>46112</v>
      </c>
      <c r="H99" s="1943"/>
      <c r="I99" s="1951"/>
      <c r="J99" s="683" t="s">
        <v>29</v>
      </c>
      <c r="K99" s="682"/>
    </row>
    <row r="100" spans="1:11" ht="15" customHeight="1">
      <c r="A100" s="977">
        <v>97</v>
      </c>
      <c r="B100" s="1228" t="s">
        <v>1414</v>
      </c>
      <c r="C100" s="1228" t="s">
        <v>48</v>
      </c>
      <c r="D100" s="1228" t="s">
        <v>42</v>
      </c>
      <c r="E100" s="1228" t="s">
        <v>1887</v>
      </c>
      <c r="F100" s="979">
        <v>46112</v>
      </c>
      <c r="G100" s="979">
        <v>46115</v>
      </c>
      <c r="H100" s="1947" t="s">
        <v>1906</v>
      </c>
      <c r="I100" s="1949">
        <v>33</v>
      </c>
      <c r="J100" s="683" t="s">
        <v>29</v>
      </c>
      <c r="K100" s="682"/>
    </row>
    <row r="101" spans="1:11" ht="15" customHeight="1">
      <c r="A101" s="977">
        <v>98</v>
      </c>
      <c r="B101" s="1228" t="s">
        <v>1698</v>
      </c>
      <c r="C101" s="1228" t="s">
        <v>1907</v>
      </c>
      <c r="D101" s="1228" t="s">
        <v>61</v>
      </c>
      <c r="E101" s="1228" t="s">
        <v>1635</v>
      </c>
      <c r="F101" s="979">
        <v>46111</v>
      </c>
      <c r="G101" s="979">
        <v>46115</v>
      </c>
      <c r="H101" s="1948"/>
      <c r="I101" s="1950"/>
      <c r="J101" s="683" t="s">
        <v>29</v>
      </c>
      <c r="K101" s="682"/>
    </row>
    <row r="102" spans="1:11" ht="15" customHeight="1">
      <c r="A102" s="977">
        <v>99</v>
      </c>
      <c r="B102" s="1228" t="s">
        <v>1302</v>
      </c>
      <c r="C102" s="1228" t="s">
        <v>1907</v>
      </c>
      <c r="D102" s="1228" t="s">
        <v>61</v>
      </c>
      <c r="E102" s="1228" t="s">
        <v>1855</v>
      </c>
      <c r="F102" s="979">
        <v>46113</v>
      </c>
      <c r="G102" s="979">
        <v>46117</v>
      </c>
      <c r="H102" s="1948"/>
      <c r="I102" s="1950"/>
      <c r="J102" s="683" t="s">
        <v>29</v>
      </c>
      <c r="K102" s="682"/>
    </row>
    <row r="103" spans="1:11" ht="15" customHeight="1">
      <c r="A103" s="977">
        <v>100</v>
      </c>
      <c r="B103" s="1228" t="s">
        <v>1382</v>
      </c>
      <c r="C103" s="1228" t="s">
        <v>1425</v>
      </c>
      <c r="D103" s="1228" t="s">
        <v>42</v>
      </c>
      <c r="E103" s="1228" t="s">
        <v>1854</v>
      </c>
      <c r="F103" s="979">
        <v>46103</v>
      </c>
      <c r="G103" s="979">
        <v>46117</v>
      </c>
      <c r="H103" s="1948"/>
      <c r="I103" s="1950"/>
      <c r="J103" s="683" t="s">
        <v>29</v>
      </c>
      <c r="K103" s="682"/>
    </row>
    <row r="104" spans="1:11" ht="15" customHeight="1">
      <c r="A104" s="977">
        <v>101</v>
      </c>
      <c r="B104" s="1228" t="s">
        <v>1692</v>
      </c>
      <c r="C104" s="1228" t="s">
        <v>1925</v>
      </c>
      <c r="D104" s="1228" t="s">
        <v>61</v>
      </c>
      <c r="E104" s="1228" t="s">
        <v>1635</v>
      </c>
      <c r="F104" s="979">
        <v>46115</v>
      </c>
      <c r="G104" s="979">
        <v>46120</v>
      </c>
      <c r="H104" s="1948"/>
      <c r="I104" s="1950"/>
      <c r="J104" s="683" t="s">
        <v>29</v>
      </c>
      <c r="K104" s="682"/>
    </row>
    <row r="105" spans="1:11" ht="15" customHeight="1">
      <c r="A105" s="977">
        <v>102</v>
      </c>
      <c r="B105" s="1228" t="s">
        <v>1333</v>
      </c>
      <c r="C105" s="1228" t="s">
        <v>1928</v>
      </c>
      <c r="D105" s="1228" t="s">
        <v>42</v>
      </c>
      <c r="E105" s="1228" t="s">
        <v>1890</v>
      </c>
      <c r="F105" s="979">
        <v>46118</v>
      </c>
      <c r="G105" s="979">
        <v>46120</v>
      </c>
      <c r="H105" s="1948"/>
      <c r="I105" s="1950"/>
      <c r="J105" s="683" t="s">
        <v>29</v>
      </c>
      <c r="K105" s="682"/>
    </row>
    <row r="106" spans="1:11" ht="15" customHeight="1">
      <c r="A106" s="977">
        <v>103</v>
      </c>
      <c r="B106" s="1228" t="s">
        <v>1416</v>
      </c>
      <c r="C106" s="1228" t="s">
        <v>1426</v>
      </c>
      <c r="D106" s="1228" t="s">
        <v>42</v>
      </c>
      <c r="E106" s="1228" t="s">
        <v>1887</v>
      </c>
      <c r="F106" s="979">
        <v>46115</v>
      </c>
      <c r="G106" s="979">
        <v>46121</v>
      </c>
      <c r="H106" s="1948"/>
      <c r="I106" s="1950"/>
      <c r="J106" s="683" t="s">
        <v>29</v>
      </c>
      <c r="K106" s="682"/>
    </row>
    <row r="107" spans="1:11" ht="15" customHeight="1">
      <c r="A107" s="977">
        <v>104</v>
      </c>
      <c r="B107" s="1228" t="s">
        <v>1329</v>
      </c>
      <c r="C107" s="1228" t="s">
        <v>1912</v>
      </c>
      <c r="D107" s="1228" t="s">
        <v>61</v>
      </c>
      <c r="E107" s="1228" t="s">
        <v>1890</v>
      </c>
      <c r="F107" s="979">
        <v>46119</v>
      </c>
      <c r="G107" s="979">
        <v>46124</v>
      </c>
      <c r="H107" s="1948"/>
      <c r="I107" s="1950"/>
      <c r="J107" s="683" t="s">
        <v>29</v>
      </c>
      <c r="K107" s="682"/>
    </row>
    <row r="108" spans="1:11" ht="15" customHeight="1">
      <c r="A108" s="977">
        <v>105</v>
      </c>
      <c r="B108" s="1228" t="s">
        <v>1242</v>
      </c>
      <c r="C108" s="1228" t="s">
        <v>1927</v>
      </c>
      <c r="D108" s="1228" t="s">
        <v>61</v>
      </c>
      <c r="E108" s="1228" t="s">
        <v>1635</v>
      </c>
      <c r="F108" s="979">
        <v>46120</v>
      </c>
      <c r="G108" s="979">
        <v>46124</v>
      </c>
      <c r="H108" s="1948"/>
      <c r="I108" s="1950"/>
      <c r="J108" s="683" t="s">
        <v>29</v>
      </c>
      <c r="K108" s="682"/>
    </row>
    <row r="109" spans="1:11" ht="15" customHeight="1">
      <c r="A109" s="977">
        <v>106</v>
      </c>
      <c r="B109" s="1228" t="s">
        <v>1381</v>
      </c>
      <c r="C109" s="1228" t="s">
        <v>1935</v>
      </c>
      <c r="D109" s="1228" t="s">
        <v>42</v>
      </c>
      <c r="E109" s="1228" t="s">
        <v>1854</v>
      </c>
      <c r="F109" s="979">
        <v>46122</v>
      </c>
      <c r="G109" s="979">
        <v>46124</v>
      </c>
      <c r="H109" s="1948"/>
      <c r="I109" s="1950"/>
      <c r="J109" s="683" t="s">
        <v>29</v>
      </c>
      <c r="K109" s="682"/>
    </row>
    <row r="110" spans="1:11" ht="15" customHeight="1">
      <c r="A110" s="977">
        <v>107</v>
      </c>
      <c r="B110" s="1228" t="s">
        <v>1277</v>
      </c>
      <c r="C110" s="1228" t="s">
        <v>1925</v>
      </c>
      <c r="D110" s="1228" t="s">
        <v>61</v>
      </c>
      <c r="E110" s="1228" t="s">
        <v>1926</v>
      </c>
      <c r="F110" s="979">
        <v>46115</v>
      </c>
      <c r="G110" s="979">
        <v>46125</v>
      </c>
      <c r="H110" s="1948"/>
      <c r="I110" s="1950"/>
      <c r="J110" s="683" t="s">
        <v>29</v>
      </c>
      <c r="K110" s="682"/>
    </row>
    <row r="111" spans="1:11" ht="15" customHeight="1">
      <c r="A111" s="977">
        <v>108</v>
      </c>
      <c r="B111" s="1228" t="s">
        <v>1202</v>
      </c>
      <c r="C111" s="1228" t="s">
        <v>1925</v>
      </c>
      <c r="D111" s="1228" t="s">
        <v>61</v>
      </c>
      <c r="E111" s="1228" t="s">
        <v>1855</v>
      </c>
      <c r="F111" s="979">
        <v>46118</v>
      </c>
      <c r="G111" s="979">
        <v>46125</v>
      </c>
      <c r="H111" s="1948"/>
      <c r="I111" s="1950"/>
      <c r="J111" s="683" t="s">
        <v>29</v>
      </c>
      <c r="K111" s="682"/>
    </row>
    <row r="112" spans="1:11" ht="15" customHeight="1">
      <c r="A112" s="977">
        <v>109</v>
      </c>
      <c r="B112" s="1228" t="s">
        <v>1353</v>
      </c>
      <c r="C112" s="1228" t="s">
        <v>48</v>
      </c>
      <c r="D112" s="1228" t="s">
        <v>61</v>
      </c>
      <c r="E112" s="1228" t="s">
        <v>1890</v>
      </c>
      <c r="F112" s="979">
        <v>46124</v>
      </c>
      <c r="G112" s="979">
        <v>46126</v>
      </c>
      <c r="H112" s="1948"/>
      <c r="I112" s="1950"/>
      <c r="J112" s="683" t="s">
        <v>29</v>
      </c>
      <c r="K112" s="682"/>
    </row>
    <row r="113" spans="1:11" ht="15" customHeight="1">
      <c r="A113" s="977">
        <v>110</v>
      </c>
      <c r="B113" s="1228" t="s">
        <v>1380</v>
      </c>
      <c r="C113" s="1228" t="s">
        <v>32</v>
      </c>
      <c r="D113" s="1228" t="s">
        <v>61</v>
      </c>
      <c r="E113" s="1228" t="s">
        <v>1854</v>
      </c>
      <c r="F113" s="979">
        <v>46124</v>
      </c>
      <c r="G113" s="979">
        <v>46127</v>
      </c>
      <c r="H113" s="1948"/>
      <c r="I113" s="1950"/>
      <c r="J113" s="683" t="s">
        <v>29</v>
      </c>
      <c r="K113" s="682"/>
    </row>
    <row r="114" spans="1:11" ht="15" customHeight="1">
      <c r="A114" s="977">
        <v>111</v>
      </c>
      <c r="B114" s="1228" t="s">
        <v>1682</v>
      </c>
      <c r="C114" s="1228" t="s">
        <v>1934</v>
      </c>
      <c r="D114" s="1228" t="s">
        <v>61</v>
      </c>
      <c r="E114" s="1228" t="s">
        <v>1635</v>
      </c>
      <c r="F114" s="979">
        <v>46123</v>
      </c>
      <c r="G114" s="979">
        <v>46128</v>
      </c>
      <c r="H114" s="1948"/>
      <c r="I114" s="1950"/>
      <c r="J114" s="683" t="s">
        <v>29</v>
      </c>
      <c r="K114" s="682"/>
    </row>
    <row r="115" spans="1:11" ht="15" customHeight="1">
      <c r="A115" s="977">
        <v>112</v>
      </c>
      <c r="B115" s="1228" t="s">
        <v>1276</v>
      </c>
      <c r="C115" s="1228" t="s">
        <v>1929</v>
      </c>
      <c r="D115" s="1228" t="s">
        <v>61</v>
      </c>
      <c r="E115" s="1228" t="s">
        <v>1926</v>
      </c>
      <c r="F115" s="979">
        <v>46125</v>
      </c>
      <c r="G115" s="979">
        <v>46128</v>
      </c>
      <c r="H115" s="1948"/>
      <c r="I115" s="1950"/>
      <c r="J115" s="683" t="s">
        <v>29</v>
      </c>
      <c r="K115" s="682"/>
    </row>
    <row r="116" spans="1:11" ht="15" customHeight="1">
      <c r="A116" s="977">
        <v>113</v>
      </c>
      <c r="B116" s="1228" t="s">
        <v>1417</v>
      </c>
      <c r="C116" s="1228" t="s">
        <v>1426</v>
      </c>
      <c r="D116" s="1228" t="s">
        <v>61</v>
      </c>
      <c r="E116" s="1228" t="s">
        <v>1887</v>
      </c>
      <c r="F116" s="979">
        <v>46121</v>
      </c>
      <c r="G116" s="979">
        <v>46129</v>
      </c>
      <c r="H116" s="1948"/>
      <c r="I116" s="1950"/>
      <c r="J116" s="683" t="s">
        <v>29</v>
      </c>
      <c r="K116" s="682"/>
    </row>
    <row r="117" spans="1:11" ht="15" customHeight="1">
      <c r="A117" s="977">
        <v>114</v>
      </c>
      <c r="B117" s="1228" t="s">
        <v>1356</v>
      </c>
      <c r="C117" s="1228" t="s">
        <v>1425</v>
      </c>
      <c r="D117" s="1228" t="s">
        <v>61</v>
      </c>
      <c r="E117" s="1228" t="s">
        <v>1890</v>
      </c>
      <c r="F117" s="979">
        <v>46125</v>
      </c>
      <c r="G117" s="979">
        <v>46131</v>
      </c>
      <c r="H117" s="1948"/>
      <c r="I117" s="1950"/>
      <c r="J117" s="683" t="s">
        <v>29</v>
      </c>
      <c r="K117" s="682"/>
    </row>
    <row r="118" spans="1:11" ht="15" customHeight="1">
      <c r="A118" s="977">
        <v>115</v>
      </c>
      <c r="B118" s="1228" t="s">
        <v>1306</v>
      </c>
      <c r="C118" s="1228" t="s">
        <v>1928</v>
      </c>
      <c r="D118" s="1228" t="s">
        <v>42</v>
      </c>
      <c r="E118" s="1228" t="s">
        <v>1855</v>
      </c>
      <c r="F118" s="979">
        <v>46124</v>
      </c>
      <c r="G118" s="979">
        <v>46131</v>
      </c>
      <c r="H118" s="1948"/>
      <c r="I118" s="1950"/>
      <c r="J118" s="683" t="s">
        <v>29</v>
      </c>
      <c r="K118" s="682"/>
    </row>
    <row r="119" spans="1:11" ht="15" customHeight="1">
      <c r="A119" s="977">
        <v>116</v>
      </c>
      <c r="B119" s="1228" t="s">
        <v>1385</v>
      </c>
      <c r="C119" s="1228" t="s">
        <v>32</v>
      </c>
      <c r="D119" s="1228" t="s">
        <v>61</v>
      </c>
      <c r="E119" s="1228" t="s">
        <v>1854</v>
      </c>
      <c r="F119" s="979">
        <v>46127</v>
      </c>
      <c r="G119" s="979">
        <v>46132</v>
      </c>
      <c r="H119" s="1948"/>
      <c r="I119" s="1950"/>
      <c r="J119" s="683" t="s">
        <v>29</v>
      </c>
      <c r="K119" s="682"/>
    </row>
    <row r="120" spans="1:11" ht="15" customHeight="1">
      <c r="A120" s="977">
        <v>117</v>
      </c>
      <c r="B120" s="1228" t="s">
        <v>1357</v>
      </c>
      <c r="C120" s="1228" t="s">
        <v>48</v>
      </c>
      <c r="D120" s="1228" t="s">
        <v>61</v>
      </c>
      <c r="E120" s="1228" t="s">
        <v>1890</v>
      </c>
      <c r="F120" s="979">
        <v>46130</v>
      </c>
      <c r="G120" s="979">
        <v>46132</v>
      </c>
      <c r="H120" s="1948"/>
      <c r="I120" s="1950"/>
      <c r="J120" s="683" t="s">
        <v>29</v>
      </c>
      <c r="K120" s="682"/>
    </row>
    <row r="121" spans="1:11" ht="15" customHeight="1">
      <c r="A121" s="977">
        <v>118</v>
      </c>
      <c r="B121" s="1228" t="s">
        <v>1415</v>
      </c>
      <c r="C121" s="1228" t="s">
        <v>48</v>
      </c>
      <c r="D121" s="1228" t="s">
        <v>42</v>
      </c>
      <c r="E121" s="1228" t="s">
        <v>1887</v>
      </c>
      <c r="F121" s="979">
        <v>46129</v>
      </c>
      <c r="G121" s="979">
        <v>46135</v>
      </c>
      <c r="H121" s="1948"/>
      <c r="I121" s="1950"/>
      <c r="J121" s="683" t="s">
        <v>29</v>
      </c>
      <c r="K121" s="682"/>
    </row>
    <row r="122" spans="1:11" ht="15" customHeight="1">
      <c r="A122" s="977">
        <v>119</v>
      </c>
      <c r="B122" s="1228" t="s">
        <v>1683</v>
      </c>
      <c r="C122" s="1228" t="s">
        <v>1938</v>
      </c>
      <c r="D122" s="1228" t="s">
        <v>61</v>
      </c>
      <c r="E122" s="1228" t="s">
        <v>1635</v>
      </c>
      <c r="F122" s="979">
        <v>46130</v>
      </c>
      <c r="G122" s="979">
        <v>46137</v>
      </c>
      <c r="H122" s="1948"/>
      <c r="I122" s="1950"/>
      <c r="J122" s="683" t="s">
        <v>29</v>
      </c>
      <c r="K122" s="682"/>
    </row>
    <row r="123" spans="1:11" ht="15" customHeight="1">
      <c r="A123" s="977">
        <v>120</v>
      </c>
      <c r="B123" s="1228" t="s">
        <v>1358</v>
      </c>
      <c r="C123" s="1228" t="s">
        <v>1940</v>
      </c>
      <c r="D123" s="1228" t="s">
        <v>61</v>
      </c>
      <c r="E123" s="1228" t="s">
        <v>1890</v>
      </c>
      <c r="F123" s="979">
        <v>46132</v>
      </c>
      <c r="G123" s="979">
        <v>46137</v>
      </c>
      <c r="H123" s="1948"/>
      <c r="I123" s="1950"/>
      <c r="J123" s="683" t="s">
        <v>29</v>
      </c>
      <c r="K123" s="682"/>
    </row>
    <row r="124" spans="1:11" ht="15" customHeight="1">
      <c r="A124" s="977">
        <v>121</v>
      </c>
      <c r="B124" s="1228" t="s">
        <v>1305</v>
      </c>
      <c r="C124" s="1228" t="s">
        <v>1925</v>
      </c>
      <c r="D124" s="1228" t="s">
        <v>61</v>
      </c>
      <c r="E124" s="1228" t="s">
        <v>1855</v>
      </c>
      <c r="F124" s="979">
        <v>46124</v>
      </c>
      <c r="G124" s="979">
        <v>46138</v>
      </c>
      <c r="H124" s="1948"/>
      <c r="I124" s="1950"/>
      <c r="J124" s="683" t="s">
        <v>29</v>
      </c>
      <c r="K124" s="682"/>
    </row>
    <row r="125" spans="1:11" ht="15" customHeight="1">
      <c r="A125" s="977">
        <v>122</v>
      </c>
      <c r="B125" s="1228" t="s">
        <v>1383</v>
      </c>
      <c r="C125" s="1228" t="s">
        <v>1423</v>
      </c>
      <c r="D125" s="1228" t="s">
        <v>42</v>
      </c>
      <c r="E125" s="1228" t="s">
        <v>1854</v>
      </c>
      <c r="F125" s="979">
        <v>46132</v>
      </c>
      <c r="G125" s="979">
        <v>46138</v>
      </c>
      <c r="H125" s="1948"/>
      <c r="I125" s="1950"/>
      <c r="J125" s="683" t="s">
        <v>29</v>
      </c>
      <c r="K125" s="682"/>
    </row>
    <row r="126" spans="1:11" ht="15" customHeight="1">
      <c r="A126" s="978">
        <v>123</v>
      </c>
      <c r="B126" s="1228" t="s">
        <v>1355</v>
      </c>
      <c r="C126" s="1228" t="s">
        <v>1427</v>
      </c>
      <c r="D126" s="1228" t="s">
        <v>61</v>
      </c>
      <c r="E126" s="1228" t="s">
        <v>1890</v>
      </c>
      <c r="F126" s="980">
        <v>46135</v>
      </c>
      <c r="G126" s="980">
        <v>46138</v>
      </c>
      <c r="H126" s="1948"/>
      <c r="I126" s="1950"/>
      <c r="J126" s="971" t="s">
        <v>29</v>
      </c>
      <c r="K126" s="972"/>
    </row>
    <row r="127" spans="1:11" ht="15" customHeight="1">
      <c r="A127" s="978">
        <v>124</v>
      </c>
      <c r="B127" s="1228" t="s">
        <v>1418</v>
      </c>
      <c r="C127" s="1228" t="s">
        <v>48</v>
      </c>
      <c r="D127" s="1228" t="s">
        <v>42</v>
      </c>
      <c r="E127" s="1228" t="s">
        <v>1887</v>
      </c>
      <c r="F127" s="980">
        <v>46135</v>
      </c>
      <c r="G127" s="980">
        <v>46140</v>
      </c>
      <c r="H127" s="1948"/>
      <c r="I127" s="1950"/>
      <c r="J127" s="971" t="s">
        <v>29</v>
      </c>
      <c r="K127" s="972"/>
    </row>
    <row r="128" spans="1:11" ht="15" customHeight="1">
      <c r="A128" s="977">
        <v>125</v>
      </c>
      <c r="B128" s="1228" t="s">
        <v>1354</v>
      </c>
      <c r="C128" s="1228" t="s">
        <v>1426</v>
      </c>
      <c r="D128" s="1228" t="s">
        <v>61</v>
      </c>
      <c r="E128" s="1228" t="s">
        <v>1890</v>
      </c>
      <c r="F128" s="498">
        <v>46135</v>
      </c>
      <c r="G128" s="979">
        <v>46141</v>
      </c>
      <c r="H128" s="1948"/>
      <c r="I128" s="1950"/>
      <c r="J128" s="971" t="s">
        <v>29</v>
      </c>
      <c r="K128" s="682"/>
    </row>
    <row r="129" spans="1:11" ht="15" customHeight="1">
      <c r="A129" s="977">
        <v>126</v>
      </c>
      <c r="B129" s="1228" t="s">
        <v>1235</v>
      </c>
      <c r="C129" s="1228" t="s">
        <v>50</v>
      </c>
      <c r="D129" s="1228" t="s">
        <v>61</v>
      </c>
      <c r="E129" s="1228" t="s">
        <v>1635</v>
      </c>
      <c r="F129" s="498">
        <v>46137</v>
      </c>
      <c r="G129" s="979">
        <v>46141</v>
      </c>
      <c r="H129" s="1948"/>
      <c r="I129" s="1950"/>
      <c r="J129" s="971" t="s">
        <v>29</v>
      </c>
      <c r="K129" s="682"/>
    </row>
    <row r="130" spans="1:11" ht="15" customHeight="1">
      <c r="A130" s="977">
        <v>127</v>
      </c>
      <c r="B130" s="1228" t="s">
        <v>1378</v>
      </c>
      <c r="C130" s="1228" t="s">
        <v>32</v>
      </c>
      <c r="D130" s="1228" t="s">
        <v>61</v>
      </c>
      <c r="E130" s="1228" t="s">
        <v>1854</v>
      </c>
      <c r="F130" s="498">
        <v>46138</v>
      </c>
      <c r="G130" s="979">
        <v>46141</v>
      </c>
      <c r="H130" s="1948"/>
      <c r="I130" s="1950"/>
      <c r="J130" s="971" t="s">
        <v>29</v>
      </c>
      <c r="K130" s="682"/>
    </row>
    <row r="131" spans="1:11" ht="15" customHeight="1">
      <c r="A131" s="977">
        <v>128</v>
      </c>
      <c r="B131" s="1228" t="s">
        <v>1314</v>
      </c>
      <c r="C131" s="1228" t="s">
        <v>1939</v>
      </c>
      <c r="D131" s="1228" t="s">
        <v>61</v>
      </c>
      <c r="E131" s="1228" t="s">
        <v>1950</v>
      </c>
      <c r="F131" s="498">
        <v>46130</v>
      </c>
      <c r="G131" s="979">
        <v>46142</v>
      </c>
      <c r="H131" s="1948"/>
      <c r="I131" s="1950"/>
      <c r="J131" s="971" t="s">
        <v>29</v>
      </c>
      <c r="K131" s="682"/>
    </row>
    <row r="132" spans="1:11" ht="15" customHeight="1">
      <c r="A132" s="1074">
        <v>129</v>
      </c>
      <c r="B132" s="1228" t="s">
        <v>1203</v>
      </c>
      <c r="C132" s="1228" t="s">
        <v>1928</v>
      </c>
      <c r="D132" s="1228" t="s">
        <v>61</v>
      </c>
      <c r="E132" s="1228" t="s">
        <v>1855</v>
      </c>
      <c r="F132" s="905">
        <v>46138</v>
      </c>
      <c r="G132" s="1078">
        <v>46142</v>
      </c>
      <c r="H132" s="1948"/>
      <c r="I132" s="1950"/>
      <c r="J132" s="971" t="s">
        <v>29</v>
      </c>
      <c r="K132" s="972"/>
    </row>
    <row r="133" spans="1:11" ht="15" customHeight="1">
      <c r="A133" s="957">
        <v>130</v>
      </c>
      <c r="B133" s="1228" t="s">
        <v>1377</v>
      </c>
      <c r="C133" s="1228" t="s">
        <v>1935</v>
      </c>
      <c r="D133" s="1228" t="s">
        <v>61</v>
      </c>
      <c r="E133" s="1228" t="s">
        <v>1854</v>
      </c>
      <c r="F133" s="1159">
        <v>46140</v>
      </c>
      <c r="G133" s="1159">
        <v>46144</v>
      </c>
      <c r="H133" s="1959" t="s">
        <v>2017</v>
      </c>
      <c r="I133" s="1962">
        <v>34</v>
      </c>
      <c r="J133" s="1167" t="s">
        <v>29</v>
      </c>
      <c r="K133" s="1168"/>
    </row>
    <row r="134" spans="1:11" ht="15" customHeight="1">
      <c r="A134" s="957">
        <v>131</v>
      </c>
      <c r="B134" s="1228" t="s">
        <v>1236</v>
      </c>
      <c r="C134" s="1228" t="s">
        <v>1952</v>
      </c>
      <c r="D134" s="1228" t="s">
        <v>61</v>
      </c>
      <c r="E134" s="1228" t="s">
        <v>1635</v>
      </c>
      <c r="F134" s="1159">
        <v>46140</v>
      </c>
      <c r="G134" s="1159">
        <v>46145</v>
      </c>
      <c r="H134" s="1960"/>
      <c r="I134" s="1963"/>
      <c r="J134" s="1167" t="s">
        <v>29</v>
      </c>
      <c r="K134" s="1168"/>
    </row>
    <row r="135" spans="1:11" ht="15" customHeight="1">
      <c r="A135" s="957">
        <v>132</v>
      </c>
      <c r="B135" s="1228" t="s">
        <v>1330</v>
      </c>
      <c r="C135" s="1228" t="s">
        <v>1953</v>
      </c>
      <c r="D135" s="1228" t="s">
        <v>61</v>
      </c>
      <c r="E135" s="1228" t="s">
        <v>1890</v>
      </c>
      <c r="F135" s="1159">
        <v>46142</v>
      </c>
      <c r="G135" s="1159">
        <v>46147</v>
      </c>
      <c r="H135" s="1960"/>
      <c r="I135" s="1963"/>
      <c r="J135" s="1167" t="s">
        <v>29</v>
      </c>
      <c r="K135" s="1168"/>
    </row>
    <row r="136" spans="1:11" ht="15" customHeight="1">
      <c r="A136" s="957">
        <v>133</v>
      </c>
      <c r="B136" s="1228" t="s">
        <v>1275</v>
      </c>
      <c r="C136" s="1228" t="s">
        <v>1938</v>
      </c>
      <c r="D136" s="1228" t="s">
        <v>61</v>
      </c>
      <c r="E136" s="1228" t="s">
        <v>1926</v>
      </c>
      <c r="F136" s="1159">
        <v>46130</v>
      </c>
      <c r="G136" s="1159">
        <v>46150</v>
      </c>
      <c r="H136" s="1960"/>
      <c r="I136" s="1963"/>
      <c r="J136" s="1167" t="s">
        <v>29</v>
      </c>
      <c r="K136" s="1168"/>
    </row>
    <row r="137" spans="1:11" ht="15" customHeight="1">
      <c r="A137" s="957">
        <v>134</v>
      </c>
      <c r="B137" s="1228" t="s">
        <v>1419</v>
      </c>
      <c r="C137" s="1228" t="s">
        <v>32</v>
      </c>
      <c r="D137" s="1228" t="s">
        <v>42</v>
      </c>
      <c r="E137" s="1228" t="s">
        <v>1887</v>
      </c>
      <c r="F137" s="1159">
        <v>46135</v>
      </c>
      <c r="G137" s="1159">
        <v>46152</v>
      </c>
      <c r="H137" s="1960"/>
      <c r="I137" s="1963"/>
      <c r="J137" s="1167" t="s">
        <v>29</v>
      </c>
      <c r="K137" s="1168"/>
    </row>
    <row r="138" spans="1:11" ht="15" customHeight="1">
      <c r="A138" s="957">
        <v>135</v>
      </c>
      <c r="B138" s="1228" t="s">
        <v>1331</v>
      </c>
      <c r="C138" s="1228" t="s">
        <v>1953</v>
      </c>
      <c r="D138" s="1228" t="s">
        <v>61</v>
      </c>
      <c r="E138" s="1228" t="s">
        <v>1890</v>
      </c>
      <c r="F138" s="1159">
        <v>46147</v>
      </c>
      <c r="G138" s="1159">
        <v>46154</v>
      </c>
      <c r="H138" s="1960"/>
      <c r="I138" s="1963"/>
      <c r="J138" s="1167" t="s">
        <v>29</v>
      </c>
      <c r="K138" s="1168"/>
    </row>
    <row r="139" spans="1:11" ht="15" customHeight="1">
      <c r="A139" s="957">
        <v>136</v>
      </c>
      <c r="B139" s="1228" t="s">
        <v>1315</v>
      </c>
      <c r="C139" s="1228" t="s">
        <v>32</v>
      </c>
      <c r="D139" s="1228" t="s">
        <v>61</v>
      </c>
      <c r="E139" s="1228" t="s">
        <v>1951</v>
      </c>
      <c r="F139" s="1159">
        <v>46142</v>
      </c>
      <c r="G139" s="1159">
        <v>46154</v>
      </c>
      <c r="H139" s="1960"/>
      <c r="I139" s="1963"/>
      <c r="J139" s="1167" t="s">
        <v>29</v>
      </c>
      <c r="K139" s="1168"/>
    </row>
    <row r="140" spans="1:11" ht="15" customHeight="1">
      <c r="A140" s="957">
        <v>137</v>
      </c>
      <c r="B140" s="1228" t="s">
        <v>1237</v>
      </c>
      <c r="C140" s="1228" t="s">
        <v>1952</v>
      </c>
      <c r="D140" s="1228" t="s">
        <v>61</v>
      </c>
      <c r="E140" s="1228" t="s">
        <v>1635</v>
      </c>
      <c r="F140" s="1159">
        <v>46140</v>
      </c>
      <c r="G140" s="1159">
        <v>46154</v>
      </c>
      <c r="H140" s="1960"/>
      <c r="I140" s="1963"/>
      <c r="J140" s="1167" t="s">
        <v>29</v>
      </c>
      <c r="K140" s="1168"/>
    </row>
    <row r="141" spans="1:11" ht="15" customHeight="1">
      <c r="A141" s="957">
        <v>138</v>
      </c>
      <c r="B141" s="1228" t="s">
        <v>1341</v>
      </c>
      <c r="C141" s="1228" t="s">
        <v>32</v>
      </c>
      <c r="D141" s="1228" t="s">
        <v>42</v>
      </c>
      <c r="E141" s="1228" t="s">
        <v>1890</v>
      </c>
      <c r="F141" s="1159">
        <v>46147</v>
      </c>
      <c r="G141" s="1159">
        <v>46155</v>
      </c>
      <c r="H141" s="1960"/>
      <c r="I141" s="1963"/>
      <c r="J141" s="1167" t="s">
        <v>29</v>
      </c>
      <c r="K141" s="1168"/>
    </row>
    <row r="142" spans="1:11" ht="15" customHeight="1">
      <c r="A142" s="957">
        <v>139</v>
      </c>
      <c r="B142" s="1228" t="s">
        <v>1420</v>
      </c>
      <c r="C142" s="1228" t="s">
        <v>34</v>
      </c>
      <c r="D142" s="1228" t="s">
        <v>61</v>
      </c>
      <c r="E142" s="1228" t="s">
        <v>1887</v>
      </c>
      <c r="F142" s="1159">
        <v>46153</v>
      </c>
      <c r="G142" s="1159">
        <v>46156</v>
      </c>
      <c r="H142" s="1960"/>
      <c r="I142" s="1963"/>
      <c r="J142" s="1167" t="s">
        <v>29</v>
      </c>
      <c r="K142" s="1168"/>
    </row>
    <row r="143" spans="1:11" ht="15" customHeight="1">
      <c r="A143" s="957">
        <v>140</v>
      </c>
      <c r="B143" s="1228" t="s">
        <v>1308</v>
      </c>
      <c r="C143" s="1228" t="s">
        <v>1181</v>
      </c>
      <c r="D143" s="1228" t="s">
        <v>42</v>
      </c>
      <c r="E143" s="1228" t="s">
        <v>1880</v>
      </c>
      <c r="F143" s="1159">
        <v>46142</v>
      </c>
      <c r="G143" s="1159">
        <v>46156</v>
      </c>
      <c r="H143" s="1960"/>
      <c r="I143" s="1963"/>
      <c r="J143" s="1167" t="s">
        <v>29</v>
      </c>
      <c r="K143" s="1168"/>
    </row>
    <row r="144" spans="1:11" ht="15" customHeight="1">
      <c r="A144" s="957">
        <v>141</v>
      </c>
      <c r="B144" s="1228" t="s">
        <v>1376</v>
      </c>
      <c r="C144" s="1228" t="s">
        <v>49</v>
      </c>
      <c r="D144" s="1228" t="s">
        <v>61</v>
      </c>
      <c r="E144" s="1228" t="s">
        <v>1854</v>
      </c>
      <c r="F144" s="1159">
        <v>46140</v>
      </c>
      <c r="G144" s="1159">
        <v>46157</v>
      </c>
      <c r="H144" s="1960"/>
      <c r="I144" s="1963"/>
      <c r="J144" s="1167" t="s">
        <v>29</v>
      </c>
      <c r="K144" s="1168"/>
    </row>
    <row r="145" spans="1:11" ht="15" customHeight="1">
      <c r="A145" s="957">
        <v>142</v>
      </c>
      <c r="B145" s="1228" t="s">
        <v>1234</v>
      </c>
      <c r="C145" s="1228" t="s">
        <v>32</v>
      </c>
      <c r="D145" s="1228" t="s">
        <v>61</v>
      </c>
      <c r="E145" s="1228" t="s">
        <v>1635</v>
      </c>
      <c r="F145" s="1159">
        <v>46157</v>
      </c>
      <c r="G145" s="1159">
        <v>46160</v>
      </c>
      <c r="H145" s="1960"/>
      <c r="I145" s="1963"/>
      <c r="J145" s="1167" t="s">
        <v>29</v>
      </c>
      <c r="K145" s="1168"/>
    </row>
    <row r="146" spans="1:11" ht="15" customHeight="1">
      <c r="A146" s="957">
        <v>143</v>
      </c>
      <c r="B146" s="1228" t="s">
        <v>1375</v>
      </c>
      <c r="C146" s="1228" t="s">
        <v>48</v>
      </c>
      <c r="D146" s="1228" t="s">
        <v>61</v>
      </c>
      <c r="E146" s="1228" t="s">
        <v>1854</v>
      </c>
      <c r="F146" s="1159">
        <v>46140</v>
      </c>
      <c r="G146" s="1159">
        <v>46160</v>
      </c>
      <c r="H146" s="1960"/>
      <c r="I146" s="1963"/>
      <c r="J146" s="1167" t="s">
        <v>29</v>
      </c>
      <c r="K146" s="1168"/>
    </row>
    <row r="147" spans="1:11" ht="15" customHeight="1">
      <c r="A147" s="957">
        <v>144</v>
      </c>
      <c r="B147" s="1228" t="s">
        <v>1413</v>
      </c>
      <c r="C147" s="1228" t="s">
        <v>32</v>
      </c>
      <c r="D147" s="1228" t="s">
        <v>42</v>
      </c>
      <c r="E147" s="1228" t="s">
        <v>1887</v>
      </c>
      <c r="F147" s="1159">
        <v>46158</v>
      </c>
      <c r="G147" s="1159">
        <v>46160</v>
      </c>
      <c r="H147" s="1960"/>
      <c r="I147" s="1963"/>
      <c r="J147" s="1167" t="s">
        <v>29</v>
      </c>
      <c r="K147" s="1168"/>
    </row>
    <row r="148" spans="1:11" ht="15" customHeight="1">
      <c r="A148" s="957">
        <v>145</v>
      </c>
      <c r="B148" s="1228" t="s">
        <v>1318</v>
      </c>
      <c r="C148" s="1228" t="s">
        <v>34</v>
      </c>
      <c r="D148" s="1228" t="s">
        <v>42</v>
      </c>
      <c r="E148" s="1228" t="s">
        <v>1941</v>
      </c>
      <c r="F148" s="1159">
        <v>46155</v>
      </c>
      <c r="G148" s="1159">
        <v>46162</v>
      </c>
      <c r="H148" s="1960"/>
      <c r="I148" s="1963"/>
      <c r="J148" s="1167" t="s">
        <v>29</v>
      </c>
      <c r="K148" s="1168"/>
    </row>
    <row r="149" spans="1:11" ht="15" customHeight="1">
      <c r="A149" s="957">
        <v>146</v>
      </c>
      <c r="B149" s="1228" t="s">
        <v>1233</v>
      </c>
      <c r="C149" s="1228" t="s">
        <v>32</v>
      </c>
      <c r="D149" s="1228" t="s">
        <v>61</v>
      </c>
      <c r="E149" s="1228" t="s">
        <v>1635</v>
      </c>
      <c r="F149" s="1159">
        <v>46160</v>
      </c>
      <c r="G149" s="1159">
        <v>46163</v>
      </c>
      <c r="H149" s="1960"/>
      <c r="I149" s="1963"/>
      <c r="J149" s="1167" t="s">
        <v>29</v>
      </c>
      <c r="K149" s="1168"/>
    </row>
    <row r="150" spans="1:11" ht="15" customHeight="1">
      <c r="A150" s="957">
        <v>147</v>
      </c>
      <c r="B150" s="1228" t="s">
        <v>1307</v>
      </c>
      <c r="C150" s="1228" t="s">
        <v>2066</v>
      </c>
      <c r="D150" s="1228" t="s">
        <v>42</v>
      </c>
      <c r="E150" s="1228" t="s">
        <v>1880</v>
      </c>
      <c r="F150" s="1159">
        <v>46142</v>
      </c>
      <c r="G150" s="1159">
        <v>46163</v>
      </c>
      <c r="H150" s="1960"/>
      <c r="I150" s="1963"/>
      <c r="J150" s="1167" t="s">
        <v>29</v>
      </c>
      <c r="K150" s="1168"/>
    </row>
    <row r="151" spans="1:11" ht="15" customHeight="1">
      <c r="A151" s="957">
        <v>148</v>
      </c>
      <c r="B151" s="1228" t="s">
        <v>1389</v>
      </c>
      <c r="C151" s="1228" t="s">
        <v>1427</v>
      </c>
      <c r="D151" s="1228" t="s">
        <v>61</v>
      </c>
      <c r="E151" s="1228" t="s">
        <v>1890</v>
      </c>
      <c r="F151" s="1159">
        <v>46157</v>
      </c>
      <c r="G151" s="1159">
        <v>46164</v>
      </c>
      <c r="H151" s="1960"/>
      <c r="I151" s="1963"/>
      <c r="J151" s="1167" t="s">
        <v>29</v>
      </c>
      <c r="K151" s="1168"/>
    </row>
    <row r="152" spans="1:11" ht="15" customHeight="1">
      <c r="A152" s="957">
        <v>149</v>
      </c>
      <c r="B152" s="1228" t="s">
        <v>1373</v>
      </c>
      <c r="C152" s="1228" t="s">
        <v>1935</v>
      </c>
      <c r="D152" s="1228" t="s">
        <v>61</v>
      </c>
      <c r="E152" s="1228" t="s">
        <v>1854</v>
      </c>
      <c r="F152" s="1159">
        <v>46162</v>
      </c>
      <c r="G152" s="1159">
        <v>46165</v>
      </c>
      <c r="H152" s="1960"/>
      <c r="I152" s="1963"/>
      <c r="J152" s="1167" t="s">
        <v>29</v>
      </c>
      <c r="K152" s="1168"/>
    </row>
    <row r="153" spans="1:11" ht="15" customHeight="1">
      <c r="A153" s="957">
        <v>150</v>
      </c>
      <c r="B153" s="1228" t="s">
        <v>1312</v>
      </c>
      <c r="C153" s="1228" t="s">
        <v>1907</v>
      </c>
      <c r="D153" s="1228" t="s">
        <v>61</v>
      </c>
      <c r="E153" s="1228" t="s">
        <v>1951</v>
      </c>
      <c r="F153" s="1159">
        <v>46155</v>
      </c>
      <c r="G153" s="1159">
        <v>46166</v>
      </c>
      <c r="H153" s="1960"/>
      <c r="I153" s="1963"/>
      <c r="J153" s="1167" t="s">
        <v>29</v>
      </c>
      <c r="K153" s="1168"/>
    </row>
    <row r="154" spans="1:11" ht="15" customHeight="1">
      <c r="A154" s="957">
        <v>151</v>
      </c>
      <c r="B154" s="1228" t="s">
        <v>1320</v>
      </c>
      <c r="C154" s="1228" t="s">
        <v>1907</v>
      </c>
      <c r="D154" s="1228" t="s">
        <v>61</v>
      </c>
      <c r="E154" s="1228" t="s">
        <v>1941</v>
      </c>
      <c r="F154" s="1159">
        <v>46136</v>
      </c>
      <c r="G154" s="1159">
        <v>46166</v>
      </c>
      <c r="H154" s="1960"/>
      <c r="I154" s="1963"/>
      <c r="J154" s="1167" t="s">
        <v>29</v>
      </c>
      <c r="K154" s="1168"/>
    </row>
    <row r="155" spans="1:11" ht="15" customHeight="1">
      <c r="A155" s="957">
        <v>152</v>
      </c>
      <c r="B155" s="1228" t="s">
        <v>1232</v>
      </c>
      <c r="C155" s="1228" t="s">
        <v>1181</v>
      </c>
      <c r="D155" s="1228" t="s">
        <v>61</v>
      </c>
      <c r="E155" s="1228" t="s">
        <v>1635</v>
      </c>
      <c r="F155" s="1159">
        <v>46160</v>
      </c>
      <c r="G155" s="1159">
        <v>46166</v>
      </c>
      <c r="H155" s="1960"/>
      <c r="I155" s="1963"/>
      <c r="J155" s="1167" t="s">
        <v>29</v>
      </c>
      <c r="K155" s="1168"/>
    </row>
    <row r="156" spans="1:11" ht="15" customHeight="1">
      <c r="A156" s="957">
        <v>153</v>
      </c>
      <c r="B156" s="1228" t="s">
        <v>1412</v>
      </c>
      <c r="C156" s="1228" t="s">
        <v>43</v>
      </c>
      <c r="D156" s="1228" t="s">
        <v>42</v>
      </c>
      <c r="E156" s="1228" t="s">
        <v>1887</v>
      </c>
      <c r="F156" s="1159">
        <v>46164</v>
      </c>
      <c r="G156" s="1159">
        <v>46168</v>
      </c>
      <c r="H156" s="1960"/>
      <c r="I156" s="1963"/>
      <c r="J156" s="1167" t="s">
        <v>29</v>
      </c>
      <c r="K156" s="1168"/>
    </row>
    <row r="157" spans="1:11" ht="15" customHeight="1">
      <c r="A157" s="957">
        <v>154</v>
      </c>
      <c r="B157" s="1228" t="s">
        <v>1433</v>
      </c>
      <c r="C157" s="1228" t="s">
        <v>1427</v>
      </c>
      <c r="D157" s="1228" t="s">
        <v>61</v>
      </c>
      <c r="E157" s="1228" t="s">
        <v>1890</v>
      </c>
      <c r="F157" s="1159">
        <v>46167</v>
      </c>
      <c r="G157" s="1159">
        <v>46169</v>
      </c>
      <c r="H157" s="1960"/>
      <c r="I157" s="1963"/>
      <c r="J157" s="1167" t="s">
        <v>29</v>
      </c>
      <c r="K157" s="1168"/>
    </row>
    <row r="158" spans="1:11" ht="15" customHeight="1">
      <c r="A158" s="957">
        <v>155</v>
      </c>
      <c r="B158" s="1228" t="s">
        <v>1366</v>
      </c>
      <c r="C158" s="1228" t="s">
        <v>1425</v>
      </c>
      <c r="D158" s="1228" t="s">
        <v>61</v>
      </c>
      <c r="E158" s="1228" t="s">
        <v>1854</v>
      </c>
      <c r="F158" s="1159">
        <v>46162</v>
      </c>
      <c r="G158" s="1159">
        <v>46169</v>
      </c>
      <c r="H158" s="1960"/>
      <c r="I158" s="1963"/>
      <c r="J158" s="1167" t="s">
        <v>29</v>
      </c>
      <c r="K158" s="1168"/>
    </row>
    <row r="159" spans="1:11" ht="15" customHeight="1">
      <c r="A159" s="957">
        <v>156</v>
      </c>
      <c r="B159" s="1228" t="s">
        <v>1319</v>
      </c>
      <c r="C159" s="1228" t="s">
        <v>2065</v>
      </c>
      <c r="D159" s="1228" t="s">
        <v>61</v>
      </c>
      <c r="E159" s="1228" t="s">
        <v>1941</v>
      </c>
      <c r="F159" s="1159">
        <v>46136</v>
      </c>
      <c r="G159" s="1159">
        <v>46172</v>
      </c>
      <c r="H159" s="1960"/>
      <c r="I159" s="1963"/>
      <c r="J159" s="1167" t="s">
        <v>29</v>
      </c>
      <c r="K159" s="1168"/>
    </row>
    <row r="160" spans="1:11" ht="15" customHeight="1">
      <c r="A160" s="957">
        <v>157</v>
      </c>
      <c r="B160" s="1228" t="s">
        <v>1711</v>
      </c>
      <c r="C160" s="1228" t="s">
        <v>48</v>
      </c>
      <c r="D160" s="1228" t="s">
        <v>61</v>
      </c>
      <c r="E160" s="1228" t="s">
        <v>1635</v>
      </c>
      <c r="F160" s="1159">
        <v>46168</v>
      </c>
      <c r="G160" s="1159">
        <v>46172</v>
      </c>
      <c r="H160" s="1960"/>
      <c r="I160" s="1963"/>
      <c r="J160" s="1167" t="s">
        <v>29</v>
      </c>
      <c r="K160" s="1168"/>
    </row>
    <row r="161" spans="1:11" ht="15" customHeight="1">
      <c r="A161" s="957">
        <v>158</v>
      </c>
      <c r="B161" s="1228" t="s">
        <v>1273</v>
      </c>
      <c r="C161" s="1228" t="s">
        <v>2065</v>
      </c>
      <c r="D161" s="1228" t="s">
        <v>61</v>
      </c>
      <c r="E161" s="1228" t="s">
        <v>2063</v>
      </c>
      <c r="F161" s="1159">
        <v>46158</v>
      </c>
      <c r="G161" s="1159">
        <v>46173</v>
      </c>
      <c r="H161" s="1960"/>
      <c r="I161" s="1963"/>
      <c r="J161" s="1167" t="s">
        <v>29</v>
      </c>
      <c r="K161" s="1168"/>
    </row>
    <row r="162" spans="1:11" ht="15" customHeight="1">
      <c r="A162" s="957">
        <v>159</v>
      </c>
      <c r="B162" s="1228" t="s">
        <v>1392</v>
      </c>
      <c r="C162" s="1228" t="s">
        <v>1175</v>
      </c>
      <c r="D162" s="1228" t="s">
        <v>61</v>
      </c>
      <c r="E162" s="1228" t="s">
        <v>1890</v>
      </c>
      <c r="F162" s="1159">
        <v>46168</v>
      </c>
      <c r="G162" s="1159">
        <v>46173</v>
      </c>
      <c r="H162" s="1960"/>
      <c r="I162" s="1963"/>
      <c r="J162" s="1167" t="s">
        <v>29</v>
      </c>
      <c r="K162" s="1168"/>
    </row>
    <row r="163" spans="1:11" ht="15" customHeight="1">
      <c r="A163" s="957">
        <v>160</v>
      </c>
      <c r="B163" s="1228" t="s">
        <v>1710</v>
      </c>
      <c r="C163" s="1228" t="s">
        <v>1175</v>
      </c>
      <c r="D163" s="1228" t="s">
        <v>61</v>
      </c>
      <c r="E163" s="1228" t="s">
        <v>1635</v>
      </c>
      <c r="F163" s="1159">
        <v>46168</v>
      </c>
      <c r="G163" s="1159">
        <v>46173</v>
      </c>
      <c r="H163" s="1960"/>
      <c r="I163" s="1963"/>
      <c r="J163" s="1167" t="s">
        <v>29</v>
      </c>
      <c r="K163" s="1168"/>
    </row>
    <row r="164" spans="1:11" ht="15" customHeight="1">
      <c r="A164" s="957">
        <v>161</v>
      </c>
      <c r="B164" s="1228" t="s">
        <v>1313</v>
      </c>
      <c r="C164" s="1228" t="s">
        <v>32</v>
      </c>
      <c r="D164" s="1228" t="s">
        <v>61</v>
      </c>
      <c r="E164" s="1228" t="s">
        <v>1951</v>
      </c>
      <c r="F164" s="1159">
        <v>46165</v>
      </c>
      <c r="G164" s="1159">
        <v>46173</v>
      </c>
      <c r="H164" s="1960"/>
      <c r="I164" s="1963"/>
      <c r="J164" s="1167" t="s">
        <v>29</v>
      </c>
      <c r="K164" s="1168"/>
    </row>
    <row r="165" spans="1:11" ht="15" customHeight="1">
      <c r="A165" s="957">
        <v>162</v>
      </c>
      <c r="B165" s="1228" t="s">
        <v>1304</v>
      </c>
      <c r="C165" s="1228" t="s">
        <v>2067</v>
      </c>
      <c r="D165" s="1228" t="s">
        <v>61</v>
      </c>
      <c r="E165" s="1228" t="s">
        <v>1941</v>
      </c>
      <c r="F165" s="1159">
        <v>46170</v>
      </c>
      <c r="G165" s="1159">
        <v>46173</v>
      </c>
      <c r="H165" s="1960"/>
      <c r="I165" s="1963"/>
      <c r="J165" s="1167" t="s">
        <v>29</v>
      </c>
      <c r="K165" s="1168"/>
    </row>
    <row r="166" spans="1:11" ht="15" customHeight="1">
      <c r="A166" s="957">
        <v>163</v>
      </c>
      <c r="B166" s="1228" t="s">
        <v>1396</v>
      </c>
      <c r="C166" s="1228" t="s">
        <v>34</v>
      </c>
      <c r="D166" s="1228" t="s">
        <v>42</v>
      </c>
      <c r="E166" s="1228" t="s">
        <v>1890</v>
      </c>
      <c r="F166" s="1159">
        <v>46170</v>
      </c>
      <c r="G166" s="1159">
        <v>46173</v>
      </c>
      <c r="H166" s="1961"/>
      <c r="I166" s="1964"/>
      <c r="J166" s="1167" t="s">
        <v>29</v>
      </c>
      <c r="K166" s="1168"/>
    </row>
    <row r="167" spans="1:11" ht="15" customHeight="1">
      <c r="A167" s="957">
        <v>164</v>
      </c>
      <c r="B167" s="1228" t="s">
        <v>1395</v>
      </c>
      <c r="C167" s="1228" t="s">
        <v>1181</v>
      </c>
      <c r="D167" s="1228" t="s">
        <v>42</v>
      </c>
      <c r="E167" s="1228" t="s">
        <v>1890</v>
      </c>
      <c r="F167" s="1230">
        <v>46172</v>
      </c>
      <c r="G167" s="1230">
        <v>46177</v>
      </c>
      <c r="H167" s="1947" t="s">
        <v>2171</v>
      </c>
      <c r="I167" s="1949">
        <v>33</v>
      </c>
      <c r="J167" s="1167" t="s">
        <v>29</v>
      </c>
      <c r="K167" s="682"/>
    </row>
    <row r="168" spans="1:11" ht="15" customHeight="1">
      <c r="A168" s="957">
        <v>165</v>
      </c>
      <c r="B168" s="1228" t="s">
        <v>1411</v>
      </c>
      <c r="C168" s="1228" t="s">
        <v>48</v>
      </c>
      <c r="D168" s="1228" t="s">
        <v>42</v>
      </c>
      <c r="E168" s="1228" t="s">
        <v>1854</v>
      </c>
      <c r="F168" s="1230">
        <v>46175</v>
      </c>
      <c r="G168" s="1230">
        <v>46178</v>
      </c>
      <c r="H168" s="1948"/>
      <c r="I168" s="1950"/>
      <c r="J168" s="1167" t="s">
        <v>29</v>
      </c>
      <c r="K168" s="682"/>
    </row>
    <row r="169" spans="1:11" ht="15" customHeight="1">
      <c r="A169" s="957">
        <v>166</v>
      </c>
      <c r="B169" s="1228" t="s">
        <v>1192</v>
      </c>
      <c r="C169" s="1228" t="s">
        <v>32</v>
      </c>
      <c r="D169" s="1228" t="s">
        <v>61</v>
      </c>
      <c r="E169" s="1228" t="s">
        <v>41</v>
      </c>
      <c r="F169" s="1230">
        <v>46175</v>
      </c>
      <c r="G169" s="1230">
        <v>46180</v>
      </c>
      <c r="H169" s="1948"/>
      <c r="I169" s="1950"/>
      <c r="J169" s="1167" t="s">
        <v>29</v>
      </c>
      <c r="K169" s="682"/>
    </row>
    <row r="170" spans="1:11" ht="15" customHeight="1">
      <c r="A170" s="957">
        <v>167</v>
      </c>
      <c r="B170" s="1228" t="s">
        <v>1397</v>
      </c>
      <c r="C170" s="1228" t="s">
        <v>32</v>
      </c>
      <c r="D170" s="1228" t="s">
        <v>42</v>
      </c>
      <c r="E170" s="1228" t="s">
        <v>1890</v>
      </c>
      <c r="F170" s="1230">
        <v>46175</v>
      </c>
      <c r="G170" s="1230">
        <v>46181</v>
      </c>
      <c r="H170" s="1948"/>
      <c r="I170" s="1950"/>
      <c r="J170" s="1167" t="s">
        <v>29</v>
      </c>
      <c r="K170" s="682"/>
    </row>
    <row r="171" spans="1:11" ht="15" customHeight="1">
      <c r="A171" s="957">
        <v>168</v>
      </c>
      <c r="B171" s="1228" t="s">
        <v>1248</v>
      </c>
      <c r="C171" s="1228" t="s">
        <v>50</v>
      </c>
      <c r="D171" s="1228" t="s">
        <v>61</v>
      </c>
      <c r="E171" s="1228" t="s">
        <v>1635</v>
      </c>
      <c r="F171" s="1230">
        <v>46177</v>
      </c>
      <c r="G171" s="1230">
        <v>46183</v>
      </c>
      <c r="H171" s="1948"/>
      <c r="I171" s="1950"/>
      <c r="J171" s="1167" t="s">
        <v>29</v>
      </c>
      <c r="K171" s="682"/>
    </row>
    <row r="172" spans="1:11" ht="15" customHeight="1">
      <c r="A172" s="957">
        <v>169</v>
      </c>
      <c r="B172" s="1228" t="s">
        <v>1316</v>
      </c>
      <c r="C172" s="1228" t="s">
        <v>48</v>
      </c>
      <c r="D172" s="1228" t="s">
        <v>42</v>
      </c>
      <c r="E172" s="1228" t="s">
        <v>1951</v>
      </c>
      <c r="F172" s="1230">
        <v>46175</v>
      </c>
      <c r="G172" s="1230">
        <v>46183</v>
      </c>
      <c r="H172" s="1948"/>
      <c r="I172" s="1950"/>
      <c r="J172" s="1167" t="s">
        <v>29</v>
      </c>
      <c r="K172" s="682"/>
    </row>
    <row r="173" spans="1:11" ht="15" customHeight="1">
      <c r="A173" s="957">
        <v>170</v>
      </c>
      <c r="B173" s="1228" t="s">
        <v>1271</v>
      </c>
      <c r="C173" s="1228" t="s">
        <v>57</v>
      </c>
      <c r="D173" s="1228" t="s">
        <v>61</v>
      </c>
      <c r="E173" s="1228" t="s">
        <v>2136</v>
      </c>
      <c r="F173" s="1230">
        <v>46175</v>
      </c>
      <c r="G173" s="1230">
        <v>46185</v>
      </c>
      <c r="H173" s="1948"/>
      <c r="I173" s="1950"/>
      <c r="J173" s="1167" t="s">
        <v>29</v>
      </c>
      <c r="K173" s="682"/>
    </row>
    <row r="174" spans="1:11" ht="15" customHeight="1">
      <c r="A174" s="957">
        <v>171</v>
      </c>
      <c r="B174" s="1228" t="s">
        <v>1410</v>
      </c>
      <c r="C174" s="1228" t="s">
        <v>49</v>
      </c>
      <c r="D174" s="1228" t="s">
        <v>42</v>
      </c>
      <c r="E174" s="1228" t="s">
        <v>1854</v>
      </c>
      <c r="F174" s="1230">
        <v>46179</v>
      </c>
      <c r="G174" s="1230">
        <v>46185</v>
      </c>
      <c r="H174" s="1948"/>
      <c r="I174" s="1950"/>
      <c r="J174" s="1167" t="s">
        <v>29</v>
      </c>
      <c r="K174" s="682"/>
    </row>
    <row r="175" spans="1:11" ht="15" customHeight="1">
      <c r="A175" s="957">
        <v>172</v>
      </c>
      <c r="B175" s="1228" t="s">
        <v>1289</v>
      </c>
      <c r="C175" s="1228" t="s">
        <v>2135</v>
      </c>
      <c r="D175" s="1228" t="s">
        <v>61</v>
      </c>
      <c r="E175" s="1228" t="s">
        <v>41</v>
      </c>
      <c r="F175" s="1230">
        <v>46180</v>
      </c>
      <c r="G175" s="1230">
        <v>46186</v>
      </c>
      <c r="H175" s="1948"/>
      <c r="I175" s="1950"/>
      <c r="J175" s="1167" t="s">
        <v>29</v>
      </c>
      <c r="K175" s="682"/>
    </row>
    <row r="176" spans="1:11" ht="15" customHeight="1">
      <c r="A176" s="957">
        <v>173</v>
      </c>
      <c r="B176" s="1228" t="s">
        <v>1317</v>
      </c>
      <c r="C176" s="1228" t="s">
        <v>1423</v>
      </c>
      <c r="D176" s="1228" t="s">
        <v>42</v>
      </c>
      <c r="E176" s="1228" t="s">
        <v>1941</v>
      </c>
      <c r="F176" s="1230">
        <v>46175</v>
      </c>
      <c r="G176" s="1230">
        <v>46187</v>
      </c>
      <c r="H176" s="1948"/>
      <c r="I176" s="1950"/>
      <c r="J176" s="1167" t="s">
        <v>29</v>
      </c>
      <c r="K176" s="682"/>
    </row>
    <row r="177" spans="1:11" ht="15" customHeight="1">
      <c r="A177" s="957">
        <v>174</v>
      </c>
      <c r="B177" s="1228" t="s">
        <v>1398</v>
      </c>
      <c r="C177" s="1228" t="s">
        <v>57</v>
      </c>
      <c r="D177" s="1228" t="s">
        <v>42</v>
      </c>
      <c r="E177" s="1228" t="s">
        <v>1890</v>
      </c>
      <c r="F177" s="1230">
        <v>46182</v>
      </c>
      <c r="G177" s="1230">
        <v>46187</v>
      </c>
      <c r="H177" s="1948"/>
      <c r="I177" s="1950"/>
      <c r="J177" s="1167" t="s">
        <v>29</v>
      </c>
      <c r="K177" s="682"/>
    </row>
    <row r="178" spans="1:11" ht="15" customHeight="1">
      <c r="A178" s="957">
        <v>175</v>
      </c>
      <c r="B178" s="1228" t="s">
        <v>1428</v>
      </c>
      <c r="C178" s="1228" t="s">
        <v>1427</v>
      </c>
      <c r="D178" s="1228" t="s">
        <v>42</v>
      </c>
      <c r="E178" s="1228" t="s">
        <v>1890</v>
      </c>
      <c r="F178" s="1230">
        <v>46182</v>
      </c>
      <c r="G178" s="1230">
        <v>46189</v>
      </c>
      <c r="H178" s="1948"/>
      <c r="I178" s="1950"/>
      <c r="J178" s="1167" t="s">
        <v>29</v>
      </c>
      <c r="K178" s="682"/>
    </row>
    <row r="179" spans="1:11" ht="15" customHeight="1">
      <c r="A179" s="957">
        <v>176</v>
      </c>
      <c r="B179" s="1228" t="s">
        <v>1184</v>
      </c>
      <c r="C179" s="1228" t="s">
        <v>2148</v>
      </c>
      <c r="D179" s="1228" t="s">
        <v>61</v>
      </c>
      <c r="E179" s="1228" t="s">
        <v>41</v>
      </c>
      <c r="F179" s="1230">
        <v>46186</v>
      </c>
      <c r="G179" s="1230">
        <v>46190</v>
      </c>
      <c r="H179" s="1948"/>
      <c r="I179" s="1950"/>
      <c r="J179" s="1167" t="s">
        <v>29</v>
      </c>
      <c r="K179" s="682"/>
    </row>
    <row r="180" spans="1:11" ht="15" customHeight="1">
      <c r="A180" s="957">
        <v>177</v>
      </c>
      <c r="B180" s="1228" t="s">
        <v>1249</v>
      </c>
      <c r="C180" s="1228" t="s">
        <v>2147</v>
      </c>
      <c r="D180" s="1228" t="s">
        <v>61</v>
      </c>
      <c r="E180" s="1228" t="s">
        <v>1635</v>
      </c>
      <c r="F180" s="1230">
        <v>46184</v>
      </c>
      <c r="G180" s="1230">
        <v>46192</v>
      </c>
      <c r="H180" s="1948"/>
      <c r="I180" s="1950"/>
      <c r="J180" s="1167" t="s">
        <v>29</v>
      </c>
      <c r="K180" s="682"/>
    </row>
    <row r="181" spans="1:11" ht="15" customHeight="1">
      <c r="A181" s="957">
        <v>178</v>
      </c>
      <c r="B181" s="1228" t="s">
        <v>1409</v>
      </c>
      <c r="C181" s="1228" t="s">
        <v>45</v>
      </c>
      <c r="D181" s="1228" t="s">
        <v>61</v>
      </c>
      <c r="E181" s="1228" t="s">
        <v>1854</v>
      </c>
      <c r="F181" s="1230">
        <v>46186</v>
      </c>
      <c r="G181" s="1230">
        <v>46192</v>
      </c>
      <c r="H181" s="1948"/>
      <c r="I181" s="1950"/>
      <c r="J181" s="1167" t="s">
        <v>29</v>
      </c>
      <c r="K181" s="682"/>
    </row>
    <row r="182" spans="1:11" ht="15" customHeight="1">
      <c r="A182" s="957">
        <v>179</v>
      </c>
      <c r="B182" s="1228" t="s">
        <v>1368</v>
      </c>
      <c r="C182" s="1228" t="s">
        <v>34</v>
      </c>
      <c r="D182" s="1228" t="s">
        <v>42</v>
      </c>
      <c r="E182" s="1228" t="s">
        <v>1951</v>
      </c>
      <c r="F182" s="1230">
        <v>46188</v>
      </c>
      <c r="G182" s="1230">
        <v>46192</v>
      </c>
      <c r="H182" s="1948"/>
      <c r="I182" s="1950"/>
      <c r="J182" s="1167" t="s">
        <v>29</v>
      </c>
      <c r="K182" s="682"/>
    </row>
    <row r="183" spans="1:11" ht="15" customHeight="1">
      <c r="A183" s="957">
        <v>180</v>
      </c>
      <c r="B183" s="1228" t="s">
        <v>1388</v>
      </c>
      <c r="C183" s="1228" t="s">
        <v>1175</v>
      </c>
      <c r="D183" s="1228" t="s">
        <v>42</v>
      </c>
      <c r="E183" s="1228" t="s">
        <v>1854</v>
      </c>
      <c r="F183" s="1230">
        <v>46192</v>
      </c>
      <c r="G183" s="1230">
        <v>46193</v>
      </c>
      <c r="H183" s="1948"/>
      <c r="I183" s="1950"/>
      <c r="J183" s="1167" t="s">
        <v>29</v>
      </c>
      <c r="K183" s="682"/>
    </row>
    <row r="184" spans="1:11" ht="15" customHeight="1">
      <c r="A184" s="957">
        <v>181</v>
      </c>
      <c r="B184" s="1228" t="s">
        <v>1399</v>
      </c>
      <c r="C184" s="1228" t="s">
        <v>1425</v>
      </c>
      <c r="D184" s="1228" t="s">
        <v>42</v>
      </c>
      <c r="E184" s="1228" t="s">
        <v>1890</v>
      </c>
      <c r="F184" s="1230">
        <v>46190</v>
      </c>
      <c r="G184" s="1230">
        <v>46193</v>
      </c>
      <c r="H184" s="1948"/>
      <c r="I184" s="1950"/>
      <c r="J184" s="1167" t="s">
        <v>29</v>
      </c>
      <c r="K184" s="682"/>
    </row>
    <row r="185" spans="1:11" ht="15" customHeight="1">
      <c r="A185" s="957">
        <v>182</v>
      </c>
      <c r="B185" s="1228" t="s">
        <v>1183</v>
      </c>
      <c r="C185" s="1228" t="s">
        <v>2065</v>
      </c>
      <c r="D185" s="1228" t="s">
        <v>61</v>
      </c>
      <c r="E185" s="1228" t="s">
        <v>41</v>
      </c>
      <c r="F185" s="1230">
        <v>46189</v>
      </c>
      <c r="G185" s="1230">
        <v>46194</v>
      </c>
      <c r="H185" s="1948"/>
      <c r="I185" s="1950"/>
      <c r="J185" s="1167" t="s">
        <v>29</v>
      </c>
      <c r="K185" s="682"/>
    </row>
    <row r="186" spans="1:11" ht="15" customHeight="1">
      <c r="A186" s="957">
        <v>183</v>
      </c>
      <c r="B186" s="1228" t="s">
        <v>1185</v>
      </c>
      <c r="C186" s="1228" t="s">
        <v>49</v>
      </c>
      <c r="D186" s="1228" t="s">
        <v>42</v>
      </c>
      <c r="E186" s="1228" t="s">
        <v>41</v>
      </c>
      <c r="F186" s="1230">
        <v>46189</v>
      </c>
      <c r="G186" s="1230">
        <v>46196</v>
      </c>
      <c r="H186" s="1948"/>
      <c r="I186" s="1950"/>
      <c r="J186" s="1167" t="s">
        <v>29</v>
      </c>
      <c r="K186" s="682"/>
    </row>
    <row r="187" spans="1:11" ht="15" customHeight="1">
      <c r="A187" s="957">
        <v>184</v>
      </c>
      <c r="B187" s="1228" t="s">
        <v>1250</v>
      </c>
      <c r="C187" s="1228" t="s">
        <v>1907</v>
      </c>
      <c r="D187" s="1228" t="s">
        <v>61</v>
      </c>
      <c r="E187" s="1228" t="s">
        <v>1635</v>
      </c>
      <c r="F187" s="1230">
        <v>46192</v>
      </c>
      <c r="G187" s="1230">
        <v>46196</v>
      </c>
      <c r="H187" s="1948"/>
      <c r="I187" s="1950"/>
      <c r="J187" s="1167" t="s">
        <v>29</v>
      </c>
      <c r="K187" s="682"/>
    </row>
    <row r="188" spans="1:11" ht="15" customHeight="1">
      <c r="A188" s="957">
        <v>185</v>
      </c>
      <c r="B188" s="1228" t="s">
        <v>2159</v>
      </c>
      <c r="C188" s="1228" t="s">
        <v>45</v>
      </c>
      <c r="D188" s="1228" t="s">
        <v>42</v>
      </c>
      <c r="E188" s="1228" t="s">
        <v>1890</v>
      </c>
      <c r="F188" s="1230">
        <v>46193</v>
      </c>
      <c r="G188" s="1230">
        <v>46197</v>
      </c>
      <c r="H188" s="1948"/>
      <c r="I188" s="1950"/>
      <c r="J188" s="1167" t="s">
        <v>29</v>
      </c>
      <c r="K188" s="682"/>
    </row>
    <row r="189" spans="1:11" ht="15" customHeight="1">
      <c r="A189" s="957">
        <v>186</v>
      </c>
      <c r="B189" s="1228" t="s">
        <v>1401</v>
      </c>
      <c r="C189" s="1228" t="s">
        <v>43</v>
      </c>
      <c r="D189" s="1228" t="s">
        <v>31</v>
      </c>
      <c r="E189" s="1228" t="s">
        <v>1890</v>
      </c>
      <c r="F189" s="1230">
        <v>46193</v>
      </c>
      <c r="G189" s="1230">
        <v>46197</v>
      </c>
      <c r="H189" s="1948"/>
      <c r="I189" s="1950"/>
      <c r="J189" s="1167" t="s">
        <v>29</v>
      </c>
      <c r="K189" s="682"/>
    </row>
    <row r="190" spans="1:11" ht="15" customHeight="1">
      <c r="A190" s="957">
        <v>187</v>
      </c>
      <c r="B190" s="1228" t="s">
        <v>1367</v>
      </c>
      <c r="C190" s="1228" t="s">
        <v>32</v>
      </c>
      <c r="D190" s="1228" t="s">
        <v>42</v>
      </c>
      <c r="E190" s="1228" t="s">
        <v>1951</v>
      </c>
      <c r="F190" s="1230">
        <v>46192</v>
      </c>
      <c r="G190" s="1230">
        <v>46198</v>
      </c>
      <c r="H190" s="1948"/>
      <c r="I190" s="1950"/>
      <c r="J190" s="1167" t="s">
        <v>29</v>
      </c>
      <c r="K190" s="682"/>
    </row>
    <row r="191" spans="1:11" ht="15" customHeight="1">
      <c r="A191" s="957">
        <v>188</v>
      </c>
      <c r="B191" s="1228" t="s">
        <v>1406</v>
      </c>
      <c r="C191" s="1228" t="s">
        <v>32</v>
      </c>
      <c r="D191" s="1228" t="s">
        <v>61</v>
      </c>
      <c r="E191" s="1228" t="s">
        <v>1854</v>
      </c>
      <c r="F191" s="1230">
        <v>46193</v>
      </c>
      <c r="G191" s="1230">
        <v>46198</v>
      </c>
      <c r="H191" s="1948"/>
      <c r="I191" s="1950"/>
      <c r="J191" s="1167" t="s">
        <v>29</v>
      </c>
      <c r="K191" s="682"/>
    </row>
    <row r="192" spans="1:11" ht="15" customHeight="1">
      <c r="A192" s="957">
        <v>189</v>
      </c>
      <c r="B192" s="1228" t="s">
        <v>1245</v>
      </c>
      <c r="C192" s="1228" t="s">
        <v>50</v>
      </c>
      <c r="D192" s="1228" t="s">
        <v>61</v>
      </c>
      <c r="E192" s="1228" t="s">
        <v>1635</v>
      </c>
      <c r="F192" s="1230">
        <v>46196</v>
      </c>
      <c r="G192" s="1230">
        <v>46200</v>
      </c>
      <c r="H192" s="1948"/>
      <c r="I192" s="1950"/>
      <c r="J192" s="1167" t="s">
        <v>29</v>
      </c>
      <c r="K192" s="682"/>
    </row>
    <row r="193" spans="1:11" ht="15" customHeight="1">
      <c r="A193" s="957">
        <v>190</v>
      </c>
      <c r="B193" s="1228" t="s">
        <v>1402</v>
      </c>
      <c r="C193" s="1228" t="s">
        <v>32</v>
      </c>
      <c r="D193" s="1228" t="s">
        <v>42</v>
      </c>
      <c r="E193" s="1228" t="s">
        <v>1890</v>
      </c>
      <c r="F193" s="1230">
        <v>46197</v>
      </c>
      <c r="G193" s="1230">
        <v>46200</v>
      </c>
      <c r="H193" s="1948"/>
      <c r="I193" s="1950"/>
      <c r="J193" s="1167" t="s">
        <v>29</v>
      </c>
      <c r="K193" s="682"/>
    </row>
    <row r="194" spans="1:11" ht="15" customHeight="1">
      <c r="A194" s="957">
        <v>191</v>
      </c>
      <c r="B194" s="1228" t="s">
        <v>1274</v>
      </c>
      <c r="C194" s="1228" t="s">
        <v>1925</v>
      </c>
      <c r="D194" s="1228" t="s">
        <v>61</v>
      </c>
      <c r="E194" s="1228" t="s">
        <v>2136</v>
      </c>
      <c r="F194" s="1230">
        <v>46189</v>
      </c>
      <c r="G194" s="1230">
        <v>46201</v>
      </c>
      <c r="H194" s="1948"/>
      <c r="I194" s="1950"/>
      <c r="J194" s="1167" t="s">
        <v>29</v>
      </c>
      <c r="K194" s="682"/>
    </row>
    <row r="195" spans="1:11" ht="15" customHeight="1">
      <c r="A195" s="957">
        <v>192</v>
      </c>
      <c r="B195" s="1228" t="s">
        <v>1272</v>
      </c>
      <c r="C195" s="1228" t="s">
        <v>2135</v>
      </c>
      <c r="D195" s="1228" t="s">
        <v>61</v>
      </c>
      <c r="E195" s="1228" t="s">
        <v>2063</v>
      </c>
      <c r="F195" s="1230">
        <v>46187</v>
      </c>
      <c r="G195" s="1230">
        <v>46203</v>
      </c>
      <c r="H195" s="1948"/>
      <c r="I195" s="1950"/>
      <c r="J195" s="1167" t="s">
        <v>29</v>
      </c>
      <c r="K195" s="682"/>
    </row>
    <row r="196" spans="1:11" ht="15" customHeight="1">
      <c r="A196" s="957">
        <v>193</v>
      </c>
      <c r="B196" s="1228" t="s">
        <v>1403</v>
      </c>
      <c r="C196" s="1228" t="s">
        <v>32</v>
      </c>
      <c r="D196" s="1228" t="s">
        <v>42</v>
      </c>
      <c r="E196" s="1228" t="s">
        <v>1890</v>
      </c>
      <c r="F196" s="1230">
        <f>G193</f>
        <v>46200</v>
      </c>
      <c r="G196" s="1230">
        <v>46203</v>
      </c>
      <c r="H196" s="1948"/>
      <c r="I196" s="1950"/>
      <c r="J196" s="1167" t="s">
        <v>29</v>
      </c>
      <c r="K196" s="682"/>
    </row>
    <row r="197" spans="1:11" ht="15" customHeight="1">
      <c r="A197" s="957">
        <v>194</v>
      </c>
      <c r="B197" s="1228" t="s">
        <v>1405</v>
      </c>
      <c r="C197" s="1228" t="s">
        <v>1181</v>
      </c>
      <c r="D197" s="1228" t="s">
        <v>61</v>
      </c>
      <c r="E197" s="1228" t="s">
        <v>1854</v>
      </c>
      <c r="F197" s="1230">
        <v>46199</v>
      </c>
      <c r="G197" s="1230">
        <v>46203</v>
      </c>
      <c r="H197" s="1948"/>
      <c r="I197" s="1950"/>
      <c r="J197" s="1167" t="s">
        <v>29</v>
      </c>
      <c r="K197" s="682"/>
    </row>
    <row r="198" spans="1:11" ht="15" customHeight="1">
      <c r="A198" s="957">
        <v>195</v>
      </c>
      <c r="B198" s="1228" t="s">
        <v>1244</v>
      </c>
      <c r="C198" s="1228" t="s">
        <v>1928</v>
      </c>
      <c r="D198" s="1228" t="s">
        <v>61</v>
      </c>
      <c r="E198" s="1228" t="s">
        <v>1635</v>
      </c>
      <c r="F198" s="1230">
        <v>46200</v>
      </c>
      <c r="G198" s="1230">
        <v>46203</v>
      </c>
      <c r="H198" s="1948"/>
      <c r="I198" s="1950"/>
      <c r="J198" s="1167" t="s">
        <v>29</v>
      </c>
      <c r="K198" s="682"/>
    </row>
    <row r="199" spans="1:11" ht="15" customHeight="1">
      <c r="A199" s="957">
        <v>196</v>
      </c>
      <c r="B199" s="1228" t="s">
        <v>1267</v>
      </c>
      <c r="C199" s="1228" t="s">
        <v>45</v>
      </c>
      <c r="D199" s="1228" t="s">
        <v>42</v>
      </c>
      <c r="E199" s="1228" t="s">
        <v>41</v>
      </c>
      <c r="F199" s="1230">
        <v>46200</v>
      </c>
      <c r="G199" s="1230">
        <v>46203</v>
      </c>
      <c r="H199" s="1965"/>
      <c r="I199" s="1966"/>
      <c r="J199" s="1167" t="s">
        <v>29</v>
      </c>
      <c r="K199" s="682"/>
    </row>
    <row r="200" spans="1:11" ht="15" customHeight="1">
      <c r="A200" s="1127"/>
      <c r="B200" s="965"/>
      <c r="C200" s="965"/>
      <c r="D200" s="965"/>
      <c r="E200" s="986"/>
      <c r="F200" s="498"/>
      <c r="G200" s="1130"/>
      <c r="H200" s="1128"/>
      <c r="I200" s="1129"/>
      <c r="J200" s="683"/>
      <c r="K200" s="682"/>
    </row>
    <row r="201" spans="1:11" ht="15" customHeight="1">
      <c r="A201" s="1127"/>
      <c r="B201" s="965"/>
      <c r="C201" s="965"/>
      <c r="D201" s="965"/>
      <c r="E201" s="986"/>
      <c r="F201" s="498"/>
      <c r="G201" s="1130"/>
      <c r="H201" s="1128"/>
      <c r="I201" s="1129"/>
      <c r="J201" s="683"/>
      <c r="K201" s="682"/>
    </row>
    <row r="202" spans="1:11" ht="15" customHeight="1">
      <c r="A202" s="1127"/>
      <c r="B202" s="965"/>
      <c r="C202" s="965"/>
      <c r="D202" s="965"/>
      <c r="E202" s="986"/>
      <c r="F202" s="498"/>
      <c r="G202" s="1130"/>
      <c r="H202" s="1128"/>
      <c r="I202" s="1129"/>
      <c r="J202" s="683"/>
      <c r="K202" s="682"/>
    </row>
    <row r="203" spans="1:11" ht="15" customHeight="1">
      <c r="A203" s="1127"/>
      <c r="B203" s="965"/>
      <c r="C203" s="965"/>
      <c r="D203" s="965"/>
      <c r="E203" s="986"/>
      <c r="F203" s="498"/>
      <c r="G203" s="1130"/>
      <c r="H203" s="1128"/>
      <c r="I203" s="1129"/>
      <c r="J203" s="683"/>
      <c r="K203" s="682"/>
    </row>
    <row r="204" spans="1:11" ht="15" customHeight="1">
      <c r="A204" s="1073"/>
      <c r="B204" s="965"/>
      <c r="C204" s="965"/>
      <c r="D204" s="965"/>
      <c r="E204" s="986"/>
      <c r="F204" s="498"/>
      <c r="G204" s="1077"/>
      <c r="H204" s="1075"/>
      <c r="I204" s="1076"/>
      <c r="J204" s="683"/>
      <c r="K204" s="682"/>
    </row>
    <row r="205" spans="1:11" ht="15" customHeight="1">
      <c r="A205" s="1073"/>
      <c r="B205" s="1073"/>
      <c r="C205" s="1073"/>
      <c r="D205" s="1073"/>
      <c r="E205" s="1073"/>
      <c r="F205" s="1073"/>
      <c r="G205" s="1073"/>
      <c r="H205" s="1073"/>
      <c r="I205" s="1073"/>
      <c r="J205" s="1073"/>
      <c r="K205" s="1073"/>
    </row>
    <row r="206" spans="1:11" ht="15" customHeight="1">
      <c r="A206" s="1073"/>
      <c r="B206" s="1073"/>
      <c r="C206" s="1073"/>
      <c r="D206" s="1073"/>
      <c r="E206" s="1073"/>
      <c r="F206" s="1073"/>
      <c r="G206" s="1073"/>
      <c r="H206" s="1073"/>
      <c r="I206" s="1073"/>
      <c r="J206" s="1073"/>
      <c r="K206" s="1073"/>
    </row>
    <row r="207" spans="1:11" ht="18.75">
      <c r="A207" s="1938" t="s">
        <v>86</v>
      </c>
      <c r="B207" s="1939"/>
      <c r="C207" s="1939"/>
      <c r="D207" s="1939"/>
      <c r="E207" s="1939"/>
      <c r="F207" s="1939"/>
      <c r="G207" s="1939"/>
      <c r="H207" s="1939"/>
      <c r="I207" s="1939"/>
      <c r="J207" s="1939"/>
      <c r="K207" s="1940"/>
    </row>
    <row r="208" spans="1:11" ht="26.45" customHeight="1">
      <c r="A208" s="743" t="s">
        <v>25</v>
      </c>
      <c r="B208" s="744" t="s">
        <v>551</v>
      </c>
      <c r="C208" s="743" t="s">
        <v>38</v>
      </c>
      <c r="D208" s="744" t="s">
        <v>37</v>
      </c>
      <c r="E208" s="743" t="s">
        <v>36</v>
      </c>
      <c r="F208" s="743" t="s">
        <v>1657</v>
      </c>
      <c r="G208" s="743" t="s">
        <v>1658</v>
      </c>
      <c r="H208" s="743" t="s">
        <v>1594</v>
      </c>
      <c r="I208" s="743" t="s">
        <v>1659</v>
      </c>
      <c r="J208" s="743" t="s">
        <v>35</v>
      </c>
      <c r="K208" s="743" t="s">
        <v>2</v>
      </c>
    </row>
    <row r="209" spans="1:11" ht="18" customHeight="1">
      <c r="A209" s="687"/>
      <c r="B209" s="687"/>
      <c r="C209" s="687"/>
      <c r="D209" s="687"/>
      <c r="E209" s="687"/>
      <c r="F209" s="687"/>
      <c r="G209" s="687"/>
      <c r="H209" s="687"/>
      <c r="I209" s="687"/>
      <c r="J209" s="687">
        <f>COUNTIF(J210:J234,"Completed")</f>
        <v>25</v>
      </c>
      <c r="K209" s="687"/>
    </row>
    <row r="210" spans="1:11" ht="15.75" customHeight="1">
      <c r="A210" s="680">
        <v>1</v>
      </c>
      <c r="B210" s="680" t="s">
        <v>198</v>
      </c>
      <c r="C210" s="680" t="s">
        <v>34</v>
      </c>
      <c r="D210" s="680" t="s">
        <v>31</v>
      </c>
      <c r="E210" s="1229" t="s">
        <v>30</v>
      </c>
      <c r="F210" s="685">
        <v>45909</v>
      </c>
      <c r="G210" s="685">
        <v>45918</v>
      </c>
      <c r="H210" s="1941" t="s">
        <v>1596</v>
      </c>
      <c r="I210" s="1941">
        <v>2</v>
      </c>
      <c r="J210" s="686" t="s">
        <v>33</v>
      </c>
      <c r="K210" s="685"/>
    </row>
    <row r="211" spans="1:11" ht="15.75" customHeight="1">
      <c r="A211" s="680">
        <v>2</v>
      </c>
      <c r="B211" s="680" t="s">
        <v>186</v>
      </c>
      <c r="C211" s="680" t="s">
        <v>32</v>
      </c>
      <c r="D211" s="680" t="s">
        <v>31</v>
      </c>
      <c r="E211" s="1229" t="s">
        <v>30</v>
      </c>
      <c r="F211" s="685">
        <v>45918</v>
      </c>
      <c r="G211" s="685">
        <v>45923</v>
      </c>
      <c r="H211" s="1942"/>
      <c r="I211" s="1942"/>
      <c r="J211" s="686" t="s">
        <v>29</v>
      </c>
      <c r="K211" s="685"/>
    </row>
    <row r="212" spans="1:11" ht="18" customHeight="1">
      <c r="A212" s="680">
        <v>3</v>
      </c>
      <c r="B212" s="680" t="s">
        <v>602</v>
      </c>
      <c r="C212" s="680" t="s">
        <v>603</v>
      </c>
      <c r="D212" s="680" t="s">
        <v>31</v>
      </c>
      <c r="E212" s="1229" t="s">
        <v>30</v>
      </c>
      <c r="F212" s="685">
        <v>45968</v>
      </c>
      <c r="G212" s="685">
        <v>45972</v>
      </c>
      <c r="H212" s="1941" t="s">
        <v>1597</v>
      </c>
      <c r="I212" s="1941">
        <v>5</v>
      </c>
      <c r="J212" s="686" t="s">
        <v>29</v>
      </c>
      <c r="K212" s="685"/>
    </row>
    <row r="213" spans="1:11" ht="18" customHeight="1">
      <c r="A213" s="680">
        <v>4</v>
      </c>
      <c r="B213" s="680" t="s">
        <v>64</v>
      </c>
      <c r="C213" s="680" t="s">
        <v>586</v>
      </c>
      <c r="D213" s="680" t="s">
        <v>31</v>
      </c>
      <c r="E213" s="1229" t="s">
        <v>30</v>
      </c>
      <c r="F213" s="685">
        <v>45970</v>
      </c>
      <c r="G213" s="685">
        <v>45977</v>
      </c>
      <c r="H213" s="1958"/>
      <c r="I213" s="1958"/>
      <c r="J213" s="686" t="s">
        <v>29</v>
      </c>
      <c r="K213" s="685"/>
    </row>
    <row r="214" spans="1:11" ht="18" customHeight="1">
      <c r="A214" s="680">
        <v>5</v>
      </c>
      <c r="B214" s="680" t="s">
        <v>598</v>
      </c>
      <c r="C214" s="680" t="s">
        <v>582</v>
      </c>
      <c r="D214" s="680" t="s">
        <v>31</v>
      </c>
      <c r="E214" s="1229" t="s">
        <v>30</v>
      </c>
      <c r="F214" s="685">
        <v>45977</v>
      </c>
      <c r="G214" s="685">
        <v>45981</v>
      </c>
      <c r="H214" s="1958"/>
      <c r="I214" s="1958"/>
      <c r="J214" s="686" t="s">
        <v>29</v>
      </c>
      <c r="K214" s="685"/>
    </row>
    <row r="215" spans="1:11" ht="18" customHeight="1">
      <c r="A215" s="680">
        <v>6</v>
      </c>
      <c r="B215" s="680" t="s">
        <v>621</v>
      </c>
      <c r="C215" s="680" t="s">
        <v>582</v>
      </c>
      <c r="D215" s="680" t="s">
        <v>42</v>
      </c>
      <c r="E215" s="1229" t="s">
        <v>30</v>
      </c>
      <c r="F215" s="685">
        <v>45977</v>
      </c>
      <c r="G215" s="685">
        <v>45985</v>
      </c>
      <c r="H215" s="1958"/>
      <c r="I215" s="1958"/>
      <c r="J215" s="686" t="s">
        <v>29</v>
      </c>
      <c r="K215" s="685"/>
    </row>
    <row r="216" spans="1:11" ht="18" customHeight="1">
      <c r="A216" s="680">
        <v>7</v>
      </c>
      <c r="B216" s="680" t="s">
        <v>66</v>
      </c>
      <c r="C216" s="680" t="s">
        <v>586</v>
      </c>
      <c r="D216" s="680" t="s">
        <v>42</v>
      </c>
      <c r="E216" s="1229" t="s">
        <v>30</v>
      </c>
      <c r="F216" s="685">
        <v>45985</v>
      </c>
      <c r="G216" s="685">
        <v>45991</v>
      </c>
      <c r="H216" s="1958"/>
      <c r="I216" s="1958"/>
      <c r="J216" s="686" t="s">
        <v>29</v>
      </c>
      <c r="K216" s="685"/>
    </row>
    <row r="217" spans="1:11" ht="18" customHeight="1">
      <c r="A217" s="680">
        <v>8</v>
      </c>
      <c r="B217" s="680" t="s">
        <v>616</v>
      </c>
      <c r="C217" s="680" t="s">
        <v>582</v>
      </c>
      <c r="D217" s="680" t="s">
        <v>42</v>
      </c>
      <c r="E217" s="1229" t="s">
        <v>30</v>
      </c>
      <c r="F217" s="685">
        <v>45992</v>
      </c>
      <c r="G217" s="685">
        <v>45994</v>
      </c>
      <c r="H217" s="1946" t="s">
        <v>1595</v>
      </c>
      <c r="I217" s="1946">
        <v>5</v>
      </c>
      <c r="J217" s="688" t="s">
        <v>29</v>
      </c>
      <c r="K217" s="685"/>
    </row>
    <row r="218" spans="1:11" ht="18" customHeight="1">
      <c r="A218" s="680">
        <v>9</v>
      </c>
      <c r="B218" s="680" t="s">
        <v>230</v>
      </c>
      <c r="C218" s="680" t="s">
        <v>582</v>
      </c>
      <c r="D218" s="680" t="s">
        <v>42</v>
      </c>
      <c r="E218" s="1229" t="s">
        <v>30</v>
      </c>
      <c r="F218" s="685">
        <f>G217</f>
        <v>45994</v>
      </c>
      <c r="G218" s="685">
        <v>45998</v>
      </c>
      <c r="H218" s="1946"/>
      <c r="I218" s="1946"/>
      <c r="J218" s="688" t="s">
        <v>29</v>
      </c>
      <c r="K218" s="685"/>
    </row>
    <row r="219" spans="1:11" ht="18" customHeight="1">
      <c r="A219" s="680">
        <v>10</v>
      </c>
      <c r="B219" s="680" t="s">
        <v>234</v>
      </c>
      <c r="C219" s="680" t="s">
        <v>32</v>
      </c>
      <c r="D219" s="680" t="s">
        <v>42</v>
      </c>
      <c r="E219" s="1229" t="s">
        <v>30</v>
      </c>
      <c r="F219" s="685">
        <f>G218</f>
        <v>45998</v>
      </c>
      <c r="G219" s="685">
        <v>46002</v>
      </c>
      <c r="H219" s="1946"/>
      <c r="I219" s="1946"/>
      <c r="J219" s="688" t="s">
        <v>29</v>
      </c>
      <c r="K219" s="685"/>
    </row>
    <row r="220" spans="1:11" ht="18" customHeight="1">
      <c r="A220" s="680">
        <v>11</v>
      </c>
      <c r="B220" s="680" t="s">
        <v>637</v>
      </c>
      <c r="C220" s="680" t="s">
        <v>591</v>
      </c>
      <c r="D220" s="680" t="s">
        <v>42</v>
      </c>
      <c r="E220" s="1229" t="s">
        <v>30</v>
      </c>
      <c r="F220" s="685">
        <f>G219</f>
        <v>46002</v>
      </c>
      <c r="G220" s="685">
        <v>46006</v>
      </c>
      <c r="H220" s="1946"/>
      <c r="I220" s="1946"/>
      <c r="J220" s="688" t="s">
        <v>29</v>
      </c>
      <c r="K220" s="685"/>
    </row>
    <row r="221" spans="1:11" ht="18" customHeight="1">
      <c r="A221" s="680">
        <v>12</v>
      </c>
      <c r="B221" s="680" t="s">
        <v>239</v>
      </c>
      <c r="C221" s="680" t="s">
        <v>591</v>
      </c>
      <c r="D221" s="680" t="s">
        <v>42</v>
      </c>
      <c r="E221" s="1229" t="s">
        <v>30</v>
      </c>
      <c r="F221" s="685">
        <f>G220</f>
        <v>46006</v>
      </c>
      <c r="G221" s="685">
        <v>46015</v>
      </c>
      <c r="H221" s="1957"/>
      <c r="I221" s="1957"/>
      <c r="J221" s="958" t="s">
        <v>29</v>
      </c>
      <c r="K221" s="689"/>
    </row>
    <row r="222" spans="1:11" ht="18" customHeight="1">
      <c r="A222" s="680">
        <v>13</v>
      </c>
      <c r="B222" s="680" t="s">
        <v>213</v>
      </c>
      <c r="C222" s="680" t="s">
        <v>57</v>
      </c>
      <c r="D222" s="680" t="s">
        <v>42</v>
      </c>
      <c r="E222" s="1229" t="s">
        <v>30</v>
      </c>
      <c r="F222" s="685">
        <v>46125</v>
      </c>
      <c r="G222" s="685">
        <v>46137</v>
      </c>
      <c r="H222" s="1955">
        <v>46113</v>
      </c>
      <c r="I222" s="1946">
        <v>3</v>
      </c>
      <c r="J222" s="683" t="s">
        <v>29</v>
      </c>
      <c r="K222" s="689"/>
    </row>
    <row r="223" spans="1:11" ht="18" customHeight="1">
      <c r="A223" s="680">
        <v>14</v>
      </c>
      <c r="B223" s="680" t="s">
        <v>65</v>
      </c>
      <c r="C223" s="680" t="s">
        <v>573</v>
      </c>
      <c r="D223" s="680" t="s">
        <v>31</v>
      </c>
      <c r="E223" s="1229" t="s">
        <v>30</v>
      </c>
      <c r="F223" s="685">
        <f>G222</f>
        <v>46137</v>
      </c>
      <c r="G223" s="685">
        <v>46142</v>
      </c>
      <c r="H223" s="1955"/>
      <c r="I223" s="1946"/>
      <c r="J223" s="683" t="s">
        <v>29</v>
      </c>
      <c r="K223" s="1077"/>
    </row>
    <row r="224" spans="1:11" ht="18" customHeight="1">
      <c r="A224" s="680">
        <v>15</v>
      </c>
      <c r="B224" s="680" t="s">
        <v>224</v>
      </c>
      <c r="C224" s="680" t="s">
        <v>573</v>
      </c>
      <c r="D224" s="680" t="s">
        <v>42</v>
      </c>
      <c r="E224" s="1077" t="s">
        <v>2039</v>
      </c>
      <c r="F224" s="685">
        <v>46132</v>
      </c>
      <c r="G224" s="685">
        <v>46142</v>
      </c>
      <c r="H224" s="1955"/>
      <c r="I224" s="1946"/>
      <c r="J224" s="683" t="s">
        <v>29</v>
      </c>
      <c r="K224" s="1077"/>
    </row>
    <row r="225" spans="1:11" ht="18" customHeight="1">
      <c r="A225" s="680">
        <v>16</v>
      </c>
      <c r="B225" s="680" t="s">
        <v>152</v>
      </c>
      <c r="C225" s="680" t="s">
        <v>658</v>
      </c>
      <c r="D225" s="680" t="s">
        <v>42</v>
      </c>
      <c r="E225" s="1158" t="s">
        <v>30</v>
      </c>
      <c r="F225" s="685">
        <v>46140</v>
      </c>
      <c r="G225" s="685">
        <v>46148</v>
      </c>
      <c r="H225" s="1957" t="s">
        <v>2129</v>
      </c>
      <c r="I225" s="1957">
        <v>6</v>
      </c>
      <c r="J225" s="683" t="s">
        <v>29</v>
      </c>
      <c r="K225" s="1158"/>
    </row>
    <row r="226" spans="1:11" ht="18" customHeight="1">
      <c r="A226" s="680">
        <v>17</v>
      </c>
      <c r="B226" s="680" t="s">
        <v>68</v>
      </c>
      <c r="C226" s="680" t="s">
        <v>1426</v>
      </c>
      <c r="D226" s="680" t="s">
        <v>61</v>
      </c>
      <c r="E226" s="1158" t="s">
        <v>30</v>
      </c>
      <c r="F226" s="685">
        <v>46148</v>
      </c>
      <c r="G226" s="685">
        <v>46155</v>
      </c>
      <c r="H226" s="1970"/>
      <c r="I226" s="1970"/>
      <c r="J226" s="683" t="s">
        <v>29</v>
      </c>
      <c r="K226" s="1158"/>
    </row>
    <row r="227" spans="1:11" ht="18" customHeight="1">
      <c r="A227" s="680">
        <v>18</v>
      </c>
      <c r="B227" s="680" t="s">
        <v>56</v>
      </c>
      <c r="C227" s="680" t="s">
        <v>1427</v>
      </c>
      <c r="D227" s="680" t="s">
        <v>42</v>
      </c>
      <c r="E227" s="1158" t="s">
        <v>30</v>
      </c>
      <c r="F227" s="685">
        <f>G225+10</f>
        <v>46158</v>
      </c>
      <c r="G227" s="685">
        <v>46165</v>
      </c>
      <c r="H227" s="1970"/>
      <c r="I227" s="1970"/>
      <c r="J227" s="683" t="s">
        <v>29</v>
      </c>
      <c r="K227" s="1158"/>
    </row>
    <row r="228" spans="1:11" ht="18" customHeight="1">
      <c r="A228" s="680">
        <v>19</v>
      </c>
      <c r="B228" s="680" t="s">
        <v>147</v>
      </c>
      <c r="C228" s="680" t="s">
        <v>1583</v>
      </c>
      <c r="D228" s="680" t="s">
        <v>61</v>
      </c>
      <c r="E228" s="1158" t="s">
        <v>30</v>
      </c>
      <c r="F228" s="685">
        <v>46156</v>
      </c>
      <c r="G228" s="685">
        <v>46170</v>
      </c>
      <c r="H228" s="1970"/>
      <c r="I228" s="1970"/>
      <c r="J228" s="683" t="s">
        <v>29</v>
      </c>
      <c r="K228" s="1158"/>
    </row>
    <row r="229" spans="1:11" ht="18" customHeight="1">
      <c r="A229" s="680">
        <v>20</v>
      </c>
      <c r="B229" s="680" t="s">
        <v>141</v>
      </c>
      <c r="C229" s="680" t="s">
        <v>1583</v>
      </c>
      <c r="D229" s="680" t="s">
        <v>61</v>
      </c>
      <c r="E229" s="1158" t="s">
        <v>30</v>
      </c>
      <c r="F229" s="685">
        <v>46167</v>
      </c>
      <c r="G229" s="685">
        <v>46173</v>
      </c>
      <c r="H229" s="1970"/>
      <c r="I229" s="1970"/>
      <c r="J229" s="683" t="s">
        <v>29</v>
      </c>
      <c r="K229" s="1158"/>
    </row>
    <row r="230" spans="1:11" ht="18" customHeight="1">
      <c r="A230" s="680">
        <v>21</v>
      </c>
      <c r="B230" s="680" t="s">
        <v>181</v>
      </c>
      <c r="C230" s="680" t="s">
        <v>53</v>
      </c>
      <c r="D230" s="680" t="s">
        <v>42</v>
      </c>
      <c r="E230" s="1158" t="s">
        <v>30</v>
      </c>
      <c r="F230" s="685">
        <v>46168</v>
      </c>
      <c r="G230" s="685">
        <v>46173</v>
      </c>
      <c r="H230" s="1971"/>
      <c r="I230" s="1971"/>
      <c r="J230" s="683" t="s">
        <v>29</v>
      </c>
      <c r="K230" s="1229"/>
    </row>
    <row r="231" spans="1:11" ht="18" customHeight="1">
      <c r="A231" s="680">
        <v>22</v>
      </c>
      <c r="B231" s="680" t="s">
        <v>58</v>
      </c>
      <c r="C231" s="680" t="s">
        <v>671</v>
      </c>
      <c r="D231" s="680" t="s">
        <v>61</v>
      </c>
      <c r="E231" s="1229" t="s">
        <v>30</v>
      </c>
      <c r="F231" s="685">
        <v>46178</v>
      </c>
      <c r="G231" s="685">
        <v>46192</v>
      </c>
      <c r="H231" s="1955" t="s">
        <v>2172</v>
      </c>
      <c r="I231" s="1946">
        <v>4</v>
      </c>
      <c r="J231" s="683" t="s">
        <v>29</v>
      </c>
      <c r="K231" s="1229"/>
    </row>
    <row r="232" spans="1:11" ht="18" customHeight="1">
      <c r="A232" s="680">
        <v>23</v>
      </c>
      <c r="B232" s="680" t="s">
        <v>59</v>
      </c>
      <c r="C232" s="680" t="s">
        <v>586</v>
      </c>
      <c r="D232" s="680" t="s">
        <v>61</v>
      </c>
      <c r="E232" s="1229" t="s">
        <v>30</v>
      </c>
      <c r="F232" s="685">
        <v>46192</v>
      </c>
      <c r="G232" s="685">
        <v>46195</v>
      </c>
      <c r="H232" s="1955"/>
      <c r="I232" s="1946"/>
      <c r="J232" s="683" t="s">
        <v>29</v>
      </c>
      <c r="K232" s="1229"/>
    </row>
    <row r="233" spans="1:11" ht="18" customHeight="1">
      <c r="A233" s="680">
        <v>24</v>
      </c>
      <c r="B233" s="680" t="s">
        <v>55</v>
      </c>
      <c r="C233" s="680" t="s">
        <v>50</v>
      </c>
      <c r="D233" s="680" t="s">
        <v>61</v>
      </c>
      <c r="E233" s="1229" t="s">
        <v>30</v>
      </c>
      <c r="F233" s="685">
        <f>G232</f>
        <v>46195</v>
      </c>
      <c r="G233" s="685">
        <v>46199</v>
      </c>
      <c r="H233" s="1955"/>
      <c r="I233" s="1946"/>
      <c r="J233" s="683" t="s">
        <v>29</v>
      </c>
      <c r="K233" s="1229"/>
    </row>
    <row r="234" spans="1:11" ht="18" customHeight="1">
      <c r="A234" s="680">
        <v>25</v>
      </c>
      <c r="B234" s="680" t="s">
        <v>60</v>
      </c>
      <c r="C234" s="680" t="s">
        <v>2166</v>
      </c>
      <c r="D234" s="680" t="s">
        <v>61</v>
      </c>
      <c r="E234" s="1229" t="s">
        <v>30</v>
      </c>
      <c r="F234" s="685">
        <f>G233</f>
        <v>46199</v>
      </c>
      <c r="G234" s="685">
        <v>46203</v>
      </c>
      <c r="H234" s="1955"/>
      <c r="I234" s="1946"/>
      <c r="J234" s="683" t="s">
        <v>29</v>
      </c>
      <c r="K234" s="1229"/>
    </row>
    <row r="235" spans="1:11" ht="18" customHeight="1">
      <c r="A235" s="1162"/>
      <c r="B235" s="1162"/>
      <c r="C235" s="1163"/>
      <c r="D235" s="1162"/>
      <c r="E235" s="1164"/>
      <c r="F235" s="1164"/>
      <c r="G235" s="1164"/>
      <c r="H235" s="1165"/>
      <c r="I235" s="1162"/>
      <c r="J235" s="1166"/>
      <c r="K235" s="1164"/>
    </row>
    <row r="236" spans="1:11" ht="18" customHeight="1">
      <c r="A236" s="1162"/>
      <c r="B236" s="1162"/>
      <c r="C236" s="1163"/>
      <c r="D236" s="1162"/>
      <c r="E236" s="1164"/>
      <c r="F236" s="1164"/>
      <c r="G236" s="1164"/>
      <c r="H236" s="1165"/>
      <c r="I236" s="1162"/>
      <c r="J236" s="1166"/>
      <c r="K236" s="1164"/>
    </row>
    <row r="237" spans="1:11" ht="18.75" customHeight="1">
      <c r="A237" s="1956" t="s">
        <v>1026</v>
      </c>
      <c r="B237" s="1956"/>
      <c r="C237" s="1956"/>
      <c r="D237" s="1956"/>
      <c r="E237" s="1956"/>
      <c r="F237" s="1956"/>
      <c r="G237" s="1956"/>
      <c r="H237" s="1956"/>
      <c r="I237" s="1956"/>
      <c r="J237" s="1956"/>
      <c r="K237" s="1956"/>
    </row>
    <row r="238" spans="1:11" ht="30">
      <c r="A238" s="743" t="s">
        <v>25</v>
      </c>
      <c r="B238" s="744" t="s">
        <v>551</v>
      </c>
      <c r="C238" s="743" t="s">
        <v>38</v>
      </c>
      <c r="D238" s="744" t="s">
        <v>37</v>
      </c>
      <c r="E238" s="743" t="s">
        <v>36</v>
      </c>
      <c r="F238" s="743" t="s">
        <v>1657</v>
      </c>
      <c r="G238" s="743" t="s">
        <v>1658</v>
      </c>
      <c r="H238" s="743" t="s">
        <v>1594</v>
      </c>
      <c r="I238" s="743" t="s">
        <v>1659</v>
      </c>
      <c r="J238" s="743" t="s">
        <v>35</v>
      </c>
      <c r="K238" s="743" t="s">
        <v>2</v>
      </c>
    </row>
    <row r="239" spans="1:11" ht="18" customHeight="1">
      <c r="A239" s="821"/>
      <c r="B239" s="815"/>
      <c r="C239" s="815"/>
      <c r="D239" s="822"/>
      <c r="E239" s="822"/>
      <c r="F239" s="823"/>
      <c r="G239" s="824"/>
      <c r="H239" s="824"/>
      <c r="I239" s="824"/>
      <c r="J239" s="825">
        <f>COUNTIF(J240:J319,"Completed")</f>
        <v>80</v>
      </c>
      <c r="K239" s="826"/>
    </row>
    <row r="240" spans="1:11" ht="18" customHeight="1">
      <c r="A240" s="953">
        <v>1</v>
      </c>
      <c r="B240" s="953" t="s">
        <v>436</v>
      </c>
      <c r="C240" s="953" t="s">
        <v>437</v>
      </c>
      <c r="D240" s="954" t="s">
        <v>42</v>
      </c>
      <c r="E240" s="954" t="s">
        <v>30</v>
      </c>
      <c r="F240" s="954">
        <v>45965</v>
      </c>
      <c r="G240" s="954">
        <v>45991</v>
      </c>
      <c r="H240" s="953" t="s">
        <v>1597</v>
      </c>
      <c r="I240" s="953">
        <v>1</v>
      </c>
      <c r="J240" s="683" t="s">
        <v>29</v>
      </c>
      <c r="K240" s="954" t="s">
        <v>554</v>
      </c>
    </row>
    <row r="241" spans="1:11" ht="18" customHeight="1">
      <c r="A241" s="953">
        <v>2</v>
      </c>
      <c r="B241" s="953" t="s">
        <v>443</v>
      </c>
      <c r="C241" s="953" t="s">
        <v>133</v>
      </c>
      <c r="D241" s="954" t="s">
        <v>42</v>
      </c>
      <c r="E241" s="954" t="s">
        <v>1070</v>
      </c>
      <c r="F241" s="954">
        <v>45992</v>
      </c>
      <c r="G241" s="954">
        <v>46003</v>
      </c>
      <c r="H241" s="1955" t="s">
        <v>1595</v>
      </c>
      <c r="I241" s="1946">
        <v>9</v>
      </c>
      <c r="J241" s="683" t="s">
        <v>29</v>
      </c>
      <c r="K241" s="954" t="s">
        <v>554</v>
      </c>
    </row>
    <row r="242" spans="1:11" ht="18" customHeight="1">
      <c r="A242" s="953">
        <v>3</v>
      </c>
      <c r="B242" s="953" t="s">
        <v>300</v>
      </c>
      <c r="C242" s="953" t="s">
        <v>301</v>
      </c>
      <c r="D242" s="954" t="s">
        <v>42</v>
      </c>
      <c r="E242" s="954" t="s">
        <v>1186</v>
      </c>
      <c r="F242" s="954">
        <v>45995</v>
      </c>
      <c r="G242" s="954">
        <v>46003</v>
      </c>
      <c r="H242" s="1955"/>
      <c r="I242" s="1946"/>
      <c r="J242" s="683" t="s">
        <v>29</v>
      </c>
      <c r="K242" s="954" t="s">
        <v>554</v>
      </c>
    </row>
    <row r="243" spans="1:11" ht="18" customHeight="1">
      <c r="A243" s="953">
        <v>4</v>
      </c>
      <c r="B243" s="827" t="s">
        <v>411</v>
      </c>
      <c r="C243" s="953" t="s">
        <v>153</v>
      </c>
      <c r="D243" s="954" t="s">
        <v>42</v>
      </c>
      <c r="E243" s="954" t="s">
        <v>1070</v>
      </c>
      <c r="F243" s="954">
        <v>46001</v>
      </c>
      <c r="G243" s="954">
        <v>46006</v>
      </c>
      <c r="H243" s="1955"/>
      <c r="I243" s="1946"/>
      <c r="J243" s="683" t="s">
        <v>29</v>
      </c>
      <c r="K243" s="954" t="s">
        <v>554</v>
      </c>
    </row>
    <row r="244" spans="1:11" ht="18" customHeight="1">
      <c r="A244" s="953">
        <v>5</v>
      </c>
      <c r="B244" s="953" t="s">
        <v>314</v>
      </c>
      <c r="C244" s="953" t="s">
        <v>153</v>
      </c>
      <c r="D244" s="954" t="s">
        <v>42</v>
      </c>
      <c r="E244" s="954" t="s">
        <v>1186</v>
      </c>
      <c r="F244" s="954">
        <f>G242</f>
        <v>46003</v>
      </c>
      <c r="G244" s="954">
        <v>46008</v>
      </c>
      <c r="H244" s="1955"/>
      <c r="I244" s="1946"/>
      <c r="J244" s="683" t="s">
        <v>29</v>
      </c>
      <c r="K244" s="954" t="s">
        <v>554</v>
      </c>
    </row>
    <row r="245" spans="1:11" ht="18" customHeight="1">
      <c r="A245" s="953">
        <v>6</v>
      </c>
      <c r="B245" s="953" t="s">
        <v>430</v>
      </c>
      <c r="C245" s="953" t="s">
        <v>301</v>
      </c>
      <c r="D245" s="954" t="s">
        <v>42</v>
      </c>
      <c r="E245" s="954" t="s">
        <v>1070</v>
      </c>
      <c r="F245" s="954">
        <f>G242</f>
        <v>46003</v>
      </c>
      <c r="G245" s="954">
        <v>46010</v>
      </c>
      <c r="H245" s="1955"/>
      <c r="I245" s="1946"/>
      <c r="J245" s="683" t="s">
        <v>29</v>
      </c>
      <c r="K245" s="954" t="s">
        <v>554</v>
      </c>
    </row>
    <row r="246" spans="1:11" ht="18" customHeight="1">
      <c r="A246" s="953">
        <v>7</v>
      </c>
      <c r="B246" s="953" t="s">
        <v>322</v>
      </c>
      <c r="C246" s="953" t="s">
        <v>153</v>
      </c>
      <c r="D246" s="954" t="s">
        <v>42</v>
      </c>
      <c r="E246" s="954" t="s">
        <v>1073</v>
      </c>
      <c r="F246" s="954">
        <v>46007</v>
      </c>
      <c r="G246" s="954">
        <v>46014</v>
      </c>
      <c r="H246" s="1955"/>
      <c r="I246" s="1946"/>
      <c r="J246" s="683" t="s">
        <v>29</v>
      </c>
      <c r="K246" s="954" t="s">
        <v>554</v>
      </c>
    </row>
    <row r="247" spans="1:11" ht="18" customHeight="1">
      <c r="A247" s="953">
        <v>8</v>
      </c>
      <c r="B247" s="828" t="s">
        <v>310</v>
      </c>
      <c r="C247" s="953" t="s">
        <v>34</v>
      </c>
      <c r="D247" s="954" t="s">
        <v>42</v>
      </c>
      <c r="E247" s="954" t="s">
        <v>30</v>
      </c>
      <c r="F247" s="954">
        <v>46014</v>
      </c>
      <c r="G247" s="954">
        <v>46019</v>
      </c>
      <c r="H247" s="1955"/>
      <c r="I247" s="1946"/>
      <c r="J247" s="683" t="s">
        <v>29</v>
      </c>
      <c r="K247" s="954" t="s">
        <v>554</v>
      </c>
    </row>
    <row r="248" spans="1:11" ht="18" customHeight="1">
      <c r="A248" s="953">
        <v>9</v>
      </c>
      <c r="B248" s="953" t="s">
        <v>416</v>
      </c>
      <c r="C248" s="953" t="s">
        <v>50</v>
      </c>
      <c r="D248" s="954" t="s">
        <v>42</v>
      </c>
      <c r="E248" s="954" t="s">
        <v>30</v>
      </c>
      <c r="F248" s="954">
        <v>46007</v>
      </c>
      <c r="G248" s="954">
        <v>45650</v>
      </c>
      <c r="H248" s="1955"/>
      <c r="I248" s="1946"/>
      <c r="J248" s="683" t="s">
        <v>29</v>
      </c>
      <c r="K248" s="954" t="s">
        <v>554</v>
      </c>
    </row>
    <row r="249" spans="1:11" ht="18" customHeight="1">
      <c r="A249" s="953">
        <v>10</v>
      </c>
      <c r="B249" s="953" t="s">
        <v>72</v>
      </c>
      <c r="C249" s="953" t="s">
        <v>39</v>
      </c>
      <c r="D249" s="954" t="s">
        <v>61</v>
      </c>
      <c r="E249" s="954" t="s">
        <v>30</v>
      </c>
      <c r="F249" s="954">
        <v>46011</v>
      </c>
      <c r="G249" s="954">
        <v>46021</v>
      </c>
      <c r="H249" s="1955"/>
      <c r="I249" s="1946"/>
      <c r="J249" s="683" t="s">
        <v>29</v>
      </c>
      <c r="K249" s="954" t="s">
        <v>554</v>
      </c>
    </row>
    <row r="250" spans="1:11" ht="18" customHeight="1">
      <c r="A250" s="692">
        <v>11</v>
      </c>
      <c r="B250" s="953" t="s">
        <v>421</v>
      </c>
      <c r="C250" s="953" t="s">
        <v>34</v>
      </c>
      <c r="D250" s="954" t="s">
        <v>42</v>
      </c>
      <c r="E250" s="954" t="s">
        <v>30</v>
      </c>
      <c r="F250" s="954">
        <v>46020</v>
      </c>
      <c r="G250" s="954">
        <v>46027</v>
      </c>
      <c r="H250" s="1946" t="s">
        <v>1633</v>
      </c>
      <c r="I250" s="1946">
        <v>15</v>
      </c>
      <c r="J250" s="683" t="s">
        <v>29</v>
      </c>
      <c r="K250" s="954" t="s">
        <v>554</v>
      </c>
    </row>
    <row r="251" spans="1:11" ht="18" customHeight="1">
      <c r="A251" s="692">
        <v>12</v>
      </c>
      <c r="B251" s="828" t="s">
        <v>46</v>
      </c>
      <c r="C251" s="953" t="s">
        <v>1175</v>
      </c>
      <c r="D251" s="954" t="s">
        <v>42</v>
      </c>
      <c r="E251" s="954" t="s">
        <v>1186</v>
      </c>
      <c r="F251" s="954">
        <v>46018</v>
      </c>
      <c r="G251" s="954">
        <v>46027</v>
      </c>
      <c r="H251" s="1946"/>
      <c r="I251" s="1946"/>
      <c r="J251" s="683" t="s">
        <v>29</v>
      </c>
      <c r="K251" s="954" t="s">
        <v>554</v>
      </c>
    </row>
    <row r="252" spans="1:11" ht="18" customHeight="1">
      <c r="A252" s="692">
        <v>13</v>
      </c>
      <c r="B252" s="953" t="s">
        <v>71</v>
      </c>
      <c r="C252" s="953" t="s">
        <v>1181</v>
      </c>
      <c r="D252" s="954" t="s">
        <v>42</v>
      </c>
      <c r="E252" s="954" t="s">
        <v>30</v>
      </c>
      <c r="F252" s="954">
        <v>46018</v>
      </c>
      <c r="G252" s="954">
        <v>46028</v>
      </c>
      <c r="H252" s="1946"/>
      <c r="I252" s="1946"/>
      <c r="J252" s="683" t="s">
        <v>29</v>
      </c>
      <c r="K252" s="954" t="s">
        <v>554</v>
      </c>
    </row>
    <row r="253" spans="1:11" ht="18" customHeight="1">
      <c r="A253" s="692">
        <v>14</v>
      </c>
      <c r="B253" s="953" t="s">
        <v>296</v>
      </c>
      <c r="C253" s="953" t="s">
        <v>32</v>
      </c>
      <c r="D253" s="954" t="s">
        <v>42</v>
      </c>
      <c r="E253" s="954" t="s">
        <v>1636</v>
      </c>
      <c r="F253" s="954">
        <v>46027</v>
      </c>
      <c r="G253" s="954">
        <v>46032</v>
      </c>
      <c r="H253" s="1946"/>
      <c r="I253" s="1946"/>
      <c r="J253" s="683" t="s">
        <v>29</v>
      </c>
      <c r="K253" s="954" t="s">
        <v>554</v>
      </c>
    </row>
    <row r="254" spans="1:11" ht="18" customHeight="1">
      <c r="A254" s="692">
        <v>15</v>
      </c>
      <c r="B254" s="828" t="s">
        <v>452</v>
      </c>
      <c r="C254" s="953" t="s">
        <v>48</v>
      </c>
      <c r="D254" s="954" t="s">
        <v>61</v>
      </c>
      <c r="E254" s="954" t="s">
        <v>30</v>
      </c>
      <c r="F254" s="954">
        <v>46028</v>
      </c>
      <c r="G254" s="954">
        <v>46034</v>
      </c>
      <c r="H254" s="1946"/>
      <c r="I254" s="1946"/>
      <c r="J254" s="683" t="s">
        <v>29</v>
      </c>
      <c r="K254" s="954" t="s">
        <v>554</v>
      </c>
    </row>
    <row r="255" spans="1:11" ht="18" customHeight="1">
      <c r="A255" s="692">
        <v>16</v>
      </c>
      <c r="B255" s="953" t="s">
        <v>234</v>
      </c>
      <c r="C255" s="953" t="s">
        <v>34</v>
      </c>
      <c r="D255" s="954" t="s">
        <v>42</v>
      </c>
      <c r="E255" s="954" t="s">
        <v>1186</v>
      </c>
      <c r="F255" s="954">
        <v>46030</v>
      </c>
      <c r="G255" s="954">
        <v>46037</v>
      </c>
      <c r="H255" s="1946"/>
      <c r="I255" s="1946"/>
      <c r="J255" s="683" t="s">
        <v>29</v>
      </c>
      <c r="K255" s="954" t="s">
        <v>554</v>
      </c>
    </row>
    <row r="256" spans="1:11" ht="18" customHeight="1">
      <c r="A256" s="692">
        <v>17</v>
      </c>
      <c r="B256" s="953" t="s">
        <v>393</v>
      </c>
      <c r="C256" s="953" t="s">
        <v>1175</v>
      </c>
      <c r="D256" s="954" t="s">
        <v>42</v>
      </c>
      <c r="E256" s="954" t="s">
        <v>30</v>
      </c>
      <c r="F256" s="954">
        <v>46031</v>
      </c>
      <c r="G256" s="954">
        <v>46037</v>
      </c>
      <c r="H256" s="1946"/>
      <c r="I256" s="1946"/>
      <c r="J256" s="683" t="s">
        <v>29</v>
      </c>
      <c r="K256" s="954" t="s">
        <v>554</v>
      </c>
    </row>
    <row r="257" spans="1:12" ht="18" customHeight="1">
      <c r="A257" s="692">
        <v>18</v>
      </c>
      <c r="B257" s="953" t="s">
        <v>421</v>
      </c>
      <c r="C257" s="953" t="s">
        <v>48</v>
      </c>
      <c r="D257" s="954" t="s">
        <v>42</v>
      </c>
      <c r="E257" s="954" t="s">
        <v>30</v>
      </c>
      <c r="F257" s="954">
        <v>46037</v>
      </c>
      <c r="G257" s="954">
        <v>46044</v>
      </c>
      <c r="H257" s="1946"/>
      <c r="I257" s="1946"/>
      <c r="J257" s="683" t="s">
        <v>29</v>
      </c>
      <c r="K257" s="954" t="s">
        <v>555</v>
      </c>
    </row>
    <row r="258" spans="1:12" ht="18" customHeight="1">
      <c r="A258" s="692">
        <v>19</v>
      </c>
      <c r="B258" s="953" t="s">
        <v>54</v>
      </c>
      <c r="C258" s="953" t="s">
        <v>39</v>
      </c>
      <c r="D258" s="954" t="s">
        <v>42</v>
      </c>
      <c r="E258" s="954" t="s">
        <v>30</v>
      </c>
      <c r="F258" s="954">
        <v>46037</v>
      </c>
      <c r="G258" s="954">
        <v>46044</v>
      </c>
      <c r="H258" s="1946"/>
      <c r="I258" s="1946"/>
      <c r="J258" s="683" t="s">
        <v>29</v>
      </c>
      <c r="K258" s="954" t="s">
        <v>555</v>
      </c>
    </row>
    <row r="259" spans="1:12" ht="18" customHeight="1">
      <c r="A259" s="692">
        <v>20</v>
      </c>
      <c r="B259" s="953" t="s">
        <v>58</v>
      </c>
      <c r="C259" s="953" t="s">
        <v>57</v>
      </c>
      <c r="D259" s="954" t="s">
        <v>42</v>
      </c>
      <c r="E259" s="954" t="s">
        <v>1636</v>
      </c>
      <c r="F259" s="954">
        <v>46036</v>
      </c>
      <c r="G259" s="954">
        <v>46045</v>
      </c>
      <c r="H259" s="1946"/>
      <c r="I259" s="1946"/>
      <c r="J259" s="683" t="s">
        <v>29</v>
      </c>
      <c r="K259" s="954" t="s">
        <v>554</v>
      </c>
    </row>
    <row r="260" spans="1:12" ht="18" customHeight="1">
      <c r="A260" s="692">
        <v>21</v>
      </c>
      <c r="B260" s="953" t="s">
        <v>371</v>
      </c>
      <c r="C260" s="953" t="s">
        <v>1181</v>
      </c>
      <c r="D260" s="954" t="s">
        <v>42</v>
      </c>
      <c r="E260" s="954" t="s">
        <v>30</v>
      </c>
      <c r="F260" s="954">
        <v>46032</v>
      </c>
      <c r="G260" s="954">
        <v>46047</v>
      </c>
      <c r="H260" s="1946"/>
      <c r="I260" s="1946"/>
      <c r="J260" s="683" t="s">
        <v>29</v>
      </c>
      <c r="K260" s="954" t="s">
        <v>554</v>
      </c>
    </row>
    <row r="261" spans="1:12" ht="18" customHeight="1">
      <c r="A261" s="692">
        <v>22</v>
      </c>
      <c r="B261" s="953" t="s">
        <v>393</v>
      </c>
      <c r="C261" s="953" t="s">
        <v>1175</v>
      </c>
      <c r="D261" s="954" t="s">
        <v>42</v>
      </c>
      <c r="E261" s="954" t="s">
        <v>30</v>
      </c>
      <c r="F261" s="954">
        <v>46044</v>
      </c>
      <c r="G261" s="954">
        <v>46050</v>
      </c>
      <c r="H261" s="1946"/>
      <c r="I261" s="1946"/>
      <c r="J261" s="683" t="s">
        <v>29</v>
      </c>
      <c r="K261" s="954" t="s">
        <v>555</v>
      </c>
    </row>
    <row r="262" spans="1:12" ht="18" customHeight="1">
      <c r="A262" s="692">
        <v>23</v>
      </c>
      <c r="B262" s="953" t="s">
        <v>803</v>
      </c>
      <c r="C262" s="953" t="s">
        <v>48</v>
      </c>
      <c r="D262" s="954" t="s">
        <v>61</v>
      </c>
      <c r="E262" s="954" t="s">
        <v>1636</v>
      </c>
      <c r="F262" s="954">
        <v>46045</v>
      </c>
      <c r="G262" s="954">
        <v>46050</v>
      </c>
      <c r="H262" s="1946"/>
      <c r="I262" s="1946"/>
      <c r="J262" s="683" t="s">
        <v>29</v>
      </c>
      <c r="K262" s="954" t="s">
        <v>555</v>
      </c>
    </row>
    <row r="263" spans="1:12" s="395" customFormat="1" ht="18" customHeight="1">
      <c r="A263" s="964">
        <v>24</v>
      </c>
      <c r="B263" s="965" t="s">
        <v>71</v>
      </c>
      <c r="C263" s="965" t="s">
        <v>50</v>
      </c>
      <c r="D263" s="966" t="s">
        <v>42</v>
      </c>
      <c r="E263" s="966" t="s">
        <v>30</v>
      </c>
      <c r="F263" s="966">
        <v>46044</v>
      </c>
      <c r="G263" s="966">
        <v>46053</v>
      </c>
      <c r="H263" s="1946"/>
      <c r="I263" s="1946"/>
      <c r="J263" s="967" t="s">
        <v>29</v>
      </c>
      <c r="K263" s="966" t="s">
        <v>555</v>
      </c>
    </row>
    <row r="264" spans="1:12" s="395" customFormat="1" ht="18" customHeight="1">
      <c r="A264" s="964">
        <v>25</v>
      </c>
      <c r="B264" s="965" t="s">
        <v>364</v>
      </c>
      <c r="C264" s="965" t="s">
        <v>344</v>
      </c>
      <c r="D264" s="966" t="s">
        <v>42</v>
      </c>
      <c r="E264" s="966" t="s">
        <v>30</v>
      </c>
      <c r="F264" s="966">
        <v>46049</v>
      </c>
      <c r="G264" s="966">
        <v>46053</v>
      </c>
      <c r="H264" s="1946"/>
      <c r="I264" s="1946"/>
      <c r="J264" s="967" t="s">
        <v>29</v>
      </c>
      <c r="K264" s="966" t="s">
        <v>554</v>
      </c>
      <c r="L264" s="395" t="s">
        <v>1947</v>
      </c>
    </row>
    <row r="265" spans="1:12" ht="18" customHeight="1">
      <c r="A265" s="692">
        <v>26</v>
      </c>
      <c r="B265" s="953" t="s">
        <v>799</v>
      </c>
      <c r="C265" s="953" t="s">
        <v>34</v>
      </c>
      <c r="D265" s="954" t="s">
        <v>61</v>
      </c>
      <c r="E265" s="954" t="s">
        <v>1636</v>
      </c>
      <c r="F265" s="954">
        <v>46050</v>
      </c>
      <c r="G265" s="954">
        <v>46056</v>
      </c>
      <c r="H265" s="1954">
        <v>46054</v>
      </c>
      <c r="I265" s="1952">
        <v>12</v>
      </c>
      <c r="J265" s="683" t="s">
        <v>29</v>
      </c>
      <c r="K265" s="954" t="s">
        <v>555</v>
      </c>
    </row>
    <row r="266" spans="1:12" ht="18" customHeight="1">
      <c r="A266" s="692">
        <v>27</v>
      </c>
      <c r="B266" s="953" t="s">
        <v>795</v>
      </c>
      <c r="C266" s="953" t="s">
        <v>34</v>
      </c>
      <c r="D266" s="954" t="s">
        <v>61</v>
      </c>
      <c r="E266" s="954" t="s">
        <v>1636</v>
      </c>
      <c r="F266" s="954">
        <v>46056</v>
      </c>
      <c r="G266" s="954">
        <v>46060</v>
      </c>
      <c r="H266" s="1954"/>
      <c r="I266" s="1952"/>
      <c r="J266" s="683" t="s">
        <v>29</v>
      </c>
      <c r="K266" s="954" t="s">
        <v>555</v>
      </c>
    </row>
    <row r="267" spans="1:12" ht="18" customHeight="1">
      <c r="A267" s="692">
        <v>28</v>
      </c>
      <c r="B267" s="953" t="s">
        <v>704</v>
      </c>
      <c r="C267" s="953" t="s">
        <v>53</v>
      </c>
      <c r="D267" s="954" t="s">
        <v>61</v>
      </c>
      <c r="E267" s="954" t="s">
        <v>30</v>
      </c>
      <c r="F267" s="954">
        <v>46045</v>
      </c>
      <c r="G267" s="954">
        <v>46062</v>
      </c>
      <c r="H267" s="1954"/>
      <c r="I267" s="1952"/>
      <c r="J267" s="683" t="s">
        <v>29</v>
      </c>
      <c r="K267" s="954" t="s">
        <v>555</v>
      </c>
    </row>
    <row r="268" spans="1:12" ht="18" customHeight="1">
      <c r="A268" s="692">
        <v>29</v>
      </c>
      <c r="B268" s="953" t="s">
        <v>1852</v>
      </c>
      <c r="C268" s="953" t="s">
        <v>49</v>
      </c>
      <c r="D268" s="954" t="s">
        <v>61</v>
      </c>
      <c r="E268" s="954" t="s">
        <v>30</v>
      </c>
      <c r="F268" s="954">
        <v>46062</v>
      </c>
      <c r="G268" s="954">
        <v>46067</v>
      </c>
      <c r="H268" s="1954"/>
      <c r="I268" s="1952"/>
      <c r="J268" s="683" t="s">
        <v>29</v>
      </c>
      <c r="K268" s="954" t="s">
        <v>555</v>
      </c>
    </row>
    <row r="269" spans="1:12" ht="18" customHeight="1">
      <c r="A269" s="692">
        <v>30</v>
      </c>
      <c r="B269" s="953" t="s">
        <v>436</v>
      </c>
      <c r="C269" s="953" t="s">
        <v>1181</v>
      </c>
      <c r="D269" s="954" t="s">
        <v>31</v>
      </c>
      <c r="E269" s="954" t="s">
        <v>30</v>
      </c>
      <c r="F269" s="954">
        <v>46053</v>
      </c>
      <c r="G269" s="954">
        <v>46069</v>
      </c>
      <c r="H269" s="1954"/>
      <c r="I269" s="1952"/>
      <c r="J269" s="683" t="s">
        <v>29</v>
      </c>
      <c r="K269" s="954" t="s">
        <v>555</v>
      </c>
    </row>
    <row r="270" spans="1:12" ht="18" customHeight="1">
      <c r="A270" s="692">
        <v>31</v>
      </c>
      <c r="B270" s="953" t="s">
        <v>722</v>
      </c>
      <c r="C270" s="953" t="s">
        <v>34</v>
      </c>
      <c r="D270" s="954" t="s">
        <v>61</v>
      </c>
      <c r="E270" s="954" t="s">
        <v>30</v>
      </c>
      <c r="F270" s="954">
        <v>46063</v>
      </c>
      <c r="G270" s="954">
        <v>46070</v>
      </c>
      <c r="H270" s="1954"/>
      <c r="I270" s="1952"/>
      <c r="J270" s="683" t="s">
        <v>29</v>
      </c>
      <c r="K270" s="954" t="s">
        <v>555</v>
      </c>
    </row>
    <row r="271" spans="1:12" ht="18" customHeight="1">
      <c r="A271" s="692">
        <v>32</v>
      </c>
      <c r="B271" s="953" t="s">
        <v>364</v>
      </c>
      <c r="C271" s="953" t="s">
        <v>1181</v>
      </c>
      <c r="D271" s="954" t="s">
        <v>61</v>
      </c>
      <c r="E271" s="954" t="s">
        <v>1636</v>
      </c>
      <c r="F271" s="954">
        <v>46061</v>
      </c>
      <c r="G271" s="954">
        <v>46073</v>
      </c>
      <c r="H271" s="1954"/>
      <c r="I271" s="1952"/>
      <c r="J271" s="683" t="s">
        <v>29</v>
      </c>
      <c r="K271" s="954" t="s">
        <v>555</v>
      </c>
    </row>
    <row r="272" spans="1:12" ht="18" customHeight="1">
      <c r="A272" s="692">
        <v>33</v>
      </c>
      <c r="B272" s="953" t="s">
        <v>376</v>
      </c>
      <c r="C272" s="953" t="s">
        <v>34</v>
      </c>
      <c r="D272" s="954" t="s">
        <v>61</v>
      </c>
      <c r="E272" s="954" t="s">
        <v>1636</v>
      </c>
      <c r="F272" s="954">
        <v>46073</v>
      </c>
      <c r="G272" s="954">
        <v>46077</v>
      </c>
      <c r="H272" s="1954"/>
      <c r="I272" s="1952"/>
      <c r="J272" s="683" t="s">
        <v>29</v>
      </c>
      <c r="K272" s="954" t="s">
        <v>555</v>
      </c>
      <c r="L272" s="681" t="s">
        <v>1947</v>
      </c>
    </row>
    <row r="273" spans="1:12" ht="18" customHeight="1">
      <c r="A273" s="692">
        <v>34</v>
      </c>
      <c r="B273" s="953" t="s">
        <v>73</v>
      </c>
      <c r="C273" s="953" t="s">
        <v>50</v>
      </c>
      <c r="D273" s="954" t="s">
        <v>42</v>
      </c>
      <c r="E273" s="954" t="s">
        <v>30</v>
      </c>
      <c r="F273" s="954">
        <v>46070</v>
      </c>
      <c r="G273" s="954">
        <v>46077</v>
      </c>
      <c r="H273" s="1954"/>
      <c r="I273" s="1952"/>
      <c r="J273" s="683" t="s">
        <v>29</v>
      </c>
      <c r="K273" s="954" t="s">
        <v>555</v>
      </c>
    </row>
    <row r="274" spans="1:12" ht="18" customHeight="1">
      <c r="A274" s="692">
        <v>35</v>
      </c>
      <c r="B274" s="953" t="s">
        <v>416</v>
      </c>
      <c r="C274" s="953" t="s">
        <v>1181</v>
      </c>
      <c r="D274" s="954" t="s">
        <v>42</v>
      </c>
      <c r="E274" s="954" t="s">
        <v>30</v>
      </c>
      <c r="F274" s="954">
        <v>46053</v>
      </c>
      <c r="G274" s="954">
        <v>46081</v>
      </c>
      <c r="H274" s="1954"/>
      <c r="I274" s="1952"/>
      <c r="J274" s="683" t="s">
        <v>29</v>
      </c>
      <c r="K274" s="954" t="s">
        <v>555</v>
      </c>
    </row>
    <row r="275" spans="1:12" ht="18" customHeight="1">
      <c r="A275" s="692">
        <v>36</v>
      </c>
      <c r="B275" s="953" t="s">
        <v>443</v>
      </c>
      <c r="C275" s="953" t="s">
        <v>1181</v>
      </c>
      <c r="D275" s="954" t="s">
        <v>42</v>
      </c>
      <c r="E275" s="954" t="s">
        <v>30</v>
      </c>
      <c r="F275" s="954">
        <v>46070</v>
      </c>
      <c r="G275" s="954">
        <v>46081</v>
      </c>
      <c r="H275" s="1954"/>
      <c r="I275" s="1952"/>
      <c r="J275" s="683" t="s">
        <v>29</v>
      </c>
      <c r="K275" s="954" t="s">
        <v>555</v>
      </c>
    </row>
    <row r="276" spans="1:12" ht="18" customHeight="1">
      <c r="A276" s="692">
        <v>37</v>
      </c>
      <c r="B276" s="953" t="s">
        <v>699</v>
      </c>
      <c r="C276" s="953" t="s">
        <v>34</v>
      </c>
      <c r="D276" s="954" t="s">
        <v>61</v>
      </c>
      <c r="E276" s="954" t="s">
        <v>30</v>
      </c>
      <c r="F276" s="954">
        <v>46071</v>
      </c>
      <c r="G276" s="954">
        <v>46081</v>
      </c>
      <c r="H276" s="1954"/>
      <c r="I276" s="1952"/>
      <c r="J276" s="683" t="s">
        <v>29</v>
      </c>
      <c r="K276" s="954" t="s">
        <v>555</v>
      </c>
    </row>
    <row r="277" spans="1:12" ht="18" customHeight="1">
      <c r="A277" s="692">
        <v>38</v>
      </c>
      <c r="B277" s="953" t="s">
        <v>213</v>
      </c>
      <c r="C277" s="953" t="s">
        <v>53</v>
      </c>
      <c r="D277" s="954" t="s">
        <v>42</v>
      </c>
      <c r="E277" s="954" t="s">
        <v>1883</v>
      </c>
      <c r="F277" s="954">
        <v>46081</v>
      </c>
      <c r="G277" s="954">
        <v>46090</v>
      </c>
      <c r="H277" s="1952" t="s">
        <v>1888</v>
      </c>
      <c r="I277" s="1952">
        <v>8</v>
      </c>
      <c r="J277" s="797" t="s">
        <v>29</v>
      </c>
      <c r="K277" s="954" t="s">
        <v>554</v>
      </c>
      <c r="L277" s="681" t="s">
        <v>1947</v>
      </c>
    </row>
    <row r="278" spans="1:12" ht="18" customHeight="1">
      <c r="A278" s="692">
        <v>39</v>
      </c>
      <c r="B278" s="953" t="s">
        <v>1206</v>
      </c>
      <c r="C278" s="953" t="s">
        <v>1181</v>
      </c>
      <c r="D278" s="954" t="s">
        <v>42</v>
      </c>
      <c r="E278" s="954" t="s">
        <v>30</v>
      </c>
      <c r="F278" s="954">
        <v>46081</v>
      </c>
      <c r="G278" s="954" t="s">
        <v>1897</v>
      </c>
      <c r="H278" s="1952"/>
      <c r="I278" s="1952"/>
      <c r="J278" s="797" t="s">
        <v>29</v>
      </c>
      <c r="K278" s="954" t="s">
        <v>555</v>
      </c>
    </row>
    <row r="279" spans="1:12" ht="18" customHeight="1">
      <c r="A279" s="692">
        <v>40</v>
      </c>
      <c r="B279" s="953" t="s">
        <v>66</v>
      </c>
      <c r="C279" s="953" t="s">
        <v>1424</v>
      </c>
      <c r="D279" s="954" t="s">
        <v>42</v>
      </c>
      <c r="E279" s="954" t="s">
        <v>1883</v>
      </c>
      <c r="F279" s="954">
        <v>46090</v>
      </c>
      <c r="G279" s="954" t="s">
        <v>1900</v>
      </c>
      <c r="H279" s="1952"/>
      <c r="I279" s="1952"/>
      <c r="J279" s="797" t="s">
        <v>29</v>
      </c>
      <c r="K279" s="954" t="s">
        <v>554</v>
      </c>
    </row>
    <row r="280" spans="1:12" ht="18" customHeight="1">
      <c r="A280" s="692">
        <v>41</v>
      </c>
      <c r="B280" s="953" t="s">
        <v>371</v>
      </c>
      <c r="C280" s="953" t="s">
        <v>1181</v>
      </c>
      <c r="D280" s="954" t="s">
        <v>61</v>
      </c>
      <c r="E280" s="954" t="s">
        <v>1636</v>
      </c>
      <c r="F280" s="954">
        <v>46089</v>
      </c>
      <c r="G280" s="954" t="s">
        <v>1901</v>
      </c>
      <c r="H280" s="1952"/>
      <c r="I280" s="1952"/>
      <c r="J280" s="797" t="s">
        <v>29</v>
      </c>
      <c r="K280" s="954" t="s">
        <v>555</v>
      </c>
    </row>
    <row r="281" spans="1:12" ht="18" customHeight="1">
      <c r="A281" s="953">
        <v>42</v>
      </c>
      <c r="B281" s="953" t="s">
        <v>1168</v>
      </c>
      <c r="C281" s="953" t="s">
        <v>50</v>
      </c>
      <c r="D281" s="954" t="s">
        <v>42</v>
      </c>
      <c r="E281" s="954" t="s">
        <v>30</v>
      </c>
      <c r="F281" s="954">
        <v>46096</v>
      </c>
      <c r="G281" s="954" t="s">
        <v>1903</v>
      </c>
      <c r="H281" s="1952"/>
      <c r="I281" s="1952"/>
      <c r="J281" s="797" t="s">
        <v>29</v>
      </c>
      <c r="K281" s="954" t="s">
        <v>555</v>
      </c>
    </row>
    <row r="282" spans="1:12">
      <c r="A282" s="692">
        <v>43</v>
      </c>
      <c r="B282" s="953" t="s">
        <v>70</v>
      </c>
      <c r="C282" s="953" t="s">
        <v>167</v>
      </c>
      <c r="D282" s="954" t="s">
        <v>61</v>
      </c>
      <c r="E282" s="954" t="s">
        <v>1636</v>
      </c>
      <c r="F282" s="954">
        <v>46103</v>
      </c>
      <c r="G282" s="954">
        <v>46110</v>
      </c>
      <c r="H282" s="1952"/>
      <c r="I282" s="1952"/>
      <c r="J282" s="797" t="s">
        <v>29</v>
      </c>
      <c r="K282" s="954" t="s">
        <v>555</v>
      </c>
    </row>
    <row r="283" spans="1:12">
      <c r="A283" s="692">
        <v>44</v>
      </c>
      <c r="B283" s="953" t="s">
        <v>224</v>
      </c>
      <c r="C283" s="953" t="s">
        <v>1181</v>
      </c>
      <c r="D283" s="954" t="s">
        <v>42</v>
      </c>
      <c r="E283" s="954" t="s">
        <v>1883</v>
      </c>
      <c r="F283" s="954">
        <v>46095</v>
      </c>
      <c r="G283" s="954">
        <v>46112</v>
      </c>
      <c r="H283" s="1952"/>
      <c r="I283" s="1952"/>
      <c r="J283" s="797" t="s">
        <v>29</v>
      </c>
      <c r="K283" s="954" t="s">
        <v>554</v>
      </c>
    </row>
    <row r="284" spans="1:12">
      <c r="A284" s="692">
        <v>45</v>
      </c>
      <c r="B284" s="953" t="s">
        <v>69</v>
      </c>
      <c r="C284" s="953" t="s">
        <v>50</v>
      </c>
      <c r="D284" s="954" t="s">
        <v>61</v>
      </c>
      <c r="E284" s="954" t="s">
        <v>30</v>
      </c>
      <c r="F284" s="954">
        <v>46100</v>
      </c>
      <c r="G284" s="954">
        <v>46112</v>
      </c>
      <c r="H284" s="1953"/>
      <c r="I284" s="1953"/>
      <c r="J284" s="797" t="s">
        <v>29</v>
      </c>
      <c r="K284" s="954" t="s">
        <v>554</v>
      </c>
    </row>
    <row r="285" spans="1:12" ht="18" customHeight="1">
      <c r="A285" s="692">
        <v>46</v>
      </c>
      <c r="B285" s="953" t="s">
        <v>384</v>
      </c>
      <c r="C285" s="953" t="s">
        <v>34</v>
      </c>
      <c r="D285" s="954" t="s">
        <v>42</v>
      </c>
      <c r="E285" s="954" t="s">
        <v>1636</v>
      </c>
      <c r="F285" s="954">
        <v>46110</v>
      </c>
      <c r="G285" s="954">
        <v>46113</v>
      </c>
      <c r="H285" s="1952" t="s">
        <v>1906</v>
      </c>
      <c r="I285" s="1952">
        <v>18</v>
      </c>
      <c r="J285" s="797" t="s">
        <v>29</v>
      </c>
      <c r="K285" s="954" t="s">
        <v>555</v>
      </c>
    </row>
    <row r="286" spans="1:12" ht="18" customHeight="1">
      <c r="A286" s="692">
        <v>47</v>
      </c>
      <c r="B286" s="953" t="s">
        <v>75</v>
      </c>
      <c r="C286" s="953" t="s">
        <v>133</v>
      </c>
      <c r="D286" s="954" t="s">
        <v>61</v>
      </c>
      <c r="E286" s="954" t="s">
        <v>41</v>
      </c>
      <c r="F286" s="954">
        <v>46093</v>
      </c>
      <c r="G286" s="954">
        <v>46115</v>
      </c>
      <c r="H286" s="1952"/>
      <c r="I286" s="1952"/>
      <c r="J286" s="797" t="s">
        <v>29</v>
      </c>
      <c r="K286" s="954" t="s">
        <v>555</v>
      </c>
      <c r="L286" s="681" t="s">
        <v>1947</v>
      </c>
    </row>
    <row r="287" spans="1:12" ht="18" customHeight="1">
      <c r="A287" s="692">
        <v>48</v>
      </c>
      <c r="B287" s="953" t="s">
        <v>689</v>
      </c>
      <c r="C287" s="953" t="s">
        <v>50</v>
      </c>
      <c r="D287" s="954" t="s">
        <v>61</v>
      </c>
      <c r="E287" s="954" t="s">
        <v>30</v>
      </c>
      <c r="F287" s="954">
        <v>46100</v>
      </c>
      <c r="G287" s="954">
        <v>46116</v>
      </c>
      <c r="H287" s="1952"/>
      <c r="I287" s="1952"/>
      <c r="J287" s="797" t="s">
        <v>29</v>
      </c>
      <c r="K287" s="954" t="s">
        <v>555</v>
      </c>
    </row>
    <row r="288" spans="1:12" ht="18" customHeight="1">
      <c r="A288" s="692">
        <v>49</v>
      </c>
      <c r="B288" s="953" t="s">
        <v>47</v>
      </c>
      <c r="C288" s="953" t="s">
        <v>39</v>
      </c>
      <c r="D288" s="954" t="s">
        <v>61</v>
      </c>
      <c r="E288" s="954" t="s">
        <v>30</v>
      </c>
      <c r="F288" s="954">
        <v>46100</v>
      </c>
      <c r="G288" s="954">
        <v>46117</v>
      </c>
      <c r="H288" s="1952"/>
      <c r="I288" s="1952"/>
      <c r="J288" s="797" t="s">
        <v>29</v>
      </c>
      <c r="K288" s="954" t="s">
        <v>554</v>
      </c>
    </row>
    <row r="289" spans="1:12" ht="18" customHeight="1">
      <c r="A289" s="692">
        <v>50</v>
      </c>
      <c r="B289" s="953" t="s">
        <v>356</v>
      </c>
      <c r="C289" s="953" t="s">
        <v>1424</v>
      </c>
      <c r="D289" s="954" t="s">
        <v>42</v>
      </c>
      <c r="E289" s="954" t="s">
        <v>1636</v>
      </c>
      <c r="F289" s="954">
        <v>46113</v>
      </c>
      <c r="G289" s="954">
        <v>46119</v>
      </c>
      <c r="H289" s="1952"/>
      <c r="I289" s="1952"/>
      <c r="J289" s="797" t="s">
        <v>29</v>
      </c>
      <c r="K289" s="954" t="s">
        <v>555</v>
      </c>
    </row>
    <row r="290" spans="1:12" ht="18" customHeight="1">
      <c r="A290" s="952">
        <v>51</v>
      </c>
      <c r="B290" s="953" t="s">
        <v>457</v>
      </c>
      <c r="C290" s="953" t="s">
        <v>133</v>
      </c>
      <c r="D290" s="954" t="s">
        <v>42</v>
      </c>
      <c r="E290" s="954" t="s">
        <v>30</v>
      </c>
      <c r="F290" s="954">
        <v>46117</v>
      </c>
      <c r="G290" s="954">
        <v>46123</v>
      </c>
      <c r="H290" s="1952"/>
      <c r="I290" s="1952"/>
      <c r="J290" s="797" t="s">
        <v>29</v>
      </c>
      <c r="K290" s="954" t="s">
        <v>555</v>
      </c>
    </row>
    <row r="291" spans="1:12" ht="18" customHeight="1">
      <c r="A291" s="952">
        <v>52</v>
      </c>
      <c r="B291" s="953" t="s">
        <v>388</v>
      </c>
      <c r="C291" s="953" t="s">
        <v>48</v>
      </c>
      <c r="D291" s="954" t="s">
        <v>42</v>
      </c>
      <c r="E291" s="954" t="s">
        <v>30</v>
      </c>
      <c r="F291" s="954">
        <v>46117</v>
      </c>
      <c r="G291" s="954">
        <v>46125</v>
      </c>
      <c r="H291" s="1952"/>
      <c r="I291" s="1952"/>
      <c r="J291" s="797" t="s">
        <v>29</v>
      </c>
      <c r="K291" s="954" t="s">
        <v>554</v>
      </c>
    </row>
    <row r="292" spans="1:12" ht="18" customHeight="1">
      <c r="A292" s="952">
        <v>53</v>
      </c>
      <c r="B292" s="953" t="s">
        <v>69</v>
      </c>
      <c r="C292" s="953" t="s">
        <v>39</v>
      </c>
      <c r="D292" s="954" t="s">
        <v>42</v>
      </c>
      <c r="E292" s="954" t="s">
        <v>1636</v>
      </c>
      <c r="F292" s="954">
        <v>46119</v>
      </c>
      <c r="G292" s="954">
        <v>46125</v>
      </c>
      <c r="H292" s="1952"/>
      <c r="I292" s="1952"/>
      <c r="J292" s="797" t="s">
        <v>29</v>
      </c>
      <c r="K292" s="954" t="s">
        <v>555</v>
      </c>
    </row>
    <row r="293" spans="1:12" ht="18" customHeight="1">
      <c r="A293" s="952">
        <v>54</v>
      </c>
      <c r="B293" s="953" t="s">
        <v>326</v>
      </c>
      <c r="C293" s="953" t="s">
        <v>133</v>
      </c>
      <c r="D293" s="954" t="s">
        <v>42</v>
      </c>
      <c r="E293" s="954" t="s">
        <v>41</v>
      </c>
      <c r="F293" s="954">
        <v>46116</v>
      </c>
      <c r="G293" s="954">
        <v>46126</v>
      </c>
      <c r="H293" s="1952"/>
      <c r="I293" s="1952"/>
      <c r="J293" s="797" t="s">
        <v>29</v>
      </c>
      <c r="K293" s="954" t="s">
        <v>555</v>
      </c>
    </row>
    <row r="294" spans="1:12" ht="18" customHeight="1">
      <c r="A294" s="952">
        <v>55</v>
      </c>
      <c r="B294" s="953" t="s">
        <v>811</v>
      </c>
      <c r="C294" s="953" t="s">
        <v>34</v>
      </c>
      <c r="D294" s="954" t="s">
        <v>42</v>
      </c>
      <c r="E294" s="954" t="s">
        <v>1636</v>
      </c>
      <c r="F294" s="954">
        <v>46125</v>
      </c>
      <c r="G294" s="954">
        <v>46129</v>
      </c>
      <c r="H294" s="1952"/>
      <c r="I294" s="1952"/>
      <c r="J294" s="797" t="s">
        <v>29</v>
      </c>
      <c r="K294" s="954" t="s">
        <v>555</v>
      </c>
      <c r="L294" s="681" t="s">
        <v>1947</v>
      </c>
    </row>
    <row r="295" spans="1:12" ht="18" customHeight="1">
      <c r="A295" s="952">
        <v>56</v>
      </c>
      <c r="B295" s="953" t="s">
        <v>51</v>
      </c>
      <c r="C295" s="953" t="s">
        <v>1181</v>
      </c>
      <c r="D295" s="954" t="s">
        <v>61</v>
      </c>
      <c r="E295" s="954" t="s">
        <v>30</v>
      </c>
      <c r="F295" s="954">
        <v>46125</v>
      </c>
      <c r="G295" s="954">
        <v>46130</v>
      </c>
      <c r="H295" s="1952"/>
      <c r="I295" s="1952"/>
      <c r="J295" s="797" t="s">
        <v>29</v>
      </c>
      <c r="K295" s="954" t="s">
        <v>555</v>
      </c>
      <c r="L295" s="681" t="s">
        <v>1947</v>
      </c>
    </row>
    <row r="296" spans="1:12" ht="18" customHeight="1">
      <c r="A296" s="952">
        <v>57</v>
      </c>
      <c r="B296" s="953" t="s">
        <v>230</v>
      </c>
      <c r="C296" s="953" t="s">
        <v>34</v>
      </c>
      <c r="D296" s="954" t="s">
        <v>42</v>
      </c>
      <c r="E296" s="954" t="s">
        <v>41</v>
      </c>
      <c r="F296" s="954">
        <v>46126</v>
      </c>
      <c r="G296" s="954">
        <v>46132</v>
      </c>
      <c r="H296" s="1952"/>
      <c r="I296" s="1952"/>
      <c r="J296" s="797" t="s">
        <v>29</v>
      </c>
      <c r="K296" s="954" t="s">
        <v>554</v>
      </c>
    </row>
    <row r="297" spans="1:12" ht="18" customHeight="1">
      <c r="A297" s="952">
        <v>58</v>
      </c>
      <c r="B297" s="953" t="s">
        <v>40</v>
      </c>
      <c r="C297" s="953" t="s">
        <v>45</v>
      </c>
      <c r="D297" s="954" t="s">
        <v>61</v>
      </c>
      <c r="E297" s="954" t="s">
        <v>30</v>
      </c>
      <c r="F297" s="954">
        <v>46125</v>
      </c>
      <c r="G297" s="954">
        <v>46137</v>
      </c>
      <c r="H297" s="1952"/>
      <c r="I297" s="1952"/>
      <c r="J297" s="797" t="s">
        <v>29</v>
      </c>
      <c r="K297" s="954" t="s">
        <v>555</v>
      </c>
    </row>
    <row r="298" spans="1:12" ht="18" customHeight="1">
      <c r="A298" s="952">
        <v>59</v>
      </c>
      <c r="B298" s="953" t="s">
        <v>239</v>
      </c>
      <c r="C298" s="953" t="s">
        <v>34</v>
      </c>
      <c r="D298" s="954" t="s">
        <v>42</v>
      </c>
      <c r="E298" s="954" t="s">
        <v>41</v>
      </c>
      <c r="F298" s="954">
        <v>46132</v>
      </c>
      <c r="G298" s="954">
        <v>46137</v>
      </c>
      <c r="H298" s="1952"/>
      <c r="I298" s="1952"/>
      <c r="J298" s="797" t="s">
        <v>29</v>
      </c>
      <c r="K298" s="954" t="s">
        <v>554</v>
      </c>
      <c r="L298" s="681" t="s">
        <v>1947</v>
      </c>
    </row>
    <row r="299" spans="1:12" ht="18" customHeight="1">
      <c r="A299" s="952">
        <v>60</v>
      </c>
      <c r="B299" s="953" t="s">
        <v>1872</v>
      </c>
      <c r="C299" s="953" t="s">
        <v>34</v>
      </c>
      <c r="D299" s="954" t="s">
        <v>42</v>
      </c>
      <c r="E299" s="954" t="s">
        <v>30</v>
      </c>
      <c r="F299" s="954">
        <f>F295</f>
        <v>46125</v>
      </c>
      <c r="G299" s="954">
        <v>46138</v>
      </c>
      <c r="H299" s="1952"/>
      <c r="I299" s="1952"/>
      <c r="J299" s="797" t="s">
        <v>29</v>
      </c>
      <c r="K299" s="954" t="s">
        <v>555</v>
      </c>
    </row>
    <row r="300" spans="1:12" ht="18" customHeight="1">
      <c r="A300" s="952">
        <v>61</v>
      </c>
      <c r="B300" s="953" t="s">
        <v>318</v>
      </c>
      <c r="C300" s="953" t="s">
        <v>34</v>
      </c>
      <c r="D300" s="954" t="s">
        <v>42</v>
      </c>
      <c r="E300" s="954" t="s">
        <v>1636</v>
      </c>
      <c r="F300" s="954">
        <f>G294</f>
        <v>46129</v>
      </c>
      <c r="G300" s="954">
        <v>46139</v>
      </c>
      <c r="H300" s="1952"/>
      <c r="I300" s="1952"/>
      <c r="J300" s="797" t="s">
        <v>29</v>
      </c>
      <c r="K300" s="954" t="s">
        <v>554</v>
      </c>
    </row>
    <row r="301" spans="1:12" ht="18" customHeight="1">
      <c r="A301" s="952">
        <v>62</v>
      </c>
      <c r="B301" s="953" t="s">
        <v>250</v>
      </c>
      <c r="C301" s="965" t="s">
        <v>49</v>
      </c>
      <c r="D301" s="954" t="s">
        <v>31</v>
      </c>
      <c r="E301" s="954" t="s">
        <v>41</v>
      </c>
      <c r="F301" s="954">
        <v>46137</v>
      </c>
      <c r="G301" s="954">
        <v>46140</v>
      </c>
      <c r="H301" s="1952"/>
      <c r="I301" s="1952"/>
      <c r="J301" s="797" t="s">
        <v>29</v>
      </c>
      <c r="K301" s="954" t="s">
        <v>554</v>
      </c>
    </row>
    <row r="302" spans="1:12" ht="18" customHeight="1">
      <c r="A302" s="952">
        <v>63</v>
      </c>
      <c r="B302" s="1157" t="s">
        <v>729</v>
      </c>
      <c r="C302" s="965" t="s">
        <v>48</v>
      </c>
      <c r="D302" s="1158" t="s">
        <v>61</v>
      </c>
      <c r="E302" s="1158" t="s">
        <v>30</v>
      </c>
      <c r="F302" s="1158">
        <v>46137</v>
      </c>
      <c r="G302" s="1158">
        <v>46140</v>
      </c>
      <c r="H302" s="1952"/>
      <c r="I302" s="1952"/>
      <c r="J302" s="797" t="s">
        <v>29</v>
      </c>
      <c r="K302" s="954" t="s">
        <v>555</v>
      </c>
    </row>
    <row r="303" spans="1:12" ht="18" customHeight="1">
      <c r="A303" s="959">
        <v>64</v>
      </c>
      <c r="B303" s="1157" t="s">
        <v>726</v>
      </c>
      <c r="C303" s="965" t="s">
        <v>32</v>
      </c>
      <c r="D303" s="1158" t="s">
        <v>61</v>
      </c>
      <c r="E303" s="1158" t="s">
        <v>30</v>
      </c>
      <c r="F303" s="1158">
        <v>46137</v>
      </c>
      <c r="G303" s="1158">
        <v>46142</v>
      </c>
      <c r="H303" s="1952"/>
      <c r="I303" s="1952"/>
      <c r="J303" s="797" t="s">
        <v>29</v>
      </c>
      <c r="K303" s="960" t="s">
        <v>555</v>
      </c>
    </row>
    <row r="304" spans="1:12" ht="18" customHeight="1">
      <c r="A304" s="959">
        <v>65</v>
      </c>
      <c r="B304" s="1157" t="s">
        <v>47</v>
      </c>
      <c r="C304" s="965" t="s">
        <v>1425</v>
      </c>
      <c r="D304" s="1158" t="s">
        <v>42</v>
      </c>
      <c r="E304" s="1158" t="s">
        <v>1636</v>
      </c>
      <c r="F304" s="1158">
        <v>46140</v>
      </c>
      <c r="G304" s="1158">
        <v>46142</v>
      </c>
      <c r="H304" s="1952"/>
      <c r="I304" s="1952"/>
      <c r="J304" s="797" t="s">
        <v>29</v>
      </c>
      <c r="K304" s="960" t="s">
        <v>555</v>
      </c>
    </row>
    <row r="305" spans="1:11" ht="18" customHeight="1">
      <c r="A305" s="1156">
        <v>66</v>
      </c>
      <c r="B305" s="1157" t="s">
        <v>718</v>
      </c>
      <c r="C305" s="965" t="s">
        <v>32</v>
      </c>
      <c r="D305" s="1158" t="s">
        <v>61</v>
      </c>
      <c r="E305" s="1158" t="s">
        <v>30</v>
      </c>
      <c r="F305" s="1158">
        <v>46140</v>
      </c>
      <c r="G305" s="1158">
        <v>46145</v>
      </c>
      <c r="H305" s="1953" t="s">
        <v>2129</v>
      </c>
      <c r="I305" s="1969" t="s">
        <v>2130</v>
      </c>
      <c r="J305" s="797" t="s">
        <v>29</v>
      </c>
      <c r="K305" s="1158" t="s">
        <v>555</v>
      </c>
    </row>
    <row r="306" spans="1:11" ht="18" customHeight="1">
      <c r="A306" s="1156">
        <v>67</v>
      </c>
      <c r="B306" s="1157" t="s">
        <v>376</v>
      </c>
      <c r="C306" s="965" t="s">
        <v>32</v>
      </c>
      <c r="D306" s="1158" t="s">
        <v>42</v>
      </c>
      <c r="E306" s="1158" t="s">
        <v>1922</v>
      </c>
      <c r="F306" s="1158">
        <v>46140</v>
      </c>
      <c r="G306" s="1158">
        <v>46145</v>
      </c>
      <c r="H306" s="1967"/>
      <c r="I306" s="1967"/>
      <c r="J306" s="797" t="s">
        <v>29</v>
      </c>
      <c r="K306" s="1155" t="s">
        <v>554</v>
      </c>
    </row>
    <row r="307" spans="1:11" ht="18" customHeight="1">
      <c r="A307" s="1156">
        <v>68</v>
      </c>
      <c r="B307" s="1157" t="s">
        <v>713</v>
      </c>
      <c r="C307" s="965" t="s">
        <v>32</v>
      </c>
      <c r="D307" s="1158" t="s">
        <v>61</v>
      </c>
      <c r="E307" s="1158" t="s">
        <v>30</v>
      </c>
      <c r="F307" s="1158">
        <v>46140</v>
      </c>
      <c r="G307" s="1158">
        <v>46147</v>
      </c>
      <c r="H307" s="1967"/>
      <c r="I307" s="1967"/>
      <c r="J307" s="797" t="s">
        <v>29</v>
      </c>
      <c r="K307" s="1158" t="s">
        <v>555</v>
      </c>
    </row>
    <row r="308" spans="1:11" ht="18" customHeight="1">
      <c r="A308" s="1156">
        <v>69</v>
      </c>
      <c r="B308" s="1157" t="s">
        <v>384</v>
      </c>
      <c r="C308" s="965" t="s">
        <v>32</v>
      </c>
      <c r="D308" s="1158" t="s">
        <v>42</v>
      </c>
      <c r="E308" s="1158" t="s">
        <v>1922</v>
      </c>
      <c r="F308" s="1158">
        <v>46146</v>
      </c>
      <c r="G308" s="1158">
        <v>46150</v>
      </c>
      <c r="H308" s="1967"/>
      <c r="I308" s="1967"/>
      <c r="J308" s="797" t="s">
        <v>29</v>
      </c>
      <c r="K308" s="1155" t="s">
        <v>554</v>
      </c>
    </row>
    <row r="309" spans="1:11" ht="18" customHeight="1">
      <c r="A309" s="1156">
        <v>70</v>
      </c>
      <c r="B309" s="1157" t="s">
        <v>44</v>
      </c>
      <c r="C309" s="965" t="s">
        <v>1423</v>
      </c>
      <c r="D309" s="1158" t="s">
        <v>61</v>
      </c>
      <c r="E309" s="1158" t="s">
        <v>30</v>
      </c>
      <c r="F309" s="1158">
        <v>46148</v>
      </c>
      <c r="G309" s="1158">
        <v>46155</v>
      </c>
      <c r="H309" s="1967"/>
      <c r="I309" s="1967"/>
      <c r="J309" s="797" t="s">
        <v>29</v>
      </c>
      <c r="K309" s="1158" t="s">
        <v>555</v>
      </c>
    </row>
    <row r="310" spans="1:11" ht="18" customHeight="1">
      <c r="A310" s="1156">
        <v>71</v>
      </c>
      <c r="B310" s="1157" t="s">
        <v>407</v>
      </c>
      <c r="C310" s="965" t="s">
        <v>34</v>
      </c>
      <c r="D310" s="1158" t="s">
        <v>42</v>
      </c>
      <c r="E310" s="1158" t="s">
        <v>1922</v>
      </c>
      <c r="F310" s="1158">
        <v>46146</v>
      </c>
      <c r="G310" s="1158">
        <v>46155</v>
      </c>
      <c r="H310" s="1967"/>
      <c r="I310" s="1967"/>
      <c r="J310" s="797" t="s">
        <v>29</v>
      </c>
      <c r="K310" s="1155" t="s">
        <v>554</v>
      </c>
    </row>
    <row r="311" spans="1:11" ht="18" customHeight="1">
      <c r="A311" s="1156">
        <v>72</v>
      </c>
      <c r="B311" s="1157" t="s">
        <v>76</v>
      </c>
      <c r="C311" s="965" t="s">
        <v>50</v>
      </c>
      <c r="D311" s="1158" t="s">
        <v>61</v>
      </c>
      <c r="E311" s="1158" t="s">
        <v>30</v>
      </c>
      <c r="F311" s="1158">
        <v>46148</v>
      </c>
      <c r="G311" s="1158">
        <v>46161</v>
      </c>
      <c r="H311" s="1967"/>
      <c r="I311" s="1967"/>
      <c r="J311" s="797" t="s">
        <v>29</v>
      </c>
      <c r="K311" s="1158" t="s">
        <v>555</v>
      </c>
    </row>
    <row r="312" spans="1:11" ht="18" customHeight="1">
      <c r="A312" s="1156">
        <v>73</v>
      </c>
      <c r="B312" s="1157" t="s">
        <v>332</v>
      </c>
      <c r="C312" s="965" t="s">
        <v>48</v>
      </c>
      <c r="D312" s="1158" t="s">
        <v>61</v>
      </c>
      <c r="E312" s="1158" t="s">
        <v>30</v>
      </c>
      <c r="F312" s="1158">
        <v>46160</v>
      </c>
      <c r="G312" s="1158">
        <v>46163</v>
      </c>
      <c r="H312" s="1967"/>
      <c r="I312" s="1967"/>
      <c r="J312" s="797" t="s">
        <v>29</v>
      </c>
      <c r="K312" s="1155" t="s">
        <v>554</v>
      </c>
    </row>
    <row r="313" spans="1:11" ht="18" customHeight="1">
      <c r="A313" s="1156">
        <v>74</v>
      </c>
      <c r="B313" s="1157" t="s">
        <v>166</v>
      </c>
      <c r="C313" s="965" t="s">
        <v>1175</v>
      </c>
      <c r="D313" s="1158" t="s">
        <v>42</v>
      </c>
      <c r="E313" s="1158" t="s">
        <v>1922</v>
      </c>
      <c r="F313" s="1158">
        <v>46155</v>
      </c>
      <c r="G313" s="1158">
        <v>46164</v>
      </c>
      <c r="H313" s="1967"/>
      <c r="I313" s="1967"/>
      <c r="J313" s="797" t="s">
        <v>29</v>
      </c>
      <c r="K313" s="1158" t="s">
        <v>555</v>
      </c>
    </row>
    <row r="314" spans="1:11" ht="18" customHeight="1">
      <c r="A314" s="1156">
        <v>75</v>
      </c>
      <c r="B314" s="1157" t="s">
        <v>46</v>
      </c>
      <c r="C314" s="965" t="s">
        <v>53</v>
      </c>
      <c r="D314" s="1158" t="s">
        <v>42</v>
      </c>
      <c r="E314" s="1158" t="s">
        <v>1186</v>
      </c>
      <c r="F314" s="1158">
        <v>46153</v>
      </c>
      <c r="G314" s="1158">
        <v>46165</v>
      </c>
      <c r="H314" s="1967"/>
      <c r="I314" s="1967"/>
      <c r="J314" s="797" t="s">
        <v>29</v>
      </c>
      <c r="K314" s="1158" t="s">
        <v>555</v>
      </c>
    </row>
    <row r="315" spans="1:11" ht="18" customHeight="1">
      <c r="A315" s="1156">
        <v>76</v>
      </c>
      <c r="B315" s="1157" t="s">
        <v>65</v>
      </c>
      <c r="C315" s="965" t="s">
        <v>1424</v>
      </c>
      <c r="D315" s="1158" t="s">
        <v>42</v>
      </c>
      <c r="E315" s="1158" t="s">
        <v>2039</v>
      </c>
      <c r="F315" s="1158">
        <v>46158</v>
      </c>
      <c r="G315" s="1158">
        <v>46167</v>
      </c>
      <c r="H315" s="1967"/>
      <c r="I315" s="1967"/>
      <c r="J315" s="797" t="s">
        <v>29</v>
      </c>
      <c r="K315" s="1155" t="s">
        <v>554</v>
      </c>
    </row>
    <row r="316" spans="1:11" ht="18" customHeight="1">
      <c r="A316" s="1157">
        <v>77</v>
      </c>
      <c r="B316" s="1157" t="s">
        <v>403</v>
      </c>
      <c r="C316" s="965" t="s">
        <v>34</v>
      </c>
      <c r="D316" s="1158" t="s">
        <v>42</v>
      </c>
      <c r="E316" s="1158" t="s">
        <v>30</v>
      </c>
      <c r="F316" s="1158">
        <v>46165</v>
      </c>
      <c r="G316" s="1158">
        <v>46173</v>
      </c>
      <c r="H316" s="1967"/>
      <c r="I316" s="1967"/>
      <c r="J316" s="797" t="s">
        <v>29</v>
      </c>
      <c r="K316" s="1155" t="s">
        <v>554</v>
      </c>
    </row>
    <row r="317" spans="1:11" ht="18" customHeight="1">
      <c r="A317" s="1157">
        <v>78</v>
      </c>
      <c r="B317" s="1157" t="s">
        <v>198</v>
      </c>
      <c r="C317" s="965" t="s">
        <v>34</v>
      </c>
      <c r="D317" s="1158" t="s">
        <v>42</v>
      </c>
      <c r="E317" s="1158" t="s">
        <v>1922</v>
      </c>
      <c r="F317" s="1158">
        <v>46165</v>
      </c>
      <c r="G317" s="1158">
        <v>46173</v>
      </c>
      <c r="H317" s="1967"/>
      <c r="I317" s="1967"/>
      <c r="J317" s="797" t="s">
        <v>29</v>
      </c>
      <c r="K317" s="1155" t="s">
        <v>554</v>
      </c>
    </row>
    <row r="318" spans="1:11" ht="18" customHeight="1">
      <c r="A318" s="1228">
        <v>79</v>
      </c>
      <c r="B318" s="965" t="s">
        <v>2064</v>
      </c>
      <c r="C318" s="1229" t="s">
        <v>50</v>
      </c>
      <c r="D318" s="1229" t="s">
        <v>42</v>
      </c>
      <c r="E318" s="1228" t="s">
        <v>1186</v>
      </c>
      <c r="F318" s="1158">
        <v>46167</v>
      </c>
      <c r="G318" s="1158">
        <v>46173</v>
      </c>
      <c r="H318" s="1967"/>
      <c r="I318" s="1967"/>
      <c r="J318" s="797" t="s">
        <v>29</v>
      </c>
      <c r="K318" s="1158" t="s">
        <v>555</v>
      </c>
    </row>
    <row r="319" spans="1:11" ht="18" customHeight="1">
      <c r="A319" s="1228">
        <v>80</v>
      </c>
      <c r="B319" s="965" t="s">
        <v>203</v>
      </c>
      <c r="C319" s="1229" t="s">
        <v>34</v>
      </c>
      <c r="D319" s="1229" t="s">
        <v>42</v>
      </c>
      <c r="E319" s="1228" t="s">
        <v>2039</v>
      </c>
      <c r="F319" s="1229">
        <v>46167</v>
      </c>
      <c r="G319" s="1229">
        <v>46173</v>
      </c>
      <c r="H319" s="1968"/>
      <c r="I319" s="1968"/>
      <c r="J319" s="797" t="s">
        <v>29</v>
      </c>
      <c r="K319" s="1155" t="s">
        <v>554</v>
      </c>
    </row>
    <row r="320" spans="1:11" ht="18" customHeight="1">
      <c r="A320" s="1228">
        <v>81</v>
      </c>
      <c r="B320" s="965" t="s">
        <v>399</v>
      </c>
      <c r="C320" s="1229" t="s">
        <v>48</v>
      </c>
      <c r="D320" s="1229" t="s">
        <v>42</v>
      </c>
      <c r="E320" s="1228" t="s">
        <v>30</v>
      </c>
      <c r="F320" s="1229">
        <v>46169</v>
      </c>
      <c r="G320" s="1229">
        <f>F320+9</f>
        <v>46178</v>
      </c>
      <c r="H320" s="1952" t="s">
        <v>2171</v>
      </c>
      <c r="I320" s="1952">
        <v>11</v>
      </c>
      <c r="J320" s="797" t="s">
        <v>29</v>
      </c>
      <c r="K320" s="1227" t="s">
        <v>554</v>
      </c>
    </row>
    <row r="321" spans="1:11" ht="18" customHeight="1">
      <c r="A321" s="1228">
        <v>82</v>
      </c>
      <c r="B321" s="965" t="s">
        <v>326</v>
      </c>
      <c r="C321" s="1229" t="s">
        <v>53</v>
      </c>
      <c r="D321" s="1229" t="s">
        <v>42</v>
      </c>
      <c r="E321" s="1228" t="s">
        <v>30</v>
      </c>
      <c r="F321" s="1229">
        <v>46178</v>
      </c>
      <c r="G321" s="1229">
        <f>F321+5</f>
        <v>46183</v>
      </c>
      <c r="H321" s="1952"/>
      <c r="I321" s="1952"/>
      <c r="J321" s="797" t="s">
        <v>29</v>
      </c>
      <c r="K321" s="1227" t="s">
        <v>554</v>
      </c>
    </row>
    <row r="322" spans="1:11" ht="18" customHeight="1">
      <c r="A322" s="1228">
        <v>83</v>
      </c>
      <c r="B322" s="965" t="s">
        <v>174</v>
      </c>
      <c r="C322" s="1229" t="s">
        <v>1181</v>
      </c>
      <c r="D322" s="1229" t="s">
        <v>42</v>
      </c>
      <c r="E322" s="1228" t="s">
        <v>1885</v>
      </c>
      <c r="F322" s="1229">
        <v>46178</v>
      </c>
      <c r="G322" s="1229">
        <f>F322+9</f>
        <v>46187</v>
      </c>
      <c r="H322" s="1952"/>
      <c r="I322" s="1952"/>
      <c r="J322" s="797" t="s">
        <v>29</v>
      </c>
      <c r="K322" s="1229" t="s">
        <v>555</v>
      </c>
    </row>
    <row r="323" spans="1:11" ht="18" customHeight="1">
      <c r="A323" s="1228">
        <v>84</v>
      </c>
      <c r="B323" s="965" t="s">
        <v>66</v>
      </c>
      <c r="C323" s="1229" t="s">
        <v>1181</v>
      </c>
      <c r="D323" s="1229" t="s">
        <v>42</v>
      </c>
      <c r="E323" s="1228" t="s">
        <v>30</v>
      </c>
      <c r="F323" s="1229">
        <v>46184</v>
      </c>
      <c r="G323" s="1229">
        <f>F323+5</f>
        <v>46189</v>
      </c>
      <c r="H323" s="1952"/>
      <c r="I323" s="1952"/>
      <c r="J323" s="797" t="s">
        <v>29</v>
      </c>
      <c r="K323" s="1229" t="s">
        <v>555</v>
      </c>
    </row>
    <row r="324" spans="1:11" ht="18" customHeight="1">
      <c r="A324" s="1228">
        <v>85</v>
      </c>
      <c r="B324" s="965" t="s">
        <v>213</v>
      </c>
      <c r="C324" s="1229" t="s">
        <v>1424</v>
      </c>
      <c r="D324" s="1229" t="s">
        <v>42</v>
      </c>
      <c r="E324" s="1228" t="s">
        <v>30</v>
      </c>
      <c r="F324" s="1229">
        <v>46190</v>
      </c>
      <c r="G324" s="1229">
        <f>F324+4</f>
        <v>46194</v>
      </c>
      <c r="H324" s="1952"/>
      <c r="I324" s="1952"/>
      <c r="J324" s="797" t="s">
        <v>29</v>
      </c>
      <c r="K324" s="1229" t="s">
        <v>555</v>
      </c>
    </row>
    <row r="325" spans="1:11" ht="18" customHeight="1">
      <c r="A325" s="1228">
        <v>86</v>
      </c>
      <c r="B325" s="965" t="s">
        <v>65</v>
      </c>
      <c r="C325" s="1229" t="s">
        <v>1181</v>
      </c>
      <c r="D325" s="1229" t="s">
        <v>42</v>
      </c>
      <c r="E325" s="1228" t="s">
        <v>30</v>
      </c>
      <c r="F325" s="1229">
        <v>46191</v>
      </c>
      <c r="G325" s="1229">
        <v>46197</v>
      </c>
      <c r="H325" s="1952"/>
      <c r="I325" s="1952"/>
      <c r="J325" s="797" t="s">
        <v>29</v>
      </c>
      <c r="K325" s="1229" t="s">
        <v>555</v>
      </c>
    </row>
    <row r="326" spans="1:11" ht="18" customHeight="1">
      <c r="A326" s="1228">
        <v>87</v>
      </c>
      <c r="B326" s="965" t="s">
        <v>67</v>
      </c>
      <c r="C326" s="1229" t="s">
        <v>1175</v>
      </c>
      <c r="D326" s="1229" t="s">
        <v>31</v>
      </c>
      <c r="E326" s="1228" t="s">
        <v>30</v>
      </c>
      <c r="F326" s="1229">
        <v>46194</v>
      </c>
      <c r="G326" s="1229">
        <v>46200</v>
      </c>
      <c r="H326" s="1952"/>
      <c r="I326" s="1952"/>
      <c r="J326" s="797" t="s">
        <v>29</v>
      </c>
      <c r="K326" s="1229" t="s">
        <v>555</v>
      </c>
    </row>
    <row r="327" spans="1:11" ht="18" customHeight="1">
      <c r="A327" s="1228">
        <v>88</v>
      </c>
      <c r="B327" s="965" t="s">
        <v>1858</v>
      </c>
      <c r="C327" s="1229" t="s">
        <v>1181</v>
      </c>
      <c r="D327" s="1229" t="s">
        <v>42</v>
      </c>
      <c r="E327" s="1228" t="s">
        <v>1885</v>
      </c>
      <c r="F327" s="1229">
        <v>46193</v>
      </c>
      <c r="G327" s="1229">
        <v>46200</v>
      </c>
      <c r="H327" s="1952"/>
      <c r="I327" s="1952"/>
      <c r="J327" s="797" t="s">
        <v>29</v>
      </c>
      <c r="K327" s="1227" t="s">
        <v>554</v>
      </c>
    </row>
    <row r="328" spans="1:11" ht="18" customHeight="1">
      <c r="A328" s="1228">
        <v>89</v>
      </c>
      <c r="B328" s="965" t="s">
        <v>55</v>
      </c>
      <c r="C328" s="1229" t="s">
        <v>1423</v>
      </c>
      <c r="D328" s="1229" t="s">
        <v>42</v>
      </c>
      <c r="E328" s="1228" t="s">
        <v>2039</v>
      </c>
      <c r="F328" s="1229">
        <v>46184</v>
      </c>
      <c r="G328" s="1229">
        <v>46203</v>
      </c>
      <c r="H328" s="1952"/>
      <c r="I328" s="1952"/>
      <c r="J328" s="797" t="s">
        <v>29</v>
      </c>
      <c r="K328" s="1229" t="s">
        <v>555</v>
      </c>
    </row>
    <row r="329" spans="1:11" ht="18" customHeight="1">
      <c r="A329" s="1228">
        <v>90</v>
      </c>
      <c r="B329" s="965" t="s">
        <v>356</v>
      </c>
      <c r="C329" s="1229" t="s">
        <v>2173</v>
      </c>
      <c r="D329" s="1229" t="s">
        <v>61</v>
      </c>
      <c r="E329" s="1228" t="s">
        <v>30</v>
      </c>
      <c r="F329" s="1229">
        <v>46200</v>
      </c>
      <c r="G329" s="1229">
        <v>46203</v>
      </c>
      <c r="H329" s="1952"/>
      <c r="I329" s="1952"/>
      <c r="J329" s="797" t="s">
        <v>29</v>
      </c>
      <c r="K329" s="1233" t="s">
        <v>554</v>
      </c>
    </row>
    <row r="330" spans="1:11" ht="18" customHeight="1">
      <c r="A330" s="1228">
        <v>91</v>
      </c>
      <c r="B330" s="965" t="s">
        <v>156</v>
      </c>
      <c r="C330" s="1229" t="s">
        <v>34</v>
      </c>
      <c r="D330" s="1229" t="s">
        <v>42</v>
      </c>
      <c r="E330" s="1228" t="s">
        <v>30</v>
      </c>
      <c r="F330" s="1229">
        <v>46200</v>
      </c>
      <c r="G330" s="1229">
        <v>46203</v>
      </c>
      <c r="H330" s="1952"/>
      <c r="I330" s="1952"/>
      <c r="J330" s="797" t="s">
        <v>29</v>
      </c>
      <c r="K330" s="1227" t="s">
        <v>554</v>
      </c>
    </row>
    <row r="331" spans="1:11" ht="18" customHeight="1">
      <c r="A331" s="690"/>
      <c r="B331" s="690"/>
      <c r="C331" s="690"/>
      <c r="D331" s="690"/>
      <c r="E331" s="690"/>
      <c r="F331" s="690"/>
      <c r="G331" s="690"/>
      <c r="H331" s="690"/>
      <c r="I331" s="690"/>
      <c r="J331" s="690"/>
      <c r="K331" s="690"/>
    </row>
    <row r="332" spans="1:11" ht="18" customHeight="1">
      <c r="A332" s="690"/>
      <c r="B332" s="690"/>
      <c r="C332" s="690"/>
      <c r="D332" s="690"/>
      <c r="E332" s="690"/>
      <c r="F332" s="690"/>
      <c r="G332" s="690"/>
      <c r="H332" s="690"/>
      <c r="I332" s="690"/>
      <c r="J332" s="690"/>
      <c r="K332" s="690"/>
    </row>
    <row r="333" spans="1:11" ht="18" customHeight="1">
      <c r="A333" s="690"/>
      <c r="B333" s="690"/>
      <c r="C333" s="690"/>
      <c r="D333" s="690"/>
      <c r="E333" s="690"/>
      <c r="F333" s="690"/>
      <c r="G333" s="690"/>
      <c r="H333" s="690"/>
      <c r="I333" s="690"/>
      <c r="J333" s="690"/>
      <c r="K333" s="690"/>
    </row>
    <row r="334" spans="1:11" ht="18" customHeight="1">
      <c r="A334" s="690"/>
      <c r="B334" s="690"/>
      <c r="C334" s="690"/>
      <c r="D334" s="690"/>
      <c r="E334" s="690"/>
      <c r="F334" s="690"/>
      <c r="G334" s="690"/>
      <c r="H334" s="690"/>
      <c r="I334" s="690"/>
      <c r="J334" s="690"/>
      <c r="K334" s="690"/>
    </row>
    <row r="335" spans="1:11" ht="18" customHeight="1">
      <c r="A335" s="690"/>
      <c r="B335" s="690"/>
      <c r="C335" s="690"/>
      <c r="D335" s="690"/>
      <c r="E335" s="690"/>
      <c r="F335" s="690"/>
      <c r="G335" s="690"/>
      <c r="H335" s="690"/>
      <c r="I335" s="690"/>
      <c r="J335" s="690"/>
      <c r="K335" s="690"/>
    </row>
    <row r="336" spans="1:11" ht="18" customHeight="1">
      <c r="A336" s="690"/>
      <c r="B336" s="690"/>
      <c r="C336" s="690"/>
      <c r="D336" s="690"/>
      <c r="E336" s="690"/>
      <c r="F336" s="690"/>
      <c r="G336" s="690"/>
      <c r="H336" s="690"/>
      <c r="I336" s="690"/>
      <c r="J336" s="690"/>
      <c r="K336" s="690"/>
    </row>
    <row r="337" spans="1:11" ht="18" customHeight="1">
      <c r="A337" s="690"/>
      <c r="B337" s="690"/>
      <c r="C337" s="690"/>
      <c r="D337" s="690"/>
      <c r="E337" s="690"/>
      <c r="F337" s="690"/>
      <c r="G337" s="690"/>
      <c r="H337" s="690"/>
      <c r="I337" s="690"/>
      <c r="J337" s="690"/>
      <c r="K337" s="690"/>
    </row>
    <row r="338" spans="1:11" ht="18" customHeight="1">
      <c r="A338" s="690"/>
      <c r="B338" s="690"/>
      <c r="C338" s="690"/>
      <c r="D338" s="690"/>
      <c r="E338" s="690"/>
      <c r="F338" s="690"/>
      <c r="G338" s="690"/>
      <c r="H338" s="690"/>
      <c r="I338" s="690"/>
      <c r="J338" s="690"/>
      <c r="K338" s="690"/>
    </row>
    <row r="339" spans="1:11" ht="18" customHeight="1">
      <c r="A339" s="690"/>
      <c r="B339" s="690"/>
      <c r="C339" s="690"/>
      <c r="D339" s="690"/>
      <c r="E339" s="690"/>
      <c r="F339" s="690"/>
      <c r="G339" s="690"/>
      <c r="H339" s="690"/>
      <c r="I339" s="690"/>
      <c r="J339" s="690"/>
      <c r="K339" s="690"/>
    </row>
    <row r="340" spans="1:11" ht="18" customHeight="1">
      <c r="A340" s="690"/>
      <c r="B340" s="690"/>
      <c r="C340" s="690"/>
      <c r="D340" s="690"/>
      <c r="E340" s="690"/>
      <c r="F340" s="690"/>
      <c r="G340" s="690"/>
      <c r="H340" s="690"/>
      <c r="I340" s="690"/>
      <c r="J340" s="690"/>
      <c r="K340" s="690"/>
    </row>
    <row r="341" spans="1:11" ht="18" customHeight="1">
      <c r="A341" s="690"/>
      <c r="B341" s="690"/>
      <c r="C341" s="690"/>
      <c r="D341" s="690"/>
      <c r="E341" s="690"/>
      <c r="F341" s="690"/>
      <c r="G341" s="690"/>
      <c r="H341" s="690"/>
      <c r="I341" s="690"/>
      <c r="J341" s="690"/>
      <c r="K341" s="690"/>
    </row>
    <row r="342" spans="1:11" ht="18" customHeight="1">
      <c r="A342" s="690"/>
      <c r="B342" s="690"/>
      <c r="C342" s="690"/>
      <c r="D342" s="690"/>
      <c r="E342" s="690"/>
      <c r="F342" s="690"/>
      <c r="G342" s="690"/>
      <c r="H342" s="690"/>
      <c r="I342" s="690"/>
      <c r="J342" s="690"/>
      <c r="K342" s="690"/>
    </row>
    <row r="343" spans="1:11" ht="18" customHeight="1">
      <c r="A343" s="690"/>
      <c r="B343" s="690"/>
      <c r="C343" s="690"/>
      <c r="D343" s="690"/>
      <c r="E343" s="690"/>
      <c r="F343" s="690"/>
      <c r="G343" s="690"/>
      <c r="H343" s="690"/>
      <c r="I343" s="690"/>
      <c r="J343" s="690"/>
      <c r="K343" s="690"/>
    </row>
    <row r="344" spans="1:11" ht="18" customHeight="1">
      <c r="A344" s="690"/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</row>
    <row r="345" spans="1:11" ht="18" customHeight="1">
      <c r="A345" s="690"/>
      <c r="B345" s="690"/>
      <c r="C345" s="690"/>
      <c r="D345" s="690"/>
      <c r="E345" s="690"/>
      <c r="F345" s="690"/>
      <c r="G345" s="690"/>
      <c r="H345" s="690"/>
      <c r="I345" s="690"/>
      <c r="J345" s="690"/>
      <c r="K345" s="690"/>
    </row>
    <row r="346" spans="1:11" ht="18" customHeight="1">
      <c r="A346" s="690"/>
      <c r="B346" s="690"/>
      <c r="C346" s="690"/>
      <c r="D346" s="690"/>
      <c r="E346" s="690"/>
      <c r="F346" s="690"/>
      <c r="G346" s="690"/>
      <c r="H346" s="690"/>
      <c r="I346" s="690"/>
      <c r="J346" s="690"/>
      <c r="K346" s="690"/>
    </row>
    <row r="347" spans="1:11" ht="18" customHeight="1">
      <c r="A347" s="690"/>
      <c r="B347" s="690"/>
      <c r="C347" s="690"/>
      <c r="D347" s="690"/>
      <c r="E347" s="690"/>
      <c r="F347" s="690"/>
      <c r="G347" s="690"/>
      <c r="H347" s="690"/>
      <c r="I347" s="690"/>
      <c r="J347" s="690"/>
      <c r="K347" s="690"/>
    </row>
    <row r="348" spans="1:11" ht="18" customHeight="1">
      <c r="A348" s="690"/>
      <c r="B348" s="690"/>
      <c r="C348" s="690"/>
      <c r="D348" s="690"/>
      <c r="E348" s="690"/>
      <c r="F348" s="690"/>
      <c r="G348" s="690"/>
      <c r="H348" s="690"/>
      <c r="I348" s="690"/>
      <c r="J348" s="690"/>
      <c r="K348" s="690"/>
    </row>
    <row r="349" spans="1:11" ht="18" customHeight="1">
      <c r="A349" s="690"/>
      <c r="B349" s="690"/>
      <c r="C349" s="690"/>
      <c r="D349" s="690"/>
      <c r="E349" s="690"/>
      <c r="F349" s="690"/>
      <c r="G349" s="690"/>
      <c r="H349" s="690"/>
      <c r="I349" s="690"/>
      <c r="J349" s="690"/>
      <c r="K349" s="690"/>
    </row>
    <row r="350" spans="1:11" ht="18" customHeight="1">
      <c r="A350" s="690"/>
      <c r="B350" s="690"/>
      <c r="C350" s="690"/>
      <c r="D350" s="690"/>
      <c r="E350" s="690"/>
      <c r="F350" s="690"/>
      <c r="G350" s="690"/>
      <c r="H350" s="690"/>
      <c r="I350" s="690"/>
      <c r="J350" s="690"/>
      <c r="K350" s="690"/>
    </row>
    <row r="351" spans="1:11" ht="18" customHeight="1">
      <c r="A351" s="690"/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</row>
    <row r="352" spans="1:11" ht="18" customHeight="1">
      <c r="A352" s="690"/>
      <c r="B352" s="690"/>
      <c r="C352" s="690"/>
      <c r="D352" s="690"/>
      <c r="E352" s="690"/>
      <c r="F352" s="690"/>
      <c r="G352" s="690"/>
      <c r="H352" s="690"/>
      <c r="I352" s="690"/>
      <c r="J352" s="690"/>
      <c r="K352" s="690"/>
    </row>
    <row r="353" spans="1:11" ht="18" customHeight="1">
      <c r="A353" s="690"/>
      <c r="B353" s="690"/>
      <c r="C353" s="690"/>
      <c r="D353" s="690"/>
      <c r="E353" s="690"/>
      <c r="F353" s="690"/>
      <c r="G353" s="690"/>
      <c r="H353" s="690"/>
      <c r="I353" s="690"/>
      <c r="J353" s="690"/>
      <c r="K353" s="690"/>
    </row>
    <row r="354" spans="1:11" ht="18" customHeight="1">
      <c r="A354" s="690"/>
      <c r="B354" s="690"/>
      <c r="C354" s="690"/>
      <c r="D354" s="690"/>
      <c r="E354" s="690"/>
      <c r="F354" s="690"/>
      <c r="G354" s="690"/>
      <c r="H354" s="690"/>
      <c r="I354" s="690"/>
      <c r="J354" s="690"/>
      <c r="K354" s="690"/>
    </row>
    <row r="355" spans="1:11" ht="18" customHeight="1">
      <c r="A355" s="690"/>
      <c r="B355" s="690"/>
      <c r="C355" s="690"/>
      <c r="D355" s="690"/>
      <c r="E355" s="690"/>
      <c r="F355" s="690"/>
      <c r="G355" s="690"/>
      <c r="H355" s="690"/>
      <c r="I355" s="690"/>
      <c r="J355" s="690"/>
      <c r="K355" s="690"/>
    </row>
    <row r="356" spans="1:11" ht="18" customHeight="1">
      <c r="A356" s="690"/>
      <c r="B356" s="690"/>
      <c r="C356" s="690"/>
      <c r="D356" s="690"/>
      <c r="E356" s="690"/>
      <c r="F356" s="690"/>
      <c r="G356" s="690"/>
      <c r="H356" s="690"/>
      <c r="I356" s="690"/>
      <c r="J356" s="690"/>
      <c r="K356" s="690"/>
    </row>
    <row r="357" spans="1:11" ht="18" customHeight="1">
      <c r="A357" s="690"/>
      <c r="B357" s="690"/>
      <c r="C357" s="690"/>
      <c r="D357" s="690"/>
      <c r="E357" s="690"/>
      <c r="F357" s="690"/>
      <c r="G357" s="690"/>
      <c r="H357" s="690"/>
      <c r="I357" s="690"/>
      <c r="J357" s="690"/>
      <c r="K357" s="690"/>
    </row>
    <row r="358" spans="1:11" ht="18" customHeight="1">
      <c r="A358" s="690"/>
      <c r="B358" s="690"/>
      <c r="C358" s="690"/>
      <c r="D358" s="690"/>
      <c r="E358" s="690"/>
      <c r="F358" s="690"/>
      <c r="G358" s="690"/>
      <c r="H358" s="690"/>
      <c r="I358" s="690"/>
      <c r="J358" s="690"/>
      <c r="K358" s="690"/>
    </row>
    <row r="359" spans="1:11" ht="18" customHeight="1">
      <c r="A359" s="690"/>
      <c r="B359" s="690"/>
      <c r="C359" s="690"/>
      <c r="D359" s="690"/>
      <c r="E359" s="690"/>
      <c r="F359" s="690"/>
      <c r="G359" s="690"/>
      <c r="H359" s="690"/>
      <c r="I359" s="690"/>
      <c r="J359" s="690"/>
      <c r="K359" s="690"/>
    </row>
    <row r="360" spans="1:11" ht="18" customHeight="1">
      <c r="A360" s="690"/>
      <c r="B360" s="690"/>
      <c r="C360" s="690"/>
      <c r="D360" s="690"/>
      <c r="E360" s="690"/>
      <c r="F360" s="690"/>
      <c r="G360" s="690"/>
      <c r="H360" s="690"/>
      <c r="I360" s="690"/>
      <c r="J360" s="690"/>
      <c r="K360" s="690"/>
    </row>
    <row r="361" spans="1:11" ht="18" customHeight="1">
      <c r="A361" s="690"/>
      <c r="B361" s="690"/>
      <c r="C361" s="690"/>
      <c r="D361" s="690"/>
      <c r="E361" s="690"/>
      <c r="F361" s="690"/>
      <c r="G361" s="690"/>
      <c r="H361" s="690"/>
      <c r="I361" s="690"/>
      <c r="J361" s="690"/>
      <c r="K361" s="690"/>
    </row>
    <row r="362" spans="1:11" ht="18" customHeight="1">
      <c r="A362" s="690"/>
      <c r="B362" s="690"/>
      <c r="C362" s="690"/>
      <c r="D362" s="690"/>
      <c r="E362" s="690"/>
      <c r="F362" s="690"/>
      <c r="G362" s="690"/>
      <c r="H362" s="690"/>
      <c r="I362" s="690"/>
      <c r="J362" s="690"/>
      <c r="K362" s="690"/>
    </row>
    <row r="363" spans="1:11" ht="18" customHeight="1">
      <c r="A363" s="690"/>
      <c r="B363" s="690"/>
      <c r="C363" s="690"/>
      <c r="D363" s="690"/>
      <c r="E363" s="690"/>
      <c r="F363" s="690"/>
      <c r="G363" s="690"/>
      <c r="H363" s="690"/>
      <c r="I363" s="690"/>
      <c r="J363" s="690"/>
      <c r="K363" s="690"/>
    </row>
    <row r="364" spans="1:11" ht="18" customHeight="1">
      <c r="A364" s="690"/>
      <c r="B364" s="690"/>
      <c r="C364" s="690"/>
      <c r="D364" s="690"/>
      <c r="E364" s="690"/>
      <c r="F364" s="690"/>
      <c r="G364" s="690"/>
      <c r="H364" s="690"/>
      <c r="I364" s="690"/>
      <c r="J364" s="690"/>
      <c r="K364" s="690"/>
    </row>
    <row r="365" spans="1:11" ht="18" customHeight="1">
      <c r="A365" s="690"/>
      <c r="B365" s="690"/>
      <c r="C365" s="690"/>
      <c r="D365" s="690"/>
      <c r="E365" s="690"/>
      <c r="F365" s="690"/>
      <c r="G365" s="690"/>
      <c r="H365" s="690"/>
      <c r="I365" s="690"/>
      <c r="J365" s="690"/>
      <c r="K365" s="690"/>
    </row>
    <row r="366" spans="1:11" ht="18" customHeight="1">
      <c r="A366" s="690"/>
      <c r="B366" s="690"/>
      <c r="C366" s="690"/>
      <c r="D366" s="690"/>
      <c r="E366" s="690"/>
      <c r="F366" s="690"/>
      <c r="G366" s="690"/>
      <c r="H366" s="690"/>
      <c r="I366" s="690"/>
      <c r="J366" s="690"/>
      <c r="K366" s="690"/>
    </row>
    <row r="367" spans="1:11" ht="18" customHeight="1">
      <c r="A367" s="690"/>
      <c r="B367" s="690"/>
      <c r="C367" s="690"/>
      <c r="D367" s="690"/>
      <c r="E367" s="690"/>
      <c r="F367" s="690"/>
      <c r="G367" s="690"/>
      <c r="H367" s="690"/>
      <c r="I367" s="690"/>
      <c r="J367" s="690"/>
      <c r="K367" s="690"/>
    </row>
    <row r="368" spans="1:11" ht="18" customHeight="1">
      <c r="A368" s="690"/>
      <c r="B368" s="690"/>
      <c r="C368" s="690"/>
      <c r="D368" s="690"/>
      <c r="E368" s="690"/>
      <c r="F368" s="690"/>
      <c r="G368" s="690"/>
      <c r="H368" s="690"/>
      <c r="I368" s="690"/>
      <c r="J368" s="690"/>
      <c r="K368" s="690"/>
    </row>
    <row r="369" spans="1:11" ht="18" customHeight="1">
      <c r="A369" s="690"/>
      <c r="B369" s="690"/>
      <c r="C369" s="690"/>
      <c r="D369" s="690"/>
      <c r="E369" s="690"/>
      <c r="F369" s="690"/>
      <c r="G369" s="690"/>
      <c r="H369" s="690"/>
      <c r="I369" s="690"/>
      <c r="J369" s="690"/>
      <c r="K369" s="690"/>
    </row>
    <row r="370" spans="1:11" ht="18" customHeight="1">
      <c r="A370" s="690"/>
      <c r="B370" s="690"/>
      <c r="C370" s="690"/>
      <c r="D370" s="690"/>
      <c r="E370" s="690"/>
      <c r="F370" s="690"/>
      <c r="G370" s="690"/>
      <c r="H370" s="690"/>
      <c r="I370" s="690"/>
      <c r="J370" s="690"/>
      <c r="K370" s="690"/>
    </row>
    <row r="371" spans="1:11" ht="18" customHeight="1">
      <c r="A371" s="690"/>
      <c r="B371" s="690"/>
      <c r="C371" s="690"/>
      <c r="D371" s="690"/>
      <c r="E371" s="690"/>
      <c r="F371" s="690"/>
      <c r="G371" s="690"/>
      <c r="H371" s="690"/>
      <c r="I371" s="690"/>
      <c r="J371" s="690"/>
      <c r="K371" s="690"/>
    </row>
    <row r="372" spans="1:11" ht="18" customHeight="1">
      <c r="A372" s="690"/>
      <c r="B372" s="690"/>
      <c r="C372" s="690"/>
      <c r="D372" s="690"/>
      <c r="E372" s="690"/>
      <c r="F372" s="690"/>
      <c r="G372" s="690"/>
      <c r="H372" s="690"/>
      <c r="I372" s="690"/>
      <c r="J372" s="690"/>
      <c r="K372" s="690"/>
    </row>
    <row r="373" spans="1:11" ht="18" customHeight="1">
      <c r="A373" s="690"/>
      <c r="B373" s="690"/>
      <c r="C373" s="690"/>
      <c r="D373" s="690"/>
      <c r="E373" s="690"/>
      <c r="F373" s="690"/>
      <c r="G373" s="690"/>
      <c r="H373" s="690"/>
      <c r="I373" s="690"/>
      <c r="J373" s="690"/>
      <c r="K373" s="690"/>
    </row>
    <row r="374" spans="1:11" ht="18" customHeight="1">
      <c r="A374" s="690"/>
      <c r="B374" s="690"/>
      <c r="C374" s="690"/>
      <c r="D374" s="690"/>
      <c r="E374" s="690"/>
      <c r="F374" s="690"/>
      <c r="G374" s="690"/>
      <c r="H374" s="690"/>
      <c r="I374" s="690"/>
      <c r="J374" s="690"/>
      <c r="K374" s="690"/>
    </row>
    <row r="375" spans="1:11" ht="18" customHeight="1">
      <c r="A375" s="690"/>
      <c r="B375" s="690"/>
      <c r="C375" s="690"/>
      <c r="D375" s="690"/>
      <c r="E375" s="690"/>
      <c r="F375" s="690"/>
      <c r="G375" s="690"/>
      <c r="H375" s="690"/>
      <c r="I375" s="690"/>
      <c r="J375" s="690"/>
      <c r="K375" s="690"/>
    </row>
    <row r="376" spans="1:11" ht="18" customHeight="1">
      <c r="A376" s="690"/>
      <c r="B376" s="690"/>
      <c r="C376" s="690"/>
      <c r="D376" s="690"/>
      <c r="E376" s="690"/>
      <c r="F376" s="690"/>
      <c r="G376" s="690"/>
      <c r="H376" s="690"/>
      <c r="I376" s="690"/>
      <c r="J376" s="690"/>
      <c r="K376" s="690"/>
    </row>
    <row r="377" spans="1:11" ht="18" customHeight="1">
      <c r="A377" s="690"/>
      <c r="B377" s="690"/>
      <c r="C377" s="690"/>
      <c r="D377" s="690"/>
      <c r="E377" s="690"/>
      <c r="F377" s="690"/>
      <c r="G377" s="690"/>
      <c r="H377" s="690"/>
      <c r="I377" s="690"/>
      <c r="J377" s="690"/>
      <c r="K377" s="690"/>
    </row>
    <row r="378" spans="1:11" ht="18" customHeight="1">
      <c r="A378" s="690"/>
      <c r="B378" s="690"/>
      <c r="C378" s="690"/>
      <c r="D378" s="690"/>
      <c r="E378" s="690"/>
      <c r="F378" s="690"/>
      <c r="G378" s="690"/>
      <c r="H378" s="690"/>
      <c r="I378" s="690"/>
      <c r="J378" s="690"/>
      <c r="K378" s="690"/>
    </row>
    <row r="379" spans="1:11" ht="18" customHeight="1">
      <c r="A379" s="690"/>
      <c r="B379" s="690"/>
      <c r="C379" s="690"/>
      <c r="D379" s="690"/>
      <c r="E379" s="690"/>
      <c r="F379" s="690"/>
      <c r="G379" s="690"/>
      <c r="H379" s="690"/>
      <c r="I379" s="690"/>
      <c r="J379" s="690"/>
      <c r="K379" s="690"/>
    </row>
    <row r="380" spans="1:11" ht="18" customHeight="1">
      <c r="A380" s="690"/>
      <c r="B380" s="690"/>
      <c r="C380" s="690"/>
      <c r="D380" s="690"/>
      <c r="E380" s="690"/>
      <c r="F380" s="690"/>
      <c r="G380" s="690"/>
      <c r="H380" s="690"/>
      <c r="I380" s="690"/>
      <c r="J380" s="690"/>
      <c r="K380" s="690"/>
    </row>
    <row r="381" spans="1:11" ht="18" customHeight="1">
      <c r="A381" s="690"/>
      <c r="B381" s="690"/>
      <c r="C381" s="690"/>
      <c r="D381" s="690"/>
      <c r="E381" s="690"/>
      <c r="F381" s="690"/>
      <c r="G381" s="690"/>
      <c r="H381" s="690"/>
      <c r="I381" s="690"/>
      <c r="J381" s="690"/>
      <c r="K381" s="690"/>
    </row>
    <row r="382" spans="1:11" ht="18" customHeight="1">
      <c r="A382" s="690"/>
      <c r="B382" s="690"/>
      <c r="C382" s="690"/>
      <c r="D382" s="690"/>
      <c r="E382" s="690"/>
      <c r="F382" s="690"/>
      <c r="G382" s="690"/>
      <c r="H382" s="690"/>
      <c r="I382" s="690"/>
      <c r="J382" s="690"/>
      <c r="K382" s="690"/>
    </row>
    <row r="383" spans="1:11" ht="18" customHeight="1">
      <c r="A383" s="690"/>
      <c r="B383" s="690"/>
      <c r="C383" s="690"/>
      <c r="D383" s="690"/>
      <c r="E383" s="690"/>
      <c r="F383" s="690"/>
      <c r="G383" s="690"/>
      <c r="H383" s="690"/>
      <c r="I383" s="690"/>
      <c r="J383" s="690"/>
      <c r="K383" s="690"/>
    </row>
    <row r="384" spans="1:11" ht="18" customHeight="1">
      <c r="A384" s="690"/>
      <c r="B384" s="690"/>
      <c r="C384" s="690"/>
      <c r="D384" s="690"/>
      <c r="E384" s="690"/>
      <c r="F384" s="690"/>
      <c r="G384" s="690"/>
      <c r="H384" s="690"/>
      <c r="I384" s="690"/>
      <c r="J384" s="690"/>
      <c r="K384" s="690"/>
    </row>
    <row r="385" spans="1:11" ht="15.75" customHeight="1">
      <c r="A385" s="693"/>
      <c r="B385" s="693"/>
      <c r="C385" s="693"/>
      <c r="D385" s="693"/>
      <c r="E385" s="693"/>
      <c r="F385" s="693"/>
      <c r="G385" s="693"/>
      <c r="H385" s="693"/>
      <c r="I385" s="693"/>
      <c r="J385" s="693"/>
      <c r="K385" s="693"/>
    </row>
    <row r="386" spans="1:11" ht="15.75" customHeight="1">
      <c r="A386" s="693"/>
      <c r="B386" s="693"/>
      <c r="C386" s="693"/>
      <c r="D386" s="693"/>
      <c r="E386" s="693"/>
      <c r="F386" s="693"/>
      <c r="G386" s="693"/>
      <c r="H386" s="693"/>
      <c r="I386" s="693"/>
      <c r="J386" s="693"/>
      <c r="K386" s="693"/>
    </row>
    <row r="387" spans="1:11" ht="15.75" customHeight="1">
      <c r="A387" s="693"/>
      <c r="B387" s="693"/>
      <c r="C387" s="693"/>
      <c r="D387" s="693"/>
      <c r="E387" s="693"/>
      <c r="F387" s="693"/>
      <c r="G387" s="693"/>
      <c r="H387" s="693"/>
      <c r="I387" s="693"/>
      <c r="J387" s="693"/>
      <c r="K387" s="693"/>
    </row>
    <row r="388" spans="1:11" ht="15.75" customHeight="1">
      <c r="A388" s="693"/>
      <c r="B388" s="693"/>
      <c r="C388" s="693"/>
      <c r="D388" s="693"/>
      <c r="E388" s="693"/>
      <c r="F388" s="693"/>
      <c r="G388" s="693"/>
      <c r="H388" s="693"/>
      <c r="I388" s="693"/>
      <c r="J388" s="693"/>
      <c r="K388" s="693"/>
    </row>
    <row r="389" spans="1:11" ht="15.75" customHeight="1">
      <c r="A389" s="693"/>
      <c r="B389" s="693"/>
      <c r="C389" s="693"/>
      <c r="D389" s="693"/>
      <c r="E389" s="693"/>
      <c r="F389" s="693"/>
      <c r="G389" s="693"/>
      <c r="H389" s="693"/>
      <c r="I389" s="693"/>
      <c r="J389" s="693"/>
      <c r="K389" s="693"/>
    </row>
    <row r="390" spans="1:11" ht="15.75" customHeight="1">
      <c r="A390" s="693"/>
      <c r="B390" s="693"/>
      <c r="C390" s="693"/>
      <c r="D390" s="693"/>
      <c r="E390" s="693"/>
      <c r="F390" s="693"/>
      <c r="G390" s="693"/>
      <c r="H390" s="693"/>
      <c r="I390" s="693"/>
      <c r="J390" s="693"/>
      <c r="K390" s="693"/>
    </row>
    <row r="391" spans="1:11" ht="15.75" customHeight="1">
      <c r="A391" s="693"/>
      <c r="B391" s="693"/>
      <c r="C391" s="693"/>
      <c r="D391" s="693"/>
      <c r="E391" s="693"/>
      <c r="F391" s="693"/>
      <c r="G391" s="693"/>
      <c r="H391" s="693"/>
      <c r="I391" s="693"/>
      <c r="J391" s="693"/>
      <c r="K391" s="693"/>
    </row>
    <row r="392" spans="1:11" ht="15.75" customHeight="1">
      <c r="A392" s="693"/>
      <c r="B392" s="693"/>
      <c r="C392" s="693"/>
      <c r="D392" s="693"/>
      <c r="E392" s="693"/>
      <c r="F392" s="693"/>
      <c r="G392" s="693"/>
      <c r="H392" s="693"/>
      <c r="I392" s="693"/>
      <c r="J392" s="693"/>
      <c r="K392" s="693"/>
    </row>
    <row r="393" spans="1:11" ht="15.75" customHeight="1">
      <c r="A393" s="693"/>
      <c r="B393" s="693"/>
      <c r="C393" s="693"/>
      <c r="D393" s="693"/>
      <c r="E393" s="693"/>
      <c r="F393" s="693"/>
      <c r="G393" s="693"/>
      <c r="H393" s="693"/>
      <c r="I393" s="693"/>
      <c r="J393" s="693"/>
      <c r="K393" s="693"/>
    </row>
    <row r="394" spans="1:11" ht="15.75" customHeight="1">
      <c r="A394" s="693"/>
      <c r="B394" s="693"/>
      <c r="C394" s="693"/>
      <c r="D394" s="693"/>
      <c r="E394" s="693"/>
      <c r="F394" s="693"/>
      <c r="G394" s="693"/>
      <c r="H394" s="693"/>
      <c r="I394" s="693"/>
      <c r="J394" s="693"/>
      <c r="K394" s="693"/>
    </row>
    <row r="395" spans="1:11" ht="15.75" customHeight="1">
      <c r="A395" s="693"/>
      <c r="B395" s="693"/>
      <c r="C395" s="693"/>
      <c r="D395" s="693"/>
      <c r="E395" s="693"/>
      <c r="F395" s="693"/>
      <c r="G395" s="693"/>
      <c r="H395" s="693"/>
      <c r="I395" s="693"/>
      <c r="J395" s="693"/>
      <c r="K395" s="693"/>
    </row>
    <row r="396" spans="1:11" ht="15.75" customHeight="1">
      <c r="A396" s="693"/>
      <c r="B396" s="693"/>
      <c r="C396" s="693"/>
      <c r="D396" s="693"/>
      <c r="E396" s="693"/>
      <c r="F396" s="693"/>
      <c r="G396" s="693"/>
      <c r="H396" s="693"/>
      <c r="I396" s="693"/>
      <c r="J396" s="693"/>
      <c r="K396" s="693"/>
    </row>
    <row r="397" spans="1:11" ht="15.75" customHeight="1">
      <c r="A397" s="693"/>
      <c r="B397" s="693"/>
      <c r="C397" s="693"/>
      <c r="D397" s="693"/>
      <c r="E397" s="693"/>
      <c r="F397" s="693"/>
      <c r="G397" s="693"/>
      <c r="H397" s="693"/>
      <c r="I397" s="693"/>
      <c r="J397" s="693"/>
      <c r="K397" s="693"/>
    </row>
    <row r="398" spans="1:11" ht="15.75" customHeight="1">
      <c r="A398" s="693"/>
      <c r="B398" s="693"/>
      <c r="C398" s="693"/>
      <c r="D398" s="693"/>
      <c r="E398" s="693"/>
      <c r="F398" s="693"/>
      <c r="G398" s="693"/>
      <c r="H398" s="693"/>
      <c r="I398" s="693"/>
      <c r="J398" s="693"/>
      <c r="K398" s="693"/>
    </row>
    <row r="399" spans="1:11" ht="15.75" customHeight="1">
      <c r="A399" s="693"/>
      <c r="B399" s="693"/>
      <c r="C399" s="693"/>
      <c r="D399" s="693"/>
      <c r="E399" s="693"/>
      <c r="F399" s="693"/>
      <c r="G399" s="693"/>
      <c r="H399" s="693"/>
      <c r="I399" s="693"/>
      <c r="J399" s="693"/>
      <c r="K399" s="693"/>
    </row>
    <row r="400" spans="1:11" ht="15.75" customHeight="1">
      <c r="A400" s="693"/>
      <c r="B400" s="693"/>
      <c r="C400" s="693"/>
      <c r="D400" s="693"/>
      <c r="E400" s="693"/>
      <c r="F400" s="693"/>
      <c r="G400" s="693"/>
      <c r="H400" s="693"/>
      <c r="I400" s="693"/>
      <c r="J400" s="693"/>
      <c r="K400" s="693"/>
    </row>
    <row r="401" spans="1:11" ht="15.75" customHeight="1">
      <c r="A401" s="693"/>
      <c r="B401" s="693"/>
      <c r="C401" s="693"/>
      <c r="D401" s="693"/>
      <c r="E401" s="693"/>
      <c r="F401" s="693"/>
      <c r="G401" s="693"/>
      <c r="H401" s="693"/>
      <c r="I401" s="693"/>
      <c r="J401" s="693"/>
      <c r="K401" s="693"/>
    </row>
    <row r="402" spans="1:11" ht="15.75" customHeight="1">
      <c r="A402" s="693"/>
      <c r="B402" s="693"/>
      <c r="C402" s="693"/>
      <c r="D402" s="693"/>
      <c r="E402" s="693"/>
      <c r="F402" s="693"/>
      <c r="G402" s="693"/>
      <c r="H402" s="693"/>
      <c r="I402" s="693"/>
      <c r="J402" s="693"/>
      <c r="K402" s="693"/>
    </row>
    <row r="403" spans="1:11" ht="15.75" customHeight="1">
      <c r="A403" s="693"/>
      <c r="B403" s="693"/>
      <c r="C403" s="693"/>
      <c r="D403" s="693"/>
      <c r="E403" s="693"/>
      <c r="F403" s="693"/>
      <c r="G403" s="693"/>
      <c r="H403" s="693"/>
      <c r="I403" s="693"/>
      <c r="J403" s="693"/>
      <c r="K403" s="693"/>
    </row>
    <row r="404" spans="1:11" ht="15.75" customHeight="1">
      <c r="A404" s="693"/>
      <c r="B404" s="693"/>
      <c r="C404" s="693"/>
      <c r="D404" s="693"/>
      <c r="E404" s="693"/>
      <c r="F404" s="693"/>
      <c r="G404" s="693"/>
      <c r="H404" s="693"/>
      <c r="I404" s="693"/>
      <c r="J404" s="693"/>
      <c r="K404" s="693"/>
    </row>
    <row r="405" spans="1:11" ht="15.75" customHeight="1">
      <c r="A405" s="693"/>
      <c r="B405" s="693"/>
      <c r="C405" s="693"/>
      <c r="D405" s="693"/>
      <c r="E405" s="693"/>
      <c r="F405" s="693"/>
      <c r="G405" s="693"/>
      <c r="H405" s="693"/>
      <c r="I405" s="693"/>
      <c r="J405" s="693"/>
      <c r="K405" s="693"/>
    </row>
    <row r="406" spans="1:11" ht="15.75" customHeight="1">
      <c r="A406" s="693"/>
      <c r="B406" s="693"/>
      <c r="C406" s="693"/>
      <c r="D406" s="693"/>
      <c r="E406" s="693"/>
      <c r="F406" s="693"/>
      <c r="G406" s="693"/>
      <c r="H406" s="693"/>
      <c r="I406" s="693"/>
      <c r="J406" s="693"/>
      <c r="K406" s="693"/>
    </row>
    <row r="407" spans="1:11" ht="15.75" customHeight="1">
      <c r="A407" s="693"/>
      <c r="B407" s="693"/>
      <c r="C407" s="693"/>
      <c r="D407" s="693"/>
      <c r="E407" s="693"/>
      <c r="F407" s="693"/>
      <c r="G407" s="693"/>
      <c r="H407" s="693"/>
      <c r="I407" s="693"/>
      <c r="J407" s="693"/>
      <c r="K407" s="693"/>
    </row>
    <row r="408" spans="1:11" ht="15.75" customHeight="1">
      <c r="A408" s="693"/>
      <c r="B408" s="693"/>
      <c r="C408" s="693"/>
      <c r="D408" s="693"/>
      <c r="E408" s="693"/>
      <c r="F408" s="693"/>
      <c r="G408" s="693"/>
      <c r="H408" s="693"/>
      <c r="I408" s="693"/>
      <c r="J408" s="693"/>
      <c r="K408" s="693"/>
    </row>
    <row r="409" spans="1:11" ht="15.75" customHeight="1">
      <c r="A409" s="693"/>
      <c r="B409" s="693"/>
      <c r="C409" s="693"/>
      <c r="D409" s="693"/>
      <c r="E409" s="693"/>
      <c r="F409" s="693"/>
      <c r="G409" s="693"/>
      <c r="H409" s="693"/>
      <c r="I409" s="693"/>
      <c r="J409" s="693"/>
      <c r="K409" s="693"/>
    </row>
    <row r="410" spans="1:11" ht="15.75" customHeight="1">
      <c r="A410" s="693"/>
      <c r="B410" s="693"/>
      <c r="C410" s="693"/>
      <c r="D410" s="693"/>
      <c r="E410" s="693"/>
      <c r="F410" s="693"/>
      <c r="G410" s="693"/>
      <c r="H410" s="693"/>
      <c r="I410" s="693"/>
      <c r="J410" s="693"/>
      <c r="K410" s="693"/>
    </row>
    <row r="411" spans="1:11" ht="15.75" customHeight="1">
      <c r="A411" s="693"/>
      <c r="B411" s="693"/>
      <c r="C411" s="693"/>
      <c r="D411" s="693"/>
      <c r="E411" s="693"/>
      <c r="F411" s="693"/>
      <c r="G411" s="693"/>
      <c r="H411" s="693"/>
      <c r="I411" s="693"/>
      <c r="J411" s="693"/>
      <c r="K411" s="693"/>
    </row>
    <row r="412" spans="1:11" ht="15.75" customHeight="1"/>
    <row r="413" spans="1:11" ht="15.75" customHeight="1"/>
    <row r="414" spans="1:11" ht="15.75" customHeight="1"/>
    <row r="415" spans="1:11" ht="15.75" customHeight="1"/>
    <row r="416" spans="1:1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</sheetData>
  <autoFilter ref="A2:L199"/>
  <mergeCells count="49">
    <mergeCell ref="H320:H330"/>
    <mergeCell ref="I320:I330"/>
    <mergeCell ref="H305:H319"/>
    <mergeCell ref="I305:I319"/>
    <mergeCell ref="H225:H230"/>
    <mergeCell ref="I225:I230"/>
    <mergeCell ref="H133:H166"/>
    <mergeCell ref="I133:I166"/>
    <mergeCell ref="I212:I216"/>
    <mergeCell ref="H285:H304"/>
    <mergeCell ref="I285:I304"/>
    <mergeCell ref="H222:H224"/>
    <mergeCell ref="I222:I224"/>
    <mergeCell ref="H167:H199"/>
    <mergeCell ref="I167:I199"/>
    <mergeCell ref="H231:H234"/>
    <mergeCell ref="I231:I234"/>
    <mergeCell ref="H38:H45"/>
    <mergeCell ref="I38:I45"/>
    <mergeCell ref="H76:H99"/>
    <mergeCell ref="I76:I99"/>
    <mergeCell ref="H277:H284"/>
    <mergeCell ref="I277:I284"/>
    <mergeCell ref="I265:I276"/>
    <mergeCell ref="H265:H276"/>
    <mergeCell ref="H241:H249"/>
    <mergeCell ref="I241:I249"/>
    <mergeCell ref="H250:H264"/>
    <mergeCell ref="I250:I264"/>
    <mergeCell ref="A237:K237"/>
    <mergeCell ref="I217:I221"/>
    <mergeCell ref="H217:H221"/>
    <mergeCell ref="H212:H216"/>
    <mergeCell ref="A1:K1"/>
    <mergeCell ref="A207:K207"/>
    <mergeCell ref="H210:H211"/>
    <mergeCell ref="I210:I211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  <mergeCell ref="H46:H75"/>
    <mergeCell ref="I46:I75"/>
  </mergeCells>
  <phoneticPr fontId="65" type="noConversion"/>
  <conditionalFormatting sqref="B2">
    <cfRule type="duplicateValues" dxfId="96" priority="94"/>
  </conditionalFormatting>
  <conditionalFormatting sqref="B208">
    <cfRule type="duplicateValues" dxfId="95" priority="93"/>
  </conditionalFormatting>
  <conditionalFormatting sqref="B238">
    <cfRule type="duplicateValues" dxfId="94" priority="92"/>
  </conditionalFormatting>
  <conditionalFormatting sqref="J4:J59 J72:J79 J200:J204 J210:J236">
    <cfRule type="containsText" dxfId="93" priority="79" operator="containsText" text="Completed">
      <formula>NOT(ISERROR(SEARCH("Completed",J4)))</formula>
    </cfRule>
  </conditionalFormatting>
  <conditionalFormatting sqref="J240:J273">
    <cfRule type="containsText" dxfId="92" priority="88" operator="containsText" text="Completed">
      <formula>NOT(ISERROR(SEARCH("Completed",J240)))</formula>
    </cfRule>
  </conditionalFormatting>
  <conditionalFormatting sqref="K7:K19">
    <cfRule type="containsText" dxfId="91" priority="124" operator="containsText" text="WIP">
      <formula>NOT(ISERROR(SEARCH(("WIP"),(K7))))</formula>
    </cfRule>
    <cfRule type="containsText" dxfId="90" priority="125" operator="containsText" text="ROW">
      <formula>NOT(ISERROR(SEARCH(("ROW"),(K7))))</formula>
    </cfRule>
    <cfRule type="containsText" dxfId="89" priority="126" operator="containsText" text="cOMPLETED">
      <formula>NOT(ISERROR(SEARCH(("cOMPLETED"),(K7))))</formula>
    </cfRule>
  </conditionalFormatting>
  <conditionalFormatting sqref="J60:J64">
    <cfRule type="containsText" dxfId="88" priority="78" operator="containsText" text="Completed">
      <formula>NOT(ISERROR(SEARCH("Completed",J60)))</formula>
    </cfRule>
  </conditionalFormatting>
  <conditionalFormatting sqref="J65:J66">
    <cfRule type="containsText" dxfId="87" priority="77" operator="containsText" text="Completed">
      <formula>NOT(ISERROR(SEARCH("Completed",J65)))</formula>
    </cfRule>
  </conditionalFormatting>
  <conditionalFormatting sqref="J67">
    <cfRule type="containsText" dxfId="86" priority="76" operator="containsText" text="Completed">
      <formula>NOT(ISERROR(SEARCH("Completed",J67)))</formula>
    </cfRule>
  </conditionalFormatting>
  <conditionalFormatting sqref="J68:J71">
    <cfRule type="containsText" dxfId="85" priority="75" operator="containsText" text="Completed">
      <formula>NOT(ISERROR(SEARCH("Completed",J68)))</formula>
    </cfRule>
  </conditionalFormatting>
  <conditionalFormatting sqref="J274">
    <cfRule type="containsText" dxfId="84" priority="73" operator="containsText" text="Completed">
      <formula>NOT(ISERROR(SEARCH("Completed",J274)))</formula>
    </cfRule>
  </conditionalFormatting>
  <conditionalFormatting sqref="J275">
    <cfRule type="containsText" dxfId="83" priority="72" operator="containsText" text="Completed">
      <formula>NOT(ISERROR(SEARCH("Completed",J275)))</formula>
    </cfRule>
  </conditionalFormatting>
  <conditionalFormatting sqref="J276">
    <cfRule type="containsText" dxfId="82" priority="71" operator="containsText" text="Completed">
      <formula>NOT(ISERROR(SEARCH("Completed",J276)))</formula>
    </cfRule>
  </conditionalFormatting>
  <conditionalFormatting sqref="J277">
    <cfRule type="containsText" dxfId="81" priority="70" operator="containsText" text="Completed">
      <formula>NOT(ISERROR(SEARCH("Completed",J277)))</formula>
    </cfRule>
  </conditionalFormatting>
  <conditionalFormatting sqref="J80 J82">
    <cfRule type="containsText" dxfId="80" priority="69" operator="containsText" text="Completed">
      <formula>NOT(ISERROR(SEARCH("Completed",J80)))</formula>
    </cfRule>
  </conditionalFormatting>
  <conditionalFormatting sqref="J81">
    <cfRule type="containsText" dxfId="79" priority="68" operator="containsText" text="Completed">
      <formula>NOT(ISERROR(SEARCH("Completed",J81)))</formula>
    </cfRule>
  </conditionalFormatting>
  <conditionalFormatting sqref="J83:J95">
    <cfRule type="containsText" dxfId="78" priority="67" operator="containsText" text="Completed">
      <formula>NOT(ISERROR(SEARCH("Completed",J83)))</formula>
    </cfRule>
  </conditionalFormatting>
  <conditionalFormatting sqref="J278:J291">
    <cfRule type="containsText" dxfId="77" priority="66" operator="containsText" text="Completed">
      <formula>NOT(ISERROR(SEARCH("Completed",J278)))</formula>
    </cfRule>
  </conditionalFormatting>
  <conditionalFormatting sqref="J96:J98">
    <cfRule type="containsText" dxfId="76" priority="48" operator="containsText" text="Completed">
      <formula>NOT(ISERROR(SEARCH("Completed",J96)))</formula>
    </cfRule>
  </conditionalFormatting>
  <conditionalFormatting sqref="J99:J126">
    <cfRule type="containsText" dxfId="75" priority="44" operator="containsText" text="Completed">
      <formula>NOT(ISERROR(SEARCH("Completed",J99)))</formula>
    </cfRule>
  </conditionalFormatting>
  <conditionalFormatting sqref="J292:J295">
    <cfRule type="containsText" dxfId="74" priority="26" operator="containsText" text="Completed">
      <formula>NOT(ISERROR(SEARCH("Completed",J292)))</formula>
    </cfRule>
  </conditionalFormatting>
  <conditionalFormatting sqref="J296:J330">
    <cfRule type="containsText" dxfId="73" priority="15" operator="containsText" text="Completed">
      <formula>NOT(ISERROR(SEARCH("Completed",J296)))</formula>
    </cfRule>
  </conditionalFormatting>
  <conditionalFormatting sqref="J127:J132">
    <cfRule type="containsText" dxfId="72" priority="11" operator="containsText" text="Completed">
      <formula>NOT(ISERROR(SEARCH("Completed",J127)))</formula>
    </cfRule>
  </conditionalFormatting>
  <conditionalFormatting sqref="J133:J199">
    <cfRule type="containsText" dxfId="71" priority="10" operator="containsText" text="Completed">
      <formula>NOT(ISERROR(SEARCH("Completed",J133)))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206" max="16383" man="1"/>
  </rowBreaks>
  <ignoredErrors>
    <ignoredError sqref="G2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1973" t="s">
        <v>2051</v>
      </c>
      <c r="B1" s="1973"/>
      <c r="C1" s="1973"/>
      <c r="D1" s="1973"/>
      <c r="E1" s="1973"/>
      <c r="F1" s="1973"/>
    </row>
    <row r="2" spans="1:6" ht="30">
      <c r="A2" s="944" t="s">
        <v>2047</v>
      </c>
      <c r="B2" s="944" t="s">
        <v>551</v>
      </c>
      <c r="C2" s="944" t="s">
        <v>989</v>
      </c>
      <c r="D2" s="944" t="s">
        <v>2046</v>
      </c>
      <c r="E2" s="944" t="s">
        <v>2045</v>
      </c>
      <c r="F2" s="944" t="s">
        <v>2048</v>
      </c>
    </row>
    <row r="3" spans="1:6">
      <c r="A3" s="69">
        <v>1</v>
      </c>
      <c r="B3" s="1107" t="s">
        <v>1323</v>
      </c>
      <c r="C3" s="1107" t="s">
        <v>50</v>
      </c>
      <c r="D3" s="814" t="s">
        <v>42</v>
      </c>
      <c r="E3" s="1107" t="s">
        <v>1855</v>
      </c>
      <c r="F3" s="1110">
        <v>46074</v>
      </c>
    </row>
    <row r="4" spans="1:6">
      <c r="A4" s="69">
        <v>2</v>
      </c>
      <c r="B4" s="946" t="s">
        <v>1180</v>
      </c>
      <c r="C4" s="946" t="s">
        <v>53</v>
      </c>
      <c r="D4" s="942" t="s">
        <v>42</v>
      </c>
      <c r="E4" s="1107" t="s">
        <v>1855</v>
      </c>
      <c r="F4" s="1110">
        <v>46079</v>
      </c>
    </row>
    <row r="5" spans="1:6">
      <c r="A5" s="69">
        <v>3</v>
      </c>
      <c r="B5" s="1107" t="s">
        <v>1193</v>
      </c>
      <c r="C5" s="1107" t="s">
        <v>50</v>
      </c>
      <c r="D5" s="814" t="s">
        <v>61</v>
      </c>
      <c r="E5" s="1110" t="s">
        <v>41</v>
      </c>
      <c r="F5" s="1110">
        <v>46103</v>
      </c>
    </row>
    <row r="6" spans="1:6">
      <c r="A6" s="69">
        <v>4</v>
      </c>
      <c r="B6" s="1107" t="s">
        <v>1332</v>
      </c>
      <c r="C6" s="1107" t="s">
        <v>1905</v>
      </c>
      <c r="D6" s="814" t="s">
        <v>61</v>
      </c>
      <c r="E6" s="1107" t="s">
        <v>1890</v>
      </c>
      <c r="F6" s="1110">
        <v>46111</v>
      </c>
    </row>
    <row r="7" spans="1:6">
      <c r="A7" s="69">
        <v>5</v>
      </c>
      <c r="B7" s="1107" t="s">
        <v>1328</v>
      </c>
      <c r="C7" s="1107" t="s">
        <v>32</v>
      </c>
      <c r="D7" s="814" t="s">
        <v>61</v>
      </c>
      <c r="E7" s="1107" t="s">
        <v>1890</v>
      </c>
      <c r="F7" s="1110">
        <v>46112</v>
      </c>
    </row>
    <row r="8" spans="1:6">
      <c r="A8" s="69">
        <v>6</v>
      </c>
      <c r="B8" s="1107" t="s">
        <v>1333</v>
      </c>
      <c r="C8" s="1107" t="s">
        <v>1928</v>
      </c>
      <c r="D8" s="814" t="s">
        <v>42</v>
      </c>
      <c r="E8" s="1107" t="s">
        <v>1890</v>
      </c>
      <c r="F8" s="1110">
        <v>46120</v>
      </c>
    </row>
    <row r="9" spans="1:6">
      <c r="A9" s="69">
        <v>7</v>
      </c>
      <c r="B9" s="1107" t="s">
        <v>1416</v>
      </c>
      <c r="C9" s="1107" t="s">
        <v>1426</v>
      </c>
      <c r="D9" s="814" t="s">
        <v>42</v>
      </c>
      <c r="E9" s="1108" t="s">
        <v>1887</v>
      </c>
      <c r="F9" s="1110">
        <v>46121</v>
      </c>
    </row>
    <row r="10" spans="1:6">
      <c r="A10" s="69">
        <v>8</v>
      </c>
      <c r="B10" s="1107" t="s">
        <v>1381</v>
      </c>
      <c r="C10" s="1107" t="s">
        <v>1935</v>
      </c>
      <c r="D10" s="814" t="s">
        <v>42</v>
      </c>
      <c r="E10" s="1107" t="s">
        <v>1854</v>
      </c>
      <c r="F10" s="1110">
        <v>46124</v>
      </c>
    </row>
    <row r="11" spans="1:6">
      <c r="A11" s="69">
        <v>9</v>
      </c>
      <c r="B11" s="1107" t="s">
        <v>1202</v>
      </c>
      <c r="C11" s="1107" t="s">
        <v>1925</v>
      </c>
      <c r="D11" s="814" t="s">
        <v>61</v>
      </c>
      <c r="E11" s="1107" t="s">
        <v>1855</v>
      </c>
      <c r="F11" s="1110">
        <v>46125</v>
      </c>
    </row>
    <row r="12" spans="1:6">
      <c r="A12" s="69">
        <v>10</v>
      </c>
      <c r="B12" s="1107" t="s">
        <v>1353</v>
      </c>
      <c r="C12" s="1107" t="s">
        <v>48</v>
      </c>
      <c r="D12" s="814" t="s">
        <v>61</v>
      </c>
      <c r="E12" s="1107" t="s">
        <v>1890</v>
      </c>
      <c r="F12" s="1110">
        <v>46126</v>
      </c>
    </row>
    <row r="13" spans="1:6">
      <c r="A13" s="69">
        <v>11</v>
      </c>
      <c r="B13" s="1107" t="s">
        <v>1380</v>
      </c>
      <c r="C13" s="1107" t="s">
        <v>32</v>
      </c>
      <c r="D13" s="814" t="s">
        <v>61</v>
      </c>
      <c r="E13" s="1107" t="s">
        <v>1854</v>
      </c>
      <c r="F13" s="1110">
        <v>46127</v>
      </c>
    </row>
    <row r="14" spans="1:6">
      <c r="A14" s="69">
        <v>12</v>
      </c>
      <c r="B14" s="1107" t="s">
        <v>1682</v>
      </c>
      <c r="C14" s="1107" t="s">
        <v>1934</v>
      </c>
      <c r="D14" s="814" t="s">
        <v>61</v>
      </c>
      <c r="E14" s="1107" t="s">
        <v>1635</v>
      </c>
      <c r="F14" s="1110">
        <v>46128</v>
      </c>
    </row>
    <row r="15" spans="1:6">
      <c r="A15" s="69">
        <v>13</v>
      </c>
      <c r="B15" s="1107" t="s">
        <v>1417</v>
      </c>
      <c r="C15" s="1107" t="s">
        <v>1426</v>
      </c>
      <c r="D15" s="814" t="s">
        <v>61</v>
      </c>
      <c r="E15" s="1107" t="s">
        <v>1887</v>
      </c>
      <c r="F15" s="1110">
        <v>46129</v>
      </c>
    </row>
    <row r="16" spans="1:6">
      <c r="A16" s="69">
        <v>14</v>
      </c>
      <c r="B16" s="1107" t="s">
        <v>1306</v>
      </c>
      <c r="C16" s="1107" t="s">
        <v>1928</v>
      </c>
      <c r="D16" s="814" t="s">
        <v>42</v>
      </c>
      <c r="E16" s="1107" t="s">
        <v>1855</v>
      </c>
      <c r="F16" s="1110">
        <v>46131</v>
      </c>
    </row>
    <row r="17" spans="1:6">
      <c r="A17" s="69">
        <v>15</v>
      </c>
      <c r="B17" s="1107" t="s">
        <v>1385</v>
      </c>
      <c r="C17" s="1107" t="s">
        <v>32</v>
      </c>
      <c r="D17" s="814" t="s">
        <v>61</v>
      </c>
      <c r="E17" s="1107" t="s">
        <v>1854</v>
      </c>
      <c r="F17" s="1110">
        <v>46132</v>
      </c>
    </row>
    <row r="18" spans="1:6">
      <c r="A18" s="69">
        <v>16</v>
      </c>
      <c r="B18" s="1107" t="s">
        <v>1415</v>
      </c>
      <c r="C18" s="1107" t="s">
        <v>48</v>
      </c>
      <c r="D18" s="814" t="s">
        <v>42</v>
      </c>
      <c r="E18" s="1107" t="s">
        <v>1887</v>
      </c>
      <c r="F18" s="1110">
        <v>46135</v>
      </c>
    </row>
    <row r="19" spans="1:6">
      <c r="A19" s="69">
        <v>17</v>
      </c>
      <c r="B19" s="1107" t="s">
        <v>1683</v>
      </c>
      <c r="C19" s="1107" t="s">
        <v>1938</v>
      </c>
      <c r="D19" s="814" t="s">
        <v>61</v>
      </c>
      <c r="E19" s="1107" t="s">
        <v>1635</v>
      </c>
      <c r="F19" s="1110">
        <v>46137</v>
      </c>
    </row>
    <row r="20" spans="1:6">
      <c r="A20" s="69">
        <v>18</v>
      </c>
      <c r="B20" s="965" t="s">
        <v>1305</v>
      </c>
      <c r="C20" s="965" t="s">
        <v>1925</v>
      </c>
      <c r="D20" s="965" t="s">
        <v>61</v>
      </c>
      <c r="E20" s="1107" t="s">
        <v>1855</v>
      </c>
      <c r="F20" s="1110">
        <v>46138</v>
      </c>
    </row>
    <row r="21" spans="1:6">
      <c r="A21" s="69">
        <v>19</v>
      </c>
      <c r="B21" s="965" t="s">
        <v>1383</v>
      </c>
      <c r="C21" s="965" t="s">
        <v>1423</v>
      </c>
      <c r="D21" s="965" t="s">
        <v>42</v>
      </c>
      <c r="E21" s="1107" t="s">
        <v>1854</v>
      </c>
      <c r="F21" s="1110">
        <v>46138</v>
      </c>
    </row>
    <row r="22" spans="1:6">
      <c r="A22" s="69">
        <v>20</v>
      </c>
      <c r="B22" s="965" t="s">
        <v>1418</v>
      </c>
      <c r="C22" s="965" t="s">
        <v>48</v>
      </c>
      <c r="D22" s="965" t="s">
        <v>42</v>
      </c>
      <c r="E22" s="1107" t="s">
        <v>1887</v>
      </c>
      <c r="F22" s="1110">
        <v>46140</v>
      </c>
    </row>
    <row r="23" spans="1:6">
      <c r="A23" s="69">
        <v>21</v>
      </c>
      <c r="B23" s="965" t="s">
        <v>1235</v>
      </c>
      <c r="C23" s="965" t="s">
        <v>50</v>
      </c>
      <c r="D23" s="965" t="s">
        <v>61</v>
      </c>
      <c r="E23" s="1107" t="s">
        <v>1635</v>
      </c>
      <c r="F23" s="1110">
        <v>46141</v>
      </c>
    </row>
    <row r="24" spans="1:6">
      <c r="A24" s="69">
        <v>22</v>
      </c>
      <c r="B24" s="965" t="s">
        <v>1378</v>
      </c>
      <c r="C24" s="965" t="s">
        <v>32</v>
      </c>
      <c r="D24" s="965" t="s">
        <v>61</v>
      </c>
      <c r="E24" s="1107" t="s">
        <v>1854</v>
      </c>
      <c r="F24" s="1110">
        <v>46141</v>
      </c>
    </row>
    <row r="25" spans="1:6">
      <c r="A25" s="69">
        <v>23</v>
      </c>
      <c r="B25" s="965" t="s">
        <v>1314</v>
      </c>
      <c r="C25" s="965" t="s">
        <v>1939</v>
      </c>
      <c r="D25" s="965" t="s">
        <v>61</v>
      </c>
      <c r="E25" s="986" t="s">
        <v>1950</v>
      </c>
      <c r="F25" s="1110">
        <v>46142</v>
      </c>
    </row>
    <row r="26" spans="1:6">
      <c r="A26" s="69">
        <v>24</v>
      </c>
      <c r="B26" s="965" t="s">
        <v>1203</v>
      </c>
      <c r="C26" s="965" t="s">
        <v>1928</v>
      </c>
      <c r="D26" s="965" t="s">
        <v>61</v>
      </c>
      <c r="E26" s="986" t="s">
        <v>1855</v>
      </c>
      <c r="F26" s="1110">
        <v>46142</v>
      </c>
    </row>
    <row r="27" spans="1:6">
      <c r="A27" s="69">
        <v>25</v>
      </c>
      <c r="B27" s="965" t="s">
        <v>1377</v>
      </c>
      <c r="C27" s="965" t="s">
        <v>1935</v>
      </c>
      <c r="D27" s="965" t="s">
        <v>61</v>
      </c>
      <c r="E27" s="503" t="s">
        <v>1854</v>
      </c>
      <c r="F27" s="1110">
        <v>46144</v>
      </c>
    </row>
    <row r="28" spans="1:6">
      <c r="A28" s="69">
        <v>26</v>
      </c>
      <c r="B28" s="965" t="s">
        <v>1330</v>
      </c>
      <c r="C28" s="965" t="s">
        <v>1953</v>
      </c>
      <c r="D28" s="965" t="s">
        <v>61</v>
      </c>
      <c r="E28" s="503" t="s">
        <v>1924</v>
      </c>
      <c r="F28" s="1110">
        <v>46147</v>
      </c>
    </row>
    <row r="29" spans="1:6">
      <c r="A29" s="69">
        <v>27</v>
      </c>
      <c r="B29" s="965" t="s">
        <v>1275</v>
      </c>
      <c r="C29" s="965" t="s">
        <v>1938</v>
      </c>
      <c r="D29" s="965" t="s">
        <v>61</v>
      </c>
      <c r="E29" s="503" t="s">
        <v>1926</v>
      </c>
      <c r="F29" s="1110">
        <v>46150</v>
      </c>
    </row>
    <row r="30" spans="1:6">
      <c r="A30" s="69">
        <v>28</v>
      </c>
      <c r="B30" s="965" t="s">
        <v>1419</v>
      </c>
      <c r="C30" s="965" t="s">
        <v>48</v>
      </c>
      <c r="D30" s="965" t="s">
        <v>42</v>
      </c>
      <c r="E30" s="503" t="s">
        <v>1887</v>
      </c>
      <c r="F30" s="1110">
        <v>46152</v>
      </c>
    </row>
    <row r="31" spans="1:6">
      <c r="A31" s="69">
        <v>29</v>
      </c>
      <c r="B31" s="965" t="s">
        <v>1331</v>
      </c>
      <c r="C31" s="965" t="s">
        <v>1953</v>
      </c>
      <c r="D31" s="965" t="s">
        <v>61</v>
      </c>
      <c r="E31" s="503" t="s">
        <v>1924</v>
      </c>
      <c r="F31" s="1110">
        <v>46153</v>
      </c>
    </row>
    <row r="32" spans="1:6">
      <c r="A32" s="1972" t="s">
        <v>2049</v>
      </c>
      <c r="B32" s="1972"/>
      <c r="C32" s="1972"/>
      <c r="D32" s="1972"/>
      <c r="E32" s="1972"/>
      <c r="F32" s="1972"/>
    </row>
    <row r="33" spans="1:6">
      <c r="A33" s="1106">
        <v>1</v>
      </c>
      <c r="B33" s="1109" t="s">
        <v>598</v>
      </c>
      <c r="C33" s="1109" t="s">
        <v>582</v>
      </c>
      <c r="D33" s="1109" t="s">
        <v>31</v>
      </c>
      <c r="E33" s="1118" t="s">
        <v>1076</v>
      </c>
      <c r="F33" s="1118">
        <v>45981</v>
      </c>
    </row>
    <row r="34" spans="1:6">
      <c r="A34" s="69">
        <v>2</v>
      </c>
      <c r="B34" s="1110" t="s">
        <v>65</v>
      </c>
      <c r="C34" s="1110" t="s">
        <v>573</v>
      </c>
      <c r="D34" s="1110" t="s">
        <v>31</v>
      </c>
      <c r="E34" s="1110" t="s">
        <v>1076</v>
      </c>
      <c r="F34" s="1110">
        <v>46142</v>
      </c>
    </row>
    <row r="35" spans="1:6">
      <c r="A35" s="69">
        <v>3</v>
      </c>
      <c r="B35" s="1110" t="s">
        <v>224</v>
      </c>
      <c r="C35" s="1110" t="s">
        <v>573</v>
      </c>
      <c r="D35" s="1110" t="s">
        <v>42</v>
      </c>
      <c r="E35" s="1110" t="s">
        <v>2039</v>
      </c>
      <c r="F35" s="1110">
        <v>46142</v>
      </c>
    </row>
    <row r="36" spans="1:6">
      <c r="A36" s="69">
        <v>4</v>
      </c>
      <c r="B36" s="1110" t="s">
        <v>152</v>
      </c>
      <c r="C36" s="1110" t="s">
        <v>658</v>
      </c>
      <c r="D36" s="1110" t="s">
        <v>42</v>
      </c>
      <c r="E36" s="1110" t="s">
        <v>1076</v>
      </c>
      <c r="F36" s="1110">
        <v>46148</v>
      </c>
    </row>
    <row r="37" spans="1:6">
      <c r="A37" s="1972" t="s">
        <v>2050</v>
      </c>
      <c r="B37" s="1972"/>
      <c r="C37" s="1972"/>
      <c r="D37" s="1972"/>
      <c r="E37" s="1972"/>
      <c r="F37" s="1972"/>
    </row>
    <row r="38" spans="1:6">
      <c r="A38" s="1107">
        <v>1</v>
      </c>
      <c r="B38" s="1107" t="s">
        <v>2052</v>
      </c>
      <c r="C38" s="1107" t="s">
        <v>153</v>
      </c>
      <c r="D38" s="1110" t="s">
        <v>42</v>
      </c>
      <c r="E38" s="1110" t="s">
        <v>1073</v>
      </c>
      <c r="F38" s="1110">
        <v>46014</v>
      </c>
    </row>
    <row r="39" spans="1:6">
      <c r="A39" s="692">
        <v>2</v>
      </c>
      <c r="B39" s="1107" t="s">
        <v>2053</v>
      </c>
      <c r="C39" s="1107" t="s">
        <v>34</v>
      </c>
      <c r="D39" s="1110" t="s">
        <v>42</v>
      </c>
      <c r="E39" s="1110" t="s">
        <v>1186</v>
      </c>
      <c r="F39" s="1110">
        <v>46037</v>
      </c>
    </row>
    <row r="40" spans="1:6">
      <c r="A40" s="1107">
        <v>3</v>
      </c>
      <c r="B40" s="1107" t="s">
        <v>2054</v>
      </c>
      <c r="C40" s="1107" t="s">
        <v>48</v>
      </c>
      <c r="D40" s="1110" t="s">
        <v>42</v>
      </c>
      <c r="E40" s="1110" t="s">
        <v>30</v>
      </c>
      <c r="F40" s="1110">
        <v>46044</v>
      </c>
    </row>
    <row r="41" spans="1:6">
      <c r="A41" s="692">
        <v>4</v>
      </c>
      <c r="B41" s="1107" t="s">
        <v>2055</v>
      </c>
      <c r="C41" s="1107" t="s">
        <v>34</v>
      </c>
      <c r="D41" s="1110" t="s">
        <v>61</v>
      </c>
      <c r="E41" s="1110" t="s">
        <v>30</v>
      </c>
      <c r="F41" s="1110">
        <v>46070</v>
      </c>
    </row>
    <row r="42" spans="1:6">
      <c r="A42" s="1107">
        <v>5</v>
      </c>
      <c r="B42" s="1107" t="s">
        <v>2056</v>
      </c>
      <c r="C42" s="1107" t="s">
        <v>1424</v>
      </c>
      <c r="D42" s="1110" t="s">
        <v>42</v>
      </c>
      <c r="E42" s="1110" t="s">
        <v>1636</v>
      </c>
      <c r="F42" s="1110">
        <v>46119</v>
      </c>
    </row>
    <row r="43" spans="1:6">
      <c r="A43" s="692">
        <v>6</v>
      </c>
      <c r="B43" s="1107" t="s">
        <v>2057</v>
      </c>
      <c r="C43" s="1107" t="s">
        <v>39</v>
      </c>
      <c r="D43" s="1110" t="s">
        <v>42</v>
      </c>
      <c r="E43" s="1110" t="s">
        <v>1636</v>
      </c>
      <c r="F43" s="1110">
        <v>46125</v>
      </c>
    </row>
    <row r="44" spans="1:6">
      <c r="A44" s="1107">
        <v>7</v>
      </c>
      <c r="B44" s="1107" t="s">
        <v>2058</v>
      </c>
      <c r="C44" s="1107" t="s">
        <v>133</v>
      </c>
      <c r="D44" s="1110" t="s">
        <v>42</v>
      </c>
      <c r="E44" s="1110" t="s">
        <v>41</v>
      </c>
      <c r="F44" s="1110">
        <v>46126</v>
      </c>
    </row>
    <row r="45" spans="1:6">
      <c r="A45" s="692">
        <v>8</v>
      </c>
      <c r="B45" s="1107" t="s">
        <v>2059</v>
      </c>
      <c r="C45" s="1107" t="s">
        <v>34</v>
      </c>
      <c r="D45" s="1110" t="s">
        <v>42</v>
      </c>
      <c r="E45" s="1110" t="s">
        <v>1636</v>
      </c>
      <c r="F45" s="1110">
        <v>46129</v>
      </c>
    </row>
    <row r="46" spans="1:6">
      <c r="A46" s="1107">
        <v>9</v>
      </c>
      <c r="B46" s="1107" t="s">
        <v>1920</v>
      </c>
      <c r="C46" s="1107" t="s">
        <v>34</v>
      </c>
      <c r="D46" s="1110" t="s">
        <v>42</v>
      </c>
      <c r="E46" s="1110" t="s">
        <v>41</v>
      </c>
      <c r="F46" s="1110">
        <v>46137</v>
      </c>
    </row>
    <row r="47" spans="1:6">
      <c r="A47" s="692">
        <v>10</v>
      </c>
      <c r="B47" s="1107" t="s">
        <v>1937</v>
      </c>
      <c r="C47" s="1107" t="s">
        <v>34</v>
      </c>
      <c r="D47" s="1110" t="s">
        <v>42</v>
      </c>
      <c r="E47" s="1110" t="s">
        <v>1636</v>
      </c>
      <c r="F47" s="1110">
        <v>46139</v>
      </c>
    </row>
    <row r="48" spans="1:6">
      <c r="A48" s="1107">
        <v>11</v>
      </c>
      <c r="B48" s="1107" t="s">
        <v>2060</v>
      </c>
      <c r="C48" s="965" t="s">
        <v>49</v>
      </c>
      <c r="D48" s="1110" t="s">
        <v>31</v>
      </c>
      <c r="E48" s="1110" t="s">
        <v>41</v>
      </c>
      <c r="F48" s="1110">
        <v>46140</v>
      </c>
    </row>
    <row r="49" spans="1:6">
      <c r="A49" s="692">
        <v>12</v>
      </c>
      <c r="B49" s="1107" t="s">
        <v>1944</v>
      </c>
      <c r="C49" s="1107" t="s">
        <v>48</v>
      </c>
      <c r="D49" s="1110" t="s">
        <v>61</v>
      </c>
      <c r="E49" s="1110" t="s">
        <v>30</v>
      </c>
      <c r="F49" s="1110">
        <v>46140</v>
      </c>
    </row>
    <row r="50" spans="1:6">
      <c r="A50" s="1107">
        <v>13</v>
      </c>
      <c r="B50" s="1107" t="s">
        <v>2061</v>
      </c>
      <c r="C50" s="1107" t="s">
        <v>32</v>
      </c>
      <c r="D50" s="1110" t="s">
        <v>61</v>
      </c>
      <c r="E50" s="1110" t="s">
        <v>30</v>
      </c>
      <c r="F50" s="1110">
        <v>46142</v>
      </c>
    </row>
    <row r="51" spans="1:6">
      <c r="A51" s="692">
        <v>14</v>
      </c>
      <c r="B51" s="1107" t="s">
        <v>2062</v>
      </c>
      <c r="C51" s="965" t="s">
        <v>1425</v>
      </c>
      <c r="D51" s="1110" t="s">
        <v>42</v>
      </c>
      <c r="E51" s="1110" t="s">
        <v>1636</v>
      </c>
      <c r="F51" s="1110">
        <v>46142</v>
      </c>
    </row>
    <row r="52" spans="1:6">
      <c r="A52" s="1183">
        <v>15</v>
      </c>
      <c r="B52" s="1107" t="s">
        <v>1971</v>
      </c>
      <c r="C52" s="1107" t="s">
        <v>32</v>
      </c>
      <c r="D52" s="1110" t="s">
        <v>61</v>
      </c>
      <c r="E52" s="1110" t="s">
        <v>30</v>
      </c>
      <c r="F52" s="1110">
        <v>46145</v>
      </c>
    </row>
    <row r="53" spans="1:6">
      <c r="A53" s="692">
        <v>16</v>
      </c>
      <c r="B53" s="1107" t="s">
        <v>1985</v>
      </c>
      <c r="C53" s="1107" t="s">
        <v>32</v>
      </c>
      <c r="D53" s="1110" t="s">
        <v>42</v>
      </c>
      <c r="E53" s="1110" t="s">
        <v>41</v>
      </c>
      <c r="F53" s="1110">
        <v>46145</v>
      </c>
    </row>
    <row r="54" spans="1:6">
      <c r="A54" s="1183">
        <v>17</v>
      </c>
      <c r="B54" s="1107" t="s">
        <v>1974</v>
      </c>
      <c r="C54" s="965" t="s">
        <v>32</v>
      </c>
      <c r="D54" s="1110" t="s">
        <v>61</v>
      </c>
      <c r="E54" s="1110" t="s">
        <v>30</v>
      </c>
      <c r="F54" s="1110">
        <v>46147</v>
      </c>
    </row>
    <row r="55" spans="1:6">
      <c r="A55" s="692">
        <v>18</v>
      </c>
      <c r="B55" s="1107" t="s">
        <v>1986</v>
      </c>
      <c r="C55" s="1107" t="s">
        <v>32</v>
      </c>
      <c r="D55" s="1110" t="s">
        <v>42</v>
      </c>
      <c r="E55" s="1110" t="s">
        <v>41</v>
      </c>
      <c r="F55" s="1110">
        <v>46150</v>
      </c>
    </row>
  </sheetData>
  <mergeCells count="3">
    <mergeCell ref="A32:F32"/>
    <mergeCell ref="A37:F37"/>
    <mergeCell ref="A1:F1"/>
  </mergeCells>
  <conditionalFormatting sqref="B3:B26">
    <cfRule type="duplicateValues" dxfId="70" priority="23"/>
  </conditionalFormatting>
  <conditionalFormatting sqref="B2:D2">
    <cfRule type="duplicateValues" dxfId="69" priority="19"/>
  </conditionalFormatting>
  <conditionalFormatting sqref="B2:D2">
    <cfRule type="duplicateValues" dxfId="68" priority="20"/>
  </conditionalFormatting>
  <conditionalFormatting sqref="B2:D2">
    <cfRule type="duplicateValues" dxfId="67" priority="21"/>
  </conditionalFormatting>
  <conditionalFormatting sqref="B2:D2">
    <cfRule type="duplicateValues" dxfId="66" priority="18"/>
  </conditionalFormatting>
  <conditionalFormatting sqref="E2">
    <cfRule type="duplicateValues" dxfId="65" priority="15"/>
  </conditionalFormatting>
  <conditionalFormatting sqref="E2">
    <cfRule type="duplicateValues" dxfId="64" priority="16"/>
  </conditionalFormatting>
  <conditionalFormatting sqref="E2">
    <cfRule type="duplicateValues" dxfId="63" priority="17"/>
  </conditionalFormatting>
  <conditionalFormatting sqref="E2">
    <cfRule type="duplicateValues" dxfId="62" priority="14"/>
  </conditionalFormatting>
  <conditionalFormatting sqref="F2">
    <cfRule type="duplicateValues" dxfId="61" priority="11"/>
  </conditionalFormatting>
  <conditionalFormatting sqref="F2">
    <cfRule type="duplicateValues" dxfId="60" priority="12"/>
  </conditionalFormatting>
  <conditionalFormatting sqref="F2">
    <cfRule type="duplicateValues" dxfId="59" priority="13"/>
  </conditionalFormatting>
  <conditionalFormatting sqref="F2">
    <cfRule type="duplicateValues" dxfId="58" priority="10"/>
  </conditionalFormatting>
  <conditionalFormatting sqref="A2">
    <cfRule type="duplicateValues" dxfId="57" priority="7"/>
  </conditionalFormatting>
  <conditionalFormatting sqref="A2">
    <cfRule type="duplicateValues" dxfId="56" priority="8"/>
  </conditionalFormatting>
  <conditionalFormatting sqref="A2">
    <cfRule type="duplicateValues" dxfId="55" priority="9"/>
  </conditionalFormatting>
  <conditionalFormatting sqref="A2">
    <cfRule type="duplicateValues" dxfId="54" priority="6"/>
  </conditionalFormatting>
  <conditionalFormatting sqref="B3:B31">
    <cfRule type="duplicateValues" dxfId="53" priority="1374"/>
  </conditionalFormatting>
  <conditionalFormatting sqref="B1:B1048576 H1:H1048576">
    <cfRule type="duplicateValues" dxfId="52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5"/>
  <sheetViews>
    <sheetView topLeftCell="A3" workbookViewId="0">
      <selection activeCell="G167" sqref="G167"/>
    </sheetView>
  </sheetViews>
  <sheetFormatPr defaultRowHeight="15"/>
  <cols>
    <col min="1" max="1" width="3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17.85546875" customWidth="1"/>
    <col min="8" max="8" width="13.85546875" style="681" customWidth="1"/>
    <col min="9" max="9" width="11.28515625" style="681" bestFit="1" customWidth="1"/>
    <col min="10" max="10" width="15.5703125" customWidth="1"/>
    <col min="11" max="11" width="12.85546875" customWidth="1"/>
  </cols>
  <sheetData>
    <row r="1" spans="1:11" ht="17.25">
      <c r="A1" s="1984" t="s">
        <v>1833</v>
      </c>
      <c r="B1" s="1985"/>
      <c r="C1" s="1985"/>
      <c r="D1" s="1985"/>
      <c r="E1" s="1985"/>
      <c r="F1" s="1985"/>
      <c r="G1" s="1985"/>
      <c r="H1" s="1985"/>
      <c r="I1" s="1985"/>
      <c r="J1" s="1985"/>
      <c r="K1" s="667"/>
    </row>
    <row r="2" spans="1:11" ht="18.75">
      <c r="A2" s="1995" t="s">
        <v>86</v>
      </c>
      <c r="B2" s="1996"/>
      <c r="C2" s="1996"/>
      <c r="D2" s="1996"/>
      <c r="E2" s="1996"/>
      <c r="F2" s="1996"/>
      <c r="G2" s="1996"/>
      <c r="H2" s="1996"/>
      <c r="I2" s="1996"/>
      <c r="J2" s="1996"/>
      <c r="K2" s="1997"/>
    </row>
    <row r="3" spans="1:11" ht="26.45" customHeight="1">
      <c r="A3" s="18" t="s">
        <v>25</v>
      </c>
      <c r="B3" s="19" t="s">
        <v>551</v>
      </c>
      <c r="C3" s="18" t="s">
        <v>38</v>
      </c>
      <c r="D3" s="19" t="s">
        <v>1830</v>
      </c>
      <c r="E3" s="18" t="s">
        <v>1831</v>
      </c>
      <c r="F3" s="18" t="s">
        <v>1832</v>
      </c>
      <c r="G3" s="18" t="s">
        <v>36</v>
      </c>
      <c r="H3" s="18" t="s">
        <v>1594</v>
      </c>
      <c r="I3" s="18" t="s">
        <v>1659</v>
      </c>
      <c r="J3" s="18" t="s">
        <v>35</v>
      </c>
      <c r="K3" s="18" t="s">
        <v>2</v>
      </c>
    </row>
    <row r="4" spans="1:11">
      <c r="A4" s="704"/>
      <c r="B4" s="704"/>
      <c r="C4" s="704"/>
      <c r="D4" s="704"/>
      <c r="E4" s="704"/>
      <c r="F4" s="704"/>
      <c r="G4" s="704"/>
      <c r="H4" s="685"/>
      <c r="I4" s="680"/>
      <c r="J4" s="704">
        <f>COUNTIF(J5:J16,"Completed")</f>
        <v>12</v>
      </c>
      <c r="K4" s="704"/>
    </row>
    <row r="5" spans="1:11">
      <c r="A5" s="666">
        <v>1</v>
      </c>
      <c r="B5" s="666" t="s">
        <v>616</v>
      </c>
      <c r="C5" s="666" t="s">
        <v>32</v>
      </c>
      <c r="D5" s="666">
        <v>8.3339999999999996</v>
      </c>
      <c r="E5" s="608">
        <v>46049</v>
      </c>
      <c r="F5" s="608">
        <v>46053</v>
      </c>
      <c r="G5" s="608" t="s">
        <v>1835</v>
      </c>
      <c r="H5" s="684" t="s">
        <v>1932</v>
      </c>
      <c r="I5" s="868">
        <v>1</v>
      </c>
      <c r="J5" s="1231" t="s">
        <v>29</v>
      </c>
      <c r="K5" s="1231"/>
    </row>
    <row r="6" spans="1:11">
      <c r="A6" s="666">
        <v>2</v>
      </c>
      <c r="B6" s="666" t="s">
        <v>621</v>
      </c>
      <c r="C6" s="666" t="s">
        <v>32</v>
      </c>
      <c r="D6" s="666">
        <v>8.3339999999999996</v>
      </c>
      <c r="E6" s="608">
        <v>46056</v>
      </c>
      <c r="F6" s="608">
        <v>46059</v>
      </c>
      <c r="G6" s="608" t="s">
        <v>1835</v>
      </c>
      <c r="H6" s="1992" t="s">
        <v>1933</v>
      </c>
      <c r="I6" s="1957">
        <v>5</v>
      </c>
      <c r="J6" s="1231" t="s">
        <v>29</v>
      </c>
      <c r="K6" s="1231"/>
    </row>
    <row r="7" spans="1:11">
      <c r="A7" s="666">
        <v>3</v>
      </c>
      <c r="B7" s="666" t="s">
        <v>66</v>
      </c>
      <c r="C7" s="666" t="s">
        <v>1181</v>
      </c>
      <c r="D7" s="666">
        <v>13.664</v>
      </c>
      <c r="E7" s="608">
        <v>46060</v>
      </c>
      <c r="F7" s="608">
        <v>46067</v>
      </c>
      <c r="G7" s="608" t="s">
        <v>1835</v>
      </c>
      <c r="H7" s="1993"/>
      <c r="I7" s="1970"/>
      <c r="J7" s="1231" t="s">
        <v>29</v>
      </c>
      <c r="K7" s="1231"/>
    </row>
    <row r="8" spans="1:11">
      <c r="A8" s="666">
        <v>4</v>
      </c>
      <c r="B8" s="666" t="s">
        <v>230</v>
      </c>
      <c r="C8" s="666" t="s">
        <v>32</v>
      </c>
      <c r="D8" s="666">
        <v>8.3339999999999996</v>
      </c>
      <c r="E8" s="1231">
        <f>F7</f>
        <v>46067</v>
      </c>
      <c r="F8" s="1231">
        <v>46069</v>
      </c>
      <c r="G8" s="1231" t="s">
        <v>1835</v>
      </c>
      <c r="H8" s="1993"/>
      <c r="I8" s="1970"/>
      <c r="J8" s="1231" t="s">
        <v>29</v>
      </c>
      <c r="K8" s="1231"/>
    </row>
    <row r="9" spans="1:11">
      <c r="A9" s="666">
        <v>5</v>
      </c>
      <c r="B9" s="666" t="s">
        <v>239</v>
      </c>
      <c r="C9" s="666" t="s">
        <v>34</v>
      </c>
      <c r="D9" s="666">
        <v>6.8079999999999998</v>
      </c>
      <c r="E9" s="1231">
        <f>F8</f>
        <v>46069</v>
      </c>
      <c r="F9" s="1231">
        <v>46071</v>
      </c>
      <c r="G9" s="1231" t="s">
        <v>1835</v>
      </c>
      <c r="H9" s="1993"/>
      <c r="I9" s="1970"/>
      <c r="J9" s="1231" t="s">
        <v>29</v>
      </c>
      <c r="K9" s="1231"/>
    </row>
    <row r="10" spans="1:11">
      <c r="A10" s="666">
        <v>6</v>
      </c>
      <c r="B10" s="666" t="s">
        <v>234</v>
      </c>
      <c r="C10" s="666" t="s">
        <v>32</v>
      </c>
      <c r="D10" s="666">
        <v>8.3339999999999996</v>
      </c>
      <c r="E10" s="1231">
        <f>F9</f>
        <v>46071</v>
      </c>
      <c r="F10" s="1231">
        <v>46071</v>
      </c>
      <c r="G10" s="1231" t="s">
        <v>1835</v>
      </c>
      <c r="H10" s="1994"/>
      <c r="I10" s="1971"/>
      <c r="J10" s="1231" t="s">
        <v>29</v>
      </c>
      <c r="K10" s="1231"/>
    </row>
    <row r="11" spans="1:11">
      <c r="A11" s="666">
        <v>7</v>
      </c>
      <c r="B11" s="666" t="s">
        <v>598</v>
      </c>
      <c r="C11" s="666" t="s">
        <v>32</v>
      </c>
      <c r="D11" s="666">
        <v>8.3339999999999996</v>
      </c>
      <c r="E11" s="1231">
        <v>46161</v>
      </c>
      <c r="F11" s="1231">
        <v>46163</v>
      </c>
      <c r="G11" s="1231" t="s">
        <v>2131</v>
      </c>
      <c r="H11" s="1978" t="s">
        <v>2017</v>
      </c>
      <c r="I11" s="1976" t="s">
        <v>2132</v>
      </c>
      <c r="J11" s="1231" t="s">
        <v>29</v>
      </c>
      <c r="K11" s="1231"/>
    </row>
    <row r="12" spans="1:11">
      <c r="A12" s="666">
        <v>8</v>
      </c>
      <c r="B12" s="666" t="s">
        <v>198</v>
      </c>
      <c r="C12" s="666" t="s">
        <v>34</v>
      </c>
      <c r="D12" s="666">
        <v>6.8090000000000002</v>
      </c>
      <c r="E12" s="1231">
        <v>46168</v>
      </c>
      <c r="F12" s="1231">
        <v>46170</v>
      </c>
      <c r="G12" s="1231" t="s">
        <v>2131</v>
      </c>
      <c r="H12" s="1977"/>
      <c r="I12" s="1977"/>
      <c r="J12" s="1231" t="s">
        <v>29</v>
      </c>
      <c r="K12" s="1231"/>
    </row>
    <row r="13" spans="1:11">
      <c r="A13" s="666">
        <v>9</v>
      </c>
      <c r="B13" s="666" t="s">
        <v>65</v>
      </c>
      <c r="C13" s="666" t="s">
        <v>53</v>
      </c>
      <c r="D13" s="666">
        <v>10.593999999999999</v>
      </c>
      <c r="E13" s="1231">
        <v>46177</v>
      </c>
      <c r="F13" s="1231">
        <v>46186</v>
      </c>
      <c r="G13" s="1231" t="s">
        <v>2146</v>
      </c>
      <c r="H13" s="1974" t="s">
        <v>2174</v>
      </c>
      <c r="I13" s="1975" t="s">
        <v>2175</v>
      </c>
      <c r="J13" s="1231" t="s">
        <v>29</v>
      </c>
      <c r="K13" s="1231"/>
    </row>
    <row r="14" spans="1:11">
      <c r="A14" s="666">
        <v>10</v>
      </c>
      <c r="B14" s="666" t="s">
        <v>64</v>
      </c>
      <c r="C14" s="666" t="s">
        <v>586</v>
      </c>
      <c r="D14" s="666">
        <v>13.664</v>
      </c>
      <c r="E14" s="1231">
        <v>46189</v>
      </c>
      <c r="F14" s="1231">
        <v>46198</v>
      </c>
      <c r="G14" s="1231" t="s">
        <v>2137</v>
      </c>
      <c r="H14" s="1974"/>
      <c r="I14" s="1974"/>
      <c r="J14" s="1231" t="s">
        <v>29</v>
      </c>
      <c r="K14" s="1231"/>
    </row>
    <row r="15" spans="1:11">
      <c r="A15" s="666">
        <v>11</v>
      </c>
      <c r="B15" s="666" t="s">
        <v>181</v>
      </c>
      <c r="C15" s="666" t="s">
        <v>53</v>
      </c>
      <c r="D15" s="666">
        <v>10.593999999999999</v>
      </c>
      <c r="E15" s="1231">
        <v>46190</v>
      </c>
      <c r="F15" s="1231">
        <v>46198</v>
      </c>
      <c r="G15" s="1231" t="s">
        <v>2154</v>
      </c>
      <c r="H15" s="1974"/>
      <c r="I15" s="1974"/>
      <c r="J15" s="1231" t="s">
        <v>29</v>
      </c>
      <c r="K15" s="1231"/>
    </row>
    <row r="16" spans="1:11">
      <c r="A16" s="666">
        <v>12</v>
      </c>
      <c r="B16" s="666" t="s">
        <v>186</v>
      </c>
      <c r="C16" s="666" t="s">
        <v>32</v>
      </c>
      <c r="D16" s="666">
        <v>8.3339999999999996</v>
      </c>
      <c r="E16" s="1231">
        <v>46198</v>
      </c>
      <c r="F16" s="1231">
        <v>46203</v>
      </c>
      <c r="G16" s="1231" t="s">
        <v>2154</v>
      </c>
      <c r="H16" s="1974"/>
      <c r="I16" s="1974"/>
      <c r="J16" s="1231" t="s">
        <v>29</v>
      </c>
      <c r="K16" s="1231"/>
    </row>
    <row r="17" spans="1:11">
      <c r="A17" s="816"/>
      <c r="B17" s="817"/>
      <c r="C17" s="816"/>
      <c r="D17" s="1246">
        <f>SUM(D5:D16)</f>
        <v>112.13699999999999</v>
      </c>
      <c r="E17" s="818"/>
      <c r="F17" s="818"/>
      <c r="G17" s="818"/>
      <c r="H17" s="818"/>
      <c r="I17" s="818"/>
      <c r="J17" s="819"/>
      <c r="K17" s="820"/>
    </row>
    <row r="18" spans="1:11">
      <c r="A18" s="816"/>
      <c r="B18" s="817"/>
      <c r="C18" s="816"/>
      <c r="D18" s="816"/>
      <c r="E18" s="818"/>
      <c r="F18" s="818"/>
      <c r="G18" s="818"/>
      <c r="H18" s="818"/>
      <c r="I18" s="818"/>
      <c r="J18" s="819"/>
      <c r="K18" s="820"/>
    </row>
    <row r="19" spans="1:11">
      <c r="A19" s="816"/>
      <c r="B19" s="817"/>
      <c r="C19" s="816"/>
      <c r="D19" s="816"/>
      <c r="E19" s="818"/>
      <c r="F19" s="818"/>
      <c r="G19" s="818"/>
      <c r="H19" s="818"/>
      <c r="I19" s="818"/>
      <c r="J19" s="819"/>
      <c r="K19" s="820"/>
    </row>
    <row r="20" spans="1:11">
      <c r="A20" s="816"/>
      <c r="B20" s="817"/>
      <c r="C20" s="816"/>
      <c r="D20" s="816"/>
      <c r="E20" s="818"/>
      <c r="F20" s="818"/>
      <c r="G20" s="818"/>
      <c r="H20" s="818"/>
      <c r="I20" s="818"/>
      <c r="J20" s="819"/>
      <c r="K20" s="820"/>
    </row>
    <row r="21" spans="1:11">
      <c r="A21" s="816"/>
      <c r="B21" s="817"/>
      <c r="C21" s="816"/>
      <c r="D21" s="816"/>
      <c r="E21" s="818"/>
      <c r="F21" s="818"/>
      <c r="G21" s="818"/>
      <c r="H21" s="818"/>
      <c r="I21" s="818"/>
      <c r="J21" s="819"/>
      <c r="K21" s="820"/>
    </row>
    <row r="22" spans="1:11">
      <c r="A22" s="816"/>
      <c r="B22" s="817"/>
      <c r="C22" s="816"/>
      <c r="D22" s="816"/>
      <c r="E22" s="818"/>
      <c r="F22" s="818"/>
      <c r="G22" s="818"/>
      <c r="H22" s="1164"/>
      <c r="I22" s="1162"/>
      <c r="J22" s="819"/>
      <c r="K22" s="820"/>
    </row>
    <row r="23" spans="1:11">
      <c r="A23" s="816"/>
      <c r="B23" s="817"/>
      <c r="C23" s="816"/>
      <c r="D23" s="924"/>
      <c r="E23" s="818"/>
      <c r="F23" s="818"/>
      <c r="G23" s="818"/>
      <c r="H23" s="818"/>
      <c r="I23" s="818"/>
      <c r="J23" s="819"/>
      <c r="K23" s="820"/>
    </row>
    <row r="24" spans="1:11" ht="15" customHeight="1">
      <c r="A24" s="1986" t="s">
        <v>1026</v>
      </c>
      <c r="B24" s="1987"/>
      <c r="C24" s="1987"/>
      <c r="D24" s="1987"/>
      <c r="E24" s="1987"/>
      <c r="F24" s="1987"/>
      <c r="G24" s="1987"/>
      <c r="H24" s="1987"/>
      <c r="I24" s="1987"/>
      <c r="J24" s="1987"/>
      <c r="K24" s="1988"/>
    </row>
    <row r="25" spans="1:11" ht="30">
      <c r="A25" s="18" t="s">
        <v>25</v>
      </c>
      <c r="B25" s="19" t="s">
        <v>551</v>
      </c>
      <c r="C25" s="18" t="s">
        <v>38</v>
      </c>
      <c r="D25" s="19" t="s">
        <v>1830</v>
      </c>
      <c r="E25" s="18" t="s">
        <v>1831</v>
      </c>
      <c r="F25" s="18" t="s">
        <v>1832</v>
      </c>
      <c r="G25" s="18" t="s">
        <v>36</v>
      </c>
      <c r="H25" s="902"/>
      <c r="I25" s="902"/>
      <c r="J25" s="18" t="s">
        <v>35</v>
      </c>
      <c r="K25" s="18" t="s">
        <v>2</v>
      </c>
    </row>
    <row r="26" spans="1:11">
      <c r="A26" s="704"/>
      <c r="B26" s="704"/>
      <c r="C26" s="704"/>
      <c r="D26" s="704"/>
      <c r="E26" s="704"/>
      <c r="F26" s="704"/>
      <c r="G26" s="911"/>
      <c r="H26" s="909"/>
      <c r="I26" s="910"/>
      <c r="J26" s="912">
        <f>COUNTIF(J27:J73,"Completed")</f>
        <v>46</v>
      </c>
      <c r="K26" s="704"/>
    </row>
    <row r="27" spans="1:11">
      <c r="A27" s="666">
        <v>1</v>
      </c>
      <c r="B27" s="666" t="s">
        <v>452</v>
      </c>
      <c r="C27" s="666" t="s">
        <v>48</v>
      </c>
      <c r="D27" s="666">
        <v>20.631</v>
      </c>
      <c r="E27" s="608">
        <v>46060</v>
      </c>
      <c r="F27" s="608">
        <v>46067</v>
      </c>
      <c r="G27" s="608" t="s">
        <v>1836</v>
      </c>
      <c r="H27" s="1945" t="s">
        <v>1933</v>
      </c>
      <c r="I27" s="1946">
        <v>3</v>
      </c>
      <c r="J27" s="1231" t="s">
        <v>29</v>
      </c>
      <c r="K27" s="1231" t="s">
        <v>554</v>
      </c>
    </row>
    <row r="28" spans="1:11">
      <c r="A28" s="666">
        <v>2</v>
      </c>
      <c r="B28" s="666" t="s">
        <v>411</v>
      </c>
      <c r="C28" s="666" t="s">
        <v>34</v>
      </c>
      <c r="D28" s="666">
        <v>16.922000000000001</v>
      </c>
      <c r="E28" s="1231">
        <v>46067</v>
      </c>
      <c r="F28" s="1231">
        <v>46070</v>
      </c>
      <c r="G28" s="1231" t="s">
        <v>1836</v>
      </c>
      <c r="H28" s="1945"/>
      <c r="I28" s="1946"/>
      <c r="J28" s="1231" t="s">
        <v>29</v>
      </c>
      <c r="K28" s="1231" t="s">
        <v>554</v>
      </c>
    </row>
    <row r="29" spans="1:11">
      <c r="A29" s="666">
        <v>3</v>
      </c>
      <c r="B29" s="666" t="s">
        <v>71</v>
      </c>
      <c r="C29" s="666" t="s">
        <v>1181</v>
      </c>
      <c r="D29" s="666">
        <v>37.869999999999997</v>
      </c>
      <c r="E29" s="1231">
        <v>46070</v>
      </c>
      <c r="F29" s="1231">
        <v>46078</v>
      </c>
      <c r="G29" s="1231" t="s">
        <v>1836</v>
      </c>
      <c r="H29" s="1945"/>
      <c r="I29" s="1946"/>
      <c r="J29" s="1231" t="s">
        <v>29</v>
      </c>
      <c r="K29" s="1231" t="s">
        <v>554</v>
      </c>
    </row>
    <row r="30" spans="1:11">
      <c r="A30" s="666">
        <v>4</v>
      </c>
      <c r="B30" s="666" t="s">
        <v>416</v>
      </c>
      <c r="C30" s="666" t="s">
        <v>50</v>
      </c>
      <c r="D30" s="666">
        <v>40.17</v>
      </c>
      <c r="E30" s="1231">
        <v>46070</v>
      </c>
      <c r="F30" s="1231">
        <v>46091</v>
      </c>
      <c r="G30" s="1231" t="s">
        <v>1836</v>
      </c>
      <c r="H30" s="1945" t="s">
        <v>1888</v>
      </c>
      <c r="I30" s="1946">
        <v>7</v>
      </c>
      <c r="J30" s="1231" t="s">
        <v>29</v>
      </c>
      <c r="K30" s="1231" t="s">
        <v>554</v>
      </c>
    </row>
    <row r="31" spans="1:11">
      <c r="A31" s="666">
        <v>5</v>
      </c>
      <c r="B31" s="666" t="s">
        <v>46</v>
      </c>
      <c r="C31" s="666" t="s">
        <v>1175</v>
      </c>
      <c r="D31" s="666">
        <v>28.062999999999999</v>
      </c>
      <c r="E31" s="1231">
        <v>46089</v>
      </c>
      <c r="F31" s="1231">
        <v>46096</v>
      </c>
      <c r="G31" s="1231" t="s">
        <v>1889</v>
      </c>
      <c r="H31" s="1945"/>
      <c r="I31" s="1946"/>
      <c r="J31" s="1231" t="s">
        <v>29</v>
      </c>
      <c r="K31" s="1231" t="s">
        <v>554</v>
      </c>
    </row>
    <row r="32" spans="1:11">
      <c r="A32" s="666">
        <v>6</v>
      </c>
      <c r="B32" s="666" t="s">
        <v>803</v>
      </c>
      <c r="C32" s="666" t="s">
        <v>48</v>
      </c>
      <c r="D32" s="666">
        <v>20.631</v>
      </c>
      <c r="E32" s="1231">
        <f>F30</f>
        <v>46091</v>
      </c>
      <c r="F32" s="1231">
        <v>46101</v>
      </c>
      <c r="G32" s="1231" t="s">
        <v>1889</v>
      </c>
      <c r="H32" s="1945"/>
      <c r="I32" s="1946"/>
      <c r="J32" s="1231" t="s">
        <v>29</v>
      </c>
      <c r="K32" s="1231" t="s">
        <v>555</v>
      </c>
    </row>
    <row r="33" spans="1:11">
      <c r="A33" s="666">
        <v>7</v>
      </c>
      <c r="B33" s="666" t="s">
        <v>73</v>
      </c>
      <c r="C33" s="666" t="s">
        <v>50</v>
      </c>
      <c r="D33" s="666">
        <v>40.17</v>
      </c>
      <c r="E33" s="1231">
        <v>46094</v>
      </c>
      <c r="F33" s="1231">
        <v>46103</v>
      </c>
      <c r="G33" s="1231" t="s">
        <v>1836</v>
      </c>
      <c r="H33" s="1945"/>
      <c r="I33" s="1946"/>
      <c r="J33" s="1231" t="s">
        <v>29</v>
      </c>
      <c r="K33" s="1231" t="s">
        <v>555</v>
      </c>
    </row>
    <row r="34" spans="1:11">
      <c r="A34" s="666">
        <v>8</v>
      </c>
      <c r="B34" s="666" t="s">
        <v>799</v>
      </c>
      <c r="C34" s="666" t="s">
        <v>34</v>
      </c>
      <c r="D34" s="666">
        <v>16.922000000000001</v>
      </c>
      <c r="E34" s="1231">
        <v>46096</v>
      </c>
      <c r="F34" s="1231">
        <v>46105</v>
      </c>
      <c r="G34" s="1231" t="s">
        <v>1889</v>
      </c>
      <c r="H34" s="1945"/>
      <c r="I34" s="1946"/>
      <c r="J34" s="1231" t="s">
        <v>29</v>
      </c>
      <c r="K34" s="1231" t="s">
        <v>555</v>
      </c>
    </row>
    <row r="35" spans="1:11">
      <c r="A35" s="666">
        <v>9</v>
      </c>
      <c r="B35" s="666" t="s">
        <v>364</v>
      </c>
      <c r="C35" s="666" t="s">
        <v>50</v>
      </c>
      <c r="D35" s="666">
        <v>40.17</v>
      </c>
      <c r="E35" s="1231">
        <v>46102</v>
      </c>
      <c r="F35" s="1231">
        <v>46111</v>
      </c>
      <c r="G35" s="1231" t="s">
        <v>1836</v>
      </c>
      <c r="H35" s="1945"/>
      <c r="I35" s="1946"/>
      <c r="J35" s="1231" t="s">
        <v>29</v>
      </c>
      <c r="K35" s="1231" t="s">
        <v>554</v>
      </c>
    </row>
    <row r="36" spans="1:11">
      <c r="A36" s="666">
        <v>10</v>
      </c>
      <c r="B36" s="666" t="s">
        <v>58</v>
      </c>
      <c r="C36" s="666" t="s">
        <v>57</v>
      </c>
      <c r="D36" s="666">
        <v>38.079000000000001</v>
      </c>
      <c r="E36" s="1231">
        <v>46106</v>
      </c>
      <c r="F36" s="1231">
        <v>46112</v>
      </c>
      <c r="G36" s="1231" t="s">
        <v>1889</v>
      </c>
      <c r="H36" s="1945"/>
      <c r="I36" s="1946"/>
      <c r="J36" s="1231" t="s">
        <v>29</v>
      </c>
      <c r="K36" s="1231" t="s">
        <v>554</v>
      </c>
    </row>
    <row r="37" spans="1:11">
      <c r="A37" s="666">
        <v>11</v>
      </c>
      <c r="B37" s="666" t="s">
        <v>1852</v>
      </c>
      <c r="C37" s="666" t="s">
        <v>49</v>
      </c>
      <c r="D37" s="666">
        <v>21.756</v>
      </c>
      <c r="E37" s="1231">
        <v>46112</v>
      </c>
      <c r="F37" s="1231">
        <v>46115</v>
      </c>
      <c r="G37" s="1231" t="s">
        <v>1836</v>
      </c>
      <c r="H37" s="1978" t="s">
        <v>1906</v>
      </c>
      <c r="I37" s="1980">
        <v>10</v>
      </c>
      <c r="J37" s="1231" t="s">
        <v>29</v>
      </c>
      <c r="K37" s="1231" t="s">
        <v>555</v>
      </c>
    </row>
    <row r="38" spans="1:11">
      <c r="A38" s="666">
        <v>12</v>
      </c>
      <c r="B38" s="666" t="s">
        <v>310</v>
      </c>
      <c r="C38" s="666" t="s">
        <v>34</v>
      </c>
      <c r="D38" s="666">
        <v>16.922000000000001</v>
      </c>
      <c r="E38" s="1231">
        <v>46115</v>
      </c>
      <c r="F38" s="1231">
        <v>46121</v>
      </c>
      <c r="G38" s="1231" t="s">
        <v>1889</v>
      </c>
      <c r="H38" s="1979"/>
      <c r="I38" s="1981"/>
      <c r="J38" s="1231" t="s">
        <v>29</v>
      </c>
      <c r="K38" s="1231" t="s">
        <v>554</v>
      </c>
    </row>
    <row r="39" spans="1:11">
      <c r="A39" s="666">
        <v>13</v>
      </c>
      <c r="B39" s="666" t="s">
        <v>371</v>
      </c>
      <c r="C39" s="666" t="s">
        <v>1181</v>
      </c>
      <c r="D39" s="666">
        <v>37.869999999999997</v>
      </c>
      <c r="E39" s="1231">
        <v>46115</v>
      </c>
      <c r="F39" s="1231">
        <v>46121</v>
      </c>
      <c r="G39" s="1231" t="s">
        <v>1836</v>
      </c>
      <c r="H39" s="1979"/>
      <c r="I39" s="1981"/>
      <c r="J39" s="1231" t="s">
        <v>29</v>
      </c>
      <c r="K39" s="1231" t="s">
        <v>554</v>
      </c>
    </row>
    <row r="40" spans="1:11">
      <c r="A40" s="666">
        <v>14</v>
      </c>
      <c r="B40" s="666" t="s">
        <v>300</v>
      </c>
      <c r="C40" s="666" t="s">
        <v>48</v>
      </c>
      <c r="D40" s="666">
        <v>20.631</v>
      </c>
      <c r="E40" s="1231">
        <v>46119</v>
      </c>
      <c r="F40" s="1231">
        <v>46125</v>
      </c>
      <c r="G40" s="1231" t="s">
        <v>1889</v>
      </c>
      <c r="H40" s="1979"/>
      <c r="I40" s="1981"/>
      <c r="J40" s="1231" t="s">
        <v>29</v>
      </c>
      <c r="K40" s="1231" t="s">
        <v>554</v>
      </c>
    </row>
    <row r="41" spans="1:11">
      <c r="A41" s="666">
        <v>15</v>
      </c>
      <c r="B41" s="666" t="s">
        <v>71</v>
      </c>
      <c r="C41" s="666" t="s">
        <v>50</v>
      </c>
      <c r="D41" s="666">
        <v>40.17</v>
      </c>
      <c r="E41" s="1231">
        <v>46121</v>
      </c>
      <c r="F41" s="1231">
        <v>46128</v>
      </c>
      <c r="G41" s="1231" t="s">
        <v>1836</v>
      </c>
      <c r="H41" s="1979"/>
      <c r="I41" s="1981"/>
      <c r="J41" s="1231" t="s">
        <v>29</v>
      </c>
      <c r="K41" s="1231" t="s">
        <v>555</v>
      </c>
    </row>
    <row r="42" spans="1:11">
      <c r="A42" s="666">
        <v>16</v>
      </c>
      <c r="B42" s="666" t="s">
        <v>296</v>
      </c>
      <c r="C42" s="666" t="s">
        <v>32</v>
      </c>
      <c r="D42" s="666">
        <v>18.405000000000001</v>
      </c>
      <c r="E42" s="1231">
        <v>46125</v>
      </c>
      <c r="F42" s="1231">
        <v>46130</v>
      </c>
      <c r="G42" s="1231" t="s">
        <v>1889</v>
      </c>
      <c r="H42" s="1979"/>
      <c r="I42" s="1981"/>
      <c r="J42" s="1231" t="s">
        <v>29</v>
      </c>
      <c r="K42" s="1231" t="s">
        <v>554</v>
      </c>
    </row>
    <row r="43" spans="1:11">
      <c r="A43" s="666">
        <v>17</v>
      </c>
      <c r="B43" s="666" t="s">
        <v>795</v>
      </c>
      <c r="C43" s="666" t="s">
        <v>34</v>
      </c>
      <c r="D43" s="666">
        <v>16.922000000000001</v>
      </c>
      <c r="E43" s="1231">
        <v>46130</v>
      </c>
      <c r="F43" s="1231">
        <v>46134</v>
      </c>
      <c r="G43" s="1231" t="s">
        <v>1889</v>
      </c>
      <c r="H43" s="1979"/>
      <c r="I43" s="1981"/>
      <c r="J43" s="1231" t="s">
        <v>29</v>
      </c>
      <c r="K43" s="1231" t="s">
        <v>555</v>
      </c>
    </row>
    <row r="44" spans="1:11">
      <c r="A44" s="666">
        <v>18</v>
      </c>
      <c r="B44" s="666" t="s">
        <v>421</v>
      </c>
      <c r="C44" s="666" t="s">
        <v>48</v>
      </c>
      <c r="D44" s="666">
        <v>20.631</v>
      </c>
      <c r="E44" s="1231">
        <v>46128</v>
      </c>
      <c r="F44" s="1231">
        <v>46134</v>
      </c>
      <c r="G44" s="1231" t="s">
        <v>1836</v>
      </c>
      <c r="H44" s="1979"/>
      <c r="I44" s="1981"/>
      <c r="J44" s="1231" t="s">
        <v>29</v>
      </c>
      <c r="K44" s="1231" t="s">
        <v>555</v>
      </c>
    </row>
    <row r="45" spans="1:11">
      <c r="A45" s="666">
        <v>19</v>
      </c>
      <c r="B45" s="666" t="s">
        <v>322</v>
      </c>
      <c r="C45" s="666" t="s">
        <v>34</v>
      </c>
      <c r="D45" s="666">
        <v>16.922000000000001</v>
      </c>
      <c r="E45" s="1231">
        <v>46135</v>
      </c>
      <c r="F45" s="1231">
        <v>46138</v>
      </c>
      <c r="G45" s="1231" t="s">
        <v>1889</v>
      </c>
      <c r="H45" s="1979"/>
      <c r="I45" s="1981"/>
      <c r="J45" s="1231" t="s">
        <v>29</v>
      </c>
      <c r="K45" s="1231" t="s">
        <v>554</v>
      </c>
    </row>
    <row r="46" spans="1:11">
      <c r="A46" s="666">
        <v>20</v>
      </c>
      <c r="B46" s="666" t="s">
        <v>436</v>
      </c>
      <c r="C46" s="666" t="s">
        <v>1181</v>
      </c>
      <c r="D46" s="666">
        <v>37.869999999999997</v>
      </c>
      <c r="E46" s="1231">
        <v>46135</v>
      </c>
      <c r="F46" s="1231">
        <v>46140</v>
      </c>
      <c r="G46" s="1231" t="s">
        <v>1836</v>
      </c>
      <c r="H46" s="1977"/>
      <c r="I46" s="1982"/>
      <c r="J46" s="1231" t="s">
        <v>29</v>
      </c>
      <c r="K46" s="1231" t="s">
        <v>555</v>
      </c>
    </row>
    <row r="47" spans="1:11">
      <c r="A47" s="666">
        <v>21</v>
      </c>
      <c r="B47" s="666" t="s">
        <v>384</v>
      </c>
      <c r="C47" s="666" t="s">
        <v>34</v>
      </c>
      <c r="D47" s="666">
        <v>16.922000000000001</v>
      </c>
      <c r="E47" s="1231">
        <v>46112</v>
      </c>
      <c r="F47" s="1231">
        <v>46143</v>
      </c>
      <c r="G47" s="1231" t="s">
        <v>1889</v>
      </c>
      <c r="H47" s="1974" t="s">
        <v>2129</v>
      </c>
      <c r="I47" s="1975" t="s">
        <v>2133</v>
      </c>
      <c r="J47" s="1231" t="s">
        <v>29</v>
      </c>
      <c r="K47" s="1231" t="s">
        <v>555</v>
      </c>
    </row>
    <row r="48" spans="1:11">
      <c r="A48" s="666">
        <v>22</v>
      </c>
      <c r="B48" s="666" t="s">
        <v>371</v>
      </c>
      <c r="C48" s="666" t="s">
        <v>1181</v>
      </c>
      <c r="D48" s="666">
        <v>37.869999999999997</v>
      </c>
      <c r="E48" s="1231">
        <v>46115</v>
      </c>
      <c r="F48" s="1231">
        <v>46145</v>
      </c>
      <c r="G48" s="1231" t="s">
        <v>1836</v>
      </c>
      <c r="H48" s="1974"/>
      <c r="I48" s="1974"/>
      <c r="J48" s="1231" t="s">
        <v>29</v>
      </c>
      <c r="K48" s="1231" t="s">
        <v>555</v>
      </c>
    </row>
    <row r="49" spans="1:11">
      <c r="A49" s="666">
        <v>23</v>
      </c>
      <c r="B49" s="666" t="s">
        <v>70</v>
      </c>
      <c r="C49" s="666" t="s">
        <v>53</v>
      </c>
      <c r="D49" s="666">
        <v>31.21</v>
      </c>
      <c r="E49" s="1231">
        <v>46115</v>
      </c>
      <c r="F49" s="1231">
        <v>46150</v>
      </c>
      <c r="G49" s="1231" t="s">
        <v>1889</v>
      </c>
      <c r="H49" s="1974"/>
      <c r="I49" s="1974"/>
      <c r="J49" s="1231" t="s">
        <v>29</v>
      </c>
      <c r="K49" s="1231" t="s">
        <v>555</v>
      </c>
    </row>
    <row r="50" spans="1:11">
      <c r="A50" s="666">
        <v>24</v>
      </c>
      <c r="B50" s="666" t="s">
        <v>1168</v>
      </c>
      <c r="C50" s="666" t="s">
        <v>50</v>
      </c>
      <c r="D50" s="666">
        <v>40.17</v>
      </c>
      <c r="E50" s="1231">
        <v>46119</v>
      </c>
      <c r="F50" s="1231">
        <v>46151</v>
      </c>
      <c r="G50" s="1231" t="s">
        <v>1836</v>
      </c>
      <c r="H50" s="1974"/>
      <c r="I50" s="1974"/>
      <c r="J50" s="1231" t="s">
        <v>29</v>
      </c>
      <c r="K50" s="1231" t="s">
        <v>555</v>
      </c>
    </row>
    <row r="51" spans="1:11">
      <c r="A51" s="666">
        <v>25</v>
      </c>
      <c r="B51" s="666" t="s">
        <v>318</v>
      </c>
      <c r="C51" s="666" t="s">
        <v>34</v>
      </c>
      <c r="D51" s="666">
        <v>16.922000000000001</v>
      </c>
      <c r="E51" s="1231">
        <v>46121</v>
      </c>
      <c r="F51" s="1231">
        <v>46153</v>
      </c>
      <c r="G51" s="1231" t="s">
        <v>1889</v>
      </c>
      <c r="H51" s="1974"/>
      <c r="I51" s="1974"/>
      <c r="J51" s="1231" t="s">
        <v>29</v>
      </c>
      <c r="K51" s="1231" t="s">
        <v>554</v>
      </c>
    </row>
    <row r="52" spans="1:11">
      <c r="A52" s="666">
        <v>26</v>
      </c>
      <c r="B52" s="666" t="s">
        <v>457</v>
      </c>
      <c r="C52" s="666" t="s">
        <v>1181</v>
      </c>
      <c r="D52" s="666">
        <v>37.869999999999997</v>
      </c>
      <c r="E52" s="1231">
        <v>46125</v>
      </c>
      <c r="F52" s="1231">
        <v>46157</v>
      </c>
      <c r="G52" s="1231" t="s">
        <v>1836</v>
      </c>
      <c r="H52" s="1974"/>
      <c r="I52" s="1974"/>
      <c r="J52" s="1231" t="s">
        <v>29</v>
      </c>
      <c r="K52" s="1231" t="s">
        <v>555</v>
      </c>
    </row>
    <row r="53" spans="1:11">
      <c r="A53" s="666">
        <v>27</v>
      </c>
      <c r="B53" s="666" t="s">
        <v>1872</v>
      </c>
      <c r="C53" s="666" t="s">
        <v>34</v>
      </c>
      <c r="D53" s="666">
        <v>16.922000000000001</v>
      </c>
      <c r="E53" s="1231">
        <v>46130</v>
      </c>
      <c r="F53" s="1231">
        <v>46162</v>
      </c>
      <c r="G53" s="1231" t="s">
        <v>1836</v>
      </c>
      <c r="H53" s="1974"/>
      <c r="I53" s="1974"/>
      <c r="J53" s="1231" t="s">
        <v>29</v>
      </c>
      <c r="K53" s="1231" t="s">
        <v>555</v>
      </c>
    </row>
    <row r="54" spans="1:11">
      <c r="A54" s="666">
        <v>28</v>
      </c>
      <c r="B54" s="666" t="s">
        <v>416</v>
      </c>
      <c r="C54" s="666" t="s">
        <v>1181</v>
      </c>
      <c r="D54" s="666">
        <v>37.869999999999997</v>
      </c>
      <c r="E54" s="1231">
        <v>46128</v>
      </c>
      <c r="F54" s="1231">
        <v>46163</v>
      </c>
      <c r="G54" s="1231" t="s">
        <v>1889</v>
      </c>
      <c r="H54" s="1974"/>
      <c r="I54" s="1974"/>
      <c r="J54" s="1231" t="s">
        <v>29</v>
      </c>
      <c r="K54" s="1231" t="s">
        <v>555</v>
      </c>
    </row>
    <row r="55" spans="1:11">
      <c r="A55" s="666">
        <v>29</v>
      </c>
      <c r="B55" s="666" t="s">
        <v>314</v>
      </c>
      <c r="C55" s="666" t="s">
        <v>34</v>
      </c>
      <c r="D55" s="666">
        <v>16.922000000000001</v>
      </c>
      <c r="E55" s="1231">
        <v>46135</v>
      </c>
      <c r="F55" s="1231">
        <v>46166</v>
      </c>
      <c r="G55" s="1231" t="s">
        <v>1889</v>
      </c>
      <c r="H55" s="1974"/>
      <c r="I55" s="1974"/>
      <c r="J55" s="1231" t="s">
        <v>29</v>
      </c>
      <c r="K55" s="1231" t="s">
        <v>554</v>
      </c>
    </row>
    <row r="56" spans="1:11">
      <c r="A56" s="666">
        <v>30</v>
      </c>
      <c r="B56" s="666" t="s">
        <v>1206</v>
      </c>
      <c r="C56" s="666" t="s">
        <v>1181</v>
      </c>
      <c r="D56" s="666">
        <v>37.869999999999997</v>
      </c>
      <c r="E56" s="1231">
        <v>46173</v>
      </c>
      <c r="F56" s="1231">
        <v>46173</v>
      </c>
      <c r="G56" s="1231" t="s">
        <v>1836</v>
      </c>
      <c r="H56" s="1974"/>
      <c r="I56" s="1974"/>
      <c r="J56" s="1231" t="s">
        <v>29</v>
      </c>
      <c r="K56" s="1231" t="s">
        <v>555</v>
      </c>
    </row>
    <row r="57" spans="1:11">
      <c r="A57" s="666">
        <v>31</v>
      </c>
      <c r="B57" s="666" t="s">
        <v>388</v>
      </c>
      <c r="C57" s="666" t="s">
        <v>48</v>
      </c>
      <c r="D57" s="666">
        <v>20.631</v>
      </c>
      <c r="E57" s="1231">
        <v>46173</v>
      </c>
      <c r="F57" s="1231">
        <v>46173</v>
      </c>
      <c r="G57" s="1231" t="s">
        <v>1836</v>
      </c>
      <c r="H57" s="1974"/>
      <c r="I57" s="1974"/>
      <c r="J57" s="1231" t="s">
        <v>29</v>
      </c>
      <c r="K57" s="1231" t="s">
        <v>554</v>
      </c>
    </row>
    <row r="58" spans="1:11">
      <c r="A58" s="666">
        <v>32</v>
      </c>
      <c r="B58" s="666" t="s">
        <v>326</v>
      </c>
      <c r="C58" s="666" t="s">
        <v>1181</v>
      </c>
      <c r="D58" s="666">
        <v>37.869999999999997</v>
      </c>
      <c r="E58" s="1231">
        <v>46170</v>
      </c>
      <c r="F58" s="1231">
        <v>46174</v>
      </c>
      <c r="G58" s="1231" t="s">
        <v>1889</v>
      </c>
      <c r="H58" s="1974" t="s">
        <v>2174</v>
      </c>
      <c r="I58" s="1975" t="s">
        <v>2130</v>
      </c>
      <c r="J58" s="1231" t="s">
        <v>29</v>
      </c>
      <c r="K58" s="1231" t="s">
        <v>555</v>
      </c>
    </row>
    <row r="59" spans="1:11">
      <c r="A59" s="666">
        <v>33</v>
      </c>
      <c r="B59" s="666" t="s">
        <v>393</v>
      </c>
      <c r="C59" s="666" t="s">
        <v>1175</v>
      </c>
      <c r="D59" s="666">
        <v>28.062999999999999</v>
      </c>
      <c r="E59" s="1231">
        <v>46173</v>
      </c>
      <c r="F59" s="1231">
        <v>46177</v>
      </c>
      <c r="G59" s="1231" t="s">
        <v>1836</v>
      </c>
      <c r="H59" s="1974"/>
      <c r="I59" s="1974"/>
      <c r="J59" s="1231" t="s">
        <v>29</v>
      </c>
      <c r="K59" s="1231" t="s">
        <v>554</v>
      </c>
    </row>
    <row r="60" spans="1:11">
      <c r="A60" s="666">
        <v>34</v>
      </c>
      <c r="B60" s="666" t="s">
        <v>332</v>
      </c>
      <c r="C60" s="666" t="s">
        <v>48</v>
      </c>
      <c r="D60" s="666">
        <v>20.631</v>
      </c>
      <c r="E60" s="1231">
        <v>46173</v>
      </c>
      <c r="F60" s="1231">
        <v>46178</v>
      </c>
      <c r="G60" s="1231" t="s">
        <v>1889</v>
      </c>
      <c r="H60" s="1974"/>
      <c r="I60" s="1974"/>
      <c r="J60" s="1231" t="s">
        <v>29</v>
      </c>
      <c r="K60" s="1231" t="s">
        <v>554</v>
      </c>
    </row>
    <row r="61" spans="1:11">
      <c r="A61" s="666">
        <v>35</v>
      </c>
      <c r="B61" s="666" t="s">
        <v>239</v>
      </c>
      <c r="C61" s="666" t="s">
        <v>34</v>
      </c>
      <c r="D61" s="666">
        <v>16.922000000000001</v>
      </c>
      <c r="E61" s="1231">
        <v>46179</v>
      </c>
      <c r="F61" s="1231">
        <v>46183</v>
      </c>
      <c r="G61" s="1231" t="s">
        <v>1889</v>
      </c>
      <c r="H61" s="1974"/>
      <c r="I61" s="1974"/>
      <c r="J61" s="1231" t="s">
        <v>29</v>
      </c>
      <c r="K61" s="1231" t="s">
        <v>554</v>
      </c>
    </row>
    <row r="62" spans="1:11">
      <c r="A62" s="666">
        <v>36</v>
      </c>
      <c r="B62" s="666" t="s">
        <v>689</v>
      </c>
      <c r="C62" s="666" t="s">
        <v>50</v>
      </c>
      <c r="D62" s="666">
        <v>40.17</v>
      </c>
      <c r="E62" s="1231">
        <v>46162</v>
      </c>
      <c r="F62" s="1231">
        <v>46183</v>
      </c>
      <c r="G62" s="1231" t="s">
        <v>2137</v>
      </c>
      <c r="H62" s="1974"/>
      <c r="I62" s="1974"/>
      <c r="J62" s="1231" t="s">
        <v>29</v>
      </c>
      <c r="K62" s="1231" t="s">
        <v>555</v>
      </c>
    </row>
    <row r="63" spans="1:11">
      <c r="A63" s="666">
        <v>37</v>
      </c>
      <c r="B63" s="666" t="s">
        <v>40</v>
      </c>
      <c r="C63" s="666" t="s">
        <v>45</v>
      </c>
      <c r="D63" s="666">
        <v>46.737000000000002</v>
      </c>
      <c r="E63" s="1231">
        <v>46177</v>
      </c>
      <c r="F63" s="1231">
        <v>46189</v>
      </c>
      <c r="G63" s="1231" t="s">
        <v>1836</v>
      </c>
      <c r="H63" s="1974"/>
      <c r="I63" s="1974"/>
      <c r="J63" s="1231" t="s">
        <v>29</v>
      </c>
      <c r="K63" s="1231" t="s">
        <v>555</v>
      </c>
    </row>
    <row r="64" spans="1:11">
      <c r="A64" s="666">
        <v>38</v>
      </c>
      <c r="B64" s="666" t="s">
        <v>234</v>
      </c>
      <c r="C64" s="666" t="s">
        <v>34</v>
      </c>
      <c r="D64" s="666">
        <v>16.922000000000001</v>
      </c>
      <c r="E64" s="1231">
        <v>46183</v>
      </c>
      <c r="F64" s="1231">
        <v>46189</v>
      </c>
      <c r="G64" s="1231" t="s">
        <v>1889</v>
      </c>
      <c r="H64" s="1974"/>
      <c r="I64" s="1974"/>
      <c r="J64" s="1231" t="s">
        <v>29</v>
      </c>
      <c r="K64" s="1231" t="s">
        <v>554</v>
      </c>
    </row>
    <row r="65" spans="1:11">
      <c r="A65" s="666">
        <v>39</v>
      </c>
      <c r="B65" s="666" t="s">
        <v>230</v>
      </c>
      <c r="C65" s="666" t="s">
        <v>34</v>
      </c>
      <c r="D65" s="666">
        <v>16.922000000000001</v>
      </c>
      <c r="E65" s="1231">
        <v>46189</v>
      </c>
      <c r="F65" s="1231">
        <v>46190</v>
      </c>
      <c r="G65" s="1231" t="s">
        <v>1889</v>
      </c>
      <c r="H65" s="1974"/>
      <c r="I65" s="1974"/>
      <c r="J65" s="1231" t="s">
        <v>29</v>
      </c>
      <c r="K65" s="1231" t="s">
        <v>554</v>
      </c>
    </row>
    <row r="66" spans="1:11">
      <c r="A66" s="666">
        <v>40</v>
      </c>
      <c r="B66" s="666" t="s">
        <v>407</v>
      </c>
      <c r="C66" s="666" t="s">
        <v>34</v>
      </c>
      <c r="D66" s="666">
        <v>16.922000000000001</v>
      </c>
      <c r="E66" s="1231">
        <v>46182</v>
      </c>
      <c r="F66" s="1231">
        <v>46194</v>
      </c>
      <c r="G66" s="1231" t="s">
        <v>2146</v>
      </c>
      <c r="H66" s="1974"/>
      <c r="I66" s="1974"/>
      <c r="J66" s="1231" t="s">
        <v>29</v>
      </c>
      <c r="K66" s="1231" t="s">
        <v>554</v>
      </c>
    </row>
    <row r="67" spans="1:11">
      <c r="A67" s="666">
        <v>41</v>
      </c>
      <c r="B67" s="666" t="s">
        <v>75</v>
      </c>
      <c r="C67" s="666" t="s">
        <v>1181</v>
      </c>
      <c r="D67" s="666">
        <v>37.869999999999997</v>
      </c>
      <c r="E67" s="1231">
        <v>46191</v>
      </c>
      <c r="F67" s="1231">
        <v>46198</v>
      </c>
      <c r="G67" s="1231" t="s">
        <v>1836</v>
      </c>
      <c r="H67" s="1974"/>
      <c r="I67" s="1974"/>
      <c r="J67" s="1231" t="s">
        <v>29</v>
      </c>
      <c r="K67" s="1231" t="s">
        <v>555</v>
      </c>
    </row>
    <row r="68" spans="1:11">
      <c r="A68" s="666">
        <v>42</v>
      </c>
      <c r="B68" s="666" t="s">
        <v>722</v>
      </c>
      <c r="C68" s="666" t="s">
        <v>34</v>
      </c>
      <c r="D68" s="666">
        <v>16.922000000000001</v>
      </c>
      <c r="E68" s="1231">
        <v>46193</v>
      </c>
      <c r="F68" s="1231">
        <v>46198</v>
      </c>
      <c r="G68" s="1231" t="s">
        <v>2146</v>
      </c>
      <c r="H68" s="1974"/>
      <c r="I68" s="1974"/>
      <c r="J68" s="1231" t="s">
        <v>29</v>
      </c>
      <c r="K68" s="1231" t="s">
        <v>555</v>
      </c>
    </row>
    <row r="69" spans="1:11">
      <c r="A69" s="666">
        <v>43</v>
      </c>
      <c r="B69" s="666" t="s">
        <v>47</v>
      </c>
      <c r="C69" s="666" t="s">
        <v>1425</v>
      </c>
      <c r="D69" s="666">
        <v>40.216999999999999</v>
      </c>
      <c r="E69" s="1231">
        <v>46191</v>
      </c>
      <c r="F69" s="1231">
        <v>46198</v>
      </c>
      <c r="G69" s="1231" t="s">
        <v>1889</v>
      </c>
      <c r="H69" s="1974"/>
      <c r="I69" s="1974"/>
      <c r="J69" s="1231" t="s">
        <v>29</v>
      </c>
      <c r="K69" s="1231" t="s">
        <v>555</v>
      </c>
    </row>
    <row r="70" spans="1:11">
      <c r="A70" s="666">
        <v>44</v>
      </c>
      <c r="B70" s="666" t="s">
        <v>729</v>
      </c>
      <c r="C70" s="666" t="s">
        <v>48</v>
      </c>
      <c r="D70" s="666">
        <v>20.631</v>
      </c>
      <c r="E70" s="1231">
        <v>46198</v>
      </c>
      <c r="F70" s="1231">
        <v>46203</v>
      </c>
      <c r="G70" s="1231" t="s">
        <v>2146</v>
      </c>
      <c r="H70" s="1974"/>
      <c r="I70" s="1974"/>
      <c r="J70" s="1231" t="s">
        <v>29</v>
      </c>
      <c r="K70" s="1231" t="s">
        <v>555</v>
      </c>
    </row>
    <row r="71" spans="1:11">
      <c r="A71" s="666">
        <v>45</v>
      </c>
      <c r="B71" s="666" t="s">
        <v>699</v>
      </c>
      <c r="C71" s="666" t="s">
        <v>34</v>
      </c>
      <c r="D71" s="666">
        <v>16.922000000000001</v>
      </c>
      <c r="E71" s="1231">
        <v>46198</v>
      </c>
      <c r="F71" s="1231">
        <v>46200</v>
      </c>
      <c r="G71" s="1231" t="s">
        <v>1836</v>
      </c>
      <c r="H71" s="1974"/>
      <c r="I71" s="1974"/>
      <c r="J71" s="1231" t="s">
        <v>29</v>
      </c>
      <c r="K71" s="1231" t="s">
        <v>555</v>
      </c>
    </row>
    <row r="72" spans="1:11">
      <c r="A72" s="666">
        <v>46</v>
      </c>
      <c r="B72" s="666" t="s">
        <v>326</v>
      </c>
      <c r="C72" s="666" t="s">
        <v>53</v>
      </c>
      <c r="D72" s="666">
        <v>31.21</v>
      </c>
      <c r="E72" s="1231">
        <v>46198</v>
      </c>
      <c r="F72" s="1231">
        <v>46203</v>
      </c>
      <c r="G72" s="1231" t="s">
        <v>1889</v>
      </c>
      <c r="H72" s="1974"/>
      <c r="I72" s="1974"/>
      <c r="J72" s="1231" t="s">
        <v>29</v>
      </c>
      <c r="K72" s="1231" t="s">
        <v>554</v>
      </c>
    </row>
    <row r="73" spans="1:11">
      <c r="A73" s="816"/>
      <c r="B73" s="1241"/>
      <c r="C73" s="1242"/>
      <c r="D73" s="1246">
        <f>SUM(D27:D72)</f>
        <v>1263.8370000000004</v>
      </c>
      <c r="E73" s="1243"/>
      <c r="F73" s="1244"/>
      <c r="G73" s="1245"/>
      <c r="H73" s="818"/>
      <c r="I73" s="818"/>
      <c r="J73" s="819"/>
      <c r="K73" s="820"/>
    </row>
    <row r="74" spans="1:11">
      <c r="A74" s="816"/>
      <c r="B74" s="816"/>
      <c r="C74" s="816"/>
      <c r="E74" s="818"/>
      <c r="F74" s="818"/>
      <c r="G74" s="818"/>
      <c r="H74" s="818"/>
      <c r="I74" s="915"/>
      <c r="J74" s="819"/>
      <c r="K74" s="820"/>
    </row>
    <row r="75" spans="1:11">
      <c r="A75" s="1989" t="s">
        <v>1896</v>
      </c>
      <c r="B75" s="1990"/>
      <c r="C75" s="1990"/>
      <c r="D75" s="1990"/>
      <c r="E75" s="1990"/>
      <c r="F75" s="1990"/>
      <c r="G75" s="1990"/>
      <c r="H75" s="1990"/>
      <c r="I75" s="1990"/>
      <c r="J75" s="1990"/>
      <c r="K75" s="1991"/>
    </row>
    <row r="76" spans="1:11" ht="30">
      <c r="A76" s="902" t="s">
        <v>25</v>
      </c>
      <c r="B76" s="903" t="s">
        <v>551</v>
      </c>
      <c r="C76" s="902" t="s">
        <v>38</v>
      </c>
      <c r="D76" s="903" t="s">
        <v>1830</v>
      </c>
      <c r="E76" s="902" t="s">
        <v>1831</v>
      </c>
      <c r="F76" s="902" t="s">
        <v>1832</v>
      </c>
      <c r="G76" s="902" t="s">
        <v>36</v>
      </c>
      <c r="H76" s="902"/>
      <c r="I76" s="902"/>
      <c r="J76" s="902" t="s">
        <v>35</v>
      </c>
      <c r="K76" s="902" t="s">
        <v>2</v>
      </c>
    </row>
    <row r="77" spans="1:11">
      <c r="A77" s="904"/>
      <c r="B77" s="904"/>
      <c r="C77" s="904"/>
      <c r="D77" s="904"/>
      <c r="E77" s="904"/>
      <c r="F77" s="904"/>
      <c r="G77" s="904"/>
      <c r="H77" s="904"/>
      <c r="I77" s="904"/>
      <c r="J77" s="904">
        <f>COUNTIF(J78:J168,"Completed")</f>
        <v>80</v>
      </c>
      <c r="K77" s="904"/>
    </row>
    <row r="78" spans="1:11">
      <c r="A78" s="666">
        <v>1</v>
      </c>
      <c r="B78" s="666" t="s">
        <v>1172</v>
      </c>
      <c r="C78" s="666" t="s">
        <v>48</v>
      </c>
      <c r="D78" s="666">
        <v>5.7130000000000001</v>
      </c>
      <c r="E78" s="608">
        <v>46097</v>
      </c>
      <c r="F78" s="608">
        <v>46099</v>
      </c>
      <c r="G78" s="1231" t="s">
        <v>1892</v>
      </c>
      <c r="H78" s="1978" t="s">
        <v>1888</v>
      </c>
      <c r="I78" s="1980">
        <v>7</v>
      </c>
      <c r="J78" s="1231" t="s">
        <v>29</v>
      </c>
      <c r="K78" s="610"/>
    </row>
    <row r="79" spans="1:11">
      <c r="A79" s="666">
        <v>2</v>
      </c>
      <c r="B79" s="666" t="s">
        <v>1173</v>
      </c>
      <c r="C79" s="666" t="s">
        <v>48</v>
      </c>
      <c r="D79" s="666">
        <v>5.7130000000000001</v>
      </c>
      <c r="E79" s="1231">
        <f>F78</f>
        <v>46099</v>
      </c>
      <c r="F79" s="1231">
        <v>46101</v>
      </c>
      <c r="G79" s="1231" t="s">
        <v>1892</v>
      </c>
      <c r="H79" s="1979"/>
      <c r="I79" s="1981"/>
      <c r="J79" s="1231" t="s">
        <v>29</v>
      </c>
      <c r="K79" s="610"/>
    </row>
    <row r="80" spans="1:11">
      <c r="A80" s="666">
        <v>3</v>
      </c>
      <c r="B80" s="666" t="s">
        <v>1210</v>
      </c>
      <c r="C80" s="666" t="s">
        <v>43</v>
      </c>
      <c r="D80" s="666">
        <v>8.0860000000000003</v>
      </c>
      <c r="E80" s="1231">
        <f>F79</f>
        <v>46101</v>
      </c>
      <c r="F80" s="1231">
        <v>46106</v>
      </c>
      <c r="G80" s="1231" t="s">
        <v>1892</v>
      </c>
      <c r="H80" s="1979"/>
      <c r="I80" s="1981"/>
      <c r="J80" s="1231" t="s">
        <v>29</v>
      </c>
      <c r="K80" s="610"/>
    </row>
    <row r="81" spans="1:11">
      <c r="A81" s="666">
        <v>4</v>
      </c>
      <c r="B81" s="666" t="s">
        <v>1169</v>
      </c>
      <c r="C81" s="666" t="s">
        <v>43</v>
      </c>
      <c r="D81" s="666">
        <v>8.0860000000000003</v>
      </c>
      <c r="E81" s="1231">
        <v>46106</v>
      </c>
      <c r="F81" s="1231">
        <v>46108</v>
      </c>
      <c r="G81" s="1231" t="s">
        <v>1892</v>
      </c>
      <c r="H81" s="1979"/>
      <c r="I81" s="1981"/>
      <c r="J81" s="1231" t="s">
        <v>29</v>
      </c>
      <c r="K81" s="610"/>
    </row>
    <row r="82" spans="1:11">
      <c r="A82" s="666">
        <v>5</v>
      </c>
      <c r="B82" s="666" t="s">
        <v>1301</v>
      </c>
      <c r="C82" s="666" t="s">
        <v>48</v>
      </c>
      <c r="D82" s="666">
        <v>5.7130000000000001</v>
      </c>
      <c r="E82" s="1231">
        <v>46108</v>
      </c>
      <c r="F82" s="1231">
        <v>46110</v>
      </c>
      <c r="G82" s="1231" t="s">
        <v>1892</v>
      </c>
      <c r="H82" s="1979"/>
      <c r="I82" s="1981"/>
      <c r="J82" s="1231" t="s">
        <v>29</v>
      </c>
      <c r="K82" s="610"/>
    </row>
    <row r="83" spans="1:11">
      <c r="A83" s="666">
        <v>6</v>
      </c>
      <c r="B83" s="666" t="s">
        <v>1179</v>
      </c>
      <c r="C83" s="666" t="s">
        <v>48</v>
      </c>
      <c r="D83" s="666">
        <v>5.7130000000000001</v>
      </c>
      <c r="E83" s="1231">
        <v>46110</v>
      </c>
      <c r="F83" s="1231">
        <v>46111</v>
      </c>
      <c r="G83" s="1231" t="s">
        <v>1892</v>
      </c>
      <c r="H83" s="1979"/>
      <c r="I83" s="1981"/>
      <c r="J83" s="1231" t="s">
        <v>29</v>
      </c>
      <c r="K83" s="610"/>
    </row>
    <row r="84" spans="1:11">
      <c r="A84" s="666">
        <v>7</v>
      </c>
      <c r="B84" s="666" t="s">
        <v>1178</v>
      </c>
      <c r="C84" s="666" t="s">
        <v>34</v>
      </c>
      <c r="D84" s="666">
        <v>4.3780000000000001</v>
      </c>
      <c r="E84" s="1231">
        <f>F83</f>
        <v>46111</v>
      </c>
      <c r="F84" s="1231">
        <v>46112</v>
      </c>
      <c r="G84" s="1231" t="s">
        <v>1892</v>
      </c>
      <c r="H84" s="1977"/>
      <c r="I84" s="1982"/>
      <c r="J84" s="1231" t="s">
        <v>29</v>
      </c>
      <c r="K84" s="610"/>
    </row>
    <row r="85" spans="1:11">
      <c r="A85" s="666">
        <v>8</v>
      </c>
      <c r="B85" s="666" t="s">
        <v>1180</v>
      </c>
      <c r="C85" s="666" t="s">
        <v>53</v>
      </c>
      <c r="D85" s="666">
        <v>6.5629999999999997</v>
      </c>
      <c r="E85" s="1231">
        <v>46112</v>
      </c>
      <c r="F85" s="1231">
        <v>46114</v>
      </c>
      <c r="G85" s="1231" t="s">
        <v>1892</v>
      </c>
      <c r="H85" s="1943" t="s">
        <v>1906</v>
      </c>
      <c r="I85" s="1944">
        <v>21</v>
      </c>
      <c r="J85" s="1231" t="s">
        <v>29</v>
      </c>
      <c r="K85" s="610"/>
    </row>
    <row r="86" spans="1:11">
      <c r="A86" s="666">
        <v>9</v>
      </c>
      <c r="B86" s="666" t="s">
        <v>1190</v>
      </c>
      <c r="C86" s="666" t="s">
        <v>48</v>
      </c>
      <c r="D86" s="666">
        <v>5.7130000000000001</v>
      </c>
      <c r="E86" s="1231">
        <f>F85</f>
        <v>46114</v>
      </c>
      <c r="F86" s="1231">
        <v>46116</v>
      </c>
      <c r="G86" s="1231" t="s">
        <v>1892</v>
      </c>
      <c r="H86" s="1943"/>
      <c r="I86" s="1944"/>
      <c r="J86" s="1231" t="s">
        <v>29</v>
      </c>
      <c r="K86" s="610"/>
    </row>
    <row r="87" spans="1:11">
      <c r="A87" s="666">
        <v>10</v>
      </c>
      <c r="B87" s="666" t="s">
        <v>1197</v>
      </c>
      <c r="C87" s="666" t="s">
        <v>32</v>
      </c>
      <c r="D87" s="666">
        <v>5.1669999999999998</v>
      </c>
      <c r="E87" s="1231">
        <f>F86</f>
        <v>46116</v>
      </c>
      <c r="F87" s="1231">
        <v>46118</v>
      </c>
      <c r="G87" s="1231" t="s">
        <v>1892</v>
      </c>
      <c r="H87" s="1943"/>
      <c r="I87" s="1944"/>
      <c r="J87" s="1231" t="s">
        <v>29</v>
      </c>
      <c r="K87" s="610"/>
    </row>
    <row r="88" spans="1:11">
      <c r="A88" s="666">
        <v>11</v>
      </c>
      <c r="B88" s="666" t="s">
        <v>1347</v>
      </c>
      <c r="C88" s="666" t="s">
        <v>43</v>
      </c>
      <c r="D88" s="666">
        <v>8.0860000000000003</v>
      </c>
      <c r="E88" s="1231">
        <v>46114</v>
      </c>
      <c r="F88" s="1231">
        <v>46119</v>
      </c>
      <c r="G88" s="1231" t="s">
        <v>1917</v>
      </c>
      <c r="H88" s="1943"/>
      <c r="I88" s="1944"/>
      <c r="J88" s="1231" t="s">
        <v>29</v>
      </c>
      <c r="K88" s="610"/>
    </row>
    <row r="89" spans="1:11">
      <c r="A89" s="666">
        <v>12</v>
      </c>
      <c r="B89" s="666" t="s">
        <v>1196</v>
      </c>
      <c r="C89" s="666" t="s">
        <v>32</v>
      </c>
      <c r="D89" s="666">
        <v>5.1669999999999998</v>
      </c>
      <c r="E89" s="1231">
        <v>46118</v>
      </c>
      <c r="F89" s="1231">
        <v>46120</v>
      </c>
      <c r="G89" s="1231" t="s">
        <v>1892</v>
      </c>
      <c r="H89" s="1943"/>
      <c r="I89" s="1944"/>
      <c r="J89" s="1231" t="s">
        <v>29</v>
      </c>
      <c r="K89" s="610"/>
    </row>
    <row r="90" spans="1:11">
      <c r="A90" s="666">
        <v>13</v>
      </c>
      <c r="B90" s="666" t="s">
        <v>1191</v>
      </c>
      <c r="C90" s="666" t="s">
        <v>32</v>
      </c>
      <c r="D90" s="666">
        <v>5.1669999999999998</v>
      </c>
      <c r="E90" s="1231">
        <v>46120</v>
      </c>
      <c r="F90" s="1231">
        <v>46122</v>
      </c>
      <c r="G90" s="1231" t="s">
        <v>1892</v>
      </c>
      <c r="H90" s="1943"/>
      <c r="I90" s="1944"/>
      <c r="J90" s="1231" t="s">
        <v>29</v>
      </c>
      <c r="K90" s="610"/>
    </row>
    <row r="91" spans="1:11">
      <c r="A91" s="666">
        <v>14</v>
      </c>
      <c r="B91" s="666" t="s">
        <v>1238</v>
      </c>
      <c r="C91" s="666" t="s">
        <v>50</v>
      </c>
      <c r="D91" s="666">
        <v>9.7910000000000004</v>
      </c>
      <c r="E91" s="1231">
        <v>46114</v>
      </c>
      <c r="F91" s="1231">
        <v>46124</v>
      </c>
      <c r="G91" s="1231" t="s">
        <v>1916</v>
      </c>
      <c r="H91" s="1943"/>
      <c r="I91" s="1944"/>
      <c r="J91" s="1231" t="s">
        <v>29</v>
      </c>
      <c r="K91" s="610"/>
    </row>
    <row r="92" spans="1:11">
      <c r="A92" s="666">
        <v>15</v>
      </c>
      <c r="B92" s="666" t="s">
        <v>1198</v>
      </c>
      <c r="C92" s="666" t="s">
        <v>53</v>
      </c>
      <c r="D92" s="666">
        <v>6.5629999999999997</v>
      </c>
      <c r="E92" s="1231">
        <v>46122</v>
      </c>
      <c r="F92" s="1231">
        <v>46124</v>
      </c>
      <c r="G92" s="1231" t="s">
        <v>1892</v>
      </c>
      <c r="H92" s="1943"/>
      <c r="I92" s="1944"/>
      <c r="J92" s="1231" t="s">
        <v>29</v>
      </c>
      <c r="K92" s="610"/>
    </row>
    <row r="93" spans="1:11">
      <c r="A93" s="666">
        <v>16</v>
      </c>
      <c r="B93" s="666" t="s">
        <v>1199</v>
      </c>
      <c r="C93" s="666" t="s">
        <v>34</v>
      </c>
      <c r="D93" s="666">
        <v>4.3780000000000001</v>
      </c>
      <c r="E93" s="1231">
        <v>46124</v>
      </c>
      <c r="F93" s="1231">
        <v>46126</v>
      </c>
      <c r="G93" s="1231" t="s">
        <v>1892</v>
      </c>
      <c r="H93" s="1943"/>
      <c r="I93" s="1944"/>
      <c r="J93" s="1231" t="s">
        <v>29</v>
      </c>
      <c r="K93" s="610"/>
    </row>
    <row r="94" spans="1:11">
      <c r="A94" s="666">
        <v>17</v>
      </c>
      <c r="B94" s="666" t="s">
        <v>1344</v>
      </c>
      <c r="C94" s="666" t="s">
        <v>49</v>
      </c>
      <c r="D94" s="666">
        <v>6.3250000000000002</v>
      </c>
      <c r="E94" s="1231">
        <v>46119</v>
      </c>
      <c r="F94" s="1231">
        <v>46127</v>
      </c>
      <c r="G94" s="1231" t="s">
        <v>1917</v>
      </c>
      <c r="H94" s="1943"/>
      <c r="I94" s="1944"/>
      <c r="J94" s="1231" t="s">
        <v>29</v>
      </c>
      <c r="K94" s="610"/>
    </row>
    <row r="95" spans="1:11">
      <c r="A95" s="666">
        <v>18</v>
      </c>
      <c r="B95" s="666" t="s">
        <v>1166</v>
      </c>
      <c r="C95" s="666" t="s">
        <v>32</v>
      </c>
      <c r="D95" s="666">
        <v>5.1669999999999998</v>
      </c>
      <c r="E95" s="1231">
        <v>46126</v>
      </c>
      <c r="F95" s="1231">
        <v>46127</v>
      </c>
      <c r="G95" s="1231" t="s">
        <v>1892</v>
      </c>
      <c r="H95" s="1943"/>
      <c r="I95" s="1944"/>
      <c r="J95" s="1231" t="s">
        <v>29</v>
      </c>
      <c r="K95" s="610"/>
    </row>
    <row r="96" spans="1:11">
      <c r="A96" s="666">
        <v>19</v>
      </c>
      <c r="B96" s="666" t="s">
        <v>1321</v>
      </c>
      <c r="C96" s="666" t="s">
        <v>1181</v>
      </c>
      <c r="D96" s="666">
        <v>8.0860000000000003</v>
      </c>
      <c r="E96" s="1231">
        <v>46127</v>
      </c>
      <c r="F96" s="1231">
        <v>46131</v>
      </c>
      <c r="G96" s="1231" t="s">
        <v>1892</v>
      </c>
      <c r="H96" s="1943"/>
      <c r="I96" s="1944"/>
      <c r="J96" s="1231" t="s">
        <v>29</v>
      </c>
      <c r="K96" s="1"/>
    </row>
    <row r="97" spans="1:11">
      <c r="A97" s="666">
        <v>20</v>
      </c>
      <c r="B97" s="666" t="s">
        <v>1239</v>
      </c>
      <c r="C97" s="666" t="s">
        <v>50</v>
      </c>
      <c r="D97" s="666">
        <v>9.7910000000000004</v>
      </c>
      <c r="E97" s="1231">
        <v>46124</v>
      </c>
      <c r="F97" s="1231">
        <v>46132</v>
      </c>
      <c r="G97" s="1231" t="s">
        <v>1916</v>
      </c>
      <c r="H97" s="1943"/>
      <c r="I97" s="1944"/>
      <c r="J97" s="1231" t="s">
        <v>29</v>
      </c>
      <c r="K97" s="1"/>
    </row>
    <row r="98" spans="1:11">
      <c r="A98" s="666">
        <v>21</v>
      </c>
      <c r="B98" s="666" t="s">
        <v>1323</v>
      </c>
      <c r="C98" s="666" t="s">
        <v>50</v>
      </c>
      <c r="D98" s="666">
        <v>9.7910000000000004</v>
      </c>
      <c r="E98" s="1231">
        <v>46130</v>
      </c>
      <c r="F98" s="1231">
        <v>46133</v>
      </c>
      <c r="G98" s="1231" t="s">
        <v>1892</v>
      </c>
      <c r="H98" s="1943"/>
      <c r="I98" s="1944"/>
      <c r="J98" s="1231" t="s">
        <v>29</v>
      </c>
      <c r="K98" s="1"/>
    </row>
    <row r="99" spans="1:11">
      <c r="A99" s="666">
        <v>22</v>
      </c>
      <c r="B99" s="666" t="s">
        <v>1322</v>
      </c>
      <c r="C99" s="666" t="s">
        <v>32</v>
      </c>
      <c r="D99" s="666">
        <v>5.1669999999999998</v>
      </c>
      <c r="E99" s="1231">
        <v>46133</v>
      </c>
      <c r="F99" s="1231">
        <v>46134</v>
      </c>
      <c r="G99" s="1231" t="s">
        <v>1892</v>
      </c>
      <c r="H99" s="1943"/>
      <c r="I99" s="1944"/>
      <c r="J99" s="1231" t="s">
        <v>29</v>
      </c>
      <c r="K99" s="1"/>
    </row>
    <row r="100" spans="1:11">
      <c r="A100" s="666">
        <v>23</v>
      </c>
      <c r="B100" s="666" t="s">
        <v>1340</v>
      </c>
      <c r="C100" s="666" t="s">
        <v>50</v>
      </c>
      <c r="D100" s="666">
        <v>9.7910000000000004</v>
      </c>
      <c r="E100" s="1231">
        <v>46135</v>
      </c>
      <c r="F100" s="1231">
        <v>46137</v>
      </c>
      <c r="G100" s="1231" t="s">
        <v>1892</v>
      </c>
      <c r="H100" s="1943"/>
      <c r="I100" s="1944"/>
      <c r="J100" s="1231" t="s">
        <v>29</v>
      </c>
      <c r="K100" s="1"/>
    </row>
    <row r="101" spans="1:11">
      <c r="A101" s="666">
        <v>24</v>
      </c>
      <c r="B101" s="666" t="s">
        <v>1339</v>
      </c>
      <c r="C101" s="666" t="s">
        <v>48</v>
      </c>
      <c r="D101" s="666">
        <v>5.7130000000000001</v>
      </c>
      <c r="E101" s="1231">
        <v>46135</v>
      </c>
      <c r="F101" s="1231">
        <v>46140</v>
      </c>
      <c r="G101" s="1231" t="s">
        <v>1892</v>
      </c>
      <c r="H101" s="1943"/>
      <c r="I101" s="1944"/>
      <c r="J101" s="1231" t="s">
        <v>29</v>
      </c>
      <c r="K101" s="1"/>
    </row>
    <row r="102" spans="1:11">
      <c r="A102" s="666">
        <v>25</v>
      </c>
      <c r="B102" s="666" t="s">
        <v>1687</v>
      </c>
      <c r="C102" s="666" t="s">
        <v>53</v>
      </c>
      <c r="D102" s="666">
        <v>6.5629999999999997</v>
      </c>
      <c r="E102" s="1231">
        <v>46124</v>
      </c>
      <c r="F102" s="1231">
        <v>46140</v>
      </c>
      <c r="G102" s="1231" t="s">
        <v>1916</v>
      </c>
      <c r="H102" s="1943"/>
      <c r="I102" s="1944"/>
      <c r="J102" s="1231" t="s">
        <v>29</v>
      </c>
      <c r="K102" s="1"/>
    </row>
    <row r="103" spans="1:11">
      <c r="A103" s="666">
        <v>26</v>
      </c>
      <c r="B103" s="666" t="s">
        <v>1279</v>
      </c>
      <c r="C103" s="666" t="s">
        <v>50</v>
      </c>
      <c r="D103" s="666">
        <v>9.7910000000000004</v>
      </c>
      <c r="E103" s="1231">
        <v>46118</v>
      </c>
      <c r="F103" s="1231">
        <v>46140</v>
      </c>
      <c r="G103" s="1231" t="s">
        <v>1926</v>
      </c>
      <c r="H103" s="1943"/>
      <c r="I103" s="1944"/>
      <c r="J103" s="1231" t="s">
        <v>29</v>
      </c>
      <c r="K103" s="1"/>
    </row>
    <row r="104" spans="1:11">
      <c r="A104" s="666">
        <v>27</v>
      </c>
      <c r="B104" s="666" t="s">
        <v>1346</v>
      </c>
      <c r="C104" s="666" t="s">
        <v>49</v>
      </c>
      <c r="D104" s="666">
        <v>6.3250000000000002</v>
      </c>
      <c r="E104" s="1231">
        <v>46127</v>
      </c>
      <c r="F104" s="1231">
        <v>46141</v>
      </c>
      <c r="G104" s="1231" t="s">
        <v>1892</v>
      </c>
      <c r="H104" s="1943"/>
      <c r="I104" s="1944"/>
      <c r="J104" s="1231" t="s">
        <v>29</v>
      </c>
      <c r="K104" s="1"/>
    </row>
    <row r="105" spans="1:11">
      <c r="A105" s="666">
        <v>28</v>
      </c>
      <c r="B105" s="666" t="s">
        <v>1338</v>
      </c>
      <c r="C105" s="666" t="s">
        <v>50</v>
      </c>
      <c r="D105" s="666">
        <v>9.7910000000000004</v>
      </c>
      <c r="E105" s="1231">
        <v>46142</v>
      </c>
      <c r="F105" s="1231">
        <v>46142</v>
      </c>
      <c r="G105" s="1231" t="s">
        <v>1892</v>
      </c>
      <c r="H105" s="1943"/>
      <c r="I105" s="1944"/>
      <c r="J105" s="1231" t="s">
        <v>29</v>
      </c>
      <c r="K105" s="1"/>
    </row>
    <row r="106" spans="1:11">
      <c r="A106" s="666">
        <v>29</v>
      </c>
      <c r="B106" s="666" t="s">
        <v>1337</v>
      </c>
      <c r="C106" s="666" t="s">
        <v>32</v>
      </c>
      <c r="D106" s="666">
        <v>5.1669999999999998</v>
      </c>
      <c r="E106" s="1231">
        <v>46141</v>
      </c>
      <c r="F106" s="1231">
        <v>46144</v>
      </c>
      <c r="G106" s="1231" t="s">
        <v>1892</v>
      </c>
      <c r="H106" s="1943" t="s">
        <v>2129</v>
      </c>
      <c r="I106" s="1983" t="s">
        <v>2134</v>
      </c>
      <c r="J106" s="1231" t="s">
        <v>29</v>
      </c>
      <c r="K106" s="1"/>
    </row>
    <row r="107" spans="1:11">
      <c r="A107" s="666">
        <v>30</v>
      </c>
      <c r="B107" s="666" t="s">
        <v>1639</v>
      </c>
      <c r="C107" s="666" t="s">
        <v>32</v>
      </c>
      <c r="D107" s="666">
        <v>5.1669999999999998</v>
      </c>
      <c r="E107" s="1231">
        <v>46142</v>
      </c>
      <c r="F107" s="1231">
        <v>46145</v>
      </c>
      <c r="G107" s="1231" t="s">
        <v>1916</v>
      </c>
      <c r="H107" s="1943"/>
      <c r="I107" s="1943"/>
      <c r="J107" s="1231" t="s">
        <v>29</v>
      </c>
      <c r="K107" s="1"/>
    </row>
    <row r="108" spans="1:11">
      <c r="A108" s="666">
        <v>31</v>
      </c>
      <c r="B108" s="666" t="s">
        <v>1342</v>
      </c>
      <c r="C108" s="666" t="s">
        <v>32</v>
      </c>
      <c r="D108" s="666">
        <v>5.1669999999999998</v>
      </c>
      <c r="E108" s="1231">
        <v>46145</v>
      </c>
      <c r="F108" s="1231">
        <v>46148</v>
      </c>
      <c r="G108" s="1231" t="s">
        <v>1892</v>
      </c>
      <c r="H108" s="1943"/>
      <c r="I108" s="1943"/>
      <c r="J108" s="1231" t="s">
        <v>29</v>
      </c>
      <c r="K108" s="1"/>
    </row>
    <row r="109" spans="1:11">
      <c r="A109" s="666">
        <v>32</v>
      </c>
      <c r="B109" s="666" t="s">
        <v>1686</v>
      </c>
      <c r="C109" s="666" t="s">
        <v>50</v>
      </c>
      <c r="D109" s="666">
        <v>9.7910000000000004</v>
      </c>
      <c r="E109" s="1231">
        <v>46146</v>
      </c>
      <c r="F109" s="1231">
        <v>46149</v>
      </c>
      <c r="G109" s="1231" t="s">
        <v>1916</v>
      </c>
      <c r="H109" s="1943"/>
      <c r="I109" s="1943"/>
      <c r="J109" s="1231" t="s">
        <v>29</v>
      </c>
      <c r="K109" s="1"/>
    </row>
    <row r="110" spans="1:11">
      <c r="A110" s="666">
        <v>33</v>
      </c>
      <c r="B110" s="666" t="s">
        <v>1288</v>
      </c>
      <c r="C110" s="666" t="s">
        <v>1424</v>
      </c>
      <c r="D110" s="666">
        <v>5.97</v>
      </c>
      <c r="E110" s="1231">
        <v>46149</v>
      </c>
      <c r="F110" s="1231">
        <v>46152</v>
      </c>
      <c r="G110" s="1231" t="s">
        <v>1892</v>
      </c>
      <c r="H110" s="1943"/>
      <c r="I110" s="1943"/>
      <c r="J110" s="1231" t="s">
        <v>29</v>
      </c>
      <c r="K110" s="1"/>
    </row>
    <row r="111" spans="1:11">
      <c r="A111" s="666">
        <v>34</v>
      </c>
      <c r="B111" s="666" t="s">
        <v>1286</v>
      </c>
      <c r="C111" s="666" t="s">
        <v>43</v>
      </c>
      <c r="D111" s="666">
        <v>8.0860000000000003</v>
      </c>
      <c r="E111" s="1231">
        <v>46151</v>
      </c>
      <c r="F111" s="1231">
        <v>46154</v>
      </c>
      <c r="G111" s="1231" t="s">
        <v>1892</v>
      </c>
      <c r="H111" s="1943"/>
      <c r="I111" s="1943"/>
      <c r="J111" s="1231" t="s">
        <v>29</v>
      </c>
      <c r="K111" s="1"/>
    </row>
    <row r="112" spans="1:11">
      <c r="A112" s="666">
        <v>35</v>
      </c>
      <c r="B112" s="666" t="s">
        <v>1685</v>
      </c>
      <c r="C112" s="666" t="s">
        <v>34</v>
      </c>
      <c r="D112" s="666">
        <v>4.3780000000000001</v>
      </c>
      <c r="E112" s="1231">
        <v>46152</v>
      </c>
      <c r="F112" s="1231">
        <v>46155</v>
      </c>
      <c r="G112" s="1231" t="s">
        <v>1916</v>
      </c>
      <c r="H112" s="1943"/>
      <c r="I112" s="1943"/>
      <c r="J112" s="1231" t="s">
        <v>29</v>
      </c>
      <c r="K112" s="1"/>
    </row>
    <row r="113" spans="1:11">
      <c r="A113" s="666">
        <v>36</v>
      </c>
      <c r="B113" s="666" t="s">
        <v>1287</v>
      </c>
      <c r="C113" s="666" t="s">
        <v>48</v>
      </c>
      <c r="D113" s="666">
        <v>5.7130000000000001</v>
      </c>
      <c r="E113" s="1231">
        <v>46152</v>
      </c>
      <c r="F113" s="1231">
        <v>46155</v>
      </c>
      <c r="G113" s="1231" t="s">
        <v>1892</v>
      </c>
      <c r="H113" s="1943"/>
      <c r="I113" s="1943"/>
      <c r="J113" s="1231" t="s">
        <v>29</v>
      </c>
      <c r="K113" s="1"/>
    </row>
    <row r="114" spans="1:11">
      <c r="A114" s="666">
        <v>37</v>
      </c>
      <c r="B114" s="666" t="s">
        <v>1285</v>
      </c>
      <c r="C114" s="666" t="s">
        <v>48</v>
      </c>
      <c r="D114" s="666">
        <v>5.7130000000000001</v>
      </c>
      <c r="E114" s="1231">
        <v>46154</v>
      </c>
      <c r="F114" s="1231">
        <v>46157</v>
      </c>
      <c r="G114" s="1231" t="s">
        <v>1892</v>
      </c>
      <c r="H114" s="1943"/>
      <c r="I114" s="1943"/>
      <c r="J114" s="1231" t="s">
        <v>29</v>
      </c>
      <c r="K114" s="1"/>
    </row>
    <row r="115" spans="1:11">
      <c r="A115" s="666">
        <v>38</v>
      </c>
      <c r="B115" s="666" t="s">
        <v>1284</v>
      </c>
      <c r="C115" s="666" t="s">
        <v>32</v>
      </c>
      <c r="D115" s="666">
        <v>5.1669999999999998</v>
      </c>
      <c r="E115" s="1231">
        <v>46155</v>
      </c>
      <c r="F115" s="1231">
        <v>46158</v>
      </c>
      <c r="G115" s="1231" t="s">
        <v>1892</v>
      </c>
      <c r="H115" s="1943"/>
      <c r="I115" s="1943"/>
      <c r="J115" s="1231" t="s">
        <v>29</v>
      </c>
      <c r="K115" s="1"/>
    </row>
    <row r="116" spans="1:11">
      <c r="A116" s="666">
        <v>39</v>
      </c>
      <c r="B116" s="666" t="s">
        <v>1278</v>
      </c>
      <c r="C116" s="666" t="s">
        <v>1423</v>
      </c>
      <c r="D116" s="666">
        <v>11.468999999999999</v>
      </c>
      <c r="E116" s="1231">
        <v>46156</v>
      </c>
      <c r="F116" s="1231">
        <v>46159</v>
      </c>
      <c r="G116" s="1231" t="s">
        <v>1926</v>
      </c>
      <c r="H116" s="1943"/>
      <c r="I116" s="1943"/>
      <c r="J116" s="1231" t="s">
        <v>29</v>
      </c>
      <c r="K116" s="1"/>
    </row>
    <row r="117" spans="1:11">
      <c r="A117" s="666">
        <v>40</v>
      </c>
      <c r="B117" s="666" t="s">
        <v>1193</v>
      </c>
      <c r="C117" s="666" t="s">
        <v>50</v>
      </c>
      <c r="D117" s="666">
        <v>9.7910000000000004</v>
      </c>
      <c r="E117" s="1231">
        <v>46157</v>
      </c>
      <c r="F117" s="1231">
        <v>46160</v>
      </c>
      <c r="G117" s="1231" t="s">
        <v>1892</v>
      </c>
      <c r="H117" s="1943"/>
      <c r="I117" s="1943"/>
      <c r="J117" s="1231" t="s">
        <v>29</v>
      </c>
      <c r="K117" s="1"/>
    </row>
    <row r="118" spans="1:11">
      <c r="A118" s="666">
        <v>41</v>
      </c>
      <c r="B118" s="666" t="s">
        <v>1280</v>
      </c>
      <c r="C118" s="666" t="s">
        <v>34</v>
      </c>
      <c r="D118" s="666">
        <v>4.3780000000000001</v>
      </c>
      <c r="E118" s="1231">
        <v>46159</v>
      </c>
      <c r="F118" s="1231">
        <v>46162</v>
      </c>
      <c r="G118" s="1231" t="s">
        <v>1892</v>
      </c>
      <c r="H118" s="1943"/>
      <c r="I118" s="1943"/>
      <c r="J118" s="1231" t="s">
        <v>29</v>
      </c>
      <c r="K118" s="1"/>
    </row>
    <row r="119" spans="1:11">
      <c r="A119" s="666">
        <v>42</v>
      </c>
      <c r="B119" s="666" t="s">
        <v>1281</v>
      </c>
      <c r="C119" s="666" t="s">
        <v>1181</v>
      </c>
      <c r="D119" s="666">
        <v>8.0860000000000003</v>
      </c>
      <c r="E119" s="1231">
        <v>46160</v>
      </c>
      <c r="F119" s="1231">
        <v>46163</v>
      </c>
      <c r="G119" s="1231" t="s">
        <v>1926</v>
      </c>
      <c r="H119" s="1943"/>
      <c r="I119" s="1943"/>
      <c r="J119" s="1231" t="s">
        <v>29</v>
      </c>
      <c r="K119" s="1"/>
    </row>
    <row r="120" spans="1:11">
      <c r="A120" s="666">
        <v>43</v>
      </c>
      <c r="B120" s="666" t="s">
        <v>1282</v>
      </c>
      <c r="C120" s="666" t="s">
        <v>1423</v>
      </c>
      <c r="D120" s="666">
        <v>11.468999999999999</v>
      </c>
      <c r="E120" s="1231">
        <v>46162</v>
      </c>
      <c r="F120" s="1231">
        <v>46165</v>
      </c>
      <c r="G120" s="1231" t="s">
        <v>1892</v>
      </c>
      <c r="H120" s="1943"/>
      <c r="I120" s="1943"/>
      <c r="J120" s="1231" t="s">
        <v>29</v>
      </c>
      <c r="K120" s="1"/>
    </row>
    <row r="121" spans="1:11">
      <c r="A121" s="666">
        <v>44</v>
      </c>
      <c r="B121" s="666" t="s">
        <v>1684</v>
      </c>
      <c r="C121" s="666" t="s">
        <v>48</v>
      </c>
      <c r="D121" s="666">
        <v>5.7130000000000001</v>
      </c>
      <c r="E121" s="1231">
        <v>46164</v>
      </c>
      <c r="F121" s="1231">
        <v>46167</v>
      </c>
      <c r="G121" s="1231" t="s">
        <v>1916</v>
      </c>
      <c r="H121" s="1943"/>
      <c r="I121" s="1943"/>
      <c r="J121" s="1231" t="s">
        <v>29</v>
      </c>
      <c r="K121" s="1"/>
    </row>
    <row r="122" spans="1:11">
      <c r="A122" s="666">
        <v>45</v>
      </c>
      <c r="B122" s="666" t="s">
        <v>1194</v>
      </c>
      <c r="C122" s="666" t="s">
        <v>1181</v>
      </c>
      <c r="D122" s="666">
        <v>8.0860000000000003</v>
      </c>
      <c r="E122" s="1231">
        <v>46165</v>
      </c>
      <c r="F122" s="1231">
        <v>46168</v>
      </c>
      <c r="G122" s="1231" t="s">
        <v>1892</v>
      </c>
      <c r="H122" s="1943"/>
      <c r="I122" s="1943"/>
      <c r="J122" s="1231" t="s">
        <v>29</v>
      </c>
      <c r="K122" s="1"/>
    </row>
    <row r="123" spans="1:11">
      <c r="A123" s="666">
        <v>46</v>
      </c>
      <c r="B123" s="666" t="s">
        <v>1195</v>
      </c>
      <c r="C123" s="666" t="s">
        <v>32</v>
      </c>
      <c r="D123" s="666">
        <v>5.1669999999999998</v>
      </c>
      <c r="E123" s="1231">
        <v>46165</v>
      </c>
      <c r="F123" s="1231">
        <v>46168</v>
      </c>
      <c r="G123" s="1231" t="s">
        <v>1926</v>
      </c>
      <c r="H123" s="1943"/>
      <c r="I123" s="1943"/>
      <c r="J123" s="1231" t="s">
        <v>29</v>
      </c>
      <c r="K123" s="1"/>
    </row>
    <row r="124" spans="1:11">
      <c r="A124" s="666">
        <v>47</v>
      </c>
      <c r="B124" s="666" t="s">
        <v>1683</v>
      </c>
      <c r="C124" s="666" t="s">
        <v>32</v>
      </c>
      <c r="D124" s="666">
        <v>5.1669999999999998</v>
      </c>
      <c r="E124" s="1231">
        <v>46170</v>
      </c>
      <c r="F124" s="1231">
        <v>46173</v>
      </c>
      <c r="G124" s="1231" t="s">
        <v>1916</v>
      </c>
      <c r="H124" s="1943"/>
      <c r="I124" s="1943"/>
      <c r="J124" s="1231" t="s">
        <v>29</v>
      </c>
      <c r="K124" s="1"/>
    </row>
    <row r="125" spans="1:11">
      <c r="A125" s="666">
        <v>48</v>
      </c>
      <c r="B125" s="666" t="s">
        <v>1350</v>
      </c>
      <c r="C125" s="666" t="s">
        <v>49</v>
      </c>
      <c r="D125" s="666">
        <v>6.3250000000000002</v>
      </c>
      <c r="E125" s="1231">
        <v>46170</v>
      </c>
      <c r="F125" s="1231">
        <v>46173</v>
      </c>
      <c r="G125" s="1231" t="s">
        <v>1926</v>
      </c>
      <c r="H125" s="1943"/>
      <c r="I125" s="1943"/>
      <c r="J125" s="1231" t="s">
        <v>29</v>
      </c>
      <c r="K125" s="1"/>
    </row>
    <row r="126" spans="1:11">
      <c r="A126" s="666">
        <v>49</v>
      </c>
      <c r="B126" s="666" t="s">
        <v>1693</v>
      </c>
      <c r="C126" s="666" t="s">
        <v>1181</v>
      </c>
      <c r="D126" s="666">
        <v>8.0860000000000003</v>
      </c>
      <c r="E126" s="1231">
        <v>46173</v>
      </c>
      <c r="F126" s="1231">
        <v>46178</v>
      </c>
      <c r="G126" s="1231" t="s">
        <v>1892</v>
      </c>
      <c r="H126" s="1943" t="s">
        <v>2176</v>
      </c>
      <c r="I126" s="1983" t="s">
        <v>2177</v>
      </c>
      <c r="J126" s="1231" t="s">
        <v>29</v>
      </c>
      <c r="K126" s="1"/>
    </row>
    <row r="127" spans="1:11">
      <c r="A127" s="666">
        <v>50</v>
      </c>
      <c r="B127" s="666" t="s">
        <v>1682</v>
      </c>
      <c r="C127" s="666" t="s">
        <v>50</v>
      </c>
      <c r="D127" s="666">
        <v>9.7910000000000004</v>
      </c>
      <c r="E127" s="1231">
        <v>46173</v>
      </c>
      <c r="F127" s="1231">
        <v>46178</v>
      </c>
      <c r="G127" s="1231" t="s">
        <v>1916</v>
      </c>
      <c r="H127" s="1943"/>
      <c r="I127" s="1943"/>
      <c r="J127" s="1231" t="s">
        <v>29</v>
      </c>
      <c r="K127" s="1"/>
    </row>
    <row r="128" spans="1:11">
      <c r="A128" s="666">
        <v>51</v>
      </c>
      <c r="B128" s="666" t="s">
        <v>1351</v>
      </c>
      <c r="C128" s="666" t="s">
        <v>50</v>
      </c>
      <c r="D128" s="666">
        <v>9.7910000000000004</v>
      </c>
      <c r="E128" s="1231">
        <v>46177</v>
      </c>
      <c r="F128" s="1231">
        <v>46180</v>
      </c>
      <c r="G128" s="1231" t="s">
        <v>1926</v>
      </c>
      <c r="H128" s="1943"/>
      <c r="I128" s="1943"/>
      <c r="J128" s="1231" t="s">
        <v>29</v>
      </c>
      <c r="K128" s="1"/>
    </row>
    <row r="129" spans="1:11">
      <c r="A129" s="666">
        <v>52</v>
      </c>
      <c r="B129" s="666" t="s">
        <v>1694</v>
      </c>
      <c r="C129" s="666" t="s">
        <v>32</v>
      </c>
      <c r="D129" s="666">
        <v>5.1669999999999998</v>
      </c>
      <c r="E129" s="1231">
        <v>46177</v>
      </c>
      <c r="F129" s="1231">
        <v>46180</v>
      </c>
      <c r="G129" s="1231" t="s">
        <v>1892</v>
      </c>
      <c r="H129" s="1943"/>
      <c r="I129" s="1943"/>
      <c r="J129" s="1231" t="s">
        <v>29</v>
      </c>
      <c r="K129" s="1"/>
    </row>
    <row r="130" spans="1:11">
      <c r="A130" s="666">
        <v>53</v>
      </c>
      <c r="B130" s="666" t="s">
        <v>1695</v>
      </c>
      <c r="C130" s="666" t="s">
        <v>32</v>
      </c>
      <c r="D130" s="666">
        <v>5.1669999999999998</v>
      </c>
      <c r="E130" s="1231">
        <v>46177</v>
      </c>
      <c r="F130" s="1231">
        <v>46183</v>
      </c>
      <c r="G130" s="1231" t="s">
        <v>1892</v>
      </c>
      <c r="H130" s="1943"/>
      <c r="I130" s="1943"/>
      <c r="J130" s="1231" t="s">
        <v>29</v>
      </c>
      <c r="K130" s="1"/>
    </row>
    <row r="131" spans="1:11">
      <c r="A131" s="666">
        <v>54</v>
      </c>
      <c r="B131" s="666" t="s">
        <v>1200</v>
      </c>
      <c r="C131" s="666" t="s">
        <v>34</v>
      </c>
      <c r="D131" s="666">
        <v>4.3780000000000001</v>
      </c>
      <c r="E131" s="1231">
        <v>46180</v>
      </c>
      <c r="F131" s="1231">
        <v>46183</v>
      </c>
      <c r="G131" s="1231" t="s">
        <v>2145</v>
      </c>
      <c r="H131" s="1943"/>
      <c r="I131" s="1943"/>
      <c r="J131" s="1231" t="s">
        <v>29</v>
      </c>
      <c r="K131" s="1"/>
    </row>
    <row r="132" spans="1:11">
      <c r="A132" s="666">
        <v>55</v>
      </c>
      <c r="B132" s="666" t="s">
        <v>1691</v>
      </c>
      <c r="C132" s="666" t="s">
        <v>53</v>
      </c>
      <c r="D132" s="666">
        <v>6.5629999999999997</v>
      </c>
      <c r="E132" s="1231">
        <v>46177</v>
      </c>
      <c r="F132" s="1231">
        <v>46184</v>
      </c>
      <c r="G132" s="1231" t="s">
        <v>1916</v>
      </c>
      <c r="H132" s="1943"/>
      <c r="I132" s="1943"/>
      <c r="J132" s="1231" t="s">
        <v>29</v>
      </c>
      <c r="K132" s="1"/>
    </row>
    <row r="133" spans="1:11">
      <c r="A133" s="666">
        <v>56</v>
      </c>
      <c r="B133" s="666" t="s">
        <v>1696</v>
      </c>
      <c r="C133" s="666" t="s">
        <v>48</v>
      </c>
      <c r="D133" s="666">
        <v>5.7130000000000001</v>
      </c>
      <c r="E133" s="1231">
        <v>46184</v>
      </c>
      <c r="F133" s="1231">
        <v>46186</v>
      </c>
      <c r="G133" s="1231" t="s">
        <v>1892</v>
      </c>
      <c r="H133" s="1943"/>
      <c r="I133" s="1943"/>
      <c r="J133" s="1231" t="s">
        <v>29</v>
      </c>
      <c r="K133" s="1"/>
    </row>
    <row r="134" spans="1:11">
      <c r="A134" s="666">
        <v>57</v>
      </c>
      <c r="B134" s="666" t="s">
        <v>1692</v>
      </c>
      <c r="C134" s="666" t="s">
        <v>32</v>
      </c>
      <c r="D134" s="666">
        <v>5.1669999999999998</v>
      </c>
      <c r="E134" s="1231">
        <v>46184</v>
      </c>
      <c r="F134" s="1231">
        <v>46186</v>
      </c>
      <c r="G134" s="1231" t="s">
        <v>1916</v>
      </c>
      <c r="H134" s="1943"/>
      <c r="I134" s="1943"/>
      <c r="J134" s="1231" t="s">
        <v>29</v>
      </c>
      <c r="K134" s="1"/>
    </row>
    <row r="135" spans="1:11">
      <c r="A135" s="666">
        <v>58</v>
      </c>
      <c r="B135" s="666" t="s">
        <v>1302</v>
      </c>
      <c r="C135" s="666" t="s">
        <v>34</v>
      </c>
      <c r="D135" s="666">
        <v>4.3780000000000001</v>
      </c>
      <c r="E135" s="1231">
        <v>46184</v>
      </c>
      <c r="F135" s="1231">
        <v>46186</v>
      </c>
      <c r="G135" s="1231" t="s">
        <v>2145</v>
      </c>
      <c r="H135" s="1943"/>
      <c r="I135" s="1943"/>
      <c r="J135" s="1231" t="s">
        <v>29</v>
      </c>
      <c r="K135" s="1"/>
    </row>
    <row r="136" spans="1:11">
      <c r="A136" s="666">
        <v>59</v>
      </c>
      <c r="B136" s="666" t="s">
        <v>1345</v>
      </c>
      <c r="C136" s="666" t="s">
        <v>1181</v>
      </c>
      <c r="D136" s="666">
        <v>8.0860000000000003</v>
      </c>
      <c r="E136" s="1231">
        <v>46177</v>
      </c>
      <c r="F136" s="1231">
        <v>46187</v>
      </c>
      <c r="G136" s="1231" t="s">
        <v>1926</v>
      </c>
      <c r="H136" s="1943"/>
      <c r="I136" s="1943"/>
      <c r="J136" s="1231" t="s">
        <v>29</v>
      </c>
      <c r="K136" s="1"/>
    </row>
    <row r="137" spans="1:11">
      <c r="A137" s="666">
        <v>60</v>
      </c>
      <c r="B137" s="666" t="s">
        <v>1303</v>
      </c>
      <c r="C137" s="666" t="s">
        <v>32</v>
      </c>
      <c r="D137" s="666">
        <v>5.1669999999999998</v>
      </c>
      <c r="E137" s="1231">
        <v>46186</v>
      </c>
      <c r="F137" s="1231">
        <v>46187</v>
      </c>
      <c r="G137" s="1231" t="s">
        <v>2145</v>
      </c>
      <c r="H137" s="1943"/>
      <c r="I137" s="1943"/>
      <c r="J137" s="1231" t="s">
        <v>29</v>
      </c>
      <c r="K137" s="1"/>
    </row>
    <row r="138" spans="1:11">
      <c r="A138" s="666">
        <v>61</v>
      </c>
      <c r="B138" s="666" t="s">
        <v>1697</v>
      </c>
      <c r="C138" s="666" t="s">
        <v>48</v>
      </c>
      <c r="D138" s="666">
        <v>5.7130000000000001</v>
      </c>
      <c r="E138" s="1231">
        <v>46187</v>
      </c>
      <c r="F138" s="1231">
        <v>46189</v>
      </c>
      <c r="G138" s="1231" t="s">
        <v>1892</v>
      </c>
      <c r="H138" s="1943"/>
      <c r="I138" s="1943"/>
      <c r="J138" s="1231" t="s">
        <v>29</v>
      </c>
      <c r="K138" s="1"/>
    </row>
    <row r="139" spans="1:11">
      <c r="A139" s="666">
        <v>62</v>
      </c>
      <c r="B139" s="666" t="s">
        <v>1202</v>
      </c>
      <c r="C139" s="666" t="s">
        <v>32</v>
      </c>
      <c r="D139" s="666">
        <v>5.1669999999999998</v>
      </c>
      <c r="E139" s="1231">
        <v>46188</v>
      </c>
      <c r="F139" s="1231">
        <v>46190</v>
      </c>
      <c r="G139" s="1231" t="s">
        <v>2145</v>
      </c>
      <c r="H139" s="1943"/>
      <c r="I139" s="1943"/>
      <c r="J139" s="1231" t="s">
        <v>29</v>
      </c>
      <c r="K139" s="1"/>
    </row>
    <row r="140" spans="1:11">
      <c r="A140" s="666">
        <v>63</v>
      </c>
      <c r="B140" s="666" t="s">
        <v>1276</v>
      </c>
      <c r="C140" s="666" t="s">
        <v>53</v>
      </c>
      <c r="D140" s="666">
        <v>6.5629999999999997</v>
      </c>
      <c r="E140" s="1231">
        <v>46187</v>
      </c>
      <c r="F140" s="1231">
        <v>46190</v>
      </c>
      <c r="G140" s="1231" t="s">
        <v>1916</v>
      </c>
      <c r="H140" s="1943"/>
      <c r="I140" s="1943"/>
      <c r="J140" s="1231" t="s">
        <v>29</v>
      </c>
      <c r="K140" s="1"/>
    </row>
    <row r="141" spans="1:11">
      <c r="A141" s="666">
        <v>64</v>
      </c>
      <c r="B141" s="666" t="s">
        <v>1698</v>
      </c>
      <c r="C141" s="666" t="s">
        <v>34</v>
      </c>
      <c r="D141" s="666">
        <v>4.3780000000000001</v>
      </c>
      <c r="E141" s="1231">
        <v>46189</v>
      </c>
      <c r="F141" s="1231">
        <v>46190</v>
      </c>
      <c r="G141" s="1231" t="s">
        <v>1892</v>
      </c>
      <c r="H141" s="1943"/>
      <c r="I141" s="1943"/>
      <c r="J141" s="1231" t="s">
        <v>29</v>
      </c>
      <c r="K141" s="1"/>
    </row>
    <row r="142" spans="1:11">
      <c r="A142" s="666">
        <v>65</v>
      </c>
      <c r="B142" s="666" t="s">
        <v>1699</v>
      </c>
      <c r="C142" s="666" t="s">
        <v>1175</v>
      </c>
      <c r="D142" s="666">
        <v>7.3079999999999998</v>
      </c>
      <c r="E142" s="1231">
        <v>46189</v>
      </c>
      <c r="F142" s="1231">
        <v>46192</v>
      </c>
      <c r="G142" s="1231" t="s">
        <v>1892</v>
      </c>
      <c r="H142" s="1943"/>
      <c r="I142" s="1943"/>
      <c r="J142" s="1231" t="s">
        <v>29</v>
      </c>
      <c r="K142" s="1"/>
    </row>
    <row r="143" spans="1:11">
      <c r="A143" s="666">
        <v>66</v>
      </c>
      <c r="B143" s="666" t="s">
        <v>1203</v>
      </c>
      <c r="C143" s="666" t="s">
        <v>48</v>
      </c>
      <c r="D143" s="666">
        <v>5.7130000000000001</v>
      </c>
      <c r="E143" s="1231">
        <v>46188</v>
      </c>
      <c r="F143" s="1231">
        <v>46192</v>
      </c>
      <c r="G143" s="1231" t="s">
        <v>2145</v>
      </c>
      <c r="H143" s="1943"/>
      <c r="I143" s="1943"/>
      <c r="J143" s="1231" t="s">
        <v>29</v>
      </c>
      <c r="K143" s="1"/>
    </row>
    <row r="144" spans="1:11">
      <c r="A144" s="666">
        <v>67</v>
      </c>
      <c r="B144" s="666" t="s">
        <v>1305</v>
      </c>
      <c r="C144" s="666" t="s">
        <v>32</v>
      </c>
      <c r="D144" s="666">
        <v>5.1669999999999998</v>
      </c>
      <c r="E144" s="1231">
        <v>46192</v>
      </c>
      <c r="F144" s="1231">
        <v>46193</v>
      </c>
      <c r="G144" s="1231" t="s">
        <v>2145</v>
      </c>
      <c r="H144" s="1943"/>
      <c r="I144" s="1943"/>
      <c r="J144" s="1231" t="s">
        <v>29</v>
      </c>
      <c r="K144" s="1"/>
    </row>
    <row r="145" spans="1:11">
      <c r="A145" s="666">
        <v>68</v>
      </c>
      <c r="B145" s="666" t="s">
        <v>1277</v>
      </c>
      <c r="C145" s="666" t="s">
        <v>32</v>
      </c>
      <c r="D145" s="666">
        <v>5.1669999999999998</v>
      </c>
      <c r="E145" s="1231">
        <v>46192</v>
      </c>
      <c r="F145" s="1231">
        <v>46194</v>
      </c>
      <c r="G145" s="1231" t="s">
        <v>1916</v>
      </c>
      <c r="H145" s="1943"/>
      <c r="I145" s="1943"/>
      <c r="J145" s="1231" t="s">
        <v>29</v>
      </c>
      <c r="K145" s="1"/>
    </row>
    <row r="146" spans="1:11">
      <c r="A146" s="666">
        <v>69</v>
      </c>
      <c r="B146" s="666" t="s">
        <v>1710</v>
      </c>
      <c r="C146" s="666" t="s">
        <v>1175</v>
      </c>
      <c r="D146" s="666">
        <v>7.3079999999999998</v>
      </c>
      <c r="E146" s="1231">
        <v>46192</v>
      </c>
      <c r="F146" s="1231">
        <v>46195</v>
      </c>
      <c r="G146" s="1231" t="s">
        <v>1892</v>
      </c>
      <c r="H146" s="1943"/>
      <c r="I146" s="1943"/>
      <c r="J146" s="1231" t="s">
        <v>29</v>
      </c>
      <c r="K146" s="1"/>
    </row>
    <row r="147" spans="1:11">
      <c r="A147" s="666">
        <v>70</v>
      </c>
      <c r="B147" s="666" t="s">
        <v>1306</v>
      </c>
      <c r="C147" s="666" t="s">
        <v>48</v>
      </c>
      <c r="D147" s="666">
        <v>5.7130000000000001</v>
      </c>
      <c r="E147" s="1231">
        <v>46194</v>
      </c>
      <c r="F147" s="1231">
        <v>46195</v>
      </c>
      <c r="G147" s="1231" t="s">
        <v>2145</v>
      </c>
      <c r="H147" s="1943"/>
      <c r="I147" s="1943"/>
      <c r="J147" s="1231" t="s">
        <v>29</v>
      </c>
      <c r="K147" s="1"/>
    </row>
    <row r="148" spans="1:11">
      <c r="A148" s="666">
        <v>71</v>
      </c>
      <c r="B148" s="666" t="s">
        <v>1275</v>
      </c>
      <c r="C148" s="666" t="s">
        <v>32</v>
      </c>
      <c r="D148" s="666">
        <v>5.1669999999999998</v>
      </c>
      <c r="E148" s="1231">
        <v>46193</v>
      </c>
      <c r="F148" s="1231">
        <v>46196</v>
      </c>
      <c r="G148" s="1231" t="s">
        <v>1892</v>
      </c>
      <c r="H148" s="1943"/>
      <c r="I148" s="1943"/>
      <c r="J148" s="1231" t="s">
        <v>29</v>
      </c>
      <c r="K148" s="1"/>
    </row>
    <row r="149" spans="1:11">
      <c r="A149" s="666">
        <v>72</v>
      </c>
      <c r="B149" s="666" t="s">
        <v>1711</v>
      </c>
      <c r="C149" s="666" t="s">
        <v>48</v>
      </c>
      <c r="D149" s="666">
        <v>5.7130000000000001</v>
      </c>
      <c r="E149" s="1231">
        <v>46196</v>
      </c>
      <c r="F149" s="1231">
        <v>46197</v>
      </c>
      <c r="G149" s="1231" t="s">
        <v>1892</v>
      </c>
      <c r="H149" s="1943"/>
      <c r="I149" s="1943"/>
      <c r="J149" s="1231" t="s">
        <v>29</v>
      </c>
      <c r="K149" s="1"/>
    </row>
    <row r="150" spans="1:11">
      <c r="A150" s="666">
        <v>73</v>
      </c>
      <c r="B150" s="666" t="s">
        <v>1232</v>
      </c>
      <c r="C150" s="666" t="s">
        <v>1181</v>
      </c>
      <c r="D150" s="666">
        <v>8.0860000000000003</v>
      </c>
      <c r="E150" s="1231">
        <v>46197</v>
      </c>
      <c r="F150" s="1231">
        <v>46199</v>
      </c>
      <c r="G150" s="1231" t="s">
        <v>1892</v>
      </c>
      <c r="H150" s="1943"/>
      <c r="I150" s="1943"/>
      <c r="J150" s="1231" t="s">
        <v>29</v>
      </c>
      <c r="K150" s="1"/>
    </row>
    <row r="151" spans="1:11">
      <c r="A151" s="666">
        <v>74</v>
      </c>
      <c r="B151" s="666" t="s">
        <v>1236</v>
      </c>
      <c r="C151" s="666" t="s">
        <v>34</v>
      </c>
      <c r="D151" s="666">
        <v>4.3780000000000001</v>
      </c>
      <c r="E151" s="1231">
        <v>46199</v>
      </c>
      <c r="F151" s="1231">
        <v>46200</v>
      </c>
      <c r="G151" s="1231" t="s">
        <v>1892</v>
      </c>
      <c r="H151" s="1943"/>
      <c r="I151" s="1943"/>
      <c r="J151" s="1231" t="s">
        <v>29</v>
      </c>
      <c r="K151" s="1"/>
    </row>
    <row r="152" spans="1:11">
      <c r="A152" s="666">
        <v>75</v>
      </c>
      <c r="B152" s="666" t="s">
        <v>1237</v>
      </c>
      <c r="C152" s="666" t="s">
        <v>34</v>
      </c>
      <c r="D152" s="666">
        <v>4.3780000000000001</v>
      </c>
      <c r="E152" s="1231">
        <v>46200</v>
      </c>
      <c r="F152" s="1231">
        <v>46201</v>
      </c>
      <c r="G152" s="1231" t="s">
        <v>1892</v>
      </c>
      <c r="H152" s="1943"/>
      <c r="I152" s="1943"/>
      <c r="J152" s="1231" t="s">
        <v>29</v>
      </c>
      <c r="K152" s="1"/>
    </row>
    <row r="153" spans="1:11">
      <c r="A153" s="666">
        <v>76</v>
      </c>
      <c r="B153" s="666" t="s">
        <v>1235</v>
      </c>
      <c r="C153" s="666" t="s">
        <v>50</v>
      </c>
      <c r="D153" s="666">
        <v>9.7910000000000004</v>
      </c>
      <c r="E153" s="1231">
        <v>46201</v>
      </c>
      <c r="F153" s="1231">
        <v>46203</v>
      </c>
      <c r="G153" s="1231" t="s">
        <v>1892</v>
      </c>
      <c r="H153" s="1943"/>
      <c r="I153" s="1943"/>
      <c r="J153" s="1231" t="s">
        <v>29</v>
      </c>
      <c r="K153" s="1"/>
    </row>
    <row r="154" spans="1:11">
      <c r="A154" s="666">
        <v>77</v>
      </c>
      <c r="B154" s="666" t="s">
        <v>1318</v>
      </c>
      <c r="C154" s="666" t="s">
        <v>34</v>
      </c>
      <c r="D154" s="666">
        <v>4.3780000000000001</v>
      </c>
      <c r="E154" s="1231">
        <v>46196</v>
      </c>
      <c r="F154" s="1231">
        <v>46197</v>
      </c>
      <c r="G154" s="1231" t="s">
        <v>2145</v>
      </c>
      <c r="H154" s="1943"/>
      <c r="I154" s="1943"/>
      <c r="J154" s="1231" t="s">
        <v>29</v>
      </c>
      <c r="K154" s="1"/>
    </row>
    <row r="155" spans="1:11">
      <c r="A155" s="666">
        <v>78</v>
      </c>
      <c r="B155" s="666" t="s">
        <v>1319</v>
      </c>
      <c r="C155" s="666" t="s">
        <v>34</v>
      </c>
      <c r="D155" s="666">
        <v>4.3780000000000001</v>
      </c>
      <c r="E155" s="1231">
        <v>46197</v>
      </c>
      <c r="F155" s="1231">
        <v>46198</v>
      </c>
      <c r="G155" s="1231" t="s">
        <v>2145</v>
      </c>
      <c r="H155" s="1943"/>
      <c r="I155" s="1943"/>
      <c r="J155" s="1231" t="s">
        <v>29</v>
      </c>
      <c r="K155" s="1"/>
    </row>
    <row r="156" spans="1:11">
      <c r="A156" s="666">
        <v>79</v>
      </c>
      <c r="B156" s="666" t="s">
        <v>1320</v>
      </c>
      <c r="C156" s="666" t="s">
        <v>34</v>
      </c>
      <c r="D156" s="666">
        <v>4.3780000000000001</v>
      </c>
      <c r="E156" s="1231">
        <v>46198</v>
      </c>
      <c r="F156" s="1231">
        <v>46199</v>
      </c>
      <c r="G156" s="1231" t="s">
        <v>2145</v>
      </c>
      <c r="H156" s="1943"/>
      <c r="I156" s="1943"/>
      <c r="J156" s="1231" t="s">
        <v>29</v>
      </c>
      <c r="K156" s="1"/>
    </row>
    <row r="157" spans="1:11">
      <c r="A157" s="666">
        <v>80</v>
      </c>
      <c r="B157" s="666" t="s">
        <v>1315</v>
      </c>
      <c r="C157" s="666" t="s">
        <v>32</v>
      </c>
      <c r="D157" s="666">
        <v>5.1669999999999998</v>
      </c>
      <c r="E157" s="1231">
        <v>46199</v>
      </c>
      <c r="F157" s="1231">
        <v>46201</v>
      </c>
      <c r="G157" s="1231" t="s">
        <v>2145</v>
      </c>
      <c r="H157" s="1943"/>
      <c r="I157" s="1943"/>
      <c r="J157" s="1231" t="s">
        <v>29</v>
      </c>
      <c r="K157" s="1"/>
    </row>
    <row r="158" spans="1:11">
      <c r="A158" s="816"/>
      <c r="B158" s="1162"/>
      <c r="C158" s="1162"/>
      <c r="D158" s="1249">
        <f>SUM(D78:D157)</f>
        <v>519.73299999999983</v>
      </c>
      <c r="E158" s="818"/>
      <c r="F158" s="818"/>
      <c r="G158" s="1247"/>
      <c r="H158" s="1248"/>
      <c r="I158" s="1248"/>
      <c r="J158" s="819"/>
      <c r="K158" s="841"/>
    </row>
    <row r="159" spans="1:11">
      <c r="A159" s="816"/>
      <c r="B159" s="1162"/>
      <c r="C159" s="1162"/>
      <c r="D159" s="816"/>
      <c r="E159" s="818"/>
      <c r="F159" s="818"/>
      <c r="G159" s="1247"/>
      <c r="H159" s="1248"/>
      <c r="I159" s="1248"/>
      <c r="J159" s="819"/>
      <c r="K159" s="841"/>
    </row>
    <row r="160" spans="1:11">
      <c r="A160" s="816"/>
      <c r="B160" s="1162"/>
      <c r="C160" s="1250" t="s">
        <v>2178</v>
      </c>
      <c r="D160" s="924">
        <f>D17+D73+D158</f>
        <v>1895.7070000000003</v>
      </c>
      <c r="E160" s="818"/>
      <c r="F160" s="818"/>
      <c r="G160" s="1247"/>
      <c r="H160" s="1248"/>
      <c r="I160" s="1248"/>
      <c r="J160" s="819"/>
      <c r="K160" s="841"/>
    </row>
    <row r="161" spans="1:11">
      <c r="A161" s="816"/>
      <c r="B161" s="1162"/>
      <c r="C161" s="1162"/>
      <c r="D161" s="816"/>
      <c r="E161" s="818"/>
      <c r="F161" s="818"/>
      <c r="G161" s="1247"/>
      <c r="H161" s="1248"/>
      <c r="I161" s="1248"/>
      <c r="J161" s="819"/>
      <c r="K161" s="841"/>
    </row>
    <row r="162" spans="1:11">
      <c r="A162" s="816"/>
      <c r="B162" s="1162"/>
      <c r="C162" s="1162"/>
      <c r="D162" s="816"/>
      <c r="E162" s="818"/>
      <c r="F162" s="818"/>
      <c r="G162" s="1247"/>
      <c r="H162" s="1248"/>
      <c r="I162" s="1248"/>
      <c r="J162" s="819"/>
      <c r="K162" s="841"/>
    </row>
    <row r="163" spans="1:11">
      <c r="A163" s="816"/>
      <c r="B163" s="1162"/>
      <c r="C163" s="1162"/>
      <c r="D163" s="816"/>
      <c r="E163" s="818"/>
      <c r="F163" s="818"/>
      <c r="G163" s="1247"/>
      <c r="H163" s="1248"/>
      <c r="I163" s="1248"/>
      <c r="J163" s="819"/>
      <c r="K163" s="841"/>
    </row>
    <row r="164" spans="1:11">
      <c r="D164" s="816"/>
      <c r="H164" s="693"/>
      <c r="I164" s="693"/>
    </row>
    <row r="165" spans="1:11">
      <c r="D165" s="816"/>
      <c r="H165" s="693"/>
      <c r="I165" s="693"/>
    </row>
    <row r="166" spans="1:11">
      <c r="H166" s="693"/>
      <c r="I166" s="693"/>
    </row>
    <row r="167" spans="1:11">
      <c r="H167" s="693"/>
      <c r="I167" s="693"/>
    </row>
    <row r="168" spans="1:11">
      <c r="H168" s="693"/>
      <c r="I168" s="693"/>
    </row>
    <row r="169" spans="1:11">
      <c r="H169" s="693"/>
      <c r="I169" s="693"/>
    </row>
    <row r="170" spans="1:11">
      <c r="H170" s="693"/>
      <c r="I170" s="693"/>
    </row>
    <row r="171" spans="1:11">
      <c r="H171" s="693"/>
      <c r="I171" s="693"/>
    </row>
    <row r="172" spans="1:11">
      <c r="H172" s="693"/>
      <c r="I172" s="693"/>
    </row>
    <row r="173" spans="1:11">
      <c r="H173" s="693"/>
      <c r="I173" s="693"/>
    </row>
    <row r="174" spans="1:11">
      <c r="H174" s="693"/>
      <c r="I174" s="693"/>
    </row>
    <row r="175" spans="1:11">
      <c r="H175" s="693"/>
      <c r="I175" s="693"/>
    </row>
  </sheetData>
  <autoFilter ref="A76:K157"/>
  <mergeCells count="28">
    <mergeCell ref="A1:J1"/>
    <mergeCell ref="A24:K24"/>
    <mergeCell ref="A75:K75"/>
    <mergeCell ref="H6:H10"/>
    <mergeCell ref="I6:I10"/>
    <mergeCell ref="H27:H29"/>
    <mergeCell ref="I27:I29"/>
    <mergeCell ref="H30:H36"/>
    <mergeCell ref="I30:I36"/>
    <mergeCell ref="H37:H46"/>
    <mergeCell ref="I37:I46"/>
    <mergeCell ref="H11:H12"/>
    <mergeCell ref="A2:K2"/>
    <mergeCell ref="I47:I57"/>
    <mergeCell ref="H13:H16"/>
    <mergeCell ref="I13:I16"/>
    <mergeCell ref="H85:H105"/>
    <mergeCell ref="I85:I105"/>
    <mergeCell ref="H126:H157"/>
    <mergeCell ref="I126:I157"/>
    <mergeCell ref="H106:H125"/>
    <mergeCell ref="I106:I125"/>
    <mergeCell ref="H58:H72"/>
    <mergeCell ref="I58:I72"/>
    <mergeCell ref="I11:I12"/>
    <mergeCell ref="H47:H57"/>
    <mergeCell ref="H78:H84"/>
    <mergeCell ref="I78:I84"/>
  </mergeCells>
  <conditionalFormatting sqref="B24:B26">
    <cfRule type="duplicateValues" dxfId="51" priority="25"/>
  </conditionalFormatting>
  <conditionalFormatting sqref="B164:B1048576 B2:B4">
    <cfRule type="duplicateValues" dxfId="50" priority="1240"/>
  </conditionalFormatting>
  <conditionalFormatting sqref="B75:B77">
    <cfRule type="duplicateValues" dxfId="49" priority="17"/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45" operator="containsText" id="{F553627E-A049-4912-B40A-F69C4668FFF7}">
            <xm:f>NOT(ISERROR(SEARCH(Foundation!#REF!,Foundation!J256)))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J74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J23</xm:sqref>
        </x14:conditionalFormatting>
        <x14:conditionalFormatting xmlns:xm="http://schemas.microsoft.com/office/excel/2006/main">
          <x14:cfRule type="containsText" priority="1400" operator="containsText" id="{960EED08-D117-4982-9452-2FC1DB507380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1492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495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J20</xm:sqref>
        </x14:conditionalFormatting>
        <x14:conditionalFormatting xmlns:xm="http://schemas.microsoft.com/office/excel/2006/main">
          <x14:cfRule type="containsText" priority="1498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</xm:sqref>
        </x14:conditionalFormatting>
        <x14:conditionalFormatting xmlns:xm="http://schemas.microsoft.com/office/excel/2006/main">
          <x14:cfRule type="containsText" priority="1501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containsText" priority="1504" operator="containsText" id="{960EED08-D117-4982-9452-2FC1DB507380}">
            <xm:f>NOT(ISERROR(SEARCH(Foundation!#REF!,Foundation!J225)))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1525" operator="containsText" id="{960EED08-D117-4982-9452-2FC1DB507380}">
            <xm:f>NOT(ISERROR(SEARCH(Foundation!#REF!,Foundation!J271)))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J73</xm:sqref>
        </x14:conditionalFormatting>
        <x14:conditionalFormatting xmlns:xm="http://schemas.microsoft.com/office/excel/2006/main">
          <x14:cfRule type="containsText" priority="1528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J163</xm:sqref>
        </x14:conditionalFormatting>
        <x14:conditionalFormatting xmlns:xm="http://schemas.microsoft.com/office/excel/2006/main">
          <x14:cfRule type="containsText" priority="1531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J162</xm:sqref>
        </x14:conditionalFormatting>
        <x14:conditionalFormatting xmlns:xm="http://schemas.microsoft.com/office/excel/2006/main">
          <x14:cfRule type="containsText" priority="1534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J161</xm:sqref>
        </x14:conditionalFormatting>
        <x14:conditionalFormatting xmlns:xm="http://schemas.microsoft.com/office/excel/2006/main">
          <x14:cfRule type="containsText" priority="1537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J160</xm:sqref>
        </x14:conditionalFormatting>
        <x14:conditionalFormatting xmlns:xm="http://schemas.microsoft.com/office/excel/2006/main">
          <x14:cfRule type="containsText" priority="1540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J159</xm:sqref>
        </x14:conditionalFormatting>
        <x14:conditionalFormatting xmlns:xm="http://schemas.microsoft.com/office/excel/2006/main">
          <x14:cfRule type="containsText" priority="1543" operator="containsText" id="{F553627E-A049-4912-B40A-F69C4668FFF7}">
            <xm:f>NOT(ISERROR(SEARCH(Foundation!#REF!,Foundation!J297)))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J158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 filterMode="1"/>
  <dimension ref="A1:I243"/>
  <sheetViews>
    <sheetView topLeftCell="A176" zoomScale="89" workbookViewId="0">
      <selection activeCell="M202" sqref="M202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1998" t="s">
        <v>85</v>
      </c>
      <c r="B1" s="1999"/>
      <c r="C1" s="1999"/>
      <c r="D1" s="1999"/>
      <c r="E1" s="1999"/>
      <c r="F1" s="1999"/>
      <c r="G1" s="1999"/>
      <c r="H1" s="1999"/>
      <c r="I1" s="2000"/>
    </row>
    <row r="2" spans="1:9" ht="30">
      <c r="A2" s="18" t="s">
        <v>62</v>
      </c>
      <c r="B2" s="19" t="s">
        <v>551</v>
      </c>
      <c r="C2" s="18" t="s">
        <v>38</v>
      </c>
      <c r="D2" s="19" t="s">
        <v>37</v>
      </c>
      <c r="E2" s="18" t="s">
        <v>83</v>
      </c>
      <c r="F2" s="18" t="s">
        <v>84</v>
      </c>
      <c r="G2" s="18" t="s">
        <v>36</v>
      </c>
      <c r="H2" s="18" t="s">
        <v>35</v>
      </c>
      <c r="I2" s="18" t="s">
        <v>2</v>
      </c>
    </row>
    <row r="3" spans="1:9">
      <c r="A3" s="17"/>
      <c r="B3" s="17"/>
      <c r="C3" s="17"/>
      <c r="D3" s="17"/>
      <c r="E3" s="17"/>
      <c r="F3" s="17"/>
      <c r="G3" s="17"/>
      <c r="H3" s="17">
        <f>COUNTIF(H4:H142,"Completed")</f>
        <v>139</v>
      </c>
      <c r="I3" s="17"/>
    </row>
    <row r="4" spans="1:9" ht="18" customHeight="1">
      <c r="A4" s="13">
        <v>1</v>
      </c>
      <c r="B4" s="13" t="s">
        <v>60</v>
      </c>
      <c r="C4" s="13" t="s">
        <v>45</v>
      </c>
      <c r="D4" s="128" t="s">
        <v>31</v>
      </c>
      <c r="E4" s="13" t="s">
        <v>562</v>
      </c>
      <c r="F4" s="128">
        <v>45479</v>
      </c>
      <c r="G4" s="128" t="s">
        <v>41</v>
      </c>
      <c r="H4" s="128" t="s">
        <v>29</v>
      </c>
      <c r="I4" s="16"/>
    </row>
    <row r="5" spans="1:9" ht="18" customHeight="1">
      <c r="A5" s="13">
        <v>2</v>
      </c>
      <c r="B5" s="13" t="s">
        <v>561</v>
      </c>
      <c r="C5" s="13" t="s">
        <v>34</v>
      </c>
      <c r="D5" s="128" t="s">
        <v>61</v>
      </c>
      <c r="E5" s="13" t="s">
        <v>562</v>
      </c>
      <c r="F5" s="128">
        <v>45479</v>
      </c>
      <c r="G5" s="128" t="s">
        <v>41</v>
      </c>
      <c r="H5" s="128" t="s">
        <v>29</v>
      </c>
      <c r="I5" s="16"/>
    </row>
    <row r="6" spans="1:9" ht="18" customHeight="1">
      <c r="A6" s="13">
        <v>3</v>
      </c>
      <c r="B6" s="13" t="s">
        <v>56</v>
      </c>
      <c r="C6" s="13" t="s">
        <v>43</v>
      </c>
      <c r="D6" s="128" t="s">
        <v>31</v>
      </c>
      <c r="E6" s="13" t="s">
        <v>562</v>
      </c>
      <c r="F6" s="128">
        <v>45582</v>
      </c>
      <c r="G6" s="128" t="s">
        <v>30</v>
      </c>
      <c r="H6" s="128" t="s">
        <v>29</v>
      </c>
      <c r="I6" s="16"/>
    </row>
    <row r="7" spans="1:9" ht="18" customHeight="1">
      <c r="A7" s="13">
        <v>4</v>
      </c>
      <c r="B7" s="13" t="s">
        <v>563</v>
      </c>
      <c r="C7" s="13" t="s">
        <v>49</v>
      </c>
      <c r="D7" s="128" t="s">
        <v>42</v>
      </c>
      <c r="E7" s="13" t="s">
        <v>562</v>
      </c>
      <c r="F7" s="128">
        <v>45582</v>
      </c>
      <c r="G7" s="128" t="s">
        <v>30</v>
      </c>
      <c r="H7" s="128" t="s">
        <v>29</v>
      </c>
      <c r="I7" s="16"/>
    </row>
    <row r="8" spans="1:9" ht="18" customHeight="1">
      <c r="A8" s="13">
        <v>5</v>
      </c>
      <c r="B8" s="13" t="s">
        <v>564</v>
      </c>
      <c r="C8" s="13" t="s">
        <v>48</v>
      </c>
      <c r="D8" s="128" t="s">
        <v>31</v>
      </c>
      <c r="E8" s="13" t="s">
        <v>562</v>
      </c>
      <c r="F8" s="128">
        <v>45582</v>
      </c>
      <c r="G8" s="128" t="s">
        <v>30</v>
      </c>
      <c r="H8" s="128" t="s">
        <v>29</v>
      </c>
      <c r="I8" s="16"/>
    </row>
    <row r="9" spans="1:9" ht="18" customHeight="1">
      <c r="A9" s="13">
        <v>6</v>
      </c>
      <c r="B9" s="13" t="s">
        <v>55</v>
      </c>
      <c r="C9" s="13" t="s">
        <v>45</v>
      </c>
      <c r="D9" s="128" t="s">
        <v>31</v>
      </c>
      <c r="E9" s="13" t="s">
        <v>562</v>
      </c>
      <c r="F9" s="128">
        <v>45548</v>
      </c>
      <c r="G9" s="128" t="s">
        <v>41</v>
      </c>
      <c r="H9" s="128" t="s">
        <v>29</v>
      </c>
      <c r="I9" s="16"/>
    </row>
    <row r="10" spans="1:9" ht="18" customHeight="1">
      <c r="A10" s="13">
        <v>7</v>
      </c>
      <c r="B10" s="13" t="s">
        <v>59</v>
      </c>
      <c r="C10" s="13" t="s">
        <v>50</v>
      </c>
      <c r="D10" s="128" t="s">
        <v>31</v>
      </c>
      <c r="E10" s="13" t="s">
        <v>562</v>
      </c>
      <c r="F10" s="128">
        <v>45507</v>
      </c>
      <c r="G10" s="128" t="s">
        <v>41</v>
      </c>
      <c r="H10" s="128" t="s">
        <v>29</v>
      </c>
      <c r="I10" s="16"/>
    </row>
    <row r="11" spans="1:9" ht="18" customHeight="1">
      <c r="A11" s="13">
        <v>8</v>
      </c>
      <c r="B11" s="13" t="s">
        <v>565</v>
      </c>
      <c r="C11" s="13" t="s">
        <v>48</v>
      </c>
      <c r="D11" s="128" t="s">
        <v>31</v>
      </c>
      <c r="E11" s="13" t="s">
        <v>562</v>
      </c>
      <c r="F11" s="128">
        <v>45549</v>
      </c>
      <c r="G11" s="128" t="s">
        <v>41</v>
      </c>
      <c r="H11" s="128" t="s">
        <v>29</v>
      </c>
      <c r="I11" s="16"/>
    </row>
    <row r="12" spans="1:9" ht="18" customHeight="1">
      <c r="A12" s="13">
        <v>9</v>
      </c>
      <c r="B12" s="13" t="s">
        <v>296</v>
      </c>
      <c r="C12" s="13" t="s">
        <v>48</v>
      </c>
      <c r="D12" s="128" t="s">
        <v>42</v>
      </c>
      <c r="E12" s="13" t="s">
        <v>562</v>
      </c>
      <c r="F12" s="128">
        <v>45589</v>
      </c>
      <c r="G12" s="128" t="s">
        <v>30</v>
      </c>
      <c r="H12" s="128" t="s">
        <v>29</v>
      </c>
      <c r="I12" s="16"/>
    </row>
    <row r="13" spans="1:9" ht="18" customHeight="1">
      <c r="A13" s="13">
        <v>10</v>
      </c>
      <c r="B13" s="13" t="s">
        <v>46</v>
      </c>
      <c r="C13" s="13" t="s">
        <v>45</v>
      </c>
      <c r="D13" s="128" t="s">
        <v>42</v>
      </c>
      <c r="E13" s="13" t="s">
        <v>562</v>
      </c>
      <c r="F13" s="128">
        <v>45589</v>
      </c>
      <c r="G13" s="128" t="s">
        <v>30</v>
      </c>
      <c r="H13" s="128" t="s">
        <v>29</v>
      </c>
      <c r="I13" s="16"/>
    </row>
    <row r="14" spans="1:9" ht="18" customHeight="1">
      <c r="A14" s="13">
        <v>11</v>
      </c>
      <c r="B14" s="13" t="s">
        <v>44</v>
      </c>
      <c r="C14" s="13" t="s">
        <v>43</v>
      </c>
      <c r="D14" s="128" t="s">
        <v>42</v>
      </c>
      <c r="E14" s="13" t="s">
        <v>562</v>
      </c>
      <c r="F14" s="128">
        <v>45591</v>
      </c>
      <c r="G14" s="128" t="s">
        <v>41</v>
      </c>
      <c r="H14" s="128" t="s">
        <v>29</v>
      </c>
      <c r="I14" s="16"/>
    </row>
    <row r="15" spans="1:9" ht="18" customHeight="1">
      <c r="A15" s="13">
        <v>12</v>
      </c>
      <c r="B15" s="13" t="s">
        <v>54</v>
      </c>
      <c r="C15" s="13" t="s">
        <v>53</v>
      </c>
      <c r="D15" s="128" t="s">
        <v>31</v>
      </c>
      <c r="E15" s="13" t="s">
        <v>562</v>
      </c>
      <c r="F15" s="128">
        <v>45541</v>
      </c>
      <c r="G15" s="128" t="s">
        <v>41</v>
      </c>
      <c r="H15" s="128" t="s">
        <v>29</v>
      </c>
      <c r="I15" s="16"/>
    </row>
    <row r="16" spans="1:9" ht="18" customHeight="1">
      <c r="A16" s="13">
        <v>13</v>
      </c>
      <c r="B16" s="13" t="s">
        <v>51</v>
      </c>
      <c r="C16" s="13" t="s">
        <v>50</v>
      </c>
      <c r="D16" s="128" t="s">
        <v>31</v>
      </c>
      <c r="E16" s="13" t="s">
        <v>562</v>
      </c>
      <c r="F16" s="128">
        <v>45547</v>
      </c>
      <c r="G16" s="128" t="s">
        <v>41</v>
      </c>
      <c r="H16" s="128" t="s">
        <v>29</v>
      </c>
      <c r="I16" s="16"/>
    </row>
    <row r="17" spans="1:9" ht="18" customHeight="1">
      <c r="A17" s="13">
        <v>14</v>
      </c>
      <c r="B17" s="13" t="s">
        <v>58</v>
      </c>
      <c r="C17" s="13" t="s">
        <v>57</v>
      </c>
      <c r="D17" s="128" t="s">
        <v>31</v>
      </c>
      <c r="E17" s="13" t="s">
        <v>562</v>
      </c>
      <c r="F17" s="128">
        <v>45514</v>
      </c>
      <c r="G17" s="128" t="s">
        <v>41</v>
      </c>
      <c r="H17" s="128" t="s">
        <v>29</v>
      </c>
      <c r="I17" s="16"/>
    </row>
    <row r="18" spans="1:9" ht="18" customHeight="1">
      <c r="A18" s="13">
        <v>15</v>
      </c>
      <c r="B18" s="13" t="s">
        <v>47</v>
      </c>
      <c r="C18" s="13" t="s">
        <v>43</v>
      </c>
      <c r="D18" s="128" t="s">
        <v>42</v>
      </c>
      <c r="E18" s="13" t="s">
        <v>562</v>
      </c>
      <c r="F18" s="128">
        <v>45595</v>
      </c>
      <c r="G18" s="128" t="s">
        <v>30</v>
      </c>
      <c r="H18" s="128" t="s">
        <v>29</v>
      </c>
      <c r="I18" s="16"/>
    </row>
    <row r="19" spans="1:9" ht="18" customHeight="1">
      <c r="A19" s="13">
        <v>16</v>
      </c>
      <c r="B19" s="13" t="s">
        <v>40</v>
      </c>
      <c r="C19" s="13" t="s">
        <v>39</v>
      </c>
      <c r="D19" s="128" t="s">
        <v>42</v>
      </c>
      <c r="E19" s="13" t="s">
        <v>562</v>
      </c>
      <c r="F19" s="128">
        <v>45595</v>
      </c>
      <c r="G19" s="128" t="s">
        <v>30</v>
      </c>
      <c r="H19" s="128" t="s">
        <v>29</v>
      </c>
      <c r="I19" s="16"/>
    </row>
    <row r="20" spans="1:9" ht="18" customHeight="1">
      <c r="A20" s="13">
        <v>17</v>
      </c>
      <c r="B20" s="13" t="s">
        <v>1166</v>
      </c>
      <c r="C20" s="13" t="s">
        <v>1167</v>
      </c>
      <c r="D20" s="128" t="s">
        <v>42</v>
      </c>
      <c r="E20" s="13" t="s">
        <v>562</v>
      </c>
      <c r="F20" s="128">
        <v>45993</v>
      </c>
      <c r="G20" s="128" t="s">
        <v>1165</v>
      </c>
      <c r="H20" s="128" t="s">
        <v>29</v>
      </c>
      <c r="I20" s="16"/>
    </row>
    <row r="21" spans="1:9" ht="18" customHeight="1">
      <c r="A21" s="13">
        <v>18</v>
      </c>
      <c r="B21" s="13" t="s">
        <v>1178</v>
      </c>
      <c r="C21" s="13" t="s">
        <v>1205</v>
      </c>
      <c r="D21" s="128" t="s">
        <v>42</v>
      </c>
      <c r="E21" s="13" t="s">
        <v>562</v>
      </c>
      <c r="F21" s="128">
        <v>45998</v>
      </c>
      <c r="G21" s="128" t="s">
        <v>1165</v>
      </c>
      <c r="H21" s="128" t="s">
        <v>29</v>
      </c>
      <c r="I21" s="16"/>
    </row>
    <row r="22" spans="1:9" ht="18" customHeight="1">
      <c r="A22" s="13">
        <v>19</v>
      </c>
      <c r="B22" s="13" t="s">
        <v>1169</v>
      </c>
      <c r="C22" s="13" t="s">
        <v>1170</v>
      </c>
      <c r="D22" s="128" t="s">
        <v>42</v>
      </c>
      <c r="E22" s="13" t="s">
        <v>562</v>
      </c>
      <c r="F22" s="128">
        <v>45999</v>
      </c>
      <c r="G22" s="128" t="s">
        <v>1165</v>
      </c>
      <c r="H22" s="128" t="s">
        <v>29</v>
      </c>
      <c r="I22" s="16"/>
    </row>
    <row r="23" spans="1:9" ht="18" customHeight="1">
      <c r="A23" s="13">
        <v>20</v>
      </c>
      <c r="B23" s="13" t="s">
        <v>1179</v>
      </c>
      <c r="C23" s="13" t="s">
        <v>32</v>
      </c>
      <c r="D23" s="128" t="s">
        <v>42</v>
      </c>
      <c r="E23" s="13" t="s">
        <v>562</v>
      </c>
      <c r="F23" s="128">
        <v>46001</v>
      </c>
      <c r="G23" s="128" t="s">
        <v>1165</v>
      </c>
      <c r="H23" s="128" t="s">
        <v>29</v>
      </c>
      <c r="I23" s="16"/>
    </row>
    <row r="24" spans="1:9" ht="18" customHeight="1">
      <c r="A24" s="13">
        <v>21</v>
      </c>
      <c r="B24" s="13" t="s">
        <v>1182</v>
      </c>
      <c r="C24" s="13" t="s">
        <v>34</v>
      </c>
      <c r="D24" s="128" t="s">
        <v>31</v>
      </c>
      <c r="E24" s="13" t="s">
        <v>562</v>
      </c>
      <c r="F24" s="128">
        <v>46005</v>
      </c>
      <c r="G24" s="128" t="s">
        <v>41</v>
      </c>
      <c r="H24" s="128" t="s">
        <v>29</v>
      </c>
      <c r="I24" s="16"/>
    </row>
    <row r="25" spans="1:9" ht="18" customHeight="1">
      <c r="A25" s="13">
        <v>22</v>
      </c>
      <c r="B25" s="13" t="s">
        <v>1210</v>
      </c>
      <c r="C25" s="13" t="s">
        <v>43</v>
      </c>
      <c r="D25" s="128" t="s">
        <v>42</v>
      </c>
      <c r="E25" s="13" t="s">
        <v>562</v>
      </c>
      <c r="F25" s="128">
        <v>46005</v>
      </c>
      <c r="G25" s="128" t="s">
        <v>1165</v>
      </c>
      <c r="H25" s="128" t="s">
        <v>29</v>
      </c>
      <c r="I25" s="16"/>
    </row>
    <row r="26" spans="1:9" ht="18" customHeight="1">
      <c r="A26" s="13">
        <v>23</v>
      </c>
      <c r="B26" s="13" t="s">
        <v>1190</v>
      </c>
      <c r="C26" s="13" t="s">
        <v>48</v>
      </c>
      <c r="D26" s="128" t="s">
        <v>42</v>
      </c>
      <c r="E26" s="13" t="s">
        <v>562</v>
      </c>
      <c r="F26" s="128">
        <v>46008</v>
      </c>
      <c r="G26" s="128" t="s">
        <v>1165</v>
      </c>
      <c r="H26" s="128" t="s">
        <v>29</v>
      </c>
      <c r="I26" s="16"/>
    </row>
    <row r="27" spans="1:9" ht="18" customHeight="1">
      <c r="A27" s="13">
        <v>24</v>
      </c>
      <c r="B27" s="13" t="s">
        <v>1301</v>
      </c>
      <c r="C27" s="13" t="s">
        <v>48</v>
      </c>
      <c r="D27" s="128" t="s">
        <v>42</v>
      </c>
      <c r="E27" s="13" t="s">
        <v>562</v>
      </c>
      <c r="F27" s="128">
        <v>46010</v>
      </c>
      <c r="G27" s="128" t="s">
        <v>1165</v>
      </c>
      <c r="H27" s="128" t="s">
        <v>29</v>
      </c>
      <c r="I27" s="16"/>
    </row>
    <row r="28" spans="1:9" ht="18" customHeight="1">
      <c r="A28" s="13">
        <v>25</v>
      </c>
      <c r="B28" s="13" t="s">
        <v>1206</v>
      </c>
      <c r="C28" s="13" t="s">
        <v>50</v>
      </c>
      <c r="D28" s="128" t="s">
        <v>61</v>
      </c>
      <c r="E28" s="13" t="s">
        <v>562</v>
      </c>
      <c r="F28" s="128">
        <v>46011</v>
      </c>
      <c r="G28" s="128" t="s">
        <v>41</v>
      </c>
      <c r="H28" s="128" t="s">
        <v>29</v>
      </c>
      <c r="I28" s="16"/>
    </row>
    <row r="29" spans="1:9" ht="18" customHeight="1">
      <c r="A29" s="13">
        <v>26</v>
      </c>
      <c r="B29" s="13" t="s">
        <v>1191</v>
      </c>
      <c r="C29" s="13" t="s">
        <v>32</v>
      </c>
      <c r="D29" s="128" t="s">
        <v>42</v>
      </c>
      <c r="E29" s="13" t="s">
        <v>562</v>
      </c>
      <c r="F29" s="128">
        <v>46015</v>
      </c>
      <c r="G29" s="128" t="s">
        <v>1165</v>
      </c>
      <c r="H29" s="128" t="s">
        <v>29</v>
      </c>
      <c r="I29" s="16"/>
    </row>
    <row r="30" spans="1:9" ht="18" customHeight="1">
      <c r="A30" s="13">
        <v>27</v>
      </c>
      <c r="B30" s="13" t="s">
        <v>1196</v>
      </c>
      <c r="C30" s="13" t="s">
        <v>32</v>
      </c>
      <c r="D30" s="128" t="s">
        <v>42</v>
      </c>
      <c r="E30" s="13" t="s">
        <v>562</v>
      </c>
      <c r="F30" s="128">
        <v>46016</v>
      </c>
      <c r="G30" s="128" t="s">
        <v>1165</v>
      </c>
      <c r="H30" s="128" t="s">
        <v>29</v>
      </c>
      <c r="I30" s="16"/>
    </row>
    <row r="31" spans="1:9" ht="18" customHeight="1">
      <c r="A31" s="13">
        <v>28</v>
      </c>
      <c r="B31" s="13" t="s">
        <v>1238</v>
      </c>
      <c r="C31" s="13" t="s">
        <v>50</v>
      </c>
      <c r="D31" s="128" t="s">
        <v>61</v>
      </c>
      <c r="E31" s="13" t="s">
        <v>562</v>
      </c>
      <c r="F31" s="128">
        <v>46018</v>
      </c>
      <c r="G31" s="128" t="s">
        <v>41</v>
      </c>
      <c r="H31" s="128" t="s">
        <v>29</v>
      </c>
      <c r="I31" s="16"/>
    </row>
    <row r="32" spans="1:9" ht="18" customHeight="1">
      <c r="A32" s="13">
        <v>29</v>
      </c>
      <c r="B32" s="13" t="s">
        <v>1168</v>
      </c>
      <c r="C32" s="13" t="s">
        <v>1171</v>
      </c>
      <c r="D32" s="128" t="s">
        <v>61</v>
      </c>
      <c r="E32" s="13" t="s">
        <v>562</v>
      </c>
      <c r="F32" s="128">
        <v>46021</v>
      </c>
      <c r="G32" s="128" t="s">
        <v>41</v>
      </c>
      <c r="H32" s="128" t="s">
        <v>29</v>
      </c>
      <c r="I32" s="16"/>
    </row>
    <row r="33" spans="1:9" ht="18" customHeight="1">
      <c r="A33" s="13">
        <v>30</v>
      </c>
      <c r="B33" s="13" t="s">
        <v>1197</v>
      </c>
      <c r="C33" s="13" t="s">
        <v>32</v>
      </c>
      <c r="D33" s="128" t="s">
        <v>1606</v>
      </c>
      <c r="E33" s="13" t="s">
        <v>562</v>
      </c>
      <c r="F33" s="128">
        <v>46025</v>
      </c>
      <c r="G33" s="128" t="s">
        <v>1165</v>
      </c>
      <c r="H33" s="128" t="s">
        <v>29</v>
      </c>
      <c r="I33" s="16"/>
    </row>
    <row r="34" spans="1:9" ht="18" customHeight="1">
      <c r="A34" s="13">
        <v>31</v>
      </c>
      <c r="B34" s="13" t="s">
        <v>1199</v>
      </c>
      <c r="C34" s="13" t="s">
        <v>32</v>
      </c>
      <c r="D34" s="128" t="s">
        <v>1606</v>
      </c>
      <c r="E34" s="13" t="s">
        <v>562</v>
      </c>
      <c r="F34" s="128">
        <v>46025</v>
      </c>
      <c r="G34" s="128" t="s">
        <v>1165</v>
      </c>
      <c r="H34" s="128" t="s">
        <v>29</v>
      </c>
      <c r="I34" s="16"/>
    </row>
    <row r="35" spans="1:9" ht="18" customHeight="1">
      <c r="A35" s="13">
        <v>32</v>
      </c>
      <c r="B35" s="13" t="s">
        <v>1172</v>
      </c>
      <c r="C35" s="13" t="s">
        <v>32</v>
      </c>
      <c r="D35" s="128" t="s">
        <v>1606</v>
      </c>
      <c r="E35" s="13" t="s">
        <v>562</v>
      </c>
      <c r="F35" s="128">
        <v>46025</v>
      </c>
      <c r="G35" s="128" t="s">
        <v>1165</v>
      </c>
      <c r="H35" s="128" t="s">
        <v>29</v>
      </c>
      <c r="I35" s="16"/>
    </row>
    <row r="36" spans="1:9" ht="18" customHeight="1">
      <c r="A36" s="13">
        <v>33</v>
      </c>
      <c r="B36" s="13" t="s">
        <v>1241</v>
      </c>
      <c r="C36" s="13" t="s">
        <v>32</v>
      </c>
      <c r="D36" s="128" t="s">
        <v>1606</v>
      </c>
      <c r="E36" s="13" t="s">
        <v>562</v>
      </c>
      <c r="F36" s="128">
        <v>46021</v>
      </c>
      <c r="G36" s="128" t="s">
        <v>41</v>
      </c>
      <c r="H36" s="128" t="s">
        <v>29</v>
      </c>
      <c r="I36" s="16"/>
    </row>
    <row r="37" spans="1:9" ht="18" customHeight="1">
      <c r="A37" s="13">
        <v>34</v>
      </c>
      <c r="B37" s="13" t="s">
        <v>1173</v>
      </c>
      <c r="C37" s="13" t="s">
        <v>48</v>
      </c>
      <c r="D37" s="128" t="s">
        <v>1606</v>
      </c>
      <c r="E37" s="13" t="s">
        <v>562</v>
      </c>
      <c r="F37" s="128">
        <v>46025</v>
      </c>
      <c r="G37" s="128" t="s">
        <v>1165</v>
      </c>
      <c r="H37" s="128" t="s">
        <v>29</v>
      </c>
      <c r="I37" s="16"/>
    </row>
    <row r="38" spans="1:9" ht="18" customHeight="1">
      <c r="A38" s="13">
        <v>35</v>
      </c>
      <c r="B38" s="13" t="s">
        <v>1240</v>
      </c>
      <c r="C38" s="13" t="s">
        <v>32</v>
      </c>
      <c r="D38" s="128" t="s">
        <v>61</v>
      </c>
      <c r="E38" s="13" t="s">
        <v>562</v>
      </c>
      <c r="F38" s="128">
        <v>46028</v>
      </c>
      <c r="G38" s="128" t="s">
        <v>41</v>
      </c>
      <c r="H38" s="128" t="s">
        <v>29</v>
      </c>
      <c r="I38" s="16"/>
    </row>
    <row r="39" spans="1:9" ht="18" customHeight="1">
      <c r="A39" s="13">
        <v>36</v>
      </c>
      <c r="B39" s="13" t="s">
        <v>1239</v>
      </c>
      <c r="C39" s="13" t="s">
        <v>50</v>
      </c>
      <c r="D39" s="128" t="s">
        <v>61</v>
      </c>
      <c r="E39" s="13" t="s">
        <v>562</v>
      </c>
      <c r="F39" s="128">
        <v>46033</v>
      </c>
      <c r="G39" s="128" t="s">
        <v>41</v>
      </c>
      <c r="H39" s="128" t="s">
        <v>29</v>
      </c>
      <c r="I39" s="16"/>
    </row>
    <row r="40" spans="1:9" ht="18" customHeight="1">
      <c r="A40" s="13">
        <v>37</v>
      </c>
      <c r="B40" s="13" t="s">
        <v>1278</v>
      </c>
      <c r="C40" s="13" t="s">
        <v>1423</v>
      </c>
      <c r="D40" s="128" t="s">
        <v>61</v>
      </c>
      <c r="E40" s="13" t="s">
        <v>562</v>
      </c>
      <c r="F40" s="128">
        <v>46038</v>
      </c>
      <c r="G40" s="128" t="s">
        <v>41</v>
      </c>
      <c r="H40" s="128" t="s">
        <v>29</v>
      </c>
      <c r="I40" s="16"/>
    </row>
    <row r="41" spans="1:9" ht="18" customHeight="1">
      <c r="A41" s="13">
        <v>38</v>
      </c>
      <c r="B41" s="13" t="s">
        <v>1195</v>
      </c>
      <c r="C41" s="13" t="s">
        <v>32</v>
      </c>
      <c r="D41" s="128" t="s">
        <v>42</v>
      </c>
      <c r="E41" s="13" t="s">
        <v>562</v>
      </c>
      <c r="F41" s="128">
        <v>46041</v>
      </c>
      <c r="G41" s="128" t="s">
        <v>41</v>
      </c>
      <c r="H41" s="128" t="s">
        <v>29</v>
      </c>
      <c r="I41" s="16"/>
    </row>
    <row r="42" spans="1:9" ht="18" customHeight="1">
      <c r="A42" s="13">
        <v>39</v>
      </c>
      <c r="B42" s="13" t="s">
        <v>1344</v>
      </c>
      <c r="C42" s="13" t="s">
        <v>49</v>
      </c>
      <c r="D42" s="128" t="s">
        <v>61</v>
      </c>
      <c r="E42" s="13" t="s">
        <v>562</v>
      </c>
      <c r="F42" s="128">
        <v>46052</v>
      </c>
      <c r="G42" s="128" t="s">
        <v>41</v>
      </c>
      <c r="H42" s="128" t="s">
        <v>29</v>
      </c>
      <c r="I42" s="16"/>
    </row>
    <row r="43" spans="1:9" ht="18" customHeight="1">
      <c r="A43" s="13">
        <v>40</v>
      </c>
      <c r="B43" s="13" t="s">
        <v>1351</v>
      </c>
      <c r="C43" s="13" t="s">
        <v>50</v>
      </c>
      <c r="D43" s="128" t="s">
        <v>61</v>
      </c>
      <c r="E43" s="13" t="s">
        <v>562</v>
      </c>
      <c r="F43" s="128">
        <v>46059</v>
      </c>
      <c r="G43" s="128" t="s">
        <v>1827</v>
      </c>
      <c r="H43" s="128" t="s">
        <v>29</v>
      </c>
      <c r="I43" s="16"/>
    </row>
    <row r="44" spans="1:9" ht="18" customHeight="1">
      <c r="A44" s="13">
        <v>41</v>
      </c>
      <c r="B44" s="13" t="s">
        <v>1350</v>
      </c>
      <c r="C44" s="13" t="s">
        <v>49</v>
      </c>
      <c r="D44" s="128" t="s">
        <v>42</v>
      </c>
      <c r="E44" s="13" t="s">
        <v>562</v>
      </c>
      <c r="F44" s="128">
        <v>46059</v>
      </c>
      <c r="G44" s="128" t="s">
        <v>1827</v>
      </c>
      <c r="H44" s="128" t="s">
        <v>29</v>
      </c>
      <c r="I44" s="16"/>
    </row>
    <row r="45" spans="1:9" ht="18" customHeight="1">
      <c r="A45" s="13">
        <v>42</v>
      </c>
      <c r="B45" s="13" t="s">
        <v>1693</v>
      </c>
      <c r="C45" s="13" t="s">
        <v>1181</v>
      </c>
      <c r="D45" s="128" t="s">
        <v>42</v>
      </c>
      <c r="E45" s="13" t="s">
        <v>562</v>
      </c>
      <c r="F45" s="128">
        <v>46059</v>
      </c>
      <c r="G45" s="128" t="s">
        <v>1827</v>
      </c>
      <c r="H45" s="128" t="s">
        <v>29</v>
      </c>
      <c r="I45" s="16"/>
    </row>
    <row r="46" spans="1:9" ht="18" customHeight="1">
      <c r="A46" s="13">
        <v>43</v>
      </c>
      <c r="B46" s="13" t="s">
        <v>1342</v>
      </c>
      <c r="C46" s="13" t="s">
        <v>32</v>
      </c>
      <c r="D46" s="128" t="s">
        <v>42</v>
      </c>
      <c r="E46" s="13" t="s">
        <v>562</v>
      </c>
      <c r="F46" s="128">
        <v>46060</v>
      </c>
      <c r="G46" s="128" t="s">
        <v>1827</v>
      </c>
      <c r="H46" s="128" t="s">
        <v>29</v>
      </c>
      <c r="I46" s="16"/>
    </row>
    <row r="47" spans="1:9" ht="18" customHeight="1">
      <c r="A47" s="13">
        <v>44</v>
      </c>
      <c r="B47" s="13" t="s">
        <v>1346</v>
      </c>
      <c r="C47" s="13" t="s">
        <v>49</v>
      </c>
      <c r="D47" s="128" t="s">
        <v>42</v>
      </c>
      <c r="E47" s="13" t="s">
        <v>562</v>
      </c>
      <c r="F47" s="128">
        <v>46064</v>
      </c>
      <c r="G47" s="128" t="s">
        <v>1827</v>
      </c>
      <c r="H47" s="128" t="s">
        <v>29</v>
      </c>
      <c r="I47" s="16"/>
    </row>
    <row r="48" spans="1:9" ht="18" customHeight="1">
      <c r="A48" s="13">
        <v>45</v>
      </c>
      <c r="B48" s="13" t="s">
        <v>1343</v>
      </c>
      <c r="C48" s="13" t="s">
        <v>32</v>
      </c>
      <c r="D48" s="128" t="s">
        <v>42</v>
      </c>
      <c r="E48" s="13" t="s">
        <v>562</v>
      </c>
      <c r="F48" s="128">
        <v>46064</v>
      </c>
      <c r="G48" s="128" t="s">
        <v>1827</v>
      </c>
      <c r="H48" s="128" t="s">
        <v>29</v>
      </c>
      <c r="I48" s="16"/>
    </row>
    <row r="49" spans="1:9" ht="18" customHeight="1">
      <c r="A49" s="13">
        <v>46</v>
      </c>
      <c r="B49" s="13" t="s">
        <v>1639</v>
      </c>
      <c r="C49" s="13" t="s">
        <v>32</v>
      </c>
      <c r="D49" s="128" t="s">
        <v>42</v>
      </c>
      <c r="E49" s="13" t="s">
        <v>562</v>
      </c>
      <c r="F49" s="128">
        <v>46064</v>
      </c>
      <c r="G49" s="128" t="s">
        <v>1635</v>
      </c>
      <c r="H49" s="128" t="s">
        <v>29</v>
      </c>
      <c r="I49" s="16"/>
    </row>
    <row r="50" spans="1:9" ht="18" customHeight="1">
      <c r="A50" s="13">
        <v>47</v>
      </c>
      <c r="B50" s="13" t="s">
        <v>1340</v>
      </c>
      <c r="C50" s="13" t="s">
        <v>50</v>
      </c>
      <c r="D50" s="128" t="s">
        <v>42</v>
      </c>
      <c r="E50" s="13" t="s">
        <v>562</v>
      </c>
      <c r="F50" s="128">
        <v>46065</v>
      </c>
      <c r="G50" s="128" t="s">
        <v>1827</v>
      </c>
      <c r="H50" s="128" t="s">
        <v>29</v>
      </c>
      <c r="I50" s="16"/>
    </row>
    <row r="51" spans="1:9" ht="18" customHeight="1">
      <c r="A51" s="13">
        <v>48</v>
      </c>
      <c r="B51" s="13" t="s">
        <v>1686</v>
      </c>
      <c r="C51" s="13" t="s">
        <v>1181</v>
      </c>
      <c r="D51" s="128" t="s">
        <v>42</v>
      </c>
      <c r="E51" s="13" t="s">
        <v>562</v>
      </c>
      <c r="F51" s="128">
        <v>46069</v>
      </c>
      <c r="G51" s="128" t="s">
        <v>1635</v>
      </c>
      <c r="H51" s="128" t="s">
        <v>29</v>
      </c>
      <c r="I51" s="16"/>
    </row>
    <row r="52" spans="1:9" ht="18" customHeight="1">
      <c r="A52" s="13">
        <v>49</v>
      </c>
      <c r="B52" s="13" t="s">
        <v>1321</v>
      </c>
      <c r="C52" s="13" t="s">
        <v>1181</v>
      </c>
      <c r="D52" s="128" t="s">
        <v>61</v>
      </c>
      <c r="E52" s="13" t="s">
        <v>562</v>
      </c>
      <c r="F52" s="128">
        <v>46071</v>
      </c>
      <c r="G52" s="128" t="s">
        <v>1880</v>
      </c>
      <c r="H52" s="128" t="s">
        <v>29</v>
      </c>
      <c r="I52" s="16"/>
    </row>
    <row r="53" spans="1:9" ht="18" customHeight="1">
      <c r="A53" s="13">
        <v>50</v>
      </c>
      <c r="B53" s="13" t="s">
        <v>1337</v>
      </c>
      <c r="C53" s="13" t="s">
        <v>32</v>
      </c>
      <c r="D53" s="128" t="s">
        <v>42</v>
      </c>
      <c r="E53" s="13" t="s">
        <v>562</v>
      </c>
      <c r="F53" s="128">
        <v>46072</v>
      </c>
      <c r="G53" s="128" t="s">
        <v>1733</v>
      </c>
      <c r="H53" s="128" t="s">
        <v>29</v>
      </c>
      <c r="I53" s="16"/>
    </row>
    <row r="54" spans="1:9" ht="18" customHeight="1">
      <c r="A54" s="13">
        <v>51</v>
      </c>
      <c r="B54" s="13" t="s">
        <v>1339</v>
      </c>
      <c r="C54" s="13" t="s">
        <v>48</v>
      </c>
      <c r="D54" s="128" t="s">
        <v>42</v>
      </c>
      <c r="E54" s="13" t="s">
        <v>562</v>
      </c>
      <c r="F54" s="128">
        <v>46072</v>
      </c>
      <c r="G54" s="128" t="s">
        <v>1733</v>
      </c>
      <c r="H54" s="128" t="s">
        <v>29</v>
      </c>
      <c r="I54" s="16"/>
    </row>
    <row r="55" spans="1:9" ht="18" customHeight="1">
      <c r="A55" s="13">
        <v>52</v>
      </c>
      <c r="B55" s="13" t="s">
        <v>1379</v>
      </c>
      <c r="C55" s="13" t="s">
        <v>1181</v>
      </c>
      <c r="D55" s="128" t="s">
        <v>61</v>
      </c>
      <c r="E55" s="13" t="s">
        <v>562</v>
      </c>
      <c r="F55" s="128">
        <v>46072</v>
      </c>
      <c r="G55" s="128" t="s">
        <v>1827</v>
      </c>
      <c r="H55" s="128" t="s">
        <v>29</v>
      </c>
      <c r="I55" s="16"/>
    </row>
    <row r="56" spans="1:9" ht="18" customHeight="1">
      <c r="A56" s="13">
        <v>53</v>
      </c>
      <c r="B56" s="13" t="s">
        <v>1685</v>
      </c>
      <c r="C56" s="13" t="s">
        <v>34</v>
      </c>
      <c r="D56" s="128" t="s">
        <v>42</v>
      </c>
      <c r="E56" s="13" t="s">
        <v>562</v>
      </c>
      <c r="F56" s="128">
        <v>46073</v>
      </c>
      <c r="G56" s="128" t="s">
        <v>1635</v>
      </c>
      <c r="H56" s="128" t="s">
        <v>29</v>
      </c>
      <c r="I56" s="16"/>
    </row>
    <row r="57" spans="1:9" ht="18" customHeight="1">
      <c r="A57" s="13">
        <v>54</v>
      </c>
      <c r="B57" s="13" t="s">
        <v>1282</v>
      </c>
      <c r="C57" s="13" t="s">
        <v>1423</v>
      </c>
      <c r="D57" s="128" t="s">
        <v>61</v>
      </c>
      <c r="E57" s="13" t="s">
        <v>562</v>
      </c>
      <c r="F57" s="128">
        <v>46074</v>
      </c>
      <c r="G57" s="128" t="s">
        <v>41</v>
      </c>
      <c r="H57" s="128" t="s">
        <v>29</v>
      </c>
      <c r="I57" s="16"/>
    </row>
    <row r="58" spans="1:9" ht="18" customHeight="1">
      <c r="A58" s="13">
        <v>55</v>
      </c>
      <c r="B58" s="13" t="s">
        <v>1280</v>
      </c>
      <c r="C58" s="13" t="s">
        <v>34</v>
      </c>
      <c r="D58" s="128" t="s">
        <v>61</v>
      </c>
      <c r="E58" s="13" t="s">
        <v>562</v>
      </c>
      <c r="F58" s="128">
        <v>46074</v>
      </c>
      <c r="G58" s="128" t="s">
        <v>41</v>
      </c>
      <c r="H58" s="128" t="s">
        <v>29</v>
      </c>
      <c r="I58" s="16"/>
    </row>
    <row r="59" spans="1:9" ht="18" customHeight="1">
      <c r="A59" s="13">
        <v>56</v>
      </c>
      <c r="B59" s="13" t="s">
        <v>1194</v>
      </c>
      <c r="C59" s="13" t="s">
        <v>1181</v>
      </c>
      <c r="D59" s="128" t="s">
        <v>61</v>
      </c>
      <c r="E59" s="13" t="s">
        <v>562</v>
      </c>
      <c r="F59" s="128">
        <v>46074</v>
      </c>
      <c r="G59" s="128" t="s">
        <v>41</v>
      </c>
      <c r="H59" s="128" t="s">
        <v>29</v>
      </c>
      <c r="I59" s="16"/>
    </row>
    <row r="60" spans="1:9" ht="18" customHeight="1">
      <c r="A60" s="13">
        <v>57</v>
      </c>
      <c r="B60" s="13" t="s">
        <v>1687</v>
      </c>
      <c r="C60" s="13" t="s">
        <v>53</v>
      </c>
      <c r="D60" s="128" t="s">
        <v>42</v>
      </c>
      <c r="E60" s="13" t="s">
        <v>562</v>
      </c>
      <c r="F60" s="128">
        <v>46074</v>
      </c>
      <c r="G60" s="128" t="s">
        <v>1635</v>
      </c>
      <c r="H60" s="128" t="s">
        <v>29</v>
      </c>
      <c r="I60" s="16"/>
    </row>
    <row r="61" spans="1:9" ht="18" customHeight="1">
      <c r="A61" s="13">
        <v>58</v>
      </c>
      <c r="B61" s="13" t="s">
        <v>1279</v>
      </c>
      <c r="C61" s="13" t="s">
        <v>50</v>
      </c>
      <c r="D61" s="128" t="s">
        <v>61</v>
      </c>
      <c r="E61" s="13" t="s">
        <v>562</v>
      </c>
      <c r="F61" s="128">
        <v>46074</v>
      </c>
      <c r="G61" s="128" t="s">
        <v>41</v>
      </c>
      <c r="H61" s="128" t="s">
        <v>29</v>
      </c>
      <c r="I61" s="16"/>
    </row>
    <row r="62" spans="1:9" ht="18" customHeight="1">
      <c r="A62" s="13">
        <v>59</v>
      </c>
      <c r="B62" s="13" t="s">
        <v>1338</v>
      </c>
      <c r="C62" s="13" t="s">
        <v>50</v>
      </c>
      <c r="D62" s="128" t="s">
        <v>42</v>
      </c>
      <c r="E62" s="13" t="s">
        <v>562</v>
      </c>
      <c r="F62" s="128">
        <v>46074</v>
      </c>
      <c r="G62" s="128" t="s">
        <v>1733</v>
      </c>
      <c r="H62" s="128" t="s">
        <v>29</v>
      </c>
      <c r="I62" s="16"/>
    </row>
    <row r="63" spans="1:9" ht="18" customHeight="1">
      <c r="A63" s="13">
        <v>60</v>
      </c>
      <c r="B63" s="13" t="s">
        <v>1281</v>
      </c>
      <c r="C63" s="13" t="s">
        <v>1181</v>
      </c>
      <c r="D63" s="128" t="s">
        <v>61</v>
      </c>
      <c r="E63" s="13" t="s">
        <v>562</v>
      </c>
      <c r="F63" s="128">
        <v>46074</v>
      </c>
      <c r="G63" s="128" t="s">
        <v>41</v>
      </c>
      <c r="H63" s="128" t="s">
        <v>29</v>
      </c>
      <c r="I63" s="16"/>
    </row>
    <row r="64" spans="1:9" ht="18" customHeight="1">
      <c r="A64" s="13">
        <v>61</v>
      </c>
      <c r="B64" s="13" t="s">
        <v>1322</v>
      </c>
      <c r="C64" s="13" t="s">
        <v>32</v>
      </c>
      <c r="D64" s="128" t="s">
        <v>61</v>
      </c>
      <c r="E64" s="13" t="s">
        <v>562</v>
      </c>
      <c r="F64" s="128">
        <v>46074</v>
      </c>
      <c r="G64" s="128" t="s">
        <v>1855</v>
      </c>
      <c r="H64" s="128" t="s">
        <v>29</v>
      </c>
      <c r="I64" s="16"/>
    </row>
    <row r="65" spans="1:9" ht="18" customHeight="1">
      <c r="A65" s="13">
        <v>62</v>
      </c>
      <c r="B65" s="13" t="s">
        <v>1345</v>
      </c>
      <c r="C65" s="13" t="s">
        <v>53</v>
      </c>
      <c r="D65" s="128" t="s">
        <v>42</v>
      </c>
      <c r="E65" s="13" t="s">
        <v>562</v>
      </c>
      <c r="F65" s="128">
        <v>46078</v>
      </c>
      <c r="G65" s="128" t="s">
        <v>1827</v>
      </c>
      <c r="H65" s="128" t="s">
        <v>29</v>
      </c>
      <c r="I65" s="16"/>
    </row>
    <row r="66" spans="1:9" ht="18" customHeight="1">
      <c r="A66" s="13">
        <v>63</v>
      </c>
      <c r="B66" s="13" t="s">
        <v>1287</v>
      </c>
      <c r="C66" s="13" t="s">
        <v>48</v>
      </c>
      <c r="D66" s="128" t="s">
        <v>42</v>
      </c>
      <c r="E66" s="13" t="s">
        <v>562</v>
      </c>
      <c r="F66" s="128">
        <v>46079</v>
      </c>
      <c r="G66" s="128" t="s">
        <v>41</v>
      </c>
      <c r="H66" s="128" t="s">
        <v>29</v>
      </c>
      <c r="I66" s="16"/>
    </row>
    <row r="67" spans="1:9" ht="18" customHeight="1">
      <c r="A67" s="13">
        <v>64</v>
      </c>
      <c r="B67" s="13" t="s">
        <v>1347</v>
      </c>
      <c r="C67" s="13" t="s">
        <v>43</v>
      </c>
      <c r="D67" s="128" t="s">
        <v>42</v>
      </c>
      <c r="E67" s="13" t="s">
        <v>562</v>
      </c>
      <c r="F67" s="128">
        <v>46079</v>
      </c>
      <c r="G67" s="128" t="s">
        <v>1827</v>
      </c>
      <c r="H67" s="128" t="s">
        <v>29</v>
      </c>
      <c r="I67" s="16"/>
    </row>
    <row r="68" spans="1:9" ht="18" customHeight="1">
      <c r="A68" s="13">
        <v>65</v>
      </c>
      <c r="B68" s="13" t="s">
        <v>1352</v>
      </c>
      <c r="C68" s="13" t="s">
        <v>1181</v>
      </c>
      <c r="D68" s="128" t="s">
        <v>42</v>
      </c>
      <c r="E68" s="13" t="s">
        <v>562</v>
      </c>
      <c r="F68" s="128">
        <v>46080</v>
      </c>
      <c r="G68" s="128" t="s">
        <v>1827</v>
      </c>
      <c r="H68" s="128" t="s">
        <v>29</v>
      </c>
      <c r="I68" s="16"/>
    </row>
    <row r="69" spans="1:9" ht="18" customHeight="1">
      <c r="A69" s="13">
        <v>66</v>
      </c>
      <c r="B69" s="13" t="s">
        <v>1691</v>
      </c>
      <c r="C69" s="13" t="s">
        <v>53</v>
      </c>
      <c r="D69" s="128" t="s">
        <v>42</v>
      </c>
      <c r="E69" s="13" t="s">
        <v>562</v>
      </c>
      <c r="F69" s="128">
        <v>46081</v>
      </c>
      <c r="G69" s="128" t="s">
        <v>1635</v>
      </c>
      <c r="H69" s="128" t="s">
        <v>29</v>
      </c>
      <c r="I69" s="16"/>
    </row>
    <row r="70" spans="1:9" ht="18" customHeight="1">
      <c r="A70" s="13">
        <v>67</v>
      </c>
      <c r="B70" s="833" t="s">
        <v>1369</v>
      </c>
      <c r="C70" s="833" t="s">
        <v>1175</v>
      </c>
      <c r="D70" s="834" t="s">
        <v>42</v>
      </c>
      <c r="E70" s="833" t="s">
        <v>562</v>
      </c>
      <c r="F70" s="834">
        <v>46080</v>
      </c>
      <c r="G70" s="834" t="s">
        <v>1854</v>
      </c>
      <c r="H70" s="834" t="s">
        <v>29</v>
      </c>
      <c r="I70" s="835"/>
    </row>
    <row r="71" spans="1:9" ht="18" customHeight="1">
      <c r="A71" s="13">
        <v>68</v>
      </c>
      <c r="B71" s="833" t="s">
        <v>1370</v>
      </c>
      <c r="C71" s="833" t="s">
        <v>48</v>
      </c>
      <c r="D71" s="834" t="s">
        <v>42</v>
      </c>
      <c r="E71" s="833" t="s">
        <v>562</v>
      </c>
      <c r="F71" s="834">
        <v>46080</v>
      </c>
      <c r="G71" s="834" t="s">
        <v>1854</v>
      </c>
      <c r="H71" s="834" t="s">
        <v>29</v>
      </c>
      <c r="I71" s="835"/>
    </row>
    <row r="72" spans="1:9" ht="18" customHeight="1">
      <c r="A72" s="13">
        <v>69</v>
      </c>
      <c r="B72" s="833" t="s">
        <v>1371</v>
      </c>
      <c r="C72" s="833" t="s">
        <v>32</v>
      </c>
      <c r="D72" s="834" t="s">
        <v>42</v>
      </c>
      <c r="E72" s="833" t="s">
        <v>562</v>
      </c>
      <c r="F72" s="834">
        <v>46080</v>
      </c>
      <c r="G72" s="834" t="s">
        <v>1854</v>
      </c>
      <c r="H72" s="834" t="s">
        <v>29</v>
      </c>
      <c r="I72" s="835"/>
    </row>
    <row r="73" spans="1:9" ht="18" customHeight="1">
      <c r="A73" s="13">
        <v>70</v>
      </c>
      <c r="B73" s="833" t="s">
        <v>1288</v>
      </c>
      <c r="C73" s="833" t="s">
        <v>1424</v>
      </c>
      <c r="D73" s="834" t="s">
        <v>42</v>
      </c>
      <c r="E73" s="833" t="s">
        <v>562</v>
      </c>
      <c r="F73" s="834">
        <v>46081</v>
      </c>
      <c r="G73" s="834" t="s">
        <v>41</v>
      </c>
      <c r="H73" s="834" t="s">
        <v>29</v>
      </c>
      <c r="I73" s="835"/>
    </row>
    <row r="74" spans="1:9" ht="18" customHeight="1">
      <c r="A74" s="13">
        <v>71</v>
      </c>
      <c r="B74" s="833" t="s">
        <v>1684</v>
      </c>
      <c r="C74" s="833" t="s">
        <v>48</v>
      </c>
      <c r="D74" s="834" t="s">
        <v>42</v>
      </c>
      <c r="E74" s="833" t="s">
        <v>562</v>
      </c>
      <c r="F74" s="834">
        <v>46094</v>
      </c>
      <c r="G74" s="834" t="s">
        <v>1635</v>
      </c>
      <c r="H74" s="834" t="s">
        <v>29</v>
      </c>
      <c r="I74" s="835"/>
    </row>
    <row r="75" spans="1:9" ht="18" customHeight="1">
      <c r="A75" s="13">
        <v>72</v>
      </c>
      <c r="B75" s="833" t="s">
        <v>1286</v>
      </c>
      <c r="C75" s="846" t="s">
        <v>43</v>
      </c>
      <c r="D75" s="608" t="s">
        <v>42</v>
      </c>
      <c r="E75" s="847" t="s">
        <v>562</v>
      </c>
      <c r="F75" s="834">
        <v>46094</v>
      </c>
      <c r="G75" s="834" t="s">
        <v>41</v>
      </c>
      <c r="H75" s="834" t="s">
        <v>29</v>
      </c>
      <c r="I75" s="835"/>
    </row>
    <row r="76" spans="1:9" ht="18" customHeight="1">
      <c r="A76" s="13">
        <v>73</v>
      </c>
      <c r="B76" s="833" t="s">
        <v>1285</v>
      </c>
      <c r="C76" s="846" t="s">
        <v>48</v>
      </c>
      <c r="D76" s="608" t="s">
        <v>61</v>
      </c>
      <c r="E76" s="847" t="s">
        <v>562</v>
      </c>
      <c r="F76" s="834">
        <v>46094</v>
      </c>
      <c r="G76" s="834" t="s">
        <v>41</v>
      </c>
      <c r="H76" s="834" t="s">
        <v>29</v>
      </c>
      <c r="I76" s="835"/>
    </row>
    <row r="77" spans="1:9" ht="18" customHeight="1">
      <c r="A77" s="13">
        <v>74</v>
      </c>
      <c r="B77" s="833" t="s">
        <v>1284</v>
      </c>
      <c r="C77" s="846" t="s">
        <v>32</v>
      </c>
      <c r="D77" s="608" t="s">
        <v>42</v>
      </c>
      <c r="E77" s="847" t="s">
        <v>562</v>
      </c>
      <c r="F77" s="834">
        <v>46097</v>
      </c>
      <c r="G77" s="834" t="s">
        <v>41</v>
      </c>
      <c r="H77" s="834" t="s">
        <v>29</v>
      </c>
      <c r="I77" s="835"/>
    </row>
    <row r="78" spans="1:9" ht="18" customHeight="1">
      <c r="A78" s="13">
        <v>75</v>
      </c>
      <c r="B78" s="833" t="s">
        <v>1695</v>
      </c>
      <c r="C78" s="846" t="s">
        <v>32</v>
      </c>
      <c r="D78" s="608" t="s">
        <v>42</v>
      </c>
      <c r="E78" s="847" t="s">
        <v>562</v>
      </c>
      <c r="F78" s="834">
        <v>46097</v>
      </c>
      <c r="G78" s="834" t="s">
        <v>1635</v>
      </c>
      <c r="H78" s="834" t="s">
        <v>29</v>
      </c>
      <c r="I78" s="835"/>
    </row>
    <row r="79" spans="1:9" ht="18" customHeight="1">
      <c r="A79" s="13">
        <v>76</v>
      </c>
      <c r="B79" s="833" t="s">
        <v>1349</v>
      </c>
      <c r="C79" s="846" t="s">
        <v>49</v>
      </c>
      <c r="D79" s="608" t="s">
        <v>42</v>
      </c>
      <c r="E79" s="847" t="s">
        <v>562</v>
      </c>
      <c r="F79" s="834">
        <v>46100</v>
      </c>
      <c r="G79" s="834" t="s">
        <v>1827</v>
      </c>
      <c r="H79" s="834" t="s">
        <v>29</v>
      </c>
      <c r="I79" s="835"/>
    </row>
    <row r="80" spans="1:9" ht="18" customHeight="1">
      <c r="A80" s="13">
        <v>77</v>
      </c>
      <c r="B80" s="833" t="s">
        <v>1696</v>
      </c>
      <c r="C80" s="846" t="s">
        <v>48</v>
      </c>
      <c r="D80" s="608" t="s">
        <v>61</v>
      </c>
      <c r="E80" s="847" t="s">
        <v>562</v>
      </c>
      <c r="F80" s="834">
        <v>46100</v>
      </c>
      <c r="G80" s="834" t="s">
        <v>1635</v>
      </c>
      <c r="H80" s="834" t="s">
        <v>29</v>
      </c>
      <c r="I80" s="835"/>
    </row>
    <row r="81" spans="1:9">
      <c r="A81" s="13">
        <v>78</v>
      </c>
      <c r="B81" s="833" t="s">
        <v>1336</v>
      </c>
      <c r="C81" s="846" t="s">
        <v>1898</v>
      </c>
      <c r="D81" s="608" t="s">
        <v>61</v>
      </c>
      <c r="E81" s="847" t="s">
        <v>562</v>
      </c>
      <c r="F81" s="834">
        <v>46103</v>
      </c>
      <c r="G81" s="834" t="s">
        <v>1827</v>
      </c>
      <c r="H81" s="834" t="s">
        <v>29</v>
      </c>
      <c r="I81" s="835"/>
    </row>
    <row r="82" spans="1:9">
      <c r="A82" s="13">
        <v>79</v>
      </c>
      <c r="B82" s="861" t="s">
        <v>1694</v>
      </c>
      <c r="C82" s="76" t="s">
        <v>32</v>
      </c>
      <c r="D82" s="853" t="s">
        <v>61</v>
      </c>
      <c r="E82" s="847" t="s">
        <v>562</v>
      </c>
      <c r="F82" s="834">
        <v>46104</v>
      </c>
      <c r="G82" s="680" t="s">
        <v>1635</v>
      </c>
      <c r="H82" s="834" t="s">
        <v>29</v>
      </c>
      <c r="I82" s="610"/>
    </row>
    <row r="83" spans="1:9">
      <c r="A83" s="13">
        <v>80</v>
      </c>
      <c r="B83" s="861" t="s">
        <v>1408</v>
      </c>
      <c r="C83" s="76" t="s">
        <v>32</v>
      </c>
      <c r="D83" s="853" t="s">
        <v>42</v>
      </c>
      <c r="E83" s="847" t="s">
        <v>562</v>
      </c>
      <c r="F83" s="834">
        <v>46104</v>
      </c>
      <c r="G83" s="854" t="s">
        <v>1887</v>
      </c>
      <c r="H83" s="834" t="s">
        <v>29</v>
      </c>
      <c r="I83" s="610"/>
    </row>
    <row r="84" spans="1:9">
      <c r="A84" s="13">
        <v>81</v>
      </c>
      <c r="B84" s="861" t="s">
        <v>1335</v>
      </c>
      <c r="C84" s="69" t="s">
        <v>1904</v>
      </c>
      <c r="D84" s="852" t="s">
        <v>42</v>
      </c>
      <c r="E84" s="847" t="s">
        <v>562</v>
      </c>
      <c r="F84" s="856">
        <v>46105</v>
      </c>
      <c r="G84" s="856" t="s">
        <v>1827</v>
      </c>
      <c r="H84" s="834" t="s">
        <v>29</v>
      </c>
      <c r="I84" s="610"/>
    </row>
    <row r="85" spans="1:9">
      <c r="A85" s="13">
        <v>82</v>
      </c>
      <c r="B85" s="69" t="s">
        <v>1699</v>
      </c>
      <c r="C85" s="69" t="s">
        <v>1175</v>
      </c>
      <c r="D85" s="852" t="s">
        <v>61</v>
      </c>
      <c r="E85" s="847" t="s">
        <v>562</v>
      </c>
      <c r="F85" s="856">
        <v>46106</v>
      </c>
      <c r="G85" s="834" t="s">
        <v>1635</v>
      </c>
      <c r="H85" s="834" t="s">
        <v>29</v>
      </c>
      <c r="I85" s="610"/>
    </row>
    <row r="86" spans="1:9">
      <c r="A86" s="13">
        <v>83</v>
      </c>
      <c r="B86" s="861" t="s">
        <v>1334</v>
      </c>
      <c r="C86" s="69" t="s">
        <v>1904</v>
      </c>
      <c r="D86" s="852" t="s">
        <v>42</v>
      </c>
      <c r="E86" s="847" t="s">
        <v>562</v>
      </c>
      <c r="F86" s="856">
        <v>46110</v>
      </c>
      <c r="G86" s="834" t="s">
        <v>1827</v>
      </c>
      <c r="H86" s="834" t="s">
        <v>29</v>
      </c>
      <c r="I86" s="610"/>
    </row>
    <row r="87" spans="1:9">
      <c r="A87" s="13">
        <v>84</v>
      </c>
      <c r="B87" s="861" t="s">
        <v>1697</v>
      </c>
      <c r="C87" s="861" t="s">
        <v>1904</v>
      </c>
      <c r="D87" s="851" t="s">
        <v>61</v>
      </c>
      <c r="E87" s="847" t="s">
        <v>562</v>
      </c>
      <c r="F87" s="857">
        <v>46112</v>
      </c>
      <c r="G87" s="834" t="s">
        <v>1635</v>
      </c>
      <c r="H87" s="834" t="s">
        <v>29</v>
      </c>
      <c r="I87" s="858"/>
    </row>
    <row r="88" spans="1:9">
      <c r="A88" s="13">
        <v>85</v>
      </c>
      <c r="B88" s="69" t="s">
        <v>1407</v>
      </c>
      <c r="C88" s="69" t="s">
        <v>1181</v>
      </c>
      <c r="D88" s="853" t="s">
        <v>42</v>
      </c>
      <c r="E88" s="666" t="s">
        <v>562</v>
      </c>
      <c r="F88" s="856">
        <v>46112</v>
      </c>
      <c r="G88" s="854" t="s">
        <v>1887</v>
      </c>
      <c r="H88" s="608" t="s">
        <v>29</v>
      </c>
      <c r="I88" s="610"/>
    </row>
    <row r="89" spans="1:9">
      <c r="A89" s="13">
        <v>86</v>
      </c>
      <c r="B89" s="861" t="s">
        <v>1414</v>
      </c>
      <c r="C89" s="69" t="s">
        <v>48</v>
      </c>
      <c r="D89" s="852" t="s">
        <v>42</v>
      </c>
      <c r="E89" s="666" t="s">
        <v>562</v>
      </c>
      <c r="F89" s="856">
        <v>46115</v>
      </c>
      <c r="G89" s="854" t="s">
        <v>1887</v>
      </c>
      <c r="H89" s="608" t="s">
        <v>29</v>
      </c>
      <c r="I89" s="610"/>
    </row>
    <row r="90" spans="1:9">
      <c r="A90" s="13">
        <v>87</v>
      </c>
      <c r="B90" s="861" t="s">
        <v>1698</v>
      </c>
      <c r="C90" s="861" t="s">
        <v>1907</v>
      </c>
      <c r="D90" s="851" t="s">
        <v>61</v>
      </c>
      <c r="E90" s="666" t="s">
        <v>562</v>
      </c>
      <c r="F90" s="856">
        <v>46115</v>
      </c>
      <c r="G90" s="680" t="s">
        <v>1635</v>
      </c>
      <c r="H90" s="608" t="s">
        <v>29</v>
      </c>
      <c r="I90" s="610"/>
    </row>
    <row r="91" spans="1:9">
      <c r="A91" s="13">
        <v>88</v>
      </c>
      <c r="B91" s="811" t="s">
        <v>1198</v>
      </c>
      <c r="C91" s="837" t="s">
        <v>53</v>
      </c>
      <c r="D91" s="837" t="s">
        <v>42</v>
      </c>
      <c r="E91" s="666" t="s">
        <v>562</v>
      </c>
      <c r="F91" s="856">
        <v>46117</v>
      </c>
      <c r="G91" s="128" t="s">
        <v>1855</v>
      </c>
      <c r="H91" s="608" t="s">
        <v>29</v>
      </c>
      <c r="I91" s="610"/>
    </row>
    <row r="92" spans="1:9">
      <c r="A92" s="13">
        <v>89</v>
      </c>
      <c r="B92" s="861" t="s">
        <v>1200</v>
      </c>
      <c r="C92" s="69" t="s">
        <v>34</v>
      </c>
      <c r="D92" s="852" t="s">
        <v>61</v>
      </c>
      <c r="E92" s="666" t="s">
        <v>562</v>
      </c>
      <c r="F92" s="856">
        <v>46118</v>
      </c>
      <c r="G92" s="128" t="s">
        <v>1855</v>
      </c>
      <c r="H92" s="608" t="s">
        <v>29</v>
      </c>
      <c r="I92" s="610"/>
    </row>
    <row r="93" spans="1:9">
      <c r="A93" s="13">
        <v>90</v>
      </c>
      <c r="B93" s="69" t="s">
        <v>1303</v>
      </c>
      <c r="C93" s="69" t="s">
        <v>32</v>
      </c>
      <c r="D93" s="852" t="s">
        <v>61</v>
      </c>
      <c r="E93" s="666" t="s">
        <v>562</v>
      </c>
      <c r="F93" s="856">
        <v>46118</v>
      </c>
      <c r="G93" s="834" t="s">
        <v>1855</v>
      </c>
      <c r="H93" s="608" t="s">
        <v>29</v>
      </c>
      <c r="I93" s="610"/>
    </row>
    <row r="94" spans="1:9">
      <c r="A94" s="13">
        <v>91</v>
      </c>
      <c r="B94" s="69" t="s">
        <v>1302</v>
      </c>
      <c r="C94" s="69" t="s">
        <v>1907</v>
      </c>
      <c r="D94" s="853" t="s">
        <v>61</v>
      </c>
      <c r="E94" s="666" t="s">
        <v>562</v>
      </c>
      <c r="F94" s="856">
        <v>46118</v>
      </c>
      <c r="G94" s="608" t="s">
        <v>1855</v>
      </c>
      <c r="H94" s="608" t="s">
        <v>29</v>
      </c>
      <c r="I94" s="610"/>
    </row>
    <row r="95" spans="1:9">
      <c r="A95" s="13">
        <v>92</v>
      </c>
      <c r="B95" s="811" t="s">
        <v>1386</v>
      </c>
      <c r="C95" s="837" t="s">
        <v>48</v>
      </c>
      <c r="D95" s="837" t="s">
        <v>42</v>
      </c>
      <c r="E95" s="666" t="s">
        <v>562</v>
      </c>
      <c r="F95" s="856">
        <v>46118</v>
      </c>
      <c r="G95" s="608" t="s">
        <v>1855</v>
      </c>
      <c r="H95" s="608" t="s">
        <v>29</v>
      </c>
      <c r="I95" s="610"/>
    </row>
    <row r="96" spans="1:9">
      <c r="A96" s="13">
        <v>93</v>
      </c>
      <c r="B96" s="861" t="s">
        <v>1372</v>
      </c>
      <c r="C96" s="69" t="s">
        <v>43</v>
      </c>
      <c r="D96" s="852" t="s">
        <v>61</v>
      </c>
      <c r="E96" s="666" t="s">
        <v>562</v>
      </c>
      <c r="F96" s="856">
        <v>46118</v>
      </c>
      <c r="G96" s="608" t="s">
        <v>1854</v>
      </c>
      <c r="H96" s="608" t="s">
        <v>29</v>
      </c>
      <c r="I96" s="610"/>
    </row>
    <row r="97" spans="1:9">
      <c r="A97" s="13">
        <v>94</v>
      </c>
      <c r="B97" s="69" t="s">
        <v>1387</v>
      </c>
      <c r="C97" s="69" t="s">
        <v>1181</v>
      </c>
      <c r="D97" s="852" t="s">
        <v>61</v>
      </c>
      <c r="E97" s="666" t="s">
        <v>562</v>
      </c>
      <c r="F97" s="856">
        <v>46118</v>
      </c>
      <c r="G97" s="608" t="s">
        <v>1854</v>
      </c>
      <c r="H97" s="608" t="s">
        <v>29</v>
      </c>
      <c r="I97" s="610"/>
    </row>
    <row r="98" spans="1:9">
      <c r="A98" s="13">
        <v>95</v>
      </c>
      <c r="B98" s="861" t="s">
        <v>1382</v>
      </c>
      <c r="C98" s="861" t="s">
        <v>1425</v>
      </c>
      <c r="D98" s="850" t="s">
        <v>42</v>
      </c>
      <c r="E98" s="906" t="s">
        <v>562</v>
      </c>
      <c r="F98" s="857">
        <v>46118</v>
      </c>
      <c r="G98" s="907" t="s">
        <v>1854</v>
      </c>
      <c r="H98" s="907" t="s">
        <v>29</v>
      </c>
      <c r="I98" s="858"/>
    </row>
    <row r="99" spans="1:9">
      <c r="A99" s="13">
        <v>96</v>
      </c>
      <c r="B99" s="69" t="s">
        <v>1692</v>
      </c>
      <c r="C99" s="69" t="s">
        <v>1925</v>
      </c>
      <c r="D99" s="853" t="s">
        <v>61</v>
      </c>
      <c r="E99" s="906" t="s">
        <v>562</v>
      </c>
      <c r="F99" s="913">
        <v>46124</v>
      </c>
      <c r="G99" s="855" t="s">
        <v>1635</v>
      </c>
      <c r="H99" s="914" t="s">
        <v>29</v>
      </c>
      <c r="I99" s="610"/>
    </row>
    <row r="100" spans="1:9">
      <c r="A100" s="13">
        <v>97</v>
      </c>
      <c r="B100" s="69" t="s">
        <v>1242</v>
      </c>
      <c r="C100" s="69" t="s">
        <v>1927</v>
      </c>
      <c r="D100" s="853" t="s">
        <v>61</v>
      </c>
      <c r="E100" s="906" t="s">
        <v>562</v>
      </c>
      <c r="F100" s="913">
        <v>46124</v>
      </c>
      <c r="G100" s="918" t="s">
        <v>1635</v>
      </c>
      <c r="H100" s="914" t="s">
        <v>29</v>
      </c>
      <c r="I100" s="610"/>
    </row>
    <row r="101" spans="1:9">
      <c r="A101" s="13">
        <v>98</v>
      </c>
      <c r="B101" s="69" t="s">
        <v>1329</v>
      </c>
      <c r="C101" s="69" t="s">
        <v>1912</v>
      </c>
      <c r="D101" s="853" t="s">
        <v>61</v>
      </c>
      <c r="E101" s="666" t="s">
        <v>562</v>
      </c>
      <c r="F101" s="916">
        <v>46125</v>
      </c>
      <c r="G101" s="917" t="s">
        <v>1827</v>
      </c>
      <c r="H101" s="917" t="s">
        <v>29</v>
      </c>
      <c r="I101" s="610"/>
    </row>
    <row r="102" spans="1:9">
      <c r="A102" s="13">
        <v>99</v>
      </c>
      <c r="B102" s="948" t="s">
        <v>1356</v>
      </c>
      <c r="C102" s="948" t="s">
        <v>1425</v>
      </c>
      <c r="D102" s="853" t="s">
        <v>61</v>
      </c>
      <c r="E102" s="666" t="s">
        <v>562</v>
      </c>
      <c r="F102" s="947">
        <v>46136</v>
      </c>
      <c r="G102" s="949" t="s">
        <v>1827</v>
      </c>
      <c r="H102" s="949" t="s">
        <v>29</v>
      </c>
      <c r="I102" s="908"/>
    </row>
    <row r="103" spans="1:9">
      <c r="A103" s="13">
        <v>100</v>
      </c>
      <c r="B103" s="948" t="s">
        <v>1357</v>
      </c>
      <c r="C103" s="948" t="s">
        <v>32</v>
      </c>
      <c r="D103" s="853" t="s">
        <v>61</v>
      </c>
      <c r="E103" s="666" t="s">
        <v>562</v>
      </c>
      <c r="F103" s="947">
        <v>46136</v>
      </c>
      <c r="G103" s="949" t="s">
        <v>1827</v>
      </c>
      <c r="H103" s="949" t="s">
        <v>29</v>
      </c>
      <c r="I103" s="908"/>
    </row>
    <row r="104" spans="1:9">
      <c r="A104" s="13">
        <v>101</v>
      </c>
      <c r="B104" s="953" t="s">
        <v>1358</v>
      </c>
      <c r="C104" s="836" t="s">
        <v>1940</v>
      </c>
      <c r="D104" s="836" t="s">
        <v>61</v>
      </c>
      <c r="E104" s="666" t="s">
        <v>562</v>
      </c>
      <c r="F104" s="954">
        <v>46139</v>
      </c>
      <c r="G104" s="955" t="s">
        <v>1827</v>
      </c>
      <c r="H104" s="955" t="s">
        <v>29</v>
      </c>
      <c r="I104" s="908"/>
    </row>
    <row r="105" spans="1:9">
      <c r="A105" s="13">
        <v>102</v>
      </c>
      <c r="B105" s="970" t="s">
        <v>1355</v>
      </c>
      <c r="C105" s="970" t="s">
        <v>1427</v>
      </c>
      <c r="D105" s="973" t="s">
        <v>61</v>
      </c>
      <c r="E105" s="666" t="s">
        <v>562</v>
      </c>
      <c r="F105" s="979">
        <v>46142</v>
      </c>
      <c r="G105" s="981" t="s">
        <v>1827</v>
      </c>
      <c r="H105" s="981" t="s">
        <v>29</v>
      </c>
      <c r="I105" s="610"/>
    </row>
    <row r="106" spans="1:9" s="681" customFormat="1">
      <c r="A106" s="13">
        <v>103</v>
      </c>
      <c r="B106" s="970" t="s">
        <v>1354</v>
      </c>
      <c r="C106" s="970" t="s">
        <v>1426</v>
      </c>
      <c r="D106" s="970" t="s">
        <v>61</v>
      </c>
      <c r="E106" s="1115" t="s">
        <v>562</v>
      </c>
      <c r="F106" s="1116">
        <v>46142</v>
      </c>
      <c r="G106" s="1116" t="s">
        <v>1827</v>
      </c>
      <c r="H106" s="1116" t="s">
        <v>29</v>
      </c>
      <c r="I106" s="1120"/>
    </row>
    <row r="107" spans="1:9" s="681" customFormat="1">
      <c r="A107" s="13">
        <v>104</v>
      </c>
      <c r="B107" s="965" t="s">
        <v>1236</v>
      </c>
      <c r="C107" s="836" t="s">
        <v>2040</v>
      </c>
      <c r="D107" s="836" t="s">
        <v>61</v>
      </c>
      <c r="E107" s="1114" t="s">
        <v>562</v>
      </c>
      <c r="F107" s="1113">
        <v>46145</v>
      </c>
      <c r="G107" s="1113" t="s">
        <v>1635</v>
      </c>
      <c r="H107" s="1113" t="s">
        <v>29</v>
      </c>
      <c r="I107" s="1121"/>
    </row>
    <row r="108" spans="1:9" s="681" customFormat="1">
      <c r="A108" s="13">
        <v>105</v>
      </c>
      <c r="B108" s="965" t="s">
        <v>1235</v>
      </c>
      <c r="C108" s="965" t="s">
        <v>50</v>
      </c>
      <c r="D108" s="965" t="s">
        <v>61</v>
      </c>
      <c r="E108" s="1183" t="s">
        <v>562</v>
      </c>
      <c r="F108" s="1182">
        <v>46145</v>
      </c>
      <c r="G108" s="1183" t="s">
        <v>1635</v>
      </c>
      <c r="H108" s="1182" t="s">
        <v>29</v>
      </c>
      <c r="I108" s="1121"/>
    </row>
    <row r="109" spans="1:9" s="681" customFormat="1">
      <c r="A109" s="13">
        <v>106</v>
      </c>
      <c r="B109" s="965" t="s">
        <v>1330</v>
      </c>
      <c r="C109" s="965" t="s">
        <v>1953</v>
      </c>
      <c r="D109" s="965" t="s">
        <v>61</v>
      </c>
      <c r="E109" s="1183" t="s">
        <v>562</v>
      </c>
      <c r="F109" s="1182">
        <v>46151</v>
      </c>
      <c r="G109" s="1183" t="s">
        <v>1827</v>
      </c>
      <c r="H109" s="1182" t="s">
        <v>29</v>
      </c>
      <c r="I109" s="1121"/>
    </row>
    <row r="110" spans="1:9" s="681" customFormat="1">
      <c r="A110" s="13">
        <v>107</v>
      </c>
      <c r="B110" s="1183" t="s">
        <v>1277</v>
      </c>
      <c r="C110" s="1183" t="s">
        <v>1925</v>
      </c>
      <c r="D110" s="814" t="s">
        <v>61</v>
      </c>
      <c r="E110" s="1183" t="s">
        <v>562</v>
      </c>
      <c r="F110" s="1182">
        <v>46152</v>
      </c>
      <c r="G110" s="1183" t="s">
        <v>1926</v>
      </c>
      <c r="H110" s="1182" t="s">
        <v>29</v>
      </c>
      <c r="I110" s="1121"/>
    </row>
    <row r="111" spans="1:9" s="681" customFormat="1">
      <c r="A111" s="13">
        <v>108</v>
      </c>
      <c r="B111" s="965" t="s">
        <v>1275</v>
      </c>
      <c r="C111" s="965" t="s">
        <v>1938</v>
      </c>
      <c r="D111" s="965" t="s">
        <v>61</v>
      </c>
      <c r="E111" s="1183" t="s">
        <v>562</v>
      </c>
      <c r="F111" s="1182">
        <v>46152</v>
      </c>
      <c r="G111" s="1183" t="s">
        <v>1926</v>
      </c>
      <c r="H111" s="1182" t="s">
        <v>29</v>
      </c>
      <c r="I111" s="1121"/>
    </row>
    <row r="112" spans="1:9" s="681" customFormat="1">
      <c r="A112" s="13">
        <v>109</v>
      </c>
      <c r="B112" s="1183" t="s">
        <v>1276</v>
      </c>
      <c r="C112" s="1183" t="s">
        <v>1929</v>
      </c>
      <c r="D112" s="814" t="s">
        <v>61</v>
      </c>
      <c r="E112" s="1183" t="s">
        <v>562</v>
      </c>
      <c r="F112" s="1182">
        <v>46152</v>
      </c>
      <c r="G112" s="1183" t="s">
        <v>1926</v>
      </c>
      <c r="H112" s="1182" t="s">
        <v>29</v>
      </c>
      <c r="I112" s="1121"/>
    </row>
    <row r="113" spans="1:9" s="681" customFormat="1">
      <c r="A113" s="13">
        <v>110</v>
      </c>
      <c r="B113" s="965" t="s">
        <v>1419</v>
      </c>
      <c r="C113" s="965" t="s">
        <v>32</v>
      </c>
      <c r="D113" s="965" t="s">
        <v>42</v>
      </c>
      <c r="E113" s="1183" t="s">
        <v>562</v>
      </c>
      <c r="F113" s="1182">
        <v>46153</v>
      </c>
      <c r="G113" s="503" t="s">
        <v>1887</v>
      </c>
      <c r="H113" s="1182" t="s">
        <v>29</v>
      </c>
      <c r="I113" s="1121"/>
    </row>
    <row r="114" spans="1:9" s="681" customFormat="1">
      <c r="A114" s="13">
        <v>111</v>
      </c>
      <c r="B114" s="965" t="s">
        <v>1331</v>
      </c>
      <c r="C114" s="965" t="s">
        <v>1953</v>
      </c>
      <c r="D114" s="965" t="s">
        <v>61</v>
      </c>
      <c r="E114" s="1183" t="s">
        <v>562</v>
      </c>
      <c r="F114" s="1182">
        <v>46154</v>
      </c>
      <c r="G114" s="1183" t="s">
        <v>1827</v>
      </c>
      <c r="H114" s="1182" t="s">
        <v>29</v>
      </c>
      <c r="I114" s="1121"/>
    </row>
    <row r="115" spans="1:9" s="681" customFormat="1">
      <c r="A115" s="13">
        <v>112</v>
      </c>
      <c r="B115" s="1124" t="s">
        <v>1234</v>
      </c>
      <c r="C115" s="503" t="s">
        <v>32</v>
      </c>
      <c r="D115" s="814" t="s">
        <v>61</v>
      </c>
      <c r="E115" s="1183" t="s">
        <v>562</v>
      </c>
      <c r="F115" s="1182">
        <v>46159</v>
      </c>
      <c r="G115" s="1183" t="s">
        <v>1635</v>
      </c>
      <c r="H115" s="1182" t="s">
        <v>29</v>
      </c>
      <c r="I115" s="1121"/>
    </row>
    <row r="116" spans="1:9" s="681" customFormat="1">
      <c r="A116" s="13">
        <v>113</v>
      </c>
      <c r="B116" s="965" t="s">
        <v>1341</v>
      </c>
      <c r="C116" s="965" t="s">
        <v>32</v>
      </c>
      <c r="D116" s="965" t="s">
        <v>42</v>
      </c>
      <c r="E116" s="1183" t="s">
        <v>562</v>
      </c>
      <c r="F116" s="1182">
        <v>46159</v>
      </c>
      <c r="G116" s="1183" t="s">
        <v>1827</v>
      </c>
      <c r="H116" s="1182" t="s">
        <v>29</v>
      </c>
      <c r="I116" s="1121"/>
    </row>
    <row r="117" spans="1:9" s="681" customFormat="1">
      <c r="A117" s="13">
        <v>114</v>
      </c>
      <c r="B117" s="965" t="s">
        <v>1318</v>
      </c>
      <c r="C117" s="965" t="s">
        <v>34</v>
      </c>
      <c r="D117" s="965" t="s">
        <v>42</v>
      </c>
      <c r="E117" s="1183" t="s">
        <v>562</v>
      </c>
      <c r="F117" s="1182">
        <v>46165</v>
      </c>
      <c r="G117" s="1183" t="s">
        <v>1941</v>
      </c>
      <c r="H117" s="1182" t="s">
        <v>29</v>
      </c>
      <c r="I117" s="1121"/>
    </row>
    <row r="118" spans="1:9" s="681" customFormat="1">
      <c r="A118" s="13">
        <v>115</v>
      </c>
      <c r="B118" s="965" t="s">
        <v>1377</v>
      </c>
      <c r="C118" s="965" t="s">
        <v>1935</v>
      </c>
      <c r="D118" s="965" t="s">
        <v>61</v>
      </c>
      <c r="E118" s="1183" t="s">
        <v>562</v>
      </c>
      <c r="F118" s="1182">
        <v>46166</v>
      </c>
      <c r="G118" s="1183" t="s">
        <v>1854</v>
      </c>
      <c r="H118" s="1182" t="s">
        <v>29</v>
      </c>
      <c r="I118" s="1121"/>
    </row>
    <row r="119" spans="1:9" s="681" customFormat="1">
      <c r="A119" s="13">
        <v>116</v>
      </c>
      <c r="B119" s="965" t="s">
        <v>1376</v>
      </c>
      <c r="C119" s="965" t="s">
        <v>49</v>
      </c>
      <c r="D119" s="965" t="s">
        <v>61</v>
      </c>
      <c r="E119" s="1183" t="s">
        <v>562</v>
      </c>
      <c r="F119" s="1182">
        <v>46166</v>
      </c>
      <c r="G119" s="1183" t="s">
        <v>1854</v>
      </c>
      <c r="H119" s="1182" t="s">
        <v>29</v>
      </c>
      <c r="I119" s="1121"/>
    </row>
    <row r="120" spans="1:9" s="681" customFormat="1">
      <c r="A120" s="13">
        <v>117</v>
      </c>
      <c r="B120" s="965" t="s">
        <v>1375</v>
      </c>
      <c r="C120" s="965" t="s">
        <v>48</v>
      </c>
      <c r="D120" s="965" t="s">
        <v>61</v>
      </c>
      <c r="E120" s="1183" t="s">
        <v>562</v>
      </c>
      <c r="F120" s="1182">
        <v>46166</v>
      </c>
      <c r="G120" s="1183" t="s">
        <v>1854</v>
      </c>
      <c r="H120" s="1182" t="s">
        <v>29</v>
      </c>
      <c r="I120" s="1121"/>
    </row>
    <row r="121" spans="1:9" s="681" customFormat="1">
      <c r="A121" s="13">
        <v>118</v>
      </c>
      <c r="B121" s="965" t="s">
        <v>1373</v>
      </c>
      <c r="C121" s="965" t="s">
        <v>1935</v>
      </c>
      <c r="D121" s="965" t="s">
        <v>61</v>
      </c>
      <c r="E121" s="1183" t="s">
        <v>562</v>
      </c>
      <c r="F121" s="1182">
        <v>46166</v>
      </c>
      <c r="G121" s="1183" t="s">
        <v>1854</v>
      </c>
      <c r="H121" s="1182" t="s">
        <v>29</v>
      </c>
      <c r="I121" s="1121"/>
    </row>
    <row r="122" spans="1:9" s="681" customFormat="1">
      <c r="A122" s="13">
        <v>119</v>
      </c>
      <c r="B122" s="965" t="s">
        <v>1320</v>
      </c>
      <c r="C122" s="965" t="s">
        <v>1907</v>
      </c>
      <c r="D122" s="965" t="s">
        <v>61</v>
      </c>
      <c r="E122" s="1183" t="s">
        <v>562</v>
      </c>
      <c r="F122" s="1182">
        <v>46168</v>
      </c>
      <c r="G122" s="1183" t="s">
        <v>1941</v>
      </c>
      <c r="H122" s="1182" t="s">
        <v>29</v>
      </c>
      <c r="I122" s="1121"/>
    </row>
    <row r="123" spans="1:9" s="681" customFormat="1">
      <c r="A123" s="13">
        <v>120</v>
      </c>
      <c r="B123" s="965" t="s">
        <v>1319</v>
      </c>
      <c r="C123" s="965" t="s">
        <v>2065</v>
      </c>
      <c r="D123" s="965" t="s">
        <v>61</v>
      </c>
      <c r="E123" s="1183" t="s">
        <v>562</v>
      </c>
      <c r="F123" s="1182">
        <v>46175</v>
      </c>
      <c r="G123" s="1183" t="s">
        <v>1941</v>
      </c>
      <c r="H123" s="1182" t="s">
        <v>29</v>
      </c>
      <c r="I123" s="1121"/>
    </row>
    <row r="124" spans="1:9" s="681" customFormat="1">
      <c r="A124" s="13">
        <v>121</v>
      </c>
      <c r="B124" s="965" t="s">
        <v>1366</v>
      </c>
      <c r="C124" s="965" t="s">
        <v>1425</v>
      </c>
      <c r="D124" s="965" t="s">
        <v>61</v>
      </c>
      <c r="E124" s="1183" t="s">
        <v>562</v>
      </c>
      <c r="F124" s="1182">
        <v>46175</v>
      </c>
      <c r="G124" s="1183" t="s">
        <v>1854</v>
      </c>
      <c r="H124" s="1182" t="s">
        <v>29</v>
      </c>
      <c r="I124" s="1121"/>
    </row>
    <row r="125" spans="1:9" s="681" customFormat="1">
      <c r="A125" s="13">
        <v>122</v>
      </c>
      <c r="B125" s="965" t="s">
        <v>1433</v>
      </c>
      <c r="C125" s="965" t="s">
        <v>1427</v>
      </c>
      <c r="D125" s="965" t="s">
        <v>61</v>
      </c>
      <c r="E125" s="1183" t="s">
        <v>562</v>
      </c>
      <c r="F125" s="1182">
        <v>46176</v>
      </c>
      <c r="G125" s="1183" t="s">
        <v>1827</v>
      </c>
      <c r="H125" s="1182" t="s">
        <v>29</v>
      </c>
      <c r="I125" s="1121"/>
    </row>
    <row r="126" spans="1:9" s="681" customFormat="1">
      <c r="A126" s="13">
        <v>123</v>
      </c>
      <c r="B126" s="965" t="s">
        <v>1392</v>
      </c>
      <c r="C126" s="965" t="s">
        <v>1175</v>
      </c>
      <c r="D126" s="965" t="s">
        <v>61</v>
      </c>
      <c r="E126" s="1183" t="s">
        <v>562</v>
      </c>
      <c r="F126" s="1182">
        <v>46176</v>
      </c>
      <c r="G126" s="1183" t="s">
        <v>1827</v>
      </c>
      <c r="H126" s="1182" t="s">
        <v>29</v>
      </c>
      <c r="I126" s="1121"/>
    </row>
    <row r="127" spans="1:9" s="681" customFormat="1">
      <c r="A127" s="13">
        <v>124</v>
      </c>
      <c r="B127" s="1183" t="s">
        <v>1385</v>
      </c>
      <c r="C127" s="1183" t="s">
        <v>32</v>
      </c>
      <c r="D127" s="814" t="s">
        <v>61</v>
      </c>
      <c r="E127" s="1183" t="s">
        <v>562</v>
      </c>
      <c r="F127" s="1182">
        <v>46177</v>
      </c>
      <c r="G127" s="1183" t="s">
        <v>1854</v>
      </c>
      <c r="H127" s="1182" t="s">
        <v>29</v>
      </c>
      <c r="I127" s="1121"/>
    </row>
    <row r="128" spans="1:9" s="681" customFormat="1">
      <c r="A128" s="13">
        <v>125</v>
      </c>
      <c r="B128" s="965" t="s">
        <v>1383</v>
      </c>
      <c r="C128" s="965" t="s">
        <v>1423</v>
      </c>
      <c r="D128" s="965" t="s">
        <v>42</v>
      </c>
      <c r="E128" s="1183" t="s">
        <v>562</v>
      </c>
      <c r="F128" s="1182">
        <v>46177</v>
      </c>
      <c r="G128" s="1183" t="s">
        <v>1854</v>
      </c>
      <c r="H128" s="1182" t="s">
        <v>29</v>
      </c>
      <c r="I128" s="1121"/>
    </row>
    <row r="129" spans="1:9" s="681" customFormat="1">
      <c r="A129" s="13">
        <v>126</v>
      </c>
      <c r="B129" s="965" t="s">
        <v>1396</v>
      </c>
      <c r="C129" s="965" t="s">
        <v>34</v>
      </c>
      <c r="D129" s="965" t="s">
        <v>42</v>
      </c>
      <c r="E129" s="1183" t="s">
        <v>562</v>
      </c>
      <c r="F129" s="1182">
        <v>46182</v>
      </c>
      <c r="G129" s="1183" t="s">
        <v>1827</v>
      </c>
      <c r="H129" s="1182" t="s">
        <v>29</v>
      </c>
      <c r="I129" s="1121"/>
    </row>
    <row r="130" spans="1:9" s="681" customFormat="1">
      <c r="A130" s="13">
        <v>127</v>
      </c>
      <c r="B130" s="965" t="s">
        <v>1395</v>
      </c>
      <c r="C130" s="965" t="s">
        <v>1181</v>
      </c>
      <c r="D130" s="965" t="s">
        <v>42</v>
      </c>
      <c r="E130" s="1183" t="s">
        <v>562</v>
      </c>
      <c r="F130" s="1182">
        <v>46182</v>
      </c>
      <c r="G130" s="1183" t="s">
        <v>1827</v>
      </c>
      <c r="H130" s="1182" t="s">
        <v>29</v>
      </c>
      <c r="I130" s="1121"/>
    </row>
    <row r="131" spans="1:9" s="681" customFormat="1">
      <c r="A131" s="13">
        <v>128</v>
      </c>
      <c r="B131" s="965" t="s">
        <v>1397</v>
      </c>
      <c r="C131" s="965" t="s">
        <v>32</v>
      </c>
      <c r="D131" s="965" t="s">
        <v>42</v>
      </c>
      <c r="E131" s="1183" t="s">
        <v>562</v>
      </c>
      <c r="F131" s="1182">
        <v>46185</v>
      </c>
      <c r="G131" s="1183" t="s">
        <v>1827</v>
      </c>
      <c r="H131" s="1182" t="s">
        <v>29</v>
      </c>
      <c r="I131" s="1121"/>
    </row>
    <row r="132" spans="1:9" s="681" customFormat="1">
      <c r="A132" s="13">
        <v>129</v>
      </c>
      <c r="B132" s="965" t="s">
        <v>1289</v>
      </c>
      <c r="C132" s="965" t="s">
        <v>2135</v>
      </c>
      <c r="D132" s="965" t="s">
        <v>61</v>
      </c>
      <c r="E132" s="1183" t="s">
        <v>562</v>
      </c>
      <c r="F132" s="1182">
        <v>46186</v>
      </c>
      <c r="G132" s="1183" t="s">
        <v>41</v>
      </c>
      <c r="H132" s="1182" t="s">
        <v>29</v>
      </c>
      <c r="I132" s="1121"/>
    </row>
    <row r="133" spans="1:9" s="681" customFormat="1">
      <c r="A133" s="13">
        <v>130</v>
      </c>
      <c r="B133" s="965" t="s">
        <v>1248</v>
      </c>
      <c r="C133" s="965" t="s">
        <v>50</v>
      </c>
      <c r="D133" s="965" t="s">
        <v>61</v>
      </c>
      <c r="E133" s="1183" t="s">
        <v>562</v>
      </c>
      <c r="F133" s="1182">
        <v>46186</v>
      </c>
      <c r="G133" s="1183" t="s">
        <v>1635</v>
      </c>
      <c r="H133" s="1182" t="s">
        <v>29</v>
      </c>
      <c r="I133" s="1121"/>
    </row>
    <row r="134" spans="1:9" s="681" customFormat="1">
      <c r="A134" s="13">
        <v>131</v>
      </c>
      <c r="B134" s="965" t="s">
        <v>1398</v>
      </c>
      <c r="C134" s="965" t="s">
        <v>57</v>
      </c>
      <c r="D134" s="965" t="s">
        <v>42</v>
      </c>
      <c r="E134" s="1235" t="s">
        <v>562</v>
      </c>
      <c r="F134" s="1234">
        <v>46189</v>
      </c>
      <c r="G134" s="1235" t="s">
        <v>1827</v>
      </c>
      <c r="H134" s="1234" t="s">
        <v>29</v>
      </c>
      <c r="I134" s="1121"/>
    </row>
    <row r="135" spans="1:9" s="681" customFormat="1">
      <c r="A135" s="13">
        <v>132</v>
      </c>
      <c r="B135" s="965" t="s">
        <v>1428</v>
      </c>
      <c r="C135" s="1235" t="s">
        <v>1427</v>
      </c>
      <c r="D135" s="1235" t="s">
        <v>42</v>
      </c>
      <c r="E135" s="1235" t="s">
        <v>562</v>
      </c>
      <c r="F135" s="1234">
        <v>46190</v>
      </c>
      <c r="G135" s="1235" t="s">
        <v>1827</v>
      </c>
      <c r="H135" s="1234" t="s">
        <v>29</v>
      </c>
      <c r="I135" s="1121"/>
    </row>
    <row r="136" spans="1:9" s="681" customFormat="1">
      <c r="A136" s="13">
        <v>133</v>
      </c>
      <c r="B136" s="965" t="s">
        <v>1410</v>
      </c>
      <c r="C136" s="1235" t="s">
        <v>49</v>
      </c>
      <c r="D136" s="1235" t="s">
        <v>42</v>
      </c>
      <c r="E136" s="1235" t="s">
        <v>562</v>
      </c>
      <c r="F136" s="1234">
        <v>46190</v>
      </c>
      <c r="G136" s="1235" t="s">
        <v>1854</v>
      </c>
      <c r="H136" s="1234" t="s">
        <v>29</v>
      </c>
      <c r="I136" s="1121"/>
    </row>
    <row r="137" spans="1:9" s="681" customFormat="1">
      <c r="A137" s="13">
        <v>134</v>
      </c>
      <c r="B137" s="965" t="s">
        <v>1411</v>
      </c>
      <c r="C137" s="1235" t="s">
        <v>48</v>
      </c>
      <c r="D137" s="1235" t="s">
        <v>42</v>
      </c>
      <c r="E137" s="1235" t="s">
        <v>562</v>
      </c>
      <c r="F137" s="1234">
        <v>46190</v>
      </c>
      <c r="G137" s="1235" t="s">
        <v>1854</v>
      </c>
      <c r="H137" s="1234" t="s">
        <v>29</v>
      </c>
      <c r="I137" s="1121"/>
    </row>
    <row r="138" spans="1:9" s="681" customFormat="1">
      <c r="A138" s="13">
        <v>135</v>
      </c>
      <c r="B138" s="965" t="s">
        <v>1184</v>
      </c>
      <c r="C138" s="1235" t="s">
        <v>2148</v>
      </c>
      <c r="D138" s="1235" t="s">
        <v>61</v>
      </c>
      <c r="E138" s="1235" t="s">
        <v>562</v>
      </c>
      <c r="F138" s="1234">
        <v>46191</v>
      </c>
      <c r="G138" s="1235" t="s">
        <v>41</v>
      </c>
      <c r="H138" s="1234" t="s">
        <v>29</v>
      </c>
      <c r="I138" s="1121"/>
    </row>
    <row r="139" spans="1:9" s="681" customFormat="1">
      <c r="A139" s="13">
        <v>136</v>
      </c>
      <c r="B139" s="965" t="s">
        <v>1389</v>
      </c>
      <c r="C139" s="1235" t="s">
        <v>1427</v>
      </c>
      <c r="D139" s="1235" t="s">
        <v>61</v>
      </c>
      <c r="E139" s="1235" t="s">
        <v>562</v>
      </c>
      <c r="F139" s="1234">
        <v>46191</v>
      </c>
      <c r="G139" s="1235" t="s">
        <v>1827</v>
      </c>
      <c r="H139" s="1234" t="s">
        <v>29</v>
      </c>
      <c r="I139" s="1121"/>
    </row>
    <row r="140" spans="1:9" s="681" customFormat="1">
      <c r="A140" s="13">
        <v>137</v>
      </c>
      <c r="B140" s="965" t="s">
        <v>1390</v>
      </c>
      <c r="C140" s="965" t="s">
        <v>50</v>
      </c>
      <c r="D140" s="965" t="s">
        <v>61</v>
      </c>
      <c r="E140" s="1235" t="s">
        <v>562</v>
      </c>
      <c r="F140" s="1234">
        <v>46191</v>
      </c>
      <c r="G140" s="1235" t="s">
        <v>1827</v>
      </c>
      <c r="H140" s="1234" t="s">
        <v>29</v>
      </c>
      <c r="I140" s="1121"/>
    </row>
    <row r="141" spans="1:9" s="681" customFormat="1">
      <c r="A141" s="13">
        <v>138</v>
      </c>
      <c r="B141" s="965" t="s">
        <v>1249</v>
      </c>
      <c r="C141" s="1235" t="s">
        <v>2147</v>
      </c>
      <c r="D141" s="1235" t="s">
        <v>61</v>
      </c>
      <c r="E141" s="1235" t="s">
        <v>562</v>
      </c>
      <c r="F141" s="1234">
        <v>46192</v>
      </c>
      <c r="G141" s="1235" t="s">
        <v>1635</v>
      </c>
      <c r="H141" s="1234" t="s">
        <v>29</v>
      </c>
      <c r="I141" s="1121"/>
    </row>
    <row r="142" spans="1:9" s="681" customFormat="1">
      <c r="A142" s="13">
        <v>139</v>
      </c>
      <c r="B142" s="965" t="s">
        <v>1304</v>
      </c>
      <c r="C142" s="1235" t="s">
        <v>2067</v>
      </c>
      <c r="D142" s="1235" t="s">
        <v>61</v>
      </c>
      <c r="E142" s="1235" t="s">
        <v>562</v>
      </c>
      <c r="F142" s="1234">
        <v>46204</v>
      </c>
      <c r="G142" s="1235" t="s">
        <v>1941</v>
      </c>
      <c r="H142" s="1234" t="s">
        <v>29</v>
      </c>
      <c r="I142" s="1121"/>
    </row>
    <row r="143" spans="1:9" s="681" customFormat="1">
      <c r="A143" s="816"/>
      <c r="B143" s="965"/>
      <c r="C143" s="1235"/>
      <c r="D143" s="1235"/>
      <c r="E143" s="1235"/>
      <c r="F143" s="1234"/>
      <c r="G143" s="1235"/>
      <c r="H143" s="1234"/>
      <c r="I143" s="1121"/>
    </row>
    <row r="144" spans="1:9" s="681" customFormat="1">
      <c r="A144" s="816"/>
      <c r="B144" s="965"/>
      <c r="C144" s="1235"/>
      <c r="D144" s="1235"/>
      <c r="E144" s="1235"/>
      <c r="F144" s="1234"/>
      <c r="G144" s="1235"/>
      <c r="H144" s="1234"/>
      <c r="I144" s="1121"/>
    </row>
    <row r="145" spans="1:9" s="681" customFormat="1">
      <c r="A145" s="816"/>
      <c r="B145" s="965"/>
      <c r="C145" s="1235"/>
      <c r="D145" s="1235"/>
      <c r="E145" s="1235"/>
      <c r="F145" s="1234"/>
      <c r="G145" s="1235"/>
      <c r="H145" s="1234"/>
      <c r="I145" s="1121"/>
    </row>
    <row r="146" spans="1:9" s="681" customFormat="1">
      <c r="A146" s="666"/>
      <c r="B146" s="965"/>
      <c r="C146" s="965"/>
      <c r="D146" s="965"/>
      <c r="E146" s="1235"/>
      <c r="F146" s="1234"/>
      <c r="G146" s="1235"/>
      <c r="H146" s="1234"/>
      <c r="I146" s="1121"/>
    </row>
    <row r="147" spans="1:9">
      <c r="A147" s="816"/>
      <c r="B147" s="1100"/>
      <c r="C147" s="1101"/>
      <c r="D147" s="1101"/>
      <c r="E147" s="1102"/>
      <c r="F147" s="1103"/>
      <c r="G147" s="1104"/>
      <c r="H147" s="1104"/>
      <c r="I147" s="1049"/>
    </row>
    <row r="148" spans="1:9" ht="18.75" customHeight="1">
      <c r="A148" s="2001" t="s">
        <v>1931</v>
      </c>
      <c r="B148" s="2002"/>
      <c r="C148" s="2002"/>
      <c r="D148" s="2002"/>
      <c r="E148" s="2002"/>
      <c r="F148" s="2002"/>
      <c r="G148" s="2002"/>
      <c r="H148" s="2002"/>
      <c r="I148" s="2003"/>
    </row>
    <row r="149" spans="1:9" ht="26.45" customHeight="1">
      <c r="A149" s="743" t="s">
        <v>25</v>
      </c>
      <c r="B149" s="744" t="s">
        <v>551</v>
      </c>
      <c r="C149" s="743" t="s">
        <v>38</v>
      </c>
      <c r="D149" s="744" t="s">
        <v>37</v>
      </c>
      <c r="E149" s="743" t="s">
        <v>83</v>
      </c>
      <c r="F149" s="743" t="s">
        <v>84</v>
      </c>
      <c r="G149" s="743" t="s">
        <v>36</v>
      </c>
      <c r="H149" s="743" t="s">
        <v>35</v>
      </c>
      <c r="I149" s="743" t="s">
        <v>2</v>
      </c>
    </row>
    <row r="150" spans="1:9">
      <c r="A150" s="704"/>
      <c r="B150" s="704"/>
      <c r="C150" s="704"/>
      <c r="D150" s="704"/>
      <c r="E150" s="704"/>
      <c r="F150" s="704"/>
      <c r="G150" s="704"/>
      <c r="H150" s="704">
        <f>COUNTIF(H151:H165,"Completed")</f>
        <v>15</v>
      </c>
      <c r="I150" s="704"/>
    </row>
    <row r="151" spans="1:9" ht="15.75">
      <c r="A151" s="666">
        <v>1</v>
      </c>
      <c r="B151" s="666" t="s">
        <v>198</v>
      </c>
      <c r="C151" s="666" t="s">
        <v>34</v>
      </c>
      <c r="D151" s="666" t="s">
        <v>31</v>
      </c>
      <c r="E151" s="666" t="s">
        <v>562</v>
      </c>
      <c r="F151" s="608">
        <v>45919</v>
      </c>
      <c r="G151" s="609" t="s">
        <v>30</v>
      </c>
      <c r="H151" s="609" t="s">
        <v>33</v>
      </c>
      <c r="I151" s="676"/>
    </row>
    <row r="152" spans="1:9" ht="15.75">
      <c r="A152" s="666">
        <v>2</v>
      </c>
      <c r="B152" s="666" t="s">
        <v>186</v>
      </c>
      <c r="C152" s="666" t="s">
        <v>32</v>
      </c>
      <c r="D152" s="666" t="s">
        <v>31</v>
      </c>
      <c r="E152" s="666" t="s">
        <v>562</v>
      </c>
      <c r="F152" s="608">
        <v>45924</v>
      </c>
      <c r="G152" s="609" t="s">
        <v>30</v>
      </c>
      <c r="H152" s="609" t="s">
        <v>29</v>
      </c>
      <c r="I152" s="676"/>
    </row>
    <row r="153" spans="1:9" ht="15.75">
      <c r="A153" s="666">
        <v>3</v>
      </c>
      <c r="B153" s="666" t="s">
        <v>602</v>
      </c>
      <c r="C153" s="666" t="s">
        <v>603</v>
      </c>
      <c r="D153" s="666" t="s">
        <v>31</v>
      </c>
      <c r="E153" s="666" t="s">
        <v>562</v>
      </c>
      <c r="F153" s="608">
        <v>45972</v>
      </c>
      <c r="G153" s="609" t="s">
        <v>30</v>
      </c>
      <c r="H153" s="609" t="s">
        <v>29</v>
      </c>
      <c r="I153" s="705"/>
    </row>
    <row r="154" spans="1:9">
      <c r="A154" s="666">
        <v>4</v>
      </c>
      <c r="B154" s="666" t="s">
        <v>64</v>
      </c>
      <c r="C154" s="666" t="s">
        <v>586</v>
      </c>
      <c r="D154" s="666" t="s">
        <v>31</v>
      </c>
      <c r="E154" s="666" t="s">
        <v>562</v>
      </c>
      <c r="F154" s="608">
        <v>45983</v>
      </c>
      <c r="G154" s="609" t="s">
        <v>30</v>
      </c>
      <c r="H154" s="609" t="s">
        <v>29</v>
      </c>
      <c r="I154" s="610"/>
    </row>
    <row r="155" spans="1:9">
      <c r="A155" s="666">
        <v>5</v>
      </c>
      <c r="B155" s="666" t="s">
        <v>621</v>
      </c>
      <c r="C155" s="666" t="s">
        <v>582</v>
      </c>
      <c r="D155" s="666" t="s">
        <v>42</v>
      </c>
      <c r="E155" s="666" t="s">
        <v>562</v>
      </c>
      <c r="F155" s="608">
        <v>45991</v>
      </c>
      <c r="G155" s="609" t="s">
        <v>30</v>
      </c>
      <c r="H155" s="609" t="s">
        <v>29</v>
      </c>
      <c r="I155" s="610"/>
    </row>
    <row r="156" spans="1:9">
      <c r="A156" s="666">
        <v>6</v>
      </c>
      <c r="B156" s="666" t="s">
        <v>66</v>
      </c>
      <c r="C156" s="666" t="s">
        <v>586</v>
      </c>
      <c r="D156" s="666" t="s">
        <v>42</v>
      </c>
      <c r="E156" s="666" t="s">
        <v>562</v>
      </c>
      <c r="F156" s="608">
        <v>45998</v>
      </c>
      <c r="G156" s="609" t="s">
        <v>30</v>
      </c>
      <c r="H156" s="609" t="s">
        <v>29</v>
      </c>
      <c r="I156" s="610"/>
    </row>
    <row r="157" spans="1:9">
      <c r="A157" s="666">
        <v>7</v>
      </c>
      <c r="B157" s="666" t="s">
        <v>616</v>
      </c>
      <c r="C157" s="666" t="s">
        <v>582</v>
      </c>
      <c r="D157" s="666" t="s">
        <v>42</v>
      </c>
      <c r="E157" s="666" t="s">
        <v>562</v>
      </c>
      <c r="F157" s="608">
        <v>45998</v>
      </c>
      <c r="G157" s="609" t="s">
        <v>30</v>
      </c>
      <c r="H157" s="609" t="s">
        <v>29</v>
      </c>
      <c r="I157" s="610"/>
    </row>
    <row r="158" spans="1:9">
      <c r="A158" s="666">
        <v>8</v>
      </c>
      <c r="B158" s="666" t="s">
        <v>230</v>
      </c>
      <c r="C158" s="666" t="s">
        <v>582</v>
      </c>
      <c r="D158" s="666" t="s">
        <v>42</v>
      </c>
      <c r="E158" s="666" t="s">
        <v>562</v>
      </c>
      <c r="F158" s="608">
        <v>46000</v>
      </c>
      <c r="G158" s="609" t="s">
        <v>30</v>
      </c>
      <c r="H158" s="609" t="s">
        <v>29</v>
      </c>
      <c r="I158" s="1"/>
    </row>
    <row r="159" spans="1:9">
      <c r="A159" s="666">
        <v>9</v>
      </c>
      <c r="B159" s="666" t="s">
        <v>234</v>
      </c>
      <c r="C159" s="666" t="s">
        <v>32</v>
      </c>
      <c r="D159" s="666" t="s">
        <v>42</v>
      </c>
      <c r="E159" s="666" t="s">
        <v>562</v>
      </c>
      <c r="F159" s="608">
        <v>46002</v>
      </c>
      <c r="G159" s="609" t="s">
        <v>30</v>
      </c>
      <c r="H159" s="609" t="s">
        <v>29</v>
      </c>
      <c r="I159" s="1"/>
    </row>
    <row r="160" spans="1:9">
      <c r="A160" s="666">
        <v>10</v>
      </c>
      <c r="B160" s="666" t="s">
        <v>637</v>
      </c>
      <c r="C160" s="666" t="s">
        <v>591</v>
      </c>
      <c r="D160" s="666" t="s">
        <v>42</v>
      </c>
      <c r="E160" s="666" t="s">
        <v>562</v>
      </c>
      <c r="F160" s="608">
        <v>46010</v>
      </c>
      <c r="G160" s="609" t="s">
        <v>30</v>
      </c>
      <c r="H160" s="609" t="s">
        <v>29</v>
      </c>
      <c r="I160" s="1"/>
    </row>
    <row r="161" spans="1:9">
      <c r="A161" s="666">
        <v>11</v>
      </c>
      <c r="B161" s="666" t="s">
        <v>239</v>
      </c>
      <c r="C161" s="666" t="s">
        <v>591</v>
      </c>
      <c r="D161" s="666" t="s">
        <v>42</v>
      </c>
      <c r="E161" s="666" t="s">
        <v>562</v>
      </c>
      <c r="F161" s="608">
        <v>46019</v>
      </c>
      <c r="G161" s="609" t="s">
        <v>30</v>
      </c>
      <c r="H161" s="609" t="s">
        <v>29</v>
      </c>
      <c r="I161" s="1"/>
    </row>
    <row r="162" spans="1:9">
      <c r="A162" s="666">
        <v>12</v>
      </c>
      <c r="B162" s="785" t="s">
        <v>598</v>
      </c>
      <c r="C162" s="666" t="s">
        <v>32</v>
      </c>
      <c r="D162" s="666" t="s">
        <v>31</v>
      </c>
      <c r="E162" s="666" t="s">
        <v>562</v>
      </c>
      <c r="F162" s="608">
        <v>46027</v>
      </c>
      <c r="G162" s="609" t="s">
        <v>30</v>
      </c>
      <c r="H162" s="609" t="s">
        <v>29</v>
      </c>
      <c r="I162" s="1"/>
    </row>
    <row r="163" spans="1:9">
      <c r="A163" s="666">
        <v>13</v>
      </c>
      <c r="B163" s="680" t="s">
        <v>213</v>
      </c>
      <c r="C163" s="680" t="s">
        <v>53</v>
      </c>
      <c r="D163" s="680" t="s">
        <v>42</v>
      </c>
      <c r="E163" s="666" t="s">
        <v>562</v>
      </c>
      <c r="F163" s="949">
        <v>46138</v>
      </c>
      <c r="G163" s="609" t="s">
        <v>30</v>
      </c>
      <c r="H163" s="609" t="s">
        <v>29</v>
      </c>
      <c r="I163" s="1"/>
    </row>
    <row r="164" spans="1:9">
      <c r="A164" s="666">
        <v>14</v>
      </c>
      <c r="B164" s="1183" t="s">
        <v>224</v>
      </c>
      <c r="C164" s="69" t="s">
        <v>573</v>
      </c>
      <c r="D164" s="1183" t="s">
        <v>42</v>
      </c>
      <c r="E164" s="666" t="s">
        <v>562</v>
      </c>
      <c r="F164" s="1185">
        <v>46147</v>
      </c>
      <c r="G164" s="609" t="s">
        <v>2039</v>
      </c>
      <c r="H164" s="609" t="s">
        <v>29</v>
      </c>
      <c r="I164" s="1"/>
    </row>
    <row r="165" spans="1:9">
      <c r="A165" s="666">
        <v>15</v>
      </c>
      <c r="B165" s="1183" t="s">
        <v>181</v>
      </c>
      <c r="C165" s="1183" t="s">
        <v>53</v>
      </c>
      <c r="D165" s="1183" t="s">
        <v>42</v>
      </c>
      <c r="E165" s="666" t="s">
        <v>562</v>
      </c>
      <c r="F165" s="1185">
        <v>46179</v>
      </c>
      <c r="G165" s="609" t="s">
        <v>30</v>
      </c>
      <c r="H165" s="609" t="s">
        <v>29</v>
      </c>
      <c r="I165" s="1"/>
    </row>
    <row r="166" spans="1:9">
      <c r="A166" s="666">
        <v>16</v>
      </c>
      <c r="B166" s="1235" t="s">
        <v>141</v>
      </c>
      <c r="C166" s="680" t="s">
        <v>1583</v>
      </c>
      <c r="D166" s="680" t="s">
        <v>61</v>
      </c>
      <c r="E166" s="666" t="s">
        <v>562</v>
      </c>
      <c r="F166" s="1239">
        <v>46187</v>
      </c>
      <c r="G166" s="609" t="s">
        <v>30</v>
      </c>
      <c r="H166" s="609" t="s">
        <v>29</v>
      </c>
      <c r="I166" s="1"/>
    </row>
    <row r="167" spans="1:9">
      <c r="A167" s="666">
        <v>17</v>
      </c>
      <c r="B167" s="1235" t="s">
        <v>65</v>
      </c>
      <c r="C167" s="680" t="s">
        <v>573</v>
      </c>
      <c r="D167" s="680" t="s">
        <v>31</v>
      </c>
      <c r="E167" s="666" t="s">
        <v>562</v>
      </c>
      <c r="F167" s="1239">
        <v>46141</v>
      </c>
      <c r="G167" s="609" t="s">
        <v>30</v>
      </c>
      <c r="H167" s="609" t="s">
        <v>29</v>
      </c>
      <c r="I167" s="1"/>
    </row>
    <row r="168" spans="1:9">
      <c r="A168" s="666">
        <v>18</v>
      </c>
      <c r="B168" s="1235" t="s">
        <v>147</v>
      </c>
      <c r="C168" s="680" t="s">
        <v>1583</v>
      </c>
      <c r="D168" s="680" t="s">
        <v>61</v>
      </c>
      <c r="E168" s="666" t="s">
        <v>562</v>
      </c>
      <c r="F168" s="1239">
        <v>46149</v>
      </c>
      <c r="G168" s="609" t="s">
        <v>30</v>
      </c>
      <c r="H168" s="609" t="s">
        <v>29</v>
      </c>
      <c r="I168" s="1"/>
    </row>
    <row r="169" spans="1:9">
      <c r="A169" s="666">
        <v>19</v>
      </c>
      <c r="B169" s="1235" t="s">
        <v>56</v>
      </c>
      <c r="C169" s="680" t="s">
        <v>1427</v>
      </c>
      <c r="D169" s="680" t="s">
        <v>42</v>
      </c>
      <c r="E169" s="666" t="s">
        <v>562</v>
      </c>
      <c r="F169" s="1239">
        <v>46143</v>
      </c>
      <c r="G169" s="609" t="s">
        <v>30</v>
      </c>
      <c r="H169" s="609" t="s">
        <v>29</v>
      </c>
      <c r="I169" s="1"/>
    </row>
    <row r="170" spans="1:9">
      <c r="A170" s="666">
        <v>20</v>
      </c>
      <c r="B170" s="1235" t="s">
        <v>68</v>
      </c>
      <c r="C170" s="680" t="s">
        <v>1426</v>
      </c>
      <c r="D170" s="680" t="s">
        <v>61</v>
      </c>
      <c r="E170" s="666" t="s">
        <v>562</v>
      </c>
      <c r="F170" s="1239">
        <v>46173</v>
      </c>
      <c r="G170" s="609" t="s">
        <v>30</v>
      </c>
      <c r="H170" s="609" t="s">
        <v>29</v>
      </c>
      <c r="I170" s="1"/>
    </row>
    <row r="171" spans="1:9">
      <c r="A171" s="666">
        <v>21</v>
      </c>
      <c r="B171" s="1235" t="s">
        <v>59</v>
      </c>
      <c r="C171" s="680" t="s">
        <v>586</v>
      </c>
      <c r="D171" s="680" t="s">
        <v>61</v>
      </c>
      <c r="E171" s="666" t="s">
        <v>562</v>
      </c>
      <c r="F171" s="1239">
        <v>46201</v>
      </c>
      <c r="G171" s="609" t="s">
        <v>30</v>
      </c>
      <c r="H171" s="609" t="s">
        <v>29</v>
      </c>
      <c r="I171" s="1"/>
    </row>
    <row r="172" spans="1:9">
      <c r="A172" s="666">
        <v>22</v>
      </c>
      <c r="B172" s="1235" t="s">
        <v>58</v>
      </c>
      <c r="C172" s="680" t="s">
        <v>671</v>
      </c>
      <c r="D172" s="680" t="s">
        <v>61</v>
      </c>
      <c r="E172" s="666" t="s">
        <v>562</v>
      </c>
      <c r="F172" s="1239">
        <v>46201</v>
      </c>
      <c r="G172" s="609" t="s">
        <v>30</v>
      </c>
      <c r="H172" s="609" t="s">
        <v>29</v>
      </c>
      <c r="I172" s="1"/>
    </row>
    <row r="173" spans="1:9">
      <c r="A173" s="666"/>
      <c r="B173" s="1183"/>
      <c r="C173" s="1183"/>
      <c r="D173" s="1183"/>
      <c r="E173" s="666"/>
      <c r="F173" s="1185"/>
      <c r="G173" s="609"/>
      <c r="H173" s="609"/>
      <c r="I173" s="1"/>
    </row>
    <row r="174" spans="1:9">
      <c r="A174" s="703"/>
      <c r="B174" s="675"/>
      <c r="C174" s="675"/>
      <c r="D174" s="675"/>
      <c r="E174" s="675"/>
      <c r="F174" s="573"/>
      <c r="G174" s="245"/>
      <c r="H174" s="245"/>
    </row>
    <row r="175" spans="1:9" ht="18.75" customHeight="1">
      <c r="A175" s="2004" t="s">
        <v>1026</v>
      </c>
      <c r="B175" s="2004"/>
      <c r="C175" s="2004"/>
      <c r="D175" s="2004"/>
      <c r="E175" s="2004"/>
      <c r="F175" s="2004"/>
      <c r="G175" s="2004"/>
      <c r="H175" s="2004"/>
      <c r="I175" s="2004"/>
    </row>
    <row r="176" spans="1:9" ht="25.5" customHeight="1">
      <c r="A176" s="743" t="s">
        <v>25</v>
      </c>
      <c r="B176" s="744" t="s">
        <v>551</v>
      </c>
      <c r="C176" s="743" t="s">
        <v>38</v>
      </c>
      <c r="D176" s="744" t="s">
        <v>37</v>
      </c>
      <c r="E176" s="743" t="s">
        <v>83</v>
      </c>
      <c r="F176" s="743" t="s">
        <v>84</v>
      </c>
      <c r="G176" s="743" t="s">
        <v>36</v>
      </c>
      <c r="H176" s="743" t="s">
        <v>35</v>
      </c>
      <c r="I176" s="743" t="s">
        <v>2</v>
      </c>
    </row>
    <row r="177" spans="1:9" ht="18" hidden="1" customHeight="1">
      <c r="A177" s="14"/>
      <c r="B177" s="69"/>
      <c r="C177" s="69"/>
      <c r="D177" s="15"/>
      <c r="E177" s="20"/>
      <c r="F177" s="502"/>
      <c r="G177" s="15"/>
      <c r="H177" s="17">
        <f>COUNTIF(H178:H248,"Completed")</f>
        <v>65</v>
      </c>
      <c r="I177" s="446"/>
    </row>
    <row r="178" spans="1:9" ht="18" hidden="1" customHeight="1">
      <c r="A178" s="13">
        <v>1</v>
      </c>
      <c r="B178" s="13" t="s">
        <v>436</v>
      </c>
      <c r="C178" s="13" t="s">
        <v>437</v>
      </c>
      <c r="D178" s="128" t="s">
        <v>42</v>
      </c>
      <c r="E178" s="13" t="s">
        <v>562</v>
      </c>
      <c r="F178" s="128">
        <v>46000</v>
      </c>
      <c r="G178" s="128" t="s">
        <v>30</v>
      </c>
      <c r="H178" s="15" t="s">
        <v>29</v>
      </c>
      <c r="I178" s="685" t="s">
        <v>554</v>
      </c>
    </row>
    <row r="179" spans="1:9" ht="18" hidden="1" customHeight="1">
      <c r="A179" s="13">
        <v>2</v>
      </c>
      <c r="B179" s="13" t="s">
        <v>443</v>
      </c>
      <c r="C179" s="13" t="s">
        <v>133</v>
      </c>
      <c r="D179" s="128" t="s">
        <v>42</v>
      </c>
      <c r="E179" s="13" t="s">
        <v>562</v>
      </c>
      <c r="F179" s="128">
        <v>46003</v>
      </c>
      <c r="G179" s="128" t="s">
        <v>1070</v>
      </c>
      <c r="H179" s="15" t="s">
        <v>29</v>
      </c>
      <c r="I179" s="685" t="s">
        <v>554</v>
      </c>
    </row>
    <row r="180" spans="1:9" ht="18" hidden="1" customHeight="1">
      <c r="A180" s="13">
        <v>3</v>
      </c>
      <c r="B180" s="13" t="s">
        <v>300</v>
      </c>
      <c r="C180" s="13" t="s">
        <v>301</v>
      </c>
      <c r="D180" s="128" t="s">
        <v>42</v>
      </c>
      <c r="E180" s="13" t="s">
        <v>562</v>
      </c>
      <c r="F180" s="128">
        <v>46006</v>
      </c>
      <c r="G180" s="128" t="s">
        <v>1186</v>
      </c>
      <c r="H180" s="15" t="s">
        <v>29</v>
      </c>
      <c r="I180" s="685" t="s">
        <v>554</v>
      </c>
    </row>
    <row r="181" spans="1:9" ht="18" hidden="1" customHeight="1">
      <c r="A181" s="13">
        <v>4</v>
      </c>
      <c r="B181" s="13" t="s">
        <v>411</v>
      </c>
      <c r="C181" s="13" t="s">
        <v>153</v>
      </c>
      <c r="D181" s="128" t="s">
        <v>42</v>
      </c>
      <c r="E181" s="13" t="s">
        <v>562</v>
      </c>
      <c r="F181" s="128">
        <f>F180+4</f>
        <v>46010</v>
      </c>
      <c r="G181" s="128" t="s">
        <v>1070</v>
      </c>
      <c r="H181" s="15" t="s">
        <v>29</v>
      </c>
      <c r="I181" s="685" t="s">
        <v>554</v>
      </c>
    </row>
    <row r="182" spans="1:9" ht="18" hidden="1" customHeight="1">
      <c r="A182" s="13">
        <v>5</v>
      </c>
      <c r="B182" s="13" t="s">
        <v>314</v>
      </c>
      <c r="C182" s="13" t="s">
        <v>153</v>
      </c>
      <c r="D182" s="128" t="s">
        <v>42</v>
      </c>
      <c r="E182" s="13" t="s">
        <v>562</v>
      </c>
      <c r="F182" s="128">
        <f>F181+2</f>
        <v>46012</v>
      </c>
      <c r="G182" s="128" t="s">
        <v>1186</v>
      </c>
      <c r="H182" s="15" t="s">
        <v>29</v>
      </c>
      <c r="I182" s="685" t="s">
        <v>554</v>
      </c>
    </row>
    <row r="183" spans="1:9" ht="18" hidden="1" customHeight="1">
      <c r="A183" s="13">
        <v>6</v>
      </c>
      <c r="B183" s="13" t="s">
        <v>430</v>
      </c>
      <c r="C183" s="13" t="s">
        <v>301</v>
      </c>
      <c r="D183" s="128" t="s">
        <v>42</v>
      </c>
      <c r="E183" s="13" t="s">
        <v>562</v>
      </c>
      <c r="F183" s="128">
        <v>46013</v>
      </c>
      <c r="G183" s="128" t="s">
        <v>1070</v>
      </c>
      <c r="H183" s="15" t="s">
        <v>29</v>
      </c>
      <c r="I183" s="685" t="s">
        <v>554</v>
      </c>
    </row>
    <row r="184" spans="1:9" ht="18" hidden="1" customHeight="1">
      <c r="A184" s="13">
        <v>7</v>
      </c>
      <c r="B184" s="13" t="s">
        <v>310</v>
      </c>
      <c r="C184" s="13" t="s">
        <v>34</v>
      </c>
      <c r="D184" s="128" t="s">
        <v>42</v>
      </c>
      <c r="E184" s="13" t="s">
        <v>562</v>
      </c>
      <c r="F184" s="128">
        <v>46014</v>
      </c>
      <c r="G184" s="128" t="s">
        <v>1073</v>
      </c>
      <c r="H184" s="15" t="s">
        <v>29</v>
      </c>
      <c r="I184" s="685" t="s">
        <v>554</v>
      </c>
    </row>
    <row r="185" spans="1:9" ht="18" hidden="1" customHeight="1">
      <c r="A185" s="13">
        <v>8</v>
      </c>
      <c r="B185" s="13" t="s">
        <v>416</v>
      </c>
      <c r="C185" s="13" t="s">
        <v>50</v>
      </c>
      <c r="D185" s="128" t="s">
        <v>42</v>
      </c>
      <c r="E185" s="13" t="s">
        <v>562</v>
      </c>
      <c r="F185" s="128">
        <v>46019</v>
      </c>
      <c r="G185" s="128" t="s">
        <v>30</v>
      </c>
      <c r="H185" s="15" t="s">
        <v>29</v>
      </c>
      <c r="I185" s="685" t="s">
        <v>554</v>
      </c>
    </row>
    <row r="186" spans="1:9" ht="18" hidden="1" customHeight="1">
      <c r="A186" s="13">
        <v>9</v>
      </c>
      <c r="B186" s="13" t="s">
        <v>46</v>
      </c>
      <c r="C186" s="13" t="s">
        <v>1175</v>
      </c>
      <c r="D186" s="128" t="s">
        <v>42</v>
      </c>
      <c r="E186" s="13" t="s">
        <v>562</v>
      </c>
      <c r="F186" s="128">
        <v>46027</v>
      </c>
      <c r="G186" s="128" t="s">
        <v>1186</v>
      </c>
      <c r="H186" s="15" t="s">
        <v>29</v>
      </c>
      <c r="I186" s="685" t="s">
        <v>554</v>
      </c>
    </row>
    <row r="187" spans="1:9" ht="18" hidden="1" customHeight="1">
      <c r="A187" s="13">
        <v>10</v>
      </c>
      <c r="B187" s="13" t="s">
        <v>71</v>
      </c>
      <c r="C187" s="13" t="s">
        <v>1181</v>
      </c>
      <c r="D187" s="128" t="s">
        <v>42</v>
      </c>
      <c r="E187" s="13" t="s">
        <v>562</v>
      </c>
      <c r="F187" s="128">
        <v>46028</v>
      </c>
      <c r="G187" s="128" t="s">
        <v>30</v>
      </c>
      <c r="H187" s="15" t="s">
        <v>29</v>
      </c>
      <c r="I187" s="685" t="s">
        <v>554</v>
      </c>
    </row>
    <row r="188" spans="1:9" ht="18" hidden="1" customHeight="1">
      <c r="A188" s="13">
        <v>11</v>
      </c>
      <c r="B188" s="13" t="s">
        <v>393</v>
      </c>
      <c r="C188" s="680" t="s">
        <v>1175</v>
      </c>
      <c r="D188" s="685" t="s">
        <v>42</v>
      </c>
      <c r="E188" s="13" t="s">
        <v>562</v>
      </c>
      <c r="F188" s="128">
        <v>46037</v>
      </c>
      <c r="G188" s="128" t="s">
        <v>1637</v>
      </c>
      <c r="H188" s="15" t="s">
        <v>29</v>
      </c>
      <c r="I188" s="685" t="s">
        <v>554</v>
      </c>
    </row>
    <row r="189" spans="1:9" ht="18" hidden="1" customHeight="1">
      <c r="A189" s="13">
        <v>12</v>
      </c>
      <c r="B189" s="13" t="s">
        <v>452</v>
      </c>
      <c r="C189" s="13" t="s">
        <v>48</v>
      </c>
      <c r="D189" s="128" t="s">
        <v>61</v>
      </c>
      <c r="E189" s="13" t="s">
        <v>562</v>
      </c>
      <c r="F189" s="128">
        <v>46030</v>
      </c>
      <c r="G189" s="128" t="s">
        <v>1638</v>
      </c>
      <c r="H189" s="15" t="s">
        <v>29</v>
      </c>
      <c r="I189" s="685" t="s">
        <v>554</v>
      </c>
    </row>
    <row r="190" spans="1:9" ht="18" hidden="1" customHeight="1">
      <c r="A190" s="13">
        <v>13</v>
      </c>
      <c r="B190" s="13" t="s">
        <v>421</v>
      </c>
      <c r="C190" s="13" t="s">
        <v>34</v>
      </c>
      <c r="D190" s="128" t="s">
        <v>42</v>
      </c>
      <c r="E190" s="13" t="s">
        <v>562</v>
      </c>
      <c r="F190" s="128">
        <v>46031</v>
      </c>
      <c r="G190" s="128" t="s">
        <v>30</v>
      </c>
      <c r="H190" s="15" t="s">
        <v>29</v>
      </c>
      <c r="I190" s="685" t="s">
        <v>554</v>
      </c>
    </row>
    <row r="191" spans="1:9" ht="18" hidden="1" customHeight="1">
      <c r="A191" s="13">
        <v>14</v>
      </c>
      <c r="B191" s="13" t="s">
        <v>72</v>
      </c>
      <c r="C191" s="13" t="s">
        <v>39</v>
      </c>
      <c r="D191" s="128" t="s">
        <v>61</v>
      </c>
      <c r="E191" s="13" t="s">
        <v>562</v>
      </c>
      <c r="F191" s="128">
        <v>46031</v>
      </c>
      <c r="G191" s="128" t="s">
        <v>30</v>
      </c>
      <c r="H191" s="15" t="s">
        <v>29</v>
      </c>
      <c r="I191" s="685" t="s">
        <v>554</v>
      </c>
    </row>
    <row r="192" spans="1:9" ht="18" customHeight="1">
      <c r="A192" s="13">
        <v>15</v>
      </c>
      <c r="B192" s="13" t="s">
        <v>393</v>
      </c>
      <c r="C192" s="13" t="s">
        <v>1175</v>
      </c>
      <c r="D192" s="128" t="s">
        <v>42</v>
      </c>
      <c r="E192" s="13" t="s">
        <v>562</v>
      </c>
      <c r="F192" s="128">
        <v>46045</v>
      </c>
      <c r="G192" s="128" t="s">
        <v>30</v>
      </c>
      <c r="H192" s="15" t="s">
        <v>29</v>
      </c>
      <c r="I192" s="685" t="s">
        <v>1838</v>
      </c>
    </row>
    <row r="193" spans="1:9" ht="18" customHeight="1">
      <c r="A193" s="13">
        <v>16</v>
      </c>
      <c r="B193" s="13" t="s">
        <v>54</v>
      </c>
      <c r="C193" s="13" t="s">
        <v>39</v>
      </c>
      <c r="D193" s="128" t="s">
        <v>42</v>
      </c>
      <c r="E193" s="13" t="s">
        <v>562</v>
      </c>
      <c r="F193" s="128">
        <v>46045</v>
      </c>
      <c r="G193" s="128" t="s">
        <v>30</v>
      </c>
      <c r="H193" s="15" t="s">
        <v>29</v>
      </c>
      <c r="I193" s="685" t="s">
        <v>1838</v>
      </c>
    </row>
    <row r="194" spans="1:9" ht="18" hidden="1" customHeight="1">
      <c r="A194" s="13">
        <v>17</v>
      </c>
      <c r="B194" s="13" t="s">
        <v>296</v>
      </c>
      <c r="C194" s="13" t="s">
        <v>32</v>
      </c>
      <c r="D194" s="128" t="s">
        <v>42</v>
      </c>
      <c r="E194" s="13" t="s">
        <v>562</v>
      </c>
      <c r="F194" s="128">
        <v>46047</v>
      </c>
      <c r="G194" s="128" t="s">
        <v>1636</v>
      </c>
      <c r="H194" s="15" t="s">
        <v>29</v>
      </c>
      <c r="I194" s="685" t="s">
        <v>554</v>
      </c>
    </row>
    <row r="195" spans="1:9" ht="18" hidden="1" customHeight="1">
      <c r="A195" s="13">
        <v>18</v>
      </c>
      <c r="B195" s="13" t="s">
        <v>58</v>
      </c>
      <c r="C195" s="13" t="s">
        <v>57</v>
      </c>
      <c r="D195" s="128" t="s">
        <v>42</v>
      </c>
      <c r="E195" s="13" t="s">
        <v>562</v>
      </c>
      <c r="F195" s="128">
        <v>46047</v>
      </c>
      <c r="G195" s="128" t="s">
        <v>1636</v>
      </c>
      <c r="H195" s="15" t="s">
        <v>29</v>
      </c>
      <c r="I195" s="685" t="s">
        <v>554</v>
      </c>
    </row>
    <row r="196" spans="1:9" ht="18" customHeight="1">
      <c r="A196" s="13">
        <v>19</v>
      </c>
      <c r="B196" s="13" t="s">
        <v>803</v>
      </c>
      <c r="C196" s="13" t="s">
        <v>48</v>
      </c>
      <c r="D196" s="128" t="s">
        <v>61</v>
      </c>
      <c r="E196" s="13" t="s">
        <v>562</v>
      </c>
      <c r="F196" s="128">
        <v>46051</v>
      </c>
      <c r="G196" s="128" t="s">
        <v>1636</v>
      </c>
      <c r="H196" s="15" t="s">
        <v>29</v>
      </c>
      <c r="I196" s="685" t="s">
        <v>1838</v>
      </c>
    </row>
    <row r="197" spans="1:9" ht="18" customHeight="1">
      <c r="A197" s="13">
        <v>20</v>
      </c>
      <c r="B197" s="13" t="s">
        <v>799</v>
      </c>
      <c r="C197" s="13" t="s">
        <v>34</v>
      </c>
      <c r="D197" s="128" t="s">
        <v>61</v>
      </c>
      <c r="E197" s="13" t="s">
        <v>562</v>
      </c>
      <c r="F197" s="128">
        <v>46054</v>
      </c>
      <c r="G197" s="128" t="s">
        <v>1636</v>
      </c>
      <c r="H197" s="15" t="s">
        <v>29</v>
      </c>
      <c r="I197" s="685" t="s">
        <v>1838</v>
      </c>
    </row>
    <row r="198" spans="1:9" ht="18" customHeight="1">
      <c r="A198" s="13">
        <v>21</v>
      </c>
      <c r="B198" s="13" t="s">
        <v>795</v>
      </c>
      <c r="C198" s="13" t="s">
        <v>34</v>
      </c>
      <c r="D198" s="128" t="s">
        <v>61</v>
      </c>
      <c r="E198" s="13" t="s">
        <v>562</v>
      </c>
      <c r="F198" s="128">
        <v>46058</v>
      </c>
      <c r="G198" s="128" t="s">
        <v>1636</v>
      </c>
      <c r="H198" s="15" t="s">
        <v>29</v>
      </c>
      <c r="I198" s="685" t="s">
        <v>1838</v>
      </c>
    </row>
    <row r="199" spans="1:9" ht="18" customHeight="1">
      <c r="A199" s="13">
        <v>22</v>
      </c>
      <c r="B199" s="13" t="s">
        <v>364</v>
      </c>
      <c r="C199" s="13" t="s">
        <v>1181</v>
      </c>
      <c r="D199" s="128" t="s">
        <v>61</v>
      </c>
      <c r="E199" s="13" t="s">
        <v>562</v>
      </c>
      <c r="F199" s="128">
        <v>46062</v>
      </c>
      <c r="G199" s="128" t="s">
        <v>1636</v>
      </c>
      <c r="H199" s="15" t="s">
        <v>29</v>
      </c>
      <c r="I199" s="685" t="s">
        <v>1838</v>
      </c>
    </row>
    <row r="200" spans="1:9" ht="18" hidden="1" customHeight="1">
      <c r="A200" s="13">
        <v>23</v>
      </c>
      <c r="B200" s="13" t="s">
        <v>364</v>
      </c>
      <c r="C200" s="13" t="s">
        <v>344</v>
      </c>
      <c r="D200" s="128" t="s">
        <v>42</v>
      </c>
      <c r="E200" s="13" t="s">
        <v>562</v>
      </c>
      <c r="F200" s="128">
        <v>46062</v>
      </c>
      <c r="G200" s="128" t="s">
        <v>30</v>
      </c>
      <c r="H200" s="15" t="s">
        <v>29</v>
      </c>
      <c r="I200" s="685" t="s">
        <v>554</v>
      </c>
    </row>
    <row r="201" spans="1:9" ht="18" hidden="1" customHeight="1">
      <c r="A201" s="13">
        <v>24</v>
      </c>
      <c r="B201" s="13" t="s">
        <v>371</v>
      </c>
      <c r="C201" s="13" t="s">
        <v>1181</v>
      </c>
      <c r="D201" s="128" t="s">
        <v>42</v>
      </c>
      <c r="E201" s="13" t="s">
        <v>562</v>
      </c>
      <c r="F201" s="128">
        <v>46062</v>
      </c>
      <c r="G201" s="128" t="s">
        <v>30</v>
      </c>
      <c r="H201" s="15" t="s">
        <v>29</v>
      </c>
      <c r="I201" s="685" t="s">
        <v>554</v>
      </c>
    </row>
    <row r="202" spans="1:9" ht="18" customHeight="1">
      <c r="A202" s="13">
        <v>25</v>
      </c>
      <c r="B202" s="13" t="s">
        <v>704</v>
      </c>
      <c r="C202" s="13" t="s">
        <v>53</v>
      </c>
      <c r="D202" s="128" t="s">
        <v>61</v>
      </c>
      <c r="E202" s="13" t="s">
        <v>562</v>
      </c>
      <c r="F202" s="128">
        <v>46063</v>
      </c>
      <c r="G202" s="128" t="s">
        <v>30</v>
      </c>
      <c r="H202" s="15" t="s">
        <v>29</v>
      </c>
      <c r="I202" s="685" t="s">
        <v>1838</v>
      </c>
    </row>
    <row r="203" spans="1:9" ht="18" customHeight="1">
      <c r="A203" s="13">
        <v>26</v>
      </c>
      <c r="B203" s="13" t="s">
        <v>71</v>
      </c>
      <c r="C203" s="13" t="s">
        <v>50</v>
      </c>
      <c r="D203" s="128" t="s">
        <v>42</v>
      </c>
      <c r="E203" s="13" t="s">
        <v>562</v>
      </c>
      <c r="F203" s="128">
        <v>46063</v>
      </c>
      <c r="G203" s="128" t="s">
        <v>30</v>
      </c>
      <c r="H203" s="15" t="s">
        <v>29</v>
      </c>
      <c r="I203" s="685" t="s">
        <v>1838</v>
      </c>
    </row>
    <row r="204" spans="1:9" ht="18" customHeight="1">
      <c r="A204" s="13">
        <v>27</v>
      </c>
      <c r="B204" s="13" t="s">
        <v>376</v>
      </c>
      <c r="C204" s="13" t="s">
        <v>34</v>
      </c>
      <c r="D204" s="128" t="s">
        <v>61</v>
      </c>
      <c r="E204" s="13" t="s">
        <v>562</v>
      </c>
      <c r="F204" s="128">
        <v>46077</v>
      </c>
      <c r="G204" s="128" t="s">
        <v>1636</v>
      </c>
      <c r="H204" s="15" t="s">
        <v>29</v>
      </c>
      <c r="I204" s="685" t="s">
        <v>1838</v>
      </c>
    </row>
    <row r="205" spans="1:9" ht="18" customHeight="1">
      <c r="A205" s="13">
        <v>28</v>
      </c>
      <c r="B205" s="13" t="s">
        <v>1852</v>
      </c>
      <c r="C205" s="13" t="s">
        <v>49</v>
      </c>
      <c r="D205" s="128" t="s">
        <v>61</v>
      </c>
      <c r="E205" s="13" t="s">
        <v>562</v>
      </c>
      <c r="F205" s="128">
        <v>46080</v>
      </c>
      <c r="G205" s="128" t="s">
        <v>30</v>
      </c>
      <c r="H205" s="15" t="s">
        <v>29</v>
      </c>
      <c r="I205" s="685" t="s">
        <v>1838</v>
      </c>
    </row>
    <row r="206" spans="1:9" ht="18" customHeight="1">
      <c r="A206" s="13">
        <v>29</v>
      </c>
      <c r="B206" s="13" t="s">
        <v>73</v>
      </c>
      <c r="C206" s="13" t="s">
        <v>50</v>
      </c>
      <c r="D206" s="128" t="s">
        <v>42</v>
      </c>
      <c r="E206" s="13" t="s">
        <v>562</v>
      </c>
      <c r="F206" s="128">
        <v>46080</v>
      </c>
      <c r="G206" s="128" t="s">
        <v>30</v>
      </c>
      <c r="H206" s="15" t="s">
        <v>29</v>
      </c>
      <c r="I206" s="685" t="s">
        <v>1838</v>
      </c>
    </row>
    <row r="207" spans="1:9" ht="18" customHeight="1">
      <c r="A207" s="13">
        <v>30</v>
      </c>
      <c r="B207" s="13" t="s">
        <v>699</v>
      </c>
      <c r="C207" s="13" t="s">
        <v>34</v>
      </c>
      <c r="D207" s="128" t="s">
        <v>61</v>
      </c>
      <c r="E207" s="13" t="s">
        <v>562</v>
      </c>
      <c r="F207" s="128">
        <v>46081</v>
      </c>
      <c r="G207" s="128" t="s">
        <v>30</v>
      </c>
      <c r="H207" s="15" t="s">
        <v>29</v>
      </c>
      <c r="I207" s="685" t="s">
        <v>1838</v>
      </c>
    </row>
    <row r="208" spans="1:9" ht="18" customHeight="1">
      <c r="A208" s="13">
        <v>31</v>
      </c>
      <c r="B208" s="13" t="s">
        <v>436</v>
      </c>
      <c r="C208" s="13" t="s">
        <v>1181</v>
      </c>
      <c r="D208" s="128" t="s">
        <v>31</v>
      </c>
      <c r="E208" s="13" t="s">
        <v>562</v>
      </c>
      <c r="F208" s="128">
        <v>46083</v>
      </c>
      <c r="G208" s="128" t="s">
        <v>30</v>
      </c>
      <c r="H208" s="15" t="s">
        <v>29</v>
      </c>
      <c r="I208" s="685" t="s">
        <v>1838</v>
      </c>
    </row>
    <row r="209" spans="1:9" ht="18" customHeight="1">
      <c r="A209" s="13">
        <v>32</v>
      </c>
      <c r="B209" s="13" t="s">
        <v>416</v>
      </c>
      <c r="C209" s="13" t="s">
        <v>1181</v>
      </c>
      <c r="D209" s="128" t="s">
        <v>42</v>
      </c>
      <c r="E209" s="13" t="s">
        <v>562</v>
      </c>
      <c r="F209" s="128">
        <v>46083</v>
      </c>
      <c r="G209" s="128" t="s">
        <v>30</v>
      </c>
      <c r="H209" s="15" t="s">
        <v>29</v>
      </c>
      <c r="I209" s="685" t="s">
        <v>1838</v>
      </c>
    </row>
    <row r="210" spans="1:9" ht="18" customHeight="1">
      <c r="A210" s="13">
        <v>33</v>
      </c>
      <c r="B210" s="13" t="s">
        <v>443</v>
      </c>
      <c r="C210" s="13" t="s">
        <v>1181</v>
      </c>
      <c r="D210" s="128" t="s">
        <v>42</v>
      </c>
      <c r="E210" s="13" t="s">
        <v>562</v>
      </c>
      <c r="F210" s="128">
        <v>46084</v>
      </c>
      <c r="G210" s="128" t="s">
        <v>30</v>
      </c>
      <c r="H210" s="15" t="s">
        <v>29</v>
      </c>
      <c r="I210" s="685" t="s">
        <v>1838</v>
      </c>
    </row>
    <row r="211" spans="1:9" ht="18" hidden="1" customHeight="1">
      <c r="A211" s="13">
        <v>34</v>
      </c>
      <c r="B211" s="13" t="s">
        <v>213</v>
      </c>
      <c r="C211" s="13" t="s">
        <v>53</v>
      </c>
      <c r="D211" s="128" t="s">
        <v>42</v>
      </c>
      <c r="E211" s="13" t="s">
        <v>562</v>
      </c>
      <c r="F211" s="128">
        <v>46094</v>
      </c>
      <c r="G211" s="128" t="s">
        <v>1883</v>
      </c>
      <c r="H211" s="15" t="s">
        <v>29</v>
      </c>
      <c r="I211" s="685" t="s">
        <v>554</v>
      </c>
    </row>
    <row r="212" spans="1:9" ht="18" hidden="1" customHeight="1">
      <c r="A212" s="13">
        <v>35</v>
      </c>
      <c r="B212" s="13" t="s">
        <v>66</v>
      </c>
      <c r="C212" s="13" t="s">
        <v>1424</v>
      </c>
      <c r="D212" s="128" t="s">
        <v>42</v>
      </c>
      <c r="E212" s="13" t="s">
        <v>562</v>
      </c>
      <c r="F212" s="128">
        <v>46103</v>
      </c>
      <c r="G212" s="128" t="s">
        <v>1883</v>
      </c>
      <c r="H212" s="15" t="s">
        <v>29</v>
      </c>
      <c r="I212" s="685" t="s">
        <v>554</v>
      </c>
    </row>
    <row r="213" spans="1:9" ht="18" customHeight="1">
      <c r="A213" s="13">
        <v>37</v>
      </c>
      <c r="B213" s="13" t="s">
        <v>371</v>
      </c>
      <c r="C213" s="13" t="s">
        <v>1181</v>
      </c>
      <c r="D213" s="128" t="s">
        <v>61</v>
      </c>
      <c r="E213" s="13" t="s">
        <v>562</v>
      </c>
      <c r="F213" s="128">
        <v>46108</v>
      </c>
      <c r="G213" s="128" t="s">
        <v>1636</v>
      </c>
      <c r="H213" s="15" t="s">
        <v>29</v>
      </c>
      <c r="I213" s="685" t="s">
        <v>1838</v>
      </c>
    </row>
    <row r="214" spans="1:9" ht="18" hidden="1" customHeight="1">
      <c r="A214" s="13">
        <v>36</v>
      </c>
      <c r="B214" s="13" t="s">
        <v>224</v>
      </c>
      <c r="C214" s="13" t="s">
        <v>1424</v>
      </c>
      <c r="D214" s="128" t="s">
        <v>61</v>
      </c>
      <c r="E214" s="13" t="s">
        <v>562</v>
      </c>
      <c r="F214" s="128">
        <v>46112</v>
      </c>
      <c r="G214" s="128" t="s">
        <v>1883</v>
      </c>
      <c r="H214" s="15" t="s">
        <v>29</v>
      </c>
      <c r="I214" s="685" t="s">
        <v>554</v>
      </c>
    </row>
    <row r="215" spans="1:9" ht="18" customHeight="1">
      <c r="A215" s="13">
        <v>38</v>
      </c>
      <c r="B215" s="13" t="s">
        <v>70</v>
      </c>
      <c r="C215" s="13" t="s">
        <v>167</v>
      </c>
      <c r="D215" s="128" t="s">
        <v>61</v>
      </c>
      <c r="E215" s="13" t="s">
        <v>562</v>
      </c>
      <c r="F215" s="128">
        <v>46113</v>
      </c>
      <c r="G215" s="128" t="s">
        <v>1636</v>
      </c>
      <c r="H215" s="15" t="s">
        <v>29</v>
      </c>
      <c r="I215" s="685" t="s">
        <v>1838</v>
      </c>
    </row>
    <row r="216" spans="1:9" ht="18" customHeight="1">
      <c r="A216" s="13">
        <v>39</v>
      </c>
      <c r="B216" s="13" t="s">
        <v>384</v>
      </c>
      <c r="C216" s="13" t="s">
        <v>34</v>
      </c>
      <c r="D216" s="128" t="s">
        <v>42</v>
      </c>
      <c r="E216" s="13" t="s">
        <v>562</v>
      </c>
      <c r="F216" s="128">
        <v>46113</v>
      </c>
      <c r="G216" s="128" t="s">
        <v>1636</v>
      </c>
      <c r="H216" s="15" t="s">
        <v>29</v>
      </c>
      <c r="I216" s="685" t="s">
        <v>1838</v>
      </c>
    </row>
    <row r="217" spans="1:9" ht="18" customHeight="1">
      <c r="A217" s="13">
        <v>40</v>
      </c>
      <c r="B217" s="13" t="s">
        <v>75</v>
      </c>
      <c r="C217" s="13" t="s">
        <v>133</v>
      </c>
      <c r="D217" s="128" t="s">
        <v>61</v>
      </c>
      <c r="E217" s="13" t="s">
        <v>562</v>
      </c>
      <c r="F217" s="128">
        <v>46115</v>
      </c>
      <c r="G217" s="128" t="s">
        <v>41</v>
      </c>
      <c r="H217" s="15" t="s">
        <v>29</v>
      </c>
      <c r="I217" s="685" t="s">
        <v>1838</v>
      </c>
    </row>
    <row r="218" spans="1:9">
      <c r="A218" s="13">
        <v>41</v>
      </c>
      <c r="B218" s="855" t="s">
        <v>1168</v>
      </c>
      <c r="C218" s="855" t="s">
        <v>50</v>
      </c>
      <c r="D218" s="856" t="s">
        <v>42</v>
      </c>
      <c r="E218" s="13" t="s">
        <v>562</v>
      </c>
      <c r="F218" s="128">
        <v>46116</v>
      </c>
      <c r="G218" s="128" t="s">
        <v>30</v>
      </c>
      <c r="H218" s="15" t="s">
        <v>29</v>
      </c>
      <c r="I218" s="685" t="s">
        <v>1838</v>
      </c>
    </row>
    <row r="219" spans="1:9">
      <c r="A219" s="13">
        <v>42</v>
      </c>
      <c r="B219" s="855" t="s">
        <v>1206</v>
      </c>
      <c r="C219" s="855" t="s">
        <v>1181</v>
      </c>
      <c r="D219" s="856" t="s">
        <v>42</v>
      </c>
      <c r="E219" s="13" t="s">
        <v>562</v>
      </c>
      <c r="F219" s="128">
        <v>46116</v>
      </c>
      <c r="G219" s="128" t="s">
        <v>30</v>
      </c>
      <c r="H219" s="15" t="s">
        <v>29</v>
      </c>
      <c r="I219" s="685" t="s">
        <v>1838</v>
      </c>
    </row>
    <row r="220" spans="1:9" hidden="1">
      <c r="A220" s="13">
        <v>43</v>
      </c>
      <c r="B220" s="855" t="s">
        <v>69</v>
      </c>
      <c r="C220" s="855" t="s">
        <v>50</v>
      </c>
      <c r="D220" s="856" t="s">
        <v>61</v>
      </c>
      <c r="E220" s="13" t="s">
        <v>562</v>
      </c>
      <c r="F220" s="128">
        <v>46117</v>
      </c>
      <c r="G220" s="128" t="s">
        <v>30</v>
      </c>
      <c r="H220" s="15" t="s">
        <v>29</v>
      </c>
      <c r="I220" s="856" t="s">
        <v>554</v>
      </c>
    </row>
    <row r="221" spans="1:9">
      <c r="A221" s="13">
        <v>44</v>
      </c>
      <c r="B221" s="855" t="s">
        <v>689</v>
      </c>
      <c r="C221" s="855" t="s">
        <v>50</v>
      </c>
      <c r="D221" s="856" t="s">
        <v>61</v>
      </c>
      <c r="E221" s="13" t="s">
        <v>562</v>
      </c>
      <c r="F221" s="128">
        <v>46117</v>
      </c>
      <c r="G221" s="128" t="s">
        <v>30</v>
      </c>
      <c r="H221" s="15" t="s">
        <v>29</v>
      </c>
      <c r="I221" s="685" t="s">
        <v>1838</v>
      </c>
    </row>
    <row r="222" spans="1:9" hidden="1">
      <c r="A222" s="13">
        <v>45</v>
      </c>
      <c r="B222" s="948" t="s">
        <v>47</v>
      </c>
      <c r="C222" s="948" t="s">
        <v>39</v>
      </c>
      <c r="D222" s="947" t="s">
        <v>61</v>
      </c>
      <c r="E222" s="13" t="s">
        <v>562</v>
      </c>
      <c r="F222" s="128">
        <v>46117</v>
      </c>
      <c r="G222" s="128" t="s">
        <v>30</v>
      </c>
      <c r="H222" s="15" t="s">
        <v>29</v>
      </c>
      <c r="I222" s="947" t="s">
        <v>554</v>
      </c>
    </row>
    <row r="223" spans="1:9">
      <c r="A223" s="13">
        <v>46</v>
      </c>
      <c r="B223" s="948" t="s">
        <v>457</v>
      </c>
      <c r="C223" s="948" t="s">
        <v>133</v>
      </c>
      <c r="D223" s="947" t="s">
        <v>42</v>
      </c>
      <c r="E223" s="13" t="s">
        <v>562</v>
      </c>
      <c r="F223" s="128">
        <v>46126</v>
      </c>
      <c r="G223" s="128" t="s">
        <v>30</v>
      </c>
      <c r="H223" s="15" t="s">
        <v>29</v>
      </c>
      <c r="I223" s="947" t="s">
        <v>1838</v>
      </c>
    </row>
    <row r="224" spans="1:9" hidden="1">
      <c r="A224" s="13">
        <v>47</v>
      </c>
      <c r="B224" s="948" t="s">
        <v>388</v>
      </c>
      <c r="C224" s="948" t="s">
        <v>301</v>
      </c>
      <c r="D224" s="947" t="s">
        <v>42</v>
      </c>
      <c r="E224" s="13" t="s">
        <v>562</v>
      </c>
      <c r="F224" s="128">
        <v>46127</v>
      </c>
      <c r="G224" s="128" t="s">
        <v>30</v>
      </c>
      <c r="H224" s="15" t="s">
        <v>29</v>
      </c>
      <c r="I224" s="947" t="s">
        <v>554</v>
      </c>
    </row>
    <row r="225" spans="1:9">
      <c r="A225" s="13">
        <v>48</v>
      </c>
      <c r="B225" s="948" t="s">
        <v>51</v>
      </c>
      <c r="C225" s="948" t="s">
        <v>257</v>
      </c>
      <c r="D225" s="947" t="s">
        <v>61</v>
      </c>
      <c r="E225" s="13" t="s">
        <v>562</v>
      </c>
      <c r="F225" s="128">
        <v>46132</v>
      </c>
      <c r="G225" s="128" t="s">
        <v>30</v>
      </c>
      <c r="H225" s="15" t="s">
        <v>29</v>
      </c>
      <c r="I225" s="947" t="s">
        <v>1838</v>
      </c>
    </row>
    <row r="226" spans="1:9">
      <c r="A226" s="13">
        <v>49</v>
      </c>
      <c r="B226" s="948" t="s">
        <v>1872</v>
      </c>
      <c r="C226" s="948" t="s">
        <v>153</v>
      </c>
      <c r="D226" s="947" t="s">
        <v>42</v>
      </c>
      <c r="E226" s="13" t="s">
        <v>562</v>
      </c>
      <c r="F226" s="128">
        <v>46138</v>
      </c>
      <c r="G226" s="128" t="s">
        <v>30</v>
      </c>
      <c r="H226" s="15" t="s">
        <v>29</v>
      </c>
      <c r="I226" s="947" t="s">
        <v>1838</v>
      </c>
    </row>
    <row r="227" spans="1:9" hidden="1">
      <c r="A227" s="13">
        <v>50</v>
      </c>
      <c r="B227" s="948" t="s">
        <v>230</v>
      </c>
      <c r="C227" s="948" t="s">
        <v>153</v>
      </c>
      <c r="D227" s="947" t="s">
        <v>42</v>
      </c>
      <c r="E227" s="13" t="s">
        <v>562</v>
      </c>
      <c r="F227" s="128">
        <v>46138</v>
      </c>
      <c r="G227" s="128" t="s">
        <v>41</v>
      </c>
      <c r="H227" s="15" t="s">
        <v>29</v>
      </c>
      <c r="I227" s="947" t="s">
        <v>554</v>
      </c>
    </row>
    <row r="228" spans="1:9">
      <c r="A228" s="13">
        <v>51</v>
      </c>
      <c r="B228" s="948" t="s">
        <v>40</v>
      </c>
      <c r="C228" s="948" t="s">
        <v>257</v>
      </c>
      <c r="D228" s="947" t="s">
        <v>61</v>
      </c>
      <c r="E228" s="13" t="s">
        <v>562</v>
      </c>
      <c r="F228" s="128">
        <v>46137</v>
      </c>
      <c r="G228" s="128" t="s">
        <v>30</v>
      </c>
      <c r="H228" s="15" t="s">
        <v>29</v>
      </c>
      <c r="I228" s="947" t="s">
        <v>1838</v>
      </c>
    </row>
    <row r="229" spans="1:9">
      <c r="A229" s="13">
        <v>52</v>
      </c>
      <c r="B229" s="1184" t="s">
        <v>166</v>
      </c>
      <c r="C229" s="965" t="s">
        <v>1175</v>
      </c>
      <c r="D229" s="1182" t="s">
        <v>42</v>
      </c>
      <c r="E229" s="13" t="s">
        <v>562</v>
      </c>
      <c r="F229" s="128">
        <v>46167</v>
      </c>
      <c r="G229" s="128" t="s">
        <v>1922</v>
      </c>
      <c r="H229" s="15" t="s">
        <v>29</v>
      </c>
      <c r="I229" s="1182" t="s">
        <v>1838</v>
      </c>
    </row>
    <row r="230" spans="1:9" hidden="1">
      <c r="A230" s="13">
        <v>53</v>
      </c>
      <c r="B230" s="1183" t="s">
        <v>198</v>
      </c>
      <c r="C230" s="965" t="s">
        <v>34</v>
      </c>
      <c r="D230" s="1182" t="s">
        <v>42</v>
      </c>
      <c r="E230" s="13" t="s">
        <v>562</v>
      </c>
      <c r="F230" s="128">
        <v>46175</v>
      </c>
      <c r="G230" s="128" t="s">
        <v>1922</v>
      </c>
      <c r="H230" s="15" t="s">
        <v>29</v>
      </c>
      <c r="I230" s="1182" t="s">
        <v>554</v>
      </c>
    </row>
    <row r="231" spans="1:9" hidden="1">
      <c r="A231" s="13">
        <v>54</v>
      </c>
      <c r="B231" s="1183" t="s">
        <v>403</v>
      </c>
      <c r="C231" s="965" t="s">
        <v>34</v>
      </c>
      <c r="D231" s="1182" t="s">
        <v>42</v>
      </c>
      <c r="E231" s="13" t="s">
        <v>562</v>
      </c>
      <c r="F231" s="128">
        <v>46179</v>
      </c>
      <c r="G231" s="128" t="s">
        <v>30</v>
      </c>
      <c r="H231" s="15" t="s">
        <v>29</v>
      </c>
      <c r="I231" s="1182" t="s">
        <v>554</v>
      </c>
    </row>
    <row r="232" spans="1:9" hidden="1">
      <c r="A232" s="13">
        <v>55</v>
      </c>
      <c r="B232" s="1186" t="s">
        <v>399</v>
      </c>
      <c r="C232" s="1183" t="s">
        <v>48</v>
      </c>
      <c r="D232" s="1182" t="s">
        <v>42</v>
      </c>
      <c r="E232" s="13" t="s">
        <v>562</v>
      </c>
      <c r="F232" s="128">
        <v>46179</v>
      </c>
      <c r="G232" s="128" t="s">
        <v>30</v>
      </c>
      <c r="H232" s="15" t="s">
        <v>29</v>
      </c>
      <c r="I232" s="1182" t="s">
        <v>554</v>
      </c>
    </row>
    <row r="233" spans="1:9" hidden="1">
      <c r="A233" s="13">
        <v>56</v>
      </c>
      <c r="B233" s="1183" t="s">
        <v>65</v>
      </c>
      <c r="C233" s="965" t="s">
        <v>1424</v>
      </c>
      <c r="D233" s="1182" t="s">
        <v>42</v>
      </c>
      <c r="E233" s="13" t="s">
        <v>562</v>
      </c>
      <c r="F233" s="128">
        <v>46184</v>
      </c>
      <c r="G233" s="128" t="s">
        <v>2039</v>
      </c>
      <c r="H233" s="15" t="s">
        <v>29</v>
      </c>
      <c r="I233" s="1182" t="s">
        <v>554</v>
      </c>
    </row>
    <row r="234" spans="1:9" hidden="1">
      <c r="A234" s="833">
        <v>57</v>
      </c>
      <c r="B234" s="1236" t="s">
        <v>203</v>
      </c>
      <c r="C234" s="1237" t="s">
        <v>34</v>
      </c>
      <c r="D234" s="1240" t="s">
        <v>42</v>
      </c>
      <c r="E234" s="833" t="s">
        <v>562</v>
      </c>
      <c r="F234" s="834">
        <v>46184</v>
      </c>
      <c r="G234" s="128" t="s">
        <v>2039</v>
      </c>
      <c r="H234" s="1257" t="s">
        <v>29</v>
      </c>
      <c r="I234" s="1240" t="s">
        <v>554</v>
      </c>
    </row>
    <row r="235" spans="1:9">
      <c r="A235" s="13">
        <v>58</v>
      </c>
      <c r="B235" s="1235" t="s">
        <v>174</v>
      </c>
      <c r="C235" s="1234" t="s">
        <v>1181</v>
      </c>
      <c r="D235" s="1234" t="s">
        <v>42</v>
      </c>
      <c r="E235" s="833" t="s">
        <v>562</v>
      </c>
      <c r="F235" s="1258">
        <v>46203</v>
      </c>
      <c r="G235" s="128" t="s">
        <v>1885</v>
      </c>
      <c r="H235" s="1257" t="s">
        <v>29</v>
      </c>
      <c r="I235" s="1234" t="s">
        <v>1838</v>
      </c>
    </row>
    <row r="236" spans="1:9">
      <c r="A236" s="13">
        <v>59</v>
      </c>
      <c r="B236" s="1235" t="s">
        <v>65</v>
      </c>
      <c r="C236" s="1234" t="s">
        <v>1181</v>
      </c>
      <c r="D236" s="1234" t="s">
        <v>42</v>
      </c>
      <c r="E236" s="833" t="s">
        <v>562</v>
      </c>
      <c r="F236" s="1258">
        <v>46203</v>
      </c>
      <c r="G236" s="128" t="s">
        <v>30</v>
      </c>
      <c r="H236" s="1257" t="s">
        <v>29</v>
      </c>
      <c r="I236" s="1234" t="s">
        <v>1838</v>
      </c>
    </row>
    <row r="237" spans="1:9">
      <c r="A237" s="833">
        <v>60</v>
      </c>
      <c r="B237" s="1235" t="s">
        <v>213</v>
      </c>
      <c r="C237" s="1234" t="s">
        <v>1424</v>
      </c>
      <c r="D237" s="1234" t="s">
        <v>42</v>
      </c>
      <c r="E237" s="833" t="s">
        <v>562</v>
      </c>
      <c r="F237" s="1258">
        <v>46200</v>
      </c>
      <c r="G237" s="128" t="s">
        <v>30</v>
      </c>
      <c r="H237" s="1257" t="s">
        <v>29</v>
      </c>
      <c r="I237" s="1234" t="s">
        <v>1838</v>
      </c>
    </row>
    <row r="238" spans="1:9">
      <c r="A238" s="13">
        <v>61</v>
      </c>
      <c r="B238" s="1235" t="s">
        <v>356</v>
      </c>
      <c r="C238" s="1235" t="s">
        <v>1424</v>
      </c>
      <c r="D238" s="1234" t="s">
        <v>42</v>
      </c>
      <c r="E238" s="833" t="s">
        <v>562</v>
      </c>
      <c r="F238" s="1258">
        <v>46200</v>
      </c>
      <c r="G238" s="128" t="s">
        <v>1636</v>
      </c>
      <c r="H238" s="1257" t="s">
        <v>29</v>
      </c>
      <c r="I238" s="1234" t="s">
        <v>1838</v>
      </c>
    </row>
    <row r="239" spans="1:9">
      <c r="A239" s="13">
        <v>62</v>
      </c>
      <c r="B239" s="1235" t="s">
        <v>46</v>
      </c>
      <c r="C239" s="965" t="s">
        <v>53</v>
      </c>
      <c r="D239" s="1234" t="s">
        <v>42</v>
      </c>
      <c r="E239" s="833" t="s">
        <v>562</v>
      </c>
      <c r="F239" s="1258">
        <v>46180</v>
      </c>
      <c r="G239" s="128" t="s">
        <v>1186</v>
      </c>
      <c r="H239" s="1257" t="s">
        <v>29</v>
      </c>
      <c r="I239" s="1234" t="s">
        <v>1838</v>
      </c>
    </row>
    <row r="240" spans="1:9" hidden="1">
      <c r="A240" s="833">
        <v>63</v>
      </c>
      <c r="B240" s="1235" t="s">
        <v>213</v>
      </c>
      <c r="C240" s="1235" t="s">
        <v>53</v>
      </c>
      <c r="D240" s="1234" t="s">
        <v>42</v>
      </c>
      <c r="E240" s="833" t="s">
        <v>562</v>
      </c>
      <c r="F240" s="1258">
        <v>46158</v>
      </c>
      <c r="G240" s="128" t="s">
        <v>1883</v>
      </c>
      <c r="H240" s="1257" t="s">
        <v>29</v>
      </c>
      <c r="I240" s="1240" t="s">
        <v>554</v>
      </c>
    </row>
    <row r="241" spans="1:9">
      <c r="A241" s="13">
        <v>64</v>
      </c>
      <c r="B241" s="1124" t="s">
        <v>726</v>
      </c>
      <c r="C241" s="965" t="s">
        <v>32</v>
      </c>
      <c r="D241" s="1234" t="s">
        <v>61</v>
      </c>
      <c r="E241" s="833" t="s">
        <v>562</v>
      </c>
      <c r="F241" s="1258">
        <v>46149</v>
      </c>
      <c r="G241" s="128" t="s">
        <v>30</v>
      </c>
      <c r="H241" s="1257" t="s">
        <v>29</v>
      </c>
      <c r="I241" s="1234" t="s">
        <v>1838</v>
      </c>
    </row>
    <row r="242" spans="1:9">
      <c r="A242" s="13">
        <v>65</v>
      </c>
      <c r="B242" s="1235" t="s">
        <v>55</v>
      </c>
      <c r="C242" s="1234" t="s">
        <v>1423</v>
      </c>
      <c r="D242" s="1234" t="s">
        <v>42</v>
      </c>
      <c r="E242" s="666" t="s">
        <v>562</v>
      </c>
      <c r="F242" s="1258">
        <v>46193</v>
      </c>
      <c r="G242" s="128" t="s">
        <v>2039</v>
      </c>
      <c r="H242" s="609" t="s">
        <v>29</v>
      </c>
      <c r="I242" s="1234" t="s">
        <v>1838</v>
      </c>
    </row>
    <row r="243" spans="1:9">
      <c r="B243" s="1256"/>
    </row>
  </sheetData>
  <autoFilter ref="A176:I242">
    <filterColumn colId="8">
      <filters>
        <filter val="LOOPOUT"/>
      </filters>
    </filterColumn>
  </autoFilter>
  <mergeCells count="3">
    <mergeCell ref="A1:I1"/>
    <mergeCell ref="A148:I148"/>
    <mergeCell ref="A175:I175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operator="containsText" id="{8363F690-C9CA-41C6-92D3-0491E3134DA4}">
            <xm:f>NOT(ISERROR(SEARCH(#REF!,H178)))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H178 H228:H242</xm:sqref>
        </x14:conditionalFormatting>
        <x14:conditionalFormatting xmlns:xm="http://schemas.microsoft.com/office/excel/2006/main">
          <x14:cfRule type="containsText" priority="39" operator="containsText" id="{B0708429-A52B-4AD5-A479-181F9CF6DC02}">
            <xm:f>NOT(ISERROR(SEARCH(#REF!,H179)))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H179:H206</xm:sqref>
        </x14:conditionalFormatting>
        <x14:conditionalFormatting xmlns:xm="http://schemas.microsoft.com/office/excel/2006/main">
          <x14:cfRule type="containsText" priority="32" operator="containsText" id="{77BBBA0A-7571-4EB4-9BBF-C1128E50AB1E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21" operator="containsText" id="{D5F75410-FBEC-4C54-ABF1-81658589DC6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H208:H221</xm:sqref>
        </x14:conditionalFormatting>
        <x14:conditionalFormatting xmlns:xm="http://schemas.microsoft.com/office/excel/2006/main">
          <x14:cfRule type="containsText" priority="1344" operator="containsText" id="{7E6A28F6-AEB3-4C34-956C-3DDA5A5FE2AA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H174</xm:sqref>
        </x14:conditionalFormatting>
        <x14:conditionalFormatting xmlns:xm="http://schemas.microsoft.com/office/excel/2006/main">
          <x14:cfRule type="containsText" priority="11" operator="containsText" id="{8B4F86F2-FB63-41D1-8512-12A6BB95ABB6}">
            <xm:f>NOT(ISERROR(SEARCH(#REF!,H222)))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H222</xm:sqref>
        </x14:conditionalFormatting>
        <x14:conditionalFormatting xmlns:xm="http://schemas.microsoft.com/office/excel/2006/main">
          <x14:cfRule type="containsText" priority="10" operator="containsText" id="{C8B38343-6EDE-438D-9597-3386457BFD6E}">
            <xm:f>NOT(ISERROR(SEARCH(#REF!,H227)))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H227</xm:sqref>
        </x14:conditionalFormatting>
        <x14:conditionalFormatting xmlns:xm="http://schemas.microsoft.com/office/excel/2006/main">
          <x14:cfRule type="containsText" priority="9" operator="containsText" id="{327836B5-6E2F-46DB-A84E-576AB2375670}">
            <xm:f>NOT(ISERROR(SEARCH(#REF!,H224)))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H224</xm:sqref>
        </x14:conditionalFormatting>
        <x14:conditionalFormatting xmlns:xm="http://schemas.microsoft.com/office/excel/2006/main">
          <x14:cfRule type="containsText" priority="8" operator="containsText" id="{C222810A-F6F7-4737-8080-82198A2713EB}">
            <xm:f>NOT(ISERROR(SEARCH(#REF!,H223)))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H223</xm:sqref>
        </x14:conditionalFormatting>
        <x14:conditionalFormatting xmlns:xm="http://schemas.microsoft.com/office/excel/2006/main">
          <x14:cfRule type="containsText" priority="7" operator="containsText" id="{A7B3E7AA-9BBC-462D-93FC-E8EDFB0DA926}">
            <xm:f>NOT(ISERROR(SEARCH(#REF!,H226)))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H226</xm:sqref>
        </x14:conditionalFormatting>
        <x14:conditionalFormatting xmlns:xm="http://schemas.microsoft.com/office/excel/2006/main">
          <x14:cfRule type="containsText" priority="5" operator="containsText" id="{22E455A2-D162-45D1-9E36-088B4C584DBC}">
            <xm:f>NOT(ISERROR(SEARCH(#REF!,H225)))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H225</xm:sqref>
        </x14:conditionalFormatting>
        <x14:conditionalFormatting xmlns:xm="http://schemas.microsoft.com/office/excel/2006/main">
          <x14:cfRule type="containsText" priority="1368" operator="containsText" id="{7E6A28F6-AEB3-4C34-956C-3DDA5A5FE2AA}">
            <xm:f>NOT(ISERROR(SEARCH(Foundation!#REF!,Foundation!J238)))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H165:H172</xm:sqref>
        </x14:conditionalFormatting>
        <x14:conditionalFormatting xmlns:xm="http://schemas.microsoft.com/office/excel/2006/main">
          <x14:cfRule type="containsText" priority="1374" operator="containsText" id="{7E6A28F6-AEB3-4C34-956C-3DDA5A5FE2AA}">
            <xm:f>NOT(ISERROR(SEARCH(Foundation!#REF!,Foundation!J210)))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H151:H154</xm:sqref>
        </x14:conditionalFormatting>
        <x14:conditionalFormatting xmlns:xm="http://schemas.microsoft.com/office/excel/2006/main">
          <x14:cfRule type="containsText" priority="1376" operator="containsText" id="{7E6A28F6-AEB3-4C34-956C-3DDA5A5FE2AA}">
            <xm:f>NOT(ISERROR(SEARCH(Foundation!#REF!,Foundation!J215)))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H155:H161</xm:sqref>
        </x14:conditionalFormatting>
        <x14:conditionalFormatting xmlns:xm="http://schemas.microsoft.com/office/excel/2006/main">
          <x14:cfRule type="containsText" priority="1490" operator="containsText" id="{7E6A28F6-AEB3-4C34-956C-3DDA5A5FE2AA}">
            <xm:f>NOT(ISERROR(SEARCH(Foundation!#REF!,Foundation!#REF!)))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</xm:sqref>
        </x14:conditionalFormatting>
        <x14:conditionalFormatting xmlns:xm="http://schemas.microsoft.com/office/excel/2006/main">
          <x14:cfRule type="containsText" priority="1560" operator="containsText" id="{7E6A28F6-AEB3-4C34-956C-3DDA5A5FE2AA}">
            <xm:f>NOT(ISERROR(SEARCH(Foundation!#REF!,Foundation!J237)))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H163:H164</xm:sqref>
        </x14:conditionalFormatting>
        <x14:conditionalFormatting xmlns:xm="http://schemas.microsoft.com/office/excel/2006/main">
          <x14:cfRule type="containsText" priority="1577" operator="containsText" id="{7E6A28F6-AEB3-4C34-956C-3DDA5A5FE2AA}">
            <xm:f>NOT(ISERROR(SEARCH(Foundation!#REF!,Foundation!J241)))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M11" sqref="M11"/>
    </sheetView>
  </sheetViews>
  <sheetFormatPr defaultRowHeight="15"/>
  <cols>
    <col min="1" max="1" width="2.7109375" bestFit="1" customWidth="1"/>
    <col min="2" max="2" width="8.7109375" customWidth="1"/>
    <col min="3" max="3" width="5.85546875" bestFit="1" customWidth="1"/>
    <col min="4" max="4" width="12.7109375" bestFit="1" customWidth="1"/>
    <col min="5" max="7" width="10.42578125" bestFit="1" customWidth="1"/>
    <col min="8" max="8" width="18.140625" bestFit="1" customWidth="1"/>
    <col min="10" max="10" width="19.28515625" bestFit="1" customWidth="1"/>
    <col min="11" max="11" width="8.5703125" bestFit="1" customWidth="1"/>
  </cols>
  <sheetData>
    <row r="1" spans="1:11" ht="18.75">
      <c r="A1" s="1936" t="s">
        <v>85</v>
      </c>
      <c r="B1" s="1937"/>
      <c r="C1" s="1937"/>
      <c r="D1" s="1937"/>
      <c r="E1" s="1937"/>
      <c r="F1" s="1937"/>
      <c r="G1" s="1937"/>
      <c r="H1" s="1937"/>
      <c r="I1" s="1937"/>
      <c r="J1" s="1937"/>
      <c r="K1" s="1937"/>
    </row>
    <row r="2" spans="1:11">
      <c r="A2" s="2006" t="s">
        <v>25</v>
      </c>
      <c r="B2" s="2005" t="s">
        <v>2179</v>
      </c>
      <c r="C2" s="2005"/>
      <c r="D2" s="2005" t="s">
        <v>2180</v>
      </c>
      <c r="E2" s="2005" t="s">
        <v>36</v>
      </c>
      <c r="F2" s="2005" t="s">
        <v>1657</v>
      </c>
      <c r="G2" s="2005" t="s">
        <v>1658</v>
      </c>
      <c r="H2" s="2005" t="s">
        <v>1594</v>
      </c>
      <c r="I2" s="2005" t="s">
        <v>1659</v>
      </c>
      <c r="J2" s="2005" t="s">
        <v>35</v>
      </c>
      <c r="K2" s="2005" t="s">
        <v>2</v>
      </c>
    </row>
    <row r="3" spans="1:11">
      <c r="A3" s="2007"/>
      <c r="B3" s="1255" t="s">
        <v>2138</v>
      </c>
      <c r="C3" s="1254" t="s">
        <v>2139</v>
      </c>
      <c r="D3" s="2005"/>
      <c r="E3" s="2005"/>
      <c r="F3" s="2005"/>
      <c r="G3" s="2005"/>
      <c r="H3" s="2005"/>
      <c r="I3" s="2005"/>
      <c r="J3" s="2005"/>
      <c r="K3" s="2005"/>
    </row>
    <row r="5" spans="1:11" s="567" customFormat="1">
      <c r="A5" s="69">
        <v>1</v>
      </c>
      <c r="B5" s="747" t="s">
        <v>1169</v>
      </c>
      <c r="C5" s="69" t="s">
        <v>1210</v>
      </c>
      <c r="D5" s="1171">
        <v>0.34399999999999997</v>
      </c>
      <c r="E5" s="69" t="s">
        <v>2181</v>
      </c>
      <c r="F5" s="715">
        <v>46187</v>
      </c>
      <c r="G5" s="715">
        <v>46188</v>
      </c>
      <c r="H5" s="2008" t="s">
        <v>2176</v>
      </c>
      <c r="I5" s="69">
        <f>D5</f>
        <v>0.34399999999999997</v>
      </c>
      <c r="J5" s="1172" t="s">
        <v>2156</v>
      </c>
      <c r="K5" s="849"/>
    </row>
    <row r="6" spans="1:11" s="567" customFormat="1">
      <c r="A6" s="69">
        <v>2</v>
      </c>
      <c r="B6" s="747" t="s">
        <v>1210</v>
      </c>
      <c r="C6" s="69" t="s">
        <v>1180</v>
      </c>
      <c r="D6" s="1171">
        <v>1.373</v>
      </c>
      <c r="E6" s="69" t="s">
        <v>2181</v>
      </c>
      <c r="F6" s="715">
        <v>46189</v>
      </c>
      <c r="G6" s="715">
        <v>46191</v>
      </c>
      <c r="H6" s="2008"/>
      <c r="I6" s="69">
        <f>I5+D6</f>
        <v>1.7170000000000001</v>
      </c>
      <c r="J6" s="1172" t="s">
        <v>2156</v>
      </c>
      <c r="K6" s="69"/>
    </row>
    <row r="7" spans="1:11" s="567" customFormat="1">
      <c r="A7" s="69">
        <v>3</v>
      </c>
      <c r="B7" s="747" t="s">
        <v>1180</v>
      </c>
      <c r="C7" s="69" t="s">
        <v>1198</v>
      </c>
      <c r="D7" s="1171">
        <v>1.4830000000000001</v>
      </c>
      <c r="E7" s="69" t="s">
        <v>2181</v>
      </c>
      <c r="F7" s="715">
        <v>46192</v>
      </c>
      <c r="G7" s="715">
        <v>46197</v>
      </c>
      <c r="H7" s="2008"/>
      <c r="I7" s="1238">
        <f>I6+D7</f>
        <v>3.2</v>
      </c>
      <c r="J7" s="1172" t="s">
        <v>2156</v>
      </c>
      <c r="K7" s="69"/>
    </row>
  </sheetData>
  <mergeCells count="12">
    <mergeCell ref="K2:K3"/>
    <mergeCell ref="A2:A3"/>
    <mergeCell ref="A1:K1"/>
    <mergeCell ref="H5:H7"/>
    <mergeCell ref="B2:C2"/>
    <mergeCell ref="D2:D3"/>
    <mergeCell ref="E2:E3"/>
    <mergeCell ref="F2:F3"/>
    <mergeCell ref="G2:G3"/>
    <mergeCell ref="H2:H3"/>
    <mergeCell ref="I2:I3"/>
    <mergeCell ref="J2:J3"/>
  </mergeCells>
  <conditionalFormatting sqref="B2:B3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68" t="s">
        <v>85</v>
      </c>
    </row>
    <row r="2" spans="1:6" s="1180" customFormat="1" ht="30">
      <c r="A2" s="943" t="s">
        <v>62</v>
      </c>
      <c r="B2" s="944" t="s">
        <v>551</v>
      </c>
      <c r="C2" s="943" t="s">
        <v>38</v>
      </c>
      <c r="D2" s="944" t="s">
        <v>37</v>
      </c>
      <c r="E2" s="944" t="s">
        <v>2152</v>
      </c>
      <c r="F2" s="944" t="s">
        <v>2</v>
      </c>
    </row>
    <row r="3" spans="1:6">
      <c r="A3" s="29">
        <v>2</v>
      </c>
      <c r="B3" s="946" t="s">
        <v>1180</v>
      </c>
      <c r="C3" s="946" t="s">
        <v>53</v>
      </c>
      <c r="D3" s="942" t="s">
        <v>42</v>
      </c>
      <c r="E3" s="29" t="s">
        <v>1880</v>
      </c>
      <c r="F3" s="1"/>
    </row>
    <row r="4" spans="1:6">
      <c r="A4" s="29">
        <v>37</v>
      </c>
      <c r="B4" s="965" t="s">
        <v>1304</v>
      </c>
      <c r="C4" s="965" t="s">
        <v>2067</v>
      </c>
      <c r="D4" s="965" t="s">
        <v>61</v>
      </c>
      <c r="E4" s="29" t="s">
        <v>1941</v>
      </c>
      <c r="F4" s="1"/>
    </row>
    <row r="5" spans="1:6">
      <c r="A5" s="29">
        <v>9</v>
      </c>
      <c r="B5" s="1183" t="s">
        <v>1202</v>
      </c>
      <c r="C5" s="1183" t="s">
        <v>1925</v>
      </c>
      <c r="D5" s="814" t="s">
        <v>61</v>
      </c>
      <c r="E5" s="1183" t="s">
        <v>1855</v>
      </c>
      <c r="F5" s="1"/>
    </row>
    <row r="6" spans="1:6">
      <c r="A6" s="29">
        <v>21</v>
      </c>
      <c r="B6" s="965" t="s">
        <v>1203</v>
      </c>
      <c r="C6" s="965" t="s">
        <v>1928</v>
      </c>
      <c r="D6" s="965" t="s">
        <v>61</v>
      </c>
      <c r="E6" s="29" t="s">
        <v>1880</v>
      </c>
      <c r="F6" s="1"/>
    </row>
    <row r="7" spans="1:6">
      <c r="A7" s="29">
        <v>17</v>
      </c>
      <c r="B7" s="965" t="s">
        <v>1305</v>
      </c>
      <c r="C7" s="965" t="s">
        <v>1925</v>
      </c>
      <c r="D7" s="965" t="s">
        <v>61</v>
      </c>
      <c r="E7" s="29" t="s">
        <v>1880</v>
      </c>
      <c r="F7" s="1"/>
    </row>
    <row r="8" spans="1:6">
      <c r="A8" s="29">
        <v>14</v>
      </c>
      <c r="B8" s="1183" t="s">
        <v>1306</v>
      </c>
      <c r="C8" s="1183" t="s">
        <v>1928</v>
      </c>
      <c r="D8" s="814" t="s">
        <v>42</v>
      </c>
      <c r="E8" s="29" t="s">
        <v>1880</v>
      </c>
      <c r="F8" s="1"/>
    </row>
    <row r="9" spans="1:6">
      <c r="A9" s="29">
        <v>28</v>
      </c>
      <c r="B9" s="965" t="s">
        <v>1307</v>
      </c>
      <c r="C9" s="965" t="s">
        <v>2066</v>
      </c>
      <c r="D9" s="965" t="s">
        <v>42</v>
      </c>
      <c r="E9" s="29" t="s">
        <v>1880</v>
      </c>
      <c r="F9" s="1"/>
    </row>
    <row r="10" spans="1:6">
      <c r="A10" s="29">
        <v>25</v>
      </c>
      <c r="B10" s="965" t="s">
        <v>1308</v>
      </c>
      <c r="C10" s="965" t="s">
        <v>1181</v>
      </c>
      <c r="D10" s="965" t="s">
        <v>42</v>
      </c>
      <c r="E10" s="29" t="s">
        <v>1880</v>
      </c>
      <c r="F10" s="1"/>
    </row>
    <row r="11" spans="1:6">
      <c r="A11" s="29">
        <v>30</v>
      </c>
      <c r="B11" s="965" t="s">
        <v>1312</v>
      </c>
      <c r="C11" s="965" t="s">
        <v>1907</v>
      </c>
      <c r="D11" s="965" t="s">
        <v>61</v>
      </c>
      <c r="E11" s="29" t="s">
        <v>1951</v>
      </c>
      <c r="F11" s="1"/>
    </row>
    <row r="12" spans="1:6">
      <c r="A12" s="29">
        <v>36</v>
      </c>
      <c r="B12" s="965" t="s">
        <v>1313</v>
      </c>
      <c r="C12" s="965" t="s">
        <v>32</v>
      </c>
      <c r="D12" s="965" t="s">
        <v>61</v>
      </c>
      <c r="E12" s="29" t="s">
        <v>1951</v>
      </c>
      <c r="F12" s="1"/>
    </row>
    <row r="13" spans="1:6">
      <c r="A13" s="29">
        <v>20</v>
      </c>
      <c r="B13" s="965" t="s">
        <v>1314</v>
      </c>
      <c r="C13" s="965" t="s">
        <v>1939</v>
      </c>
      <c r="D13" s="965" t="s">
        <v>61</v>
      </c>
      <c r="E13" s="29" t="s">
        <v>1951</v>
      </c>
      <c r="F13" s="1"/>
    </row>
    <row r="14" spans="1:6">
      <c r="A14" s="29">
        <v>22</v>
      </c>
      <c r="B14" s="965" t="s">
        <v>1315</v>
      </c>
      <c r="C14" s="965" t="s">
        <v>32</v>
      </c>
      <c r="D14" s="965" t="s">
        <v>61</v>
      </c>
      <c r="E14" s="29" t="s">
        <v>1951</v>
      </c>
      <c r="F14" s="1"/>
    </row>
    <row r="15" spans="1:6">
      <c r="A15" s="29">
        <v>40</v>
      </c>
      <c r="B15" s="965" t="s">
        <v>1316</v>
      </c>
      <c r="C15" s="965" t="s">
        <v>48</v>
      </c>
      <c r="D15" s="965" t="s">
        <v>61</v>
      </c>
      <c r="E15" s="29" t="s">
        <v>1951</v>
      </c>
      <c r="F15" s="1"/>
    </row>
    <row r="16" spans="1:6">
      <c r="A16" s="29">
        <v>42</v>
      </c>
      <c r="B16" s="965" t="s">
        <v>1317</v>
      </c>
      <c r="C16" s="965" t="s">
        <v>1423</v>
      </c>
      <c r="D16" s="965" t="s">
        <v>42</v>
      </c>
      <c r="E16" s="29" t="s">
        <v>1941</v>
      </c>
      <c r="F16" s="1"/>
    </row>
    <row r="17" spans="1:6">
      <c r="A17" s="29">
        <v>1</v>
      </c>
      <c r="B17" s="1183" t="s">
        <v>1323</v>
      </c>
      <c r="C17" s="1183" t="s">
        <v>50</v>
      </c>
      <c r="D17" s="814" t="s">
        <v>42</v>
      </c>
      <c r="E17" s="29" t="s">
        <v>1880</v>
      </c>
      <c r="F17" s="1"/>
    </row>
    <row r="18" spans="1:6">
      <c r="A18" s="29">
        <v>5</v>
      </c>
      <c r="B18" s="1183" t="s">
        <v>1328</v>
      </c>
      <c r="C18" s="1183" t="s">
        <v>32</v>
      </c>
      <c r="D18" s="814" t="s">
        <v>61</v>
      </c>
      <c r="E18" s="29" t="s">
        <v>1924</v>
      </c>
      <c r="F18" s="1"/>
    </row>
    <row r="19" spans="1:6">
      <c r="A19" s="29">
        <v>4</v>
      </c>
      <c r="B19" s="1183" t="s">
        <v>1332</v>
      </c>
      <c r="C19" s="1183" t="s">
        <v>1905</v>
      </c>
      <c r="D19" s="814" t="s">
        <v>61</v>
      </c>
      <c r="E19" s="29" t="s">
        <v>1924</v>
      </c>
      <c r="F19" s="1"/>
    </row>
    <row r="20" spans="1:6">
      <c r="A20" s="29">
        <v>6</v>
      </c>
      <c r="B20" s="1183" t="s">
        <v>1333</v>
      </c>
      <c r="C20" s="1183" t="s">
        <v>1928</v>
      </c>
      <c r="D20" s="814" t="s">
        <v>42</v>
      </c>
      <c r="E20" s="29" t="s">
        <v>1924</v>
      </c>
      <c r="F20" s="1"/>
    </row>
    <row r="21" spans="1:6">
      <c r="A21" s="29">
        <v>10</v>
      </c>
      <c r="B21" s="1183" t="s">
        <v>1353</v>
      </c>
      <c r="C21" s="1183" t="s">
        <v>48</v>
      </c>
      <c r="D21" s="814" t="s">
        <v>61</v>
      </c>
      <c r="E21" s="1183" t="s">
        <v>1890</v>
      </c>
      <c r="F21" s="1"/>
    </row>
    <row r="22" spans="1:6">
      <c r="A22" s="29">
        <v>19</v>
      </c>
      <c r="B22" s="965" t="s">
        <v>1378</v>
      </c>
      <c r="C22" s="965" t="s">
        <v>32</v>
      </c>
      <c r="D22" s="965" t="s">
        <v>61</v>
      </c>
      <c r="E22" s="29" t="s">
        <v>1854</v>
      </c>
      <c r="F22" s="1"/>
    </row>
    <row r="23" spans="1:6">
      <c r="A23" s="29">
        <v>11</v>
      </c>
      <c r="B23" s="1183" t="s">
        <v>1380</v>
      </c>
      <c r="C23" s="1183" t="s">
        <v>32</v>
      </c>
      <c r="D23" s="814" t="s">
        <v>61</v>
      </c>
      <c r="E23" s="1183" t="s">
        <v>1854</v>
      </c>
      <c r="F23" s="1"/>
    </row>
    <row r="24" spans="1:6">
      <c r="A24" s="29">
        <v>8</v>
      </c>
      <c r="B24" s="1183" t="s">
        <v>1381</v>
      </c>
      <c r="C24" s="1183" t="s">
        <v>1935</v>
      </c>
      <c r="D24" s="814" t="s">
        <v>42</v>
      </c>
      <c r="E24" s="1183" t="s">
        <v>1854</v>
      </c>
      <c r="F24" s="1"/>
    </row>
    <row r="25" spans="1:6">
      <c r="A25" s="29">
        <v>29</v>
      </c>
      <c r="B25" s="965" t="s">
        <v>1389</v>
      </c>
      <c r="C25" s="965" t="s">
        <v>1427</v>
      </c>
      <c r="D25" s="965" t="s">
        <v>61</v>
      </c>
      <c r="E25" s="29" t="s">
        <v>1924</v>
      </c>
      <c r="F25" s="1"/>
    </row>
    <row r="26" spans="1:6">
      <c r="A26" s="29">
        <v>43</v>
      </c>
      <c r="B26" s="965" t="s">
        <v>1398</v>
      </c>
      <c r="C26" s="965" t="s">
        <v>57</v>
      </c>
      <c r="D26" s="965" t="s">
        <v>42</v>
      </c>
      <c r="E26" s="29" t="s">
        <v>2150</v>
      </c>
      <c r="F26" s="1"/>
    </row>
    <row r="27" spans="1:6">
      <c r="A27" s="29">
        <v>38</v>
      </c>
      <c r="B27" s="965" t="s">
        <v>1410</v>
      </c>
      <c r="C27" s="965" t="s">
        <v>48</v>
      </c>
      <c r="D27" s="965" t="s">
        <v>42</v>
      </c>
      <c r="E27" s="29" t="s">
        <v>1854</v>
      </c>
      <c r="F27" s="1"/>
    </row>
    <row r="28" spans="1:6">
      <c r="A28" s="29">
        <v>32</v>
      </c>
      <c r="B28" s="965" t="s">
        <v>1412</v>
      </c>
      <c r="C28" s="965" t="s">
        <v>43</v>
      </c>
      <c r="D28" s="965" t="s">
        <v>42</v>
      </c>
      <c r="E28" s="29" t="s">
        <v>1887</v>
      </c>
      <c r="F28" s="1"/>
    </row>
    <row r="29" spans="1:6">
      <c r="A29" s="29">
        <v>26</v>
      </c>
      <c r="B29" s="965" t="s">
        <v>1413</v>
      </c>
      <c r="C29" s="965" t="s">
        <v>32</v>
      </c>
      <c r="D29" s="965" t="s">
        <v>42</v>
      </c>
      <c r="E29" s="29" t="s">
        <v>1887</v>
      </c>
      <c r="F29" s="1"/>
    </row>
    <row r="30" spans="1:6">
      <c r="A30" s="29">
        <v>15</v>
      </c>
      <c r="B30" s="1183" t="s">
        <v>1415</v>
      </c>
      <c r="C30" s="1183" t="s">
        <v>48</v>
      </c>
      <c r="D30" s="814" t="s">
        <v>42</v>
      </c>
      <c r="E30" s="29" t="s">
        <v>1887</v>
      </c>
      <c r="F30" s="1"/>
    </row>
    <row r="31" spans="1:6">
      <c r="A31" s="29">
        <v>7</v>
      </c>
      <c r="B31" s="1183" t="s">
        <v>1416</v>
      </c>
      <c r="C31" s="1183" t="s">
        <v>1426</v>
      </c>
      <c r="D31" s="814" t="s">
        <v>42</v>
      </c>
      <c r="E31" s="1181" t="s">
        <v>1887</v>
      </c>
      <c r="F31" s="1"/>
    </row>
    <row r="32" spans="1:6">
      <c r="A32" s="29">
        <v>13</v>
      </c>
      <c r="B32" s="1183" t="s">
        <v>1417</v>
      </c>
      <c r="C32" s="1183" t="s">
        <v>1426</v>
      </c>
      <c r="D32" s="814" t="s">
        <v>61</v>
      </c>
      <c r="E32" s="29" t="s">
        <v>1887</v>
      </c>
      <c r="F32" s="1"/>
    </row>
    <row r="33" spans="1:6">
      <c r="A33" s="29">
        <v>18</v>
      </c>
      <c r="B33" s="965" t="s">
        <v>1418</v>
      </c>
      <c r="C33" s="965" t="s">
        <v>48</v>
      </c>
      <c r="D33" s="965" t="s">
        <v>42</v>
      </c>
      <c r="E33" s="29" t="s">
        <v>1887</v>
      </c>
      <c r="F33" s="1"/>
    </row>
    <row r="34" spans="1:6">
      <c r="A34" s="29">
        <v>24</v>
      </c>
      <c r="B34" s="965" t="s">
        <v>1420</v>
      </c>
      <c r="C34" s="965" t="s">
        <v>34</v>
      </c>
      <c r="D34" s="965" t="s">
        <v>61</v>
      </c>
      <c r="E34" s="29" t="s">
        <v>1887</v>
      </c>
      <c r="F34" s="1"/>
    </row>
    <row r="35" spans="1:6">
      <c r="A35" s="29">
        <v>12</v>
      </c>
      <c r="B35" s="1183" t="s">
        <v>1682</v>
      </c>
      <c r="C35" s="1183" t="s">
        <v>1934</v>
      </c>
      <c r="D35" s="814" t="s">
        <v>61</v>
      </c>
      <c r="E35" s="29" t="s">
        <v>1923</v>
      </c>
      <c r="F35" s="1"/>
    </row>
    <row r="36" spans="1:6">
      <c r="A36" s="29">
        <v>16</v>
      </c>
      <c r="B36" s="1183" t="s">
        <v>1683</v>
      </c>
      <c r="C36" s="1183" t="s">
        <v>1938</v>
      </c>
      <c r="D36" s="814" t="s">
        <v>61</v>
      </c>
      <c r="E36" s="29" t="s">
        <v>1923</v>
      </c>
      <c r="F36" s="1"/>
    </row>
    <row r="37" spans="1:6">
      <c r="A37" s="29">
        <v>33</v>
      </c>
      <c r="B37" s="965" t="s">
        <v>1711</v>
      </c>
      <c r="C37" s="965" t="s">
        <v>48</v>
      </c>
      <c r="D37" s="965" t="s">
        <v>61</v>
      </c>
      <c r="E37" s="29" t="s">
        <v>1923</v>
      </c>
      <c r="F37" s="1"/>
    </row>
    <row r="38" spans="1:6">
      <c r="A38" s="29">
        <v>35</v>
      </c>
      <c r="B38" s="965" t="s">
        <v>1710</v>
      </c>
      <c r="C38" s="965" t="s">
        <v>1175</v>
      </c>
      <c r="D38" s="965" t="s">
        <v>61</v>
      </c>
      <c r="E38" s="29" t="s">
        <v>1923</v>
      </c>
      <c r="F38" s="1"/>
    </row>
    <row r="39" spans="1:6">
      <c r="A39" s="29">
        <v>31</v>
      </c>
      <c r="B39" s="965" t="s">
        <v>1232</v>
      </c>
      <c r="C39" s="965" t="s">
        <v>1181</v>
      </c>
      <c r="D39" s="965" t="s">
        <v>61</v>
      </c>
      <c r="E39" s="29" t="s">
        <v>1923</v>
      </c>
      <c r="F39" s="1"/>
    </row>
    <row r="40" spans="1:6">
      <c r="A40" s="29">
        <v>27</v>
      </c>
      <c r="B40" s="965" t="s">
        <v>1233</v>
      </c>
      <c r="C40" s="965" t="s">
        <v>32</v>
      </c>
      <c r="D40" s="965" t="s">
        <v>61</v>
      </c>
      <c r="E40" s="29" t="s">
        <v>1923</v>
      </c>
      <c r="F40" s="1"/>
    </row>
    <row r="41" spans="1:6">
      <c r="A41" s="29">
        <v>23</v>
      </c>
      <c r="B41" s="965" t="s">
        <v>1237</v>
      </c>
      <c r="C41" s="965" t="s">
        <v>1952</v>
      </c>
      <c r="D41" s="965" t="s">
        <v>61</v>
      </c>
      <c r="E41" s="29" t="s">
        <v>1923</v>
      </c>
      <c r="F41" s="1"/>
    </row>
    <row r="42" spans="1:6">
      <c r="A42" s="29">
        <v>41</v>
      </c>
      <c r="B42" s="965" t="s">
        <v>1271</v>
      </c>
      <c r="C42" s="965" t="s">
        <v>57</v>
      </c>
      <c r="D42" s="965" t="s">
        <v>61</v>
      </c>
      <c r="E42" s="29" t="s">
        <v>2151</v>
      </c>
      <c r="F42" s="1"/>
    </row>
    <row r="43" spans="1:6">
      <c r="A43" s="29">
        <v>34</v>
      </c>
      <c r="B43" s="965" t="s">
        <v>1273</v>
      </c>
      <c r="C43" s="965" t="s">
        <v>2065</v>
      </c>
      <c r="D43" s="965" t="s">
        <v>61</v>
      </c>
      <c r="E43" s="29" t="s">
        <v>2149</v>
      </c>
      <c r="F43" s="1"/>
    </row>
    <row r="44" spans="1:6">
      <c r="A44" s="29">
        <v>3</v>
      </c>
      <c r="B44" s="1183" t="s">
        <v>1193</v>
      </c>
      <c r="C44" s="1183" t="s">
        <v>50</v>
      </c>
      <c r="D44" s="814" t="s">
        <v>61</v>
      </c>
      <c r="E44" s="29" t="s">
        <v>41</v>
      </c>
      <c r="F44" s="1"/>
    </row>
    <row r="45" spans="1:6">
      <c r="A45" s="29">
        <v>39</v>
      </c>
      <c r="B45" s="965" t="s">
        <v>1192</v>
      </c>
      <c r="C45" s="965" t="s">
        <v>32</v>
      </c>
      <c r="D45" s="965" t="s">
        <v>42</v>
      </c>
      <c r="E45" s="29" t="s">
        <v>41</v>
      </c>
      <c r="F45" s="1"/>
    </row>
    <row r="48" spans="1:6">
      <c r="A48" s="568" t="s">
        <v>1931</v>
      </c>
    </row>
    <row r="49" spans="1:6" ht="30">
      <c r="A49" s="943" t="s">
        <v>62</v>
      </c>
      <c r="B49" s="944" t="s">
        <v>551</v>
      </c>
      <c r="C49" s="943" t="s">
        <v>38</v>
      </c>
      <c r="D49" s="944" t="s">
        <v>37</v>
      </c>
      <c r="E49" s="944" t="s">
        <v>2152</v>
      </c>
      <c r="F49" s="944" t="s">
        <v>2</v>
      </c>
    </row>
    <row r="50" spans="1:6">
      <c r="A50" s="29">
        <v>1</v>
      </c>
      <c r="B50" s="69" t="s">
        <v>65</v>
      </c>
      <c r="C50" s="69" t="s">
        <v>573</v>
      </c>
      <c r="D50" s="1183" t="s">
        <v>31</v>
      </c>
      <c r="E50" s="29" t="s">
        <v>1945</v>
      </c>
      <c r="F50" s="1"/>
    </row>
    <row r="51" spans="1:6">
      <c r="A51" s="29">
        <v>2</v>
      </c>
      <c r="B51" s="1183" t="s">
        <v>152</v>
      </c>
      <c r="C51" s="1183" t="s">
        <v>658</v>
      </c>
      <c r="D51" s="1183" t="s">
        <v>42</v>
      </c>
      <c r="E51" s="29" t="s">
        <v>1945</v>
      </c>
      <c r="F51" s="1"/>
    </row>
    <row r="52" spans="1:6">
      <c r="A52" s="29">
        <v>3</v>
      </c>
      <c r="B52" s="1183" t="s">
        <v>68</v>
      </c>
      <c r="C52" s="1183" t="s">
        <v>1426</v>
      </c>
      <c r="D52" s="1183" t="s">
        <v>61</v>
      </c>
      <c r="E52" s="29" t="s">
        <v>1945</v>
      </c>
      <c r="F52" s="1"/>
    </row>
    <row r="53" spans="1:6">
      <c r="A53" s="29">
        <v>4</v>
      </c>
      <c r="B53" s="1183" t="s">
        <v>56</v>
      </c>
      <c r="C53" s="1183" t="s">
        <v>1427</v>
      </c>
      <c r="D53" s="1183" t="s">
        <v>42</v>
      </c>
      <c r="E53" s="29" t="s">
        <v>1945</v>
      </c>
      <c r="F53" s="1"/>
    </row>
    <row r="54" spans="1:6">
      <c r="A54" s="29">
        <v>5</v>
      </c>
      <c r="B54" s="1183" t="s">
        <v>147</v>
      </c>
      <c r="C54" s="1183" t="s">
        <v>1583</v>
      </c>
      <c r="D54" s="1183" t="s">
        <v>61</v>
      </c>
      <c r="E54" s="29" t="s">
        <v>1945</v>
      </c>
      <c r="F54" s="1"/>
    </row>
    <row r="55" spans="1:6">
      <c r="A55" s="29">
        <v>6</v>
      </c>
      <c r="B55" s="1183" t="s">
        <v>141</v>
      </c>
      <c r="C55" s="1183" t="s">
        <v>1583</v>
      </c>
      <c r="D55" s="1183" t="s">
        <v>61</v>
      </c>
      <c r="E55" s="29" t="s">
        <v>1945</v>
      </c>
      <c r="F55" s="1"/>
    </row>
    <row r="57" spans="1:6">
      <c r="A57" s="1972" t="s">
        <v>2050</v>
      </c>
      <c r="B57" s="1972"/>
      <c r="C57" s="1972"/>
      <c r="D57" s="1972"/>
      <c r="E57" s="1972"/>
      <c r="F57" s="1972"/>
    </row>
    <row r="58" spans="1:6" ht="30">
      <c r="A58" s="943" t="s">
        <v>62</v>
      </c>
      <c r="B58" s="944" t="s">
        <v>551</v>
      </c>
      <c r="C58" s="943" t="s">
        <v>38</v>
      </c>
      <c r="D58" s="944" t="s">
        <v>37</v>
      </c>
      <c r="E58" s="944" t="s">
        <v>2152</v>
      </c>
      <c r="F58" s="944" t="s">
        <v>2</v>
      </c>
    </row>
    <row r="59" spans="1:6">
      <c r="A59" s="1183">
        <v>1</v>
      </c>
      <c r="B59" s="1183" t="s">
        <v>2052</v>
      </c>
      <c r="C59" s="1183" t="s">
        <v>153</v>
      </c>
      <c r="D59" s="1182" t="s">
        <v>42</v>
      </c>
      <c r="E59" s="1182" t="s">
        <v>1073</v>
      </c>
      <c r="F59" s="1182"/>
    </row>
    <row r="60" spans="1:6">
      <c r="A60" s="692">
        <v>2</v>
      </c>
      <c r="B60" s="1183" t="s">
        <v>2053</v>
      </c>
      <c r="C60" s="1183" t="s">
        <v>34</v>
      </c>
      <c r="D60" s="1182" t="s">
        <v>42</v>
      </c>
      <c r="E60" s="1182" t="s">
        <v>1186</v>
      </c>
      <c r="F60" s="1182"/>
    </row>
    <row r="61" spans="1:6">
      <c r="A61" s="1183">
        <v>3</v>
      </c>
      <c r="B61" s="1183" t="s">
        <v>2054</v>
      </c>
      <c r="C61" s="1183" t="s">
        <v>48</v>
      </c>
      <c r="D61" s="1182" t="s">
        <v>42</v>
      </c>
      <c r="E61" s="1182" t="s">
        <v>30</v>
      </c>
      <c r="F61" s="1182"/>
    </row>
    <row r="62" spans="1:6">
      <c r="A62" s="692">
        <v>4</v>
      </c>
      <c r="B62" s="1183" t="s">
        <v>2055</v>
      </c>
      <c r="C62" s="1183" t="s">
        <v>34</v>
      </c>
      <c r="D62" s="1182" t="s">
        <v>61</v>
      </c>
      <c r="E62" s="1182" t="s">
        <v>30</v>
      </c>
      <c r="F62" s="1182"/>
    </row>
    <row r="63" spans="1:6">
      <c r="A63" s="1183">
        <v>5</v>
      </c>
      <c r="B63" s="1183" t="s">
        <v>2056</v>
      </c>
      <c r="C63" s="1183" t="s">
        <v>1424</v>
      </c>
      <c r="D63" s="1182" t="s">
        <v>42</v>
      </c>
      <c r="E63" s="1182" t="s">
        <v>1636</v>
      </c>
      <c r="F63" s="1182"/>
    </row>
    <row r="64" spans="1:6">
      <c r="A64" s="692">
        <v>6</v>
      </c>
      <c r="B64" s="1183" t="s">
        <v>2057</v>
      </c>
      <c r="C64" s="1183" t="s">
        <v>39</v>
      </c>
      <c r="D64" s="1182" t="s">
        <v>42</v>
      </c>
      <c r="E64" s="1182" t="s">
        <v>1636</v>
      </c>
      <c r="F64" s="1182"/>
    </row>
    <row r="65" spans="1:6">
      <c r="A65" s="1183">
        <v>7</v>
      </c>
      <c r="B65" s="1183" t="s">
        <v>2058</v>
      </c>
      <c r="C65" s="1183" t="s">
        <v>133</v>
      </c>
      <c r="D65" s="1182" t="s">
        <v>42</v>
      </c>
      <c r="E65" s="1182" t="s">
        <v>41</v>
      </c>
      <c r="F65" s="1182"/>
    </row>
    <row r="66" spans="1:6">
      <c r="A66" s="692">
        <v>8</v>
      </c>
      <c r="B66" s="1183" t="s">
        <v>2059</v>
      </c>
      <c r="C66" s="1183" t="s">
        <v>34</v>
      </c>
      <c r="D66" s="1182" t="s">
        <v>42</v>
      </c>
      <c r="E66" s="1182" t="s">
        <v>1636</v>
      </c>
      <c r="F66" s="1182"/>
    </row>
    <row r="67" spans="1:6">
      <c r="A67" s="1183">
        <v>9</v>
      </c>
      <c r="B67" s="1183" t="s">
        <v>1920</v>
      </c>
      <c r="C67" s="1183" t="s">
        <v>34</v>
      </c>
      <c r="D67" s="1182" t="s">
        <v>42</v>
      </c>
      <c r="E67" s="1182" t="s">
        <v>41</v>
      </c>
      <c r="F67" s="1182"/>
    </row>
    <row r="68" spans="1:6">
      <c r="A68" s="692">
        <v>10</v>
      </c>
      <c r="B68" s="1183" t="s">
        <v>1937</v>
      </c>
      <c r="C68" s="1183" t="s">
        <v>34</v>
      </c>
      <c r="D68" s="1182" t="s">
        <v>42</v>
      </c>
      <c r="E68" s="1182" t="s">
        <v>1636</v>
      </c>
      <c r="F68" s="1182"/>
    </row>
    <row r="69" spans="1:6">
      <c r="A69" s="1183">
        <v>11</v>
      </c>
      <c r="B69" s="1183" t="s">
        <v>2060</v>
      </c>
      <c r="C69" s="965" t="s">
        <v>49</v>
      </c>
      <c r="D69" s="1182" t="s">
        <v>31</v>
      </c>
      <c r="E69" s="1182" t="s">
        <v>41</v>
      </c>
      <c r="F69" s="1182"/>
    </row>
    <row r="70" spans="1:6">
      <c r="A70" s="692">
        <v>12</v>
      </c>
      <c r="B70" s="1183" t="s">
        <v>1944</v>
      </c>
      <c r="C70" s="1183" t="s">
        <v>48</v>
      </c>
      <c r="D70" s="1182" t="s">
        <v>61</v>
      </c>
      <c r="E70" s="1182" t="s">
        <v>30</v>
      </c>
      <c r="F70" s="1182"/>
    </row>
    <row r="71" spans="1:6">
      <c r="A71" s="1183">
        <v>13</v>
      </c>
      <c r="B71" s="1183" t="s">
        <v>2061</v>
      </c>
      <c r="C71" s="1183" t="s">
        <v>32</v>
      </c>
      <c r="D71" s="1182" t="s">
        <v>61</v>
      </c>
      <c r="E71" s="1182" t="s">
        <v>30</v>
      </c>
      <c r="F71" s="1182"/>
    </row>
    <row r="72" spans="1:6">
      <c r="A72" s="692">
        <v>14</v>
      </c>
      <c r="B72" s="1183" t="s">
        <v>2062</v>
      </c>
      <c r="C72" s="965" t="s">
        <v>1425</v>
      </c>
      <c r="D72" s="1182" t="s">
        <v>42</v>
      </c>
      <c r="E72" s="1182" t="s">
        <v>1636</v>
      </c>
      <c r="F72" s="1182"/>
    </row>
    <row r="73" spans="1:6">
      <c r="A73" s="1183">
        <v>15</v>
      </c>
      <c r="B73" s="1183" t="s">
        <v>1971</v>
      </c>
      <c r="C73" s="1183" t="s">
        <v>32</v>
      </c>
      <c r="D73" s="1182" t="s">
        <v>61</v>
      </c>
      <c r="E73" s="1182" t="s">
        <v>30</v>
      </c>
      <c r="F73" s="1182"/>
    </row>
    <row r="74" spans="1:6">
      <c r="A74" s="692">
        <v>16</v>
      </c>
      <c r="B74" s="1183" t="s">
        <v>1985</v>
      </c>
      <c r="C74" s="1183" t="s">
        <v>32</v>
      </c>
      <c r="D74" s="1182" t="s">
        <v>42</v>
      </c>
      <c r="E74" s="1182" t="s">
        <v>41</v>
      </c>
      <c r="F74" s="1182"/>
    </row>
    <row r="75" spans="1:6">
      <c r="A75" s="1183">
        <v>17</v>
      </c>
      <c r="B75" s="1183" t="s">
        <v>1974</v>
      </c>
      <c r="C75" s="965" t="s">
        <v>32</v>
      </c>
      <c r="D75" s="1182" t="s">
        <v>61</v>
      </c>
      <c r="E75" s="1182" t="s">
        <v>30</v>
      </c>
      <c r="F75" s="1182"/>
    </row>
    <row r="76" spans="1:6">
      <c r="A76" s="692">
        <v>18</v>
      </c>
      <c r="B76" s="1183" t="s">
        <v>1986</v>
      </c>
      <c r="C76" s="1183" t="s">
        <v>32</v>
      </c>
      <c r="D76" s="1182" t="s">
        <v>42</v>
      </c>
      <c r="E76" s="1182" t="s">
        <v>41</v>
      </c>
      <c r="F76" s="1182"/>
    </row>
    <row r="77" spans="1:6">
      <c r="A77" s="1183">
        <v>19</v>
      </c>
      <c r="B77" s="1183" t="s">
        <v>44</v>
      </c>
      <c r="C77" s="965" t="s">
        <v>1423</v>
      </c>
      <c r="D77" s="1182" t="s">
        <v>61</v>
      </c>
      <c r="E77" s="1182" t="s">
        <v>30</v>
      </c>
      <c r="F77" s="1182"/>
    </row>
    <row r="78" spans="1:6">
      <c r="A78" s="692">
        <v>20</v>
      </c>
      <c r="B78" s="1183" t="s">
        <v>407</v>
      </c>
      <c r="C78" s="965" t="s">
        <v>34</v>
      </c>
      <c r="D78" s="1182" t="s">
        <v>42</v>
      </c>
      <c r="E78" s="1182" t="s">
        <v>1922</v>
      </c>
      <c r="F78" s="1155"/>
    </row>
    <row r="79" spans="1:6">
      <c r="A79" s="1183">
        <v>21</v>
      </c>
      <c r="B79" s="1183" t="s">
        <v>76</v>
      </c>
      <c r="C79" s="965" t="s">
        <v>50</v>
      </c>
      <c r="D79" s="1182" t="s">
        <v>61</v>
      </c>
      <c r="E79" s="1182" t="s">
        <v>30</v>
      </c>
      <c r="F79" s="1182"/>
    </row>
    <row r="80" spans="1:6">
      <c r="A80" s="692">
        <v>22</v>
      </c>
      <c r="B80" s="1183" t="s">
        <v>332</v>
      </c>
      <c r="C80" s="965" t="s">
        <v>48</v>
      </c>
      <c r="D80" s="1182" t="s">
        <v>61</v>
      </c>
      <c r="E80" s="1182" t="s">
        <v>30</v>
      </c>
      <c r="F80" s="1155"/>
    </row>
    <row r="81" spans="1:6">
      <c r="A81" s="1183">
        <v>23</v>
      </c>
      <c r="B81" s="1183" t="s">
        <v>2064</v>
      </c>
      <c r="C81" s="965" t="s">
        <v>50</v>
      </c>
      <c r="D81" s="1182" t="s">
        <v>42</v>
      </c>
      <c r="E81" s="1182" t="s">
        <v>1186</v>
      </c>
      <c r="F81" s="1182"/>
    </row>
    <row r="82" spans="1:6">
      <c r="A82" s="692">
        <v>24</v>
      </c>
      <c r="B82" s="927" t="s">
        <v>1994</v>
      </c>
      <c r="C82" s="1183" t="s">
        <v>53</v>
      </c>
      <c r="D82" s="1182" t="s">
        <v>42</v>
      </c>
      <c r="E82" s="1182" t="s">
        <v>30</v>
      </c>
    </row>
    <row r="83" spans="1:6">
      <c r="A83" s="1183">
        <v>25</v>
      </c>
      <c r="B83" s="926" t="s">
        <v>2153</v>
      </c>
      <c r="C83" s="1183" t="s">
        <v>1181</v>
      </c>
      <c r="D83" s="836" t="s">
        <v>42</v>
      </c>
      <c r="E83" s="1182" t="s">
        <v>1186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F1" zoomScale="80" workbookViewId="0">
      <selection activeCell="H2" sqref="H2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2014" t="s">
        <v>2068</v>
      </c>
      <c r="B1" s="2015"/>
      <c r="C1" s="2015"/>
      <c r="D1" s="2015"/>
      <c r="E1" s="2015"/>
      <c r="F1" s="2015"/>
      <c r="G1" s="2016"/>
      <c r="H1" t="s">
        <v>2212</v>
      </c>
    </row>
    <row r="2" spans="1:8" ht="15.75">
      <c r="A2" s="2014" t="s">
        <v>1814</v>
      </c>
      <c r="B2" s="2015"/>
      <c r="C2" s="2015"/>
      <c r="D2" s="2015"/>
      <c r="E2" s="2015"/>
      <c r="F2" s="2015"/>
      <c r="G2" s="2016"/>
    </row>
    <row r="3" spans="1:8" ht="15.75">
      <c r="A3" s="1131" t="s">
        <v>1778</v>
      </c>
      <c r="B3" s="1132" t="s">
        <v>1784</v>
      </c>
      <c r="C3" s="1133" t="s">
        <v>1779</v>
      </c>
      <c r="D3" s="1132" t="s">
        <v>1780</v>
      </c>
      <c r="E3" s="1133" t="s">
        <v>1785</v>
      </c>
      <c r="F3" s="1133" t="s">
        <v>1819</v>
      </c>
      <c r="G3" s="1132" t="s">
        <v>2</v>
      </c>
    </row>
    <row r="4" spans="1:8" ht="15.75">
      <c r="A4" s="1134">
        <v>1</v>
      </c>
      <c r="B4" s="2012" t="s">
        <v>2069</v>
      </c>
      <c r="C4" s="1302" t="s">
        <v>1025</v>
      </c>
      <c r="D4" s="1302" t="s">
        <v>1786</v>
      </c>
      <c r="E4" s="1303" t="s">
        <v>2070</v>
      </c>
      <c r="F4" s="2009" t="s">
        <v>2071</v>
      </c>
      <c r="G4" s="2009" t="s">
        <v>2169</v>
      </c>
    </row>
    <row r="5" spans="1:8" ht="31.5" customHeight="1">
      <c r="A5" s="1134">
        <v>2</v>
      </c>
      <c r="B5" s="2013"/>
      <c r="C5" s="1138" t="s">
        <v>1025</v>
      </c>
      <c r="D5" s="1138" t="s">
        <v>1787</v>
      </c>
      <c r="E5" s="1137" t="s">
        <v>2072</v>
      </c>
      <c r="F5" s="2011"/>
      <c r="G5" s="2011"/>
    </row>
    <row r="6" spans="1:8" ht="15.75">
      <c r="A6" s="1134">
        <v>3</v>
      </c>
      <c r="B6" s="2009" t="s">
        <v>1790</v>
      </c>
      <c r="C6" s="1138" t="s">
        <v>1818</v>
      </c>
      <c r="D6" s="1138" t="s">
        <v>2073</v>
      </c>
      <c r="E6" s="1139"/>
      <c r="F6" s="1139"/>
      <c r="G6" s="1137" t="s">
        <v>1803</v>
      </c>
    </row>
    <row r="7" spans="1:8" ht="15.75">
      <c r="A7" s="1134">
        <v>4</v>
      </c>
      <c r="B7" s="2010"/>
      <c r="C7" s="1138" t="s">
        <v>2074</v>
      </c>
      <c r="D7" s="1138" t="s">
        <v>1817</v>
      </c>
      <c r="E7" s="2009" t="s">
        <v>2164</v>
      </c>
      <c r="F7" s="2009" t="s">
        <v>2165</v>
      </c>
      <c r="G7" s="2012" t="s">
        <v>2170</v>
      </c>
    </row>
    <row r="8" spans="1:8" ht="15.75">
      <c r="A8" s="1134">
        <v>5</v>
      </c>
      <c r="B8" s="2011"/>
      <c r="C8" s="1138" t="s">
        <v>1798</v>
      </c>
      <c r="D8" s="1138" t="s">
        <v>2075</v>
      </c>
      <c r="E8" s="2011"/>
      <c r="F8" s="2011"/>
      <c r="G8" s="2013"/>
    </row>
    <row r="9" spans="1:8" ht="15.75">
      <c r="A9" s="1135"/>
      <c r="B9" s="1135"/>
      <c r="C9" s="1136"/>
      <c r="D9" s="1135"/>
      <c r="E9" s="1135"/>
      <c r="F9" s="1135"/>
      <c r="G9" s="1135"/>
    </row>
    <row r="10" spans="1:8" ht="15.75" customHeight="1">
      <c r="A10" s="2017" t="s">
        <v>1781</v>
      </c>
      <c r="B10" s="2018"/>
      <c r="C10" s="2018"/>
      <c r="D10" s="2018"/>
      <c r="E10" s="2018"/>
      <c r="F10" s="2018"/>
      <c r="G10" s="2019"/>
    </row>
    <row r="11" spans="1:8" ht="15.75">
      <c r="A11" s="1131" t="s">
        <v>1778</v>
      </c>
      <c r="B11" s="1132" t="s">
        <v>1784</v>
      </c>
      <c r="C11" s="1133" t="s">
        <v>2076</v>
      </c>
      <c r="D11" s="1132" t="s">
        <v>1780</v>
      </c>
      <c r="E11" s="1133" t="s">
        <v>1785</v>
      </c>
      <c r="F11" s="1133" t="s">
        <v>1819</v>
      </c>
      <c r="G11" s="1132" t="s">
        <v>2</v>
      </c>
    </row>
    <row r="12" spans="1:8" ht="15.75">
      <c r="A12" s="1134">
        <v>1</v>
      </c>
      <c r="B12" s="2012" t="s">
        <v>2069</v>
      </c>
      <c r="C12" s="1138" t="s">
        <v>1910</v>
      </c>
      <c r="D12" s="1138" t="s">
        <v>1942</v>
      </c>
      <c r="E12" s="2009" t="s">
        <v>2077</v>
      </c>
      <c r="F12" s="2009" t="s">
        <v>1821</v>
      </c>
      <c r="G12" s="2020" t="s">
        <v>2078</v>
      </c>
    </row>
    <row r="13" spans="1:8" ht="15.75">
      <c r="A13" s="1134">
        <v>2</v>
      </c>
      <c r="B13" s="2013"/>
      <c r="C13" s="1138" t="s">
        <v>1909</v>
      </c>
      <c r="D13" s="1138" t="s">
        <v>1911</v>
      </c>
      <c r="E13" s="2011"/>
      <c r="F13" s="2011"/>
      <c r="G13" s="2021"/>
    </row>
    <row r="14" spans="1:8" ht="15.75">
      <c r="A14" s="1134">
        <v>3</v>
      </c>
      <c r="B14" s="2009" t="s">
        <v>1790</v>
      </c>
      <c r="C14" s="1138" t="s">
        <v>921</v>
      </c>
      <c r="D14" s="1138" t="s">
        <v>2160</v>
      </c>
      <c r="E14" s="1140" t="s">
        <v>2079</v>
      </c>
      <c r="F14" s="2009" t="s">
        <v>2080</v>
      </c>
      <c r="G14" s="1141"/>
    </row>
    <row r="15" spans="1:8" ht="15.75">
      <c r="A15" s="1134">
        <v>4</v>
      </c>
      <c r="B15" s="2010"/>
      <c r="C15" s="1138" t="s">
        <v>1807</v>
      </c>
      <c r="D15" s="1138" t="s">
        <v>1796</v>
      </c>
      <c r="E15" s="2009" t="s">
        <v>2042</v>
      </c>
      <c r="F15" s="2010"/>
      <c r="G15" s="2012" t="s">
        <v>2088</v>
      </c>
    </row>
    <row r="16" spans="1:8" ht="15.75">
      <c r="A16" s="1134">
        <v>5</v>
      </c>
      <c r="B16" s="2011"/>
      <c r="C16" s="1138" t="s">
        <v>1804</v>
      </c>
      <c r="D16" s="1138" t="s">
        <v>1805</v>
      </c>
      <c r="E16" s="2011"/>
      <c r="F16" s="2011"/>
      <c r="G16" s="2013"/>
    </row>
    <row r="17" spans="1:7" ht="15.75">
      <c r="A17" s="1134"/>
      <c r="B17" s="1138"/>
      <c r="C17" s="1138"/>
      <c r="D17" s="1138"/>
      <c r="E17" s="1138"/>
      <c r="F17" s="1138"/>
      <c r="G17" s="1138"/>
    </row>
    <row r="18" spans="1:7" ht="15.75">
      <c r="A18" s="2017" t="s">
        <v>1824</v>
      </c>
      <c r="B18" s="2018"/>
      <c r="C18" s="2018"/>
      <c r="D18" s="2018"/>
      <c r="E18" s="2018"/>
      <c r="F18" s="2018"/>
      <c r="G18" s="2019"/>
    </row>
    <row r="19" spans="1:7" ht="15.75">
      <c r="A19" s="1131" t="s">
        <v>1778</v>
      </c>
      <c r="B19" s="1132" t="s">
        <v>1784</v>
      </c>
      <c r="C19" s="1133" t="s">
        <v>2076</v>
      </c>
      <c r="D19" s="1132" t="s">
        <v>1780</v>
      </c>
      <c r="E19" s="1133" t="s">
        <v>1785</v>
      </c>
      <c r="F19" s="1133" t="s">
        <v>1819</v>
      </c>
      <c r="G19" s="1132" t="s">
        <v>2</v>
      </c>
    </row>
    <row r="20" spans="1:7" ht="15.75">
      <c r="A20" s="1134">
        <v>1</v>
      </c>
      <c r="B20" s="1137" t="s">
        <v>1790</v>
      </c>
      <c r="C20" s="1138" t="s">
        <v>2081</v>
      </c>
      <c r="D20" s="1138" t="s">
        <v>1825</v>
      </c>
      <c r="E20" s="1137" t="s">
        <v>2209</v>
      </c>
      <c r="F20" s="1138" t="s">
        <v>2080</v>
      </c>
      <c r="G20" s="1132"/>
    </row>
    <row r="21" spans="1:7" ht="15.75">
      <c r="A21" s="1135"/>
      <c r="B21" s="1135"/>
      <c r="C21" s="1142"/>
      <c r="D21" s="1135"/>
      <c r="E21" s="1135"/>
      <c r="F21" s="1135"/>
      <c r="G21" s="1135"/>
    </row>
    <row r="22" spans="1:7" ht="15.75">
      <c r="A22" s="2014" t="s">
        <v>2082</v>
      </c>
      <c r="B22" s="2015"/>
      <c r="C22" s="2015"/>
      <c r="D22" s="2015"/>
      <c r="E22" s="2015"/>
      <c r="F22" s="2015"/>
      <c r="G22" s="2016"/>
    </row>
    <row r="23" spans="1:7" ht="15.75">
      <c r="A23" s="1131" t="s">
        <v>1778</v>
      </c>
      <c r="B23" s="1132" t="s">
        <v>1784</v>
      </c>
      <c r="C23" s="1133" t="s">
        <v>1782</v>
      </c>
      <c r="D23" s="1133" t="s">
        <v>1783</v>
      </c>
      <c r="E23" s="1133" t="s">
        <v>1785</v>
      </c>
      <c r="F23" s="1133" t="s">
        <v>1819</v>
      </c>
      <c r="G23" s="1132" t="s">
        <v>2</v>
      </c>
    </row>
    <row r="24" spans="1:7" ht="15.75">
      <c r="A24" s="1134">
        <v>1</v>
      </c>
      <c r="B24" s="2009" t="s">
        <v>1791</v>
      </c>
      <c r="C24" s="1137" t="s">
        <v>652</v>
      </c>
      <c r="D24" s="1138" t="s">
        <v>2083</v>
      </c>
      <c r="E24" s="2009" t="s">
        <v>1839</v>
      </c>
      <c r="F24" s="2009" t="s">
        <v>1821</v>
      </c>
      <c r="G24" s="2009" t="s">
        <v>879</v>
      </c>
    </row>
    <row r="25" spans="1:7" ht="15.75">
      <c r="A25" s="1134">
        <v>2</v>
      </c>
      <c r="B25" s="2011"/>
      <c r="C25" s="1137" t="s">
        <v>657</v>
      </c>
      <c r="D25" s="1138" t="s">
        <v>2084</v>
      </c>
      <c r="E25" s="2010"/>
      <c r="F25" s="2010"/>
      <c r="G25" s="2010"/>
    </row>
    <row r="26" spans="1:7" ht="15.75">
      <c r="A26" s="1134">
        <v>3</v>
      </c>
      <c r="B26" s="2012" t="s">
        <v>2069</v>
      </c>
      <c r="C26" s="1137" t="s">
        <v>1000</v>
      </c>
      <c r="D26" s="1138" t="s">
        <v>1788</v>
      </c>
      <c r="E26" s="2010"/>
      <c r="F26" s="2010"/>
      <c r="G26" s="2010"/>
    </row>
    <row r="27" spans="1:7" ht="15.75">
      <c r="A27" s="1134">
        <v>4</v>
      </c>
      <c r="B27" s="2013"/>
      <c r="C27" s="1137" t="s">
        <v>1000</v>
      </c>
      <c r="D27" s="1138" t="s">
        <v>1789</v>
      </c>
      <c r="E27" s="2011"/>
      <c r="F27" s="2011"/>
      <c r="G27" s="2011"/>
    </row>
    <row r="28" spans="1:7" ht="15.75">
      <c r="A28" s="1134">
        <v>5</v>
      </c>
      <c r="B28" s="2009" t="s">
        <v>1790</v>
      </c>
      <c r="C28" s="1137" t="s">
        <v>1792</v>
      </c>
      <c r="D28" s="1137" t="s">
        <v>1856</v>
      </c>
      <c r="E28" s="1139"/>
      <c r="F28" s="1137" t="s">
        <v>1820</v>
      </c>
      <c r="G28" s="1139" t="s">
        <v>1936</v>
      </c>
    </row>
    <row r="29" spans="1:7" ht="16.5">
      <c r="A29" s="1134">
        <v>6</v>
      </c>
      <c r="B29" s="2010"/>
      <c r="C29" s="1137" t="s">
        <v>1813</v>
      </c>
      <c r="D29" s="1138" t="s">
        <v>1857</v>
      </c>
      <c r="E29" s="1143"/>
      <c r="F29" s="1144" t="s">
        <v>1902</v>
      </c>
      <c r="G29" s="1145"/>
    </row>
    <row r="30" spans="1:7" ht="15.75">
      <c r="A30" s="1134">
        <v>7</v>
      </c>
      <c r="B30" s="2010"/>
      <c r="C30" s="1137" t="s">
        <v>1908</v>
      </c>
      <c r="D30" s="1138" t="s">
        <v>1793</v>
      </c>
      <c r="E30" s="1146" t="s">
        <v>1839</v>
      </c>
      <c r="F30" s="1146"/>
      <c r="G30" s="1137" t="s">
        <v>879</v>
      </c>
    </row>
    <row r="31" spans="1:7" ht="15.75">
      <c r="A31" s="1134">
        <v>8</v>
      </c>
      <c r="B31" s="2010"/>
      <c r="C31" s="1137" t="s">
        <v>2085</v>
      </c>
      <c r="D31" s="1138" t="s">
        <v>1795</v>
      </c>
      <c r="E31" s="2009" t="s">
        <v>2086</v>
      </c>
      <c r="F31" s="2009" t="s">
        <v>2087</v>
      </c>
      <c r="G31" s="2009" t="s">
        <v>879</v>
      </c>
    </row>
    <row r="32" spans="1:7" ht="15.75">
      <c r="A32" s="1134">
        <v>9</v>
      </c>
      <c r="B32" s="2010"/>
      <c r="C32" s="1137" t="s">
        <v>1815</v>
      </c>
      <c r="D32" s="1138" t="s">
        <v>1794</v>
      </c>
      <c r="E32" s="2011"/>
      <c r="F32" s="2011"/>
      <c r="G32" s="2011"/>
    </row>
    <row r="33" spans="1:7" ht="31.5">
      <c r="A33" s="1134">
        <v>10</v>
      </c>
      <c r="B33" s="2010"/>
      <c r="C33" s="1137" t="s">
        <v>1816</v>
      </c>
      <c r="D33" s="1138" t="s">
        <v>1797</v>
      </c>
      <c r="E33" s="2009" t="s">
        <v>2043</v>
      </c>
      <c r="F33" s="2009" t="s">
        <v>2087</v>
      </c>
      <c r="G33" s="2009" t="s">
        <v>879</v>
      </c>
    </row>
    <row r="34" spans="1:7" ht="15.75">
      <c r="A34" s="1134">
        <v>11</v>
      </c>
      <c r="B34" s="2010"/>
      <c r="C34" s="1137" t="s">
        <v>1799</v>
      </c>
      <c r="D34" s="1138" t="s">
        <v>1800</v>
      </c>
      <c r="E34" s="2010"/>
      <c r="F34" s="2010"/>
      <c r="G34" s="2010"/>
    </row>
    <row r="35" spans="1:7" ht="15.75">
      <c r="A35" s="1134">
        <v>12</v>
      </c>
      <c r="B35" s="2010"/>
      <c r="C35" s="1137" t="s">
        <v>1801</v>
      </c>
      <c r="D35" s="1138" t="s">
        <v>1802</v>
      </c>
      <c r="E35" s="2010"/>
      <c r="F35" s="2010"/>
      <c r="G35" s="2010"/>
    </row>
    <row r="36" spans="1:7" ht="15.75">
      <c r="A36" s="1134">
        <v>13</v>
      </c>
      <c r="B36" s="2010"/>
      <c r="C36" s="1137" t="s">
        <v>1806</v>
      </c>
      <c r="D36" s="1138" t="s">
        <v>1808</v>
      </c>
      <c r="E36" s="2010"/>
      <c r="F36" s="2010"/>
      <c r="G36" s="2010"/>
    </row>
    <row r="37" spans="1:7" ht="15.75">
      <c r="A37" s="1134">
        <v>14</v>
      </c>
      <c r="B37" s="2010"/>
      <c r="C37" s="1137" t="s">
        <v>1809</v>
      </c>
      <c r="D37" s="1138" t="s">
        <v>1810</v>
      </c>
      <c r="E37" s="2010"/>
      <c r="F37" s="2010"/>
      <c r="G37" s="2010"/>
    </row>
    <row r="38" spans="1:7" ht="15.75">
      <c r="A38" s="1134">
        <v>15</v>
      </c>
      <c r="B38" s="2011"/>
      <c r="C38" s="1137" t="s">
        <v>1811</v>
      </c>
      <c r="D38" s="1138" t="s">
        <v>1812</v>
      </c>
      <c r="E38" s="2011"/>
      <c r="F38" s="2011"/>
      <c r="G38" s="2011"/>
    </row>
  </sheetData>
  <mergeCells count="32">
    <mergeCell ref="F7:F8"/>
    <mergeCell ref="G7:G8"/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G4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16" customWidth="1"/>
    <col min="2" max="3" width="9.140625" style="716"/>
    <col min="4" max="4" width="9.140625" style="567"/>
    <col min="5" max="5" width="126.7109375" style="567" customWidth="1"/>
    <col min="6" max="6" width="9" style="567" bestFit="1" customWidth="1"/>
    <col min="7" max="7" width="10.85546875" style="716" customWidth="1"/>
    <col min="8" max="8" width="24.85546875" style="716" customWidth="1"/>
    <col min="9" max="9" width="9.7109375" style="567" customWidth="1"/>
    <col min="10" max="10" width="9.5703125" style="567" customWidth="1"/>
    <col min="11" max="11" width="9.28515625" style="567" customWidth="1"/>
    <col min="12" max="12" width="9.7109375" style="716" customWidth="1"/>
    <col min="13" max="13" width="9.140625" style="716" customWidth="1"/>
    <col min="14" max="14" width="8.85546875" style="716" customWidth="1"/>
    <col min="15" max="15" width="11.85546875" style="567" customWidth="1"/>
    <col min="16" max="16" width="10.7109375" style="716" customWidth="1"/>
    <col min="17" max="18" width="9.140625" style="716"/>
    <col min="19" max="19" width="11.28515625" style="716" customWidth="1"/>
    <col min="20" max="20" width="10.5703125" style="716" customWidth="1"/>
    <col min="21" max="21" width="10.42578125" style="716" customWidth="1"/>
    <col min="22" max="24" width="9.140625" style="716"/>
    <col min="25" max="25" width="16.140625" style="716" customWidth="1"/>
    <col min="26" max="26" width="15.140625" style="716" customWidth="1"/>
    <col min="27" max="16384" width="9.140625" style="716"/>
  </cols>
  <sheetData>
    <row r="1" spans="1:26">
      <c r="A1" s="2022" t="s">
        <v>1735</v>
      </c>
      <c r="B1" s="2022"/>
      <c r="C1" s="2022"/>
      <c r="D1" s="2022"/>
      <c r="E1" s="2022"/>
      <c r="F1" s="2022"/>
      <c r="G1" s="2022"/>
      <c r="H1" s="2022"/>
      <c r="I1" s="2022"/>
      <c r="J1" s="2022"/>
      <c r="K1" s="2022"/>
      <c r="L1" s="2022"/>
      <c r="M1" s="2022"/>
      <c r="N1" s="2022"/>
      <c r="O1" s="2022"/>
      <c r="P1" s="2022"/>
      <c r="Q1" s="2022"/>
      <c r="R1" s="2022"/>
      <c r="S1" s="2022"/>
      <c r="T1" s="2022"/>
      <c r="U1" s="2022"/>
      <c r="V1" s="2022"/>
      <c r="W1" s="2022"/>
      <c r="X1" s="2022"/>
      <c r="Y1" s="2022"/>
      <c r="Z1" s="2022"/>
    </row>
    <row r="2" spans="1:26" ht="15.75" thickBot="1">
      <c r="A2" s="2022"/>
      <c r="B2" s="2022"/>
      <c r="C2" s="2022"/>
      <c r="D2" s="2022"/>
      <c r="E2" s="2022"/>
      <c r="F2" s="2022"/>
      <c r="G2" s="2022"/>
      <c r="H2" s="2022"/>
      <c r="I2" s="2022"/>
      <c r="J2" s="2022"/>
      <c r="K2" s="2022"/>
      <c r="L2" s="2022"/>
      <c r="M2" s="2022"/>
      <c r="N2" s="2022"/>
      <c r="O2" s="2022"/>
      <c r="P2" s="2022"/>
      <c r="Q2" s="2022"/>
      <c r="R2" s="2022"/>
      <c r="S2" s="2022"/>
      <c r="T2" s="2022"/>
      <c r="U2" s="2022"/>
      <c r="V2" s="2022"/>
      <c r="W2" s="2022"/>
      <c r="X2" s="2022"/>
      <c r="Y2" s="2022"/>
      <c r="Z2" s="2022"/>
    </row>
    <row r="3" spans="1:26" ht="18.75">
      <c r="A3" s="2023" t="s">
        <v>1736</v>
      </c>
      <c r="B3" s="2026" t="s">
        <v>1737</v>
      </c>
      <c r="C3" s="2026"/>
      <c r="D3" s="2026" t="s">
        <v>1738</v>
      </c>
      <c r="E3" s="2029" t="s">
        <v>1739</v>
      </c>
      <c r="F3" s="2029" t="s">
        <v>1740</v>
      </c>
      <c r="G3" s="2032" t="s">
        <v>1741</v>
      </c>
      <c r="H3" s="2032"/>
      <c r="I3" s="2032" t="s">
        <v>1441</v>
      </c>
      <c r="J3" s="2032"/>
      <c r="K3" s="2032"/>
      <c r="L3" s="2032"/>
      <c r="M3" s="2032"/>
      <c r="N3" s="2032"/>
      <c r="O3" s="2032" t="s">
        <v>1442</v>
      </c>
      <c r="P3" s="2032"/>
      <c r="Q3" s="2032"/>
      <c r="R3" s="2032"/>
      <c r="S3" s="2032"/>
      <c r="T3" s="2032" t="s">
        <v>1443</v>
      </c>
      <c r="U3" s="2032"/>
      <c r="V3" s="2032"/>
      <c r="W3" s="2032"/>
      <c r="X3" s="2032"/>
      <c r="Y3" s="2032"/>
      <c r="Z3" s="2034" t="s">
        <v>1742</v>
      </c>
    </row>
    <row r="4" spans="1:26">
      <c r="A4" s="2024"/>
      <c r="B4" s="2027"/>
      <c r="C4" s="2027"/>
      <c r="D4" s="2027"/>
      <c r="E4" s="2030"/>
      <c r="F4" s="2030"/>
      <c r="G4" s="2033"/>
      <c r="H4" s="2033"/>
      <c r="I4" s="1972" t="s">
        <v>1743</v>
      </c>
      <c r="J4" s="1972"/>
      <c r="K4" s="1972" t="s">
        <v>1744</v>
      </c>
      <c r="L4" s="1972"/>
      <c r="M4" s="1972"/>
      <c r="N4" s="1972"/>
      <c r="O4" s="1972" t="s">
        <v>1743</v>
      </c>
      <c r="P4" s="1972"/>
      <c r="Q4" s="1972" t="s">
        <v>1745</v>
      </c>
      <c r="R4" s="1972"/>
      <c r="S4" s="1972"/>
      <c r="T4" s="1972" t="s">
        <v>1743</v>
      </c>
      <c r="U4" s="1972"/>
      <c r="V4" s="1972" t="s">
        <v>1745</v>
      </c>
      <c r="W4" s="1972"/>
      <c r="X4" s="1972"/>
      <c r="Y4" s="1972"/>
      <c r="Z4" s="2035"/>
    </row>
    <row r="5" spans="1:26" ht="15.75" thickBot="1">
      <c r="A5" s="2025"/>
      <c r="B5" s="717" t="s">
        <v>1746</v>
      </c>
      <c r="C5" s="717" t="s">
        <v>1747</v>
      </c>
      <c r="D5" s="2028"/>
      <c r="E5" s="2031"/>
      <c r="F5" s="2031"/>
      <c r="G5" s="717" t="s">
        <v>1748</v>
      </c>
      <c r="H5" s="717" t="s">
        <v>1749</v>
      </c>
      <c r="I5" s="717" t="s">
        <v>1750</v>
      </c>
      <c r="J5" s="717" t="s">
        <v>1177</v>
      </c>
      <c r="K5" s="717" t="s">
        <v>1751</v>
      </c>
      <c r="L5" s="717" t="s">
        <v>1752</v>
      </c>
      <c r="M5" s="717" t="s">
        <v>1753</v>
      </c>
      <c r="N5" s="717" t="s">
        <v>1754</v>
      </c>
      <c r="O5" s="717" t="s">
        <v>1750</v>
      </c>
      <c r="P5" s="717" t="s">
        <v>1177</v>
      </c>
      <c r="Q5" s="717" t="s">
        <v>1755</v>
      </c>
      <c r="R5" s="717" t="s">
        <v>1756</v>
      </c>
      <c r="S5" s="717" t="s">
        <v>1754</v>
      </c>
      <c r="T5" s="717" t="s">
        <v>1750</v>
      </c>
      <c r="U5" s="717" t="s">
        <v>1177</v>
      </c>
      <c r="V5" s="717" t="s">
        <v>1757</v>
      </c>
      <c r="W5" s="717" t="s">
        <v>1758</v>
      </c>
      <c r="X5" s="717" t="s">
        <v>1759</v>
      </c>
      <c r="Y5" s="717" t="s">
        <v>1754</v>
      </c>
      <c r="Z5" s="2036"/>
    </row>
    <row r="6" spans="1:26" ht="15.75">
      <c r="A6" s="718">
        <v>1</v>
      </c>
      <c r="B6" s="719" t="s">
        <v>1546</v>
      </c>
      <c r="C6" s="719" t="s">
        <v>1547</v>
      </c>
      <c r="D6" s="719">
        <v>290</v>
      </c>
      <c r="E6" s="720" t="s">
        <v>1760</v>
      </c>
      <c r="F6" s="719" t="s">
        <v>1761</v>
      </c>
      <c r="G6" s="721" t="s">
        <v>878</v>
      </c>
      <c r="H6" s="722" t="s">
        <v>1762</v>
      </c>
      <c r="I6" s="723" t="s">
        <v>1763</v>
      </c>
      <c r="J6" s="723" t="s">
        <v>1763</v>
      </c>
      <c r="K6" s="723" t="s">
        <v>1763</v>
      </c>
      <c r="L6" s="723" t="s">
        <v>1763</v>
      </c>
      <c r="M6" s="723" t="s">
        <v>1763</v>
      </c>
      <c r="N6" s="723" t="s">
        <v>876</v>
      </c>
      <c r="O6" s="723" t="s">
        <v>1763</v>
      </c>
      <c r="P6" s="723" t="s">
        <v>1763</v>
      </c>
      <c r="Q6" s="723" t="s">
        <v>1763</v>
      </c>
      <c r="R6" s="723" t="s">
        <v>1763</v>
      </c>
      <c r="S6" s="721" t="s">
        <v>876</v>
      </c>
      <c r="T6" s="724" t="s">
        <v>1763</v>
      </c>
      <c r="U6" s="724" t="s">
        <v>1763</v>
      </c>
      <c r="V6" s="724" t="s">
        <v>1763</v>
      </c>
      <c r="W6" s="724" t="s">
        <v>1763</v>
      </c>
      <c r="X6" s="724" t="s">
        <v>1763</v>
      </c>
      <c r="Y6" s="719" t="s">
        <v>1764</v>
      </c>
      <c r="Z6" s="725"/>
    </row>
    <row r="7" spans="1:26" ht="15.75">
      <c r="A7" s="726">
        <v>2</v>
      </c>
      <c r="B7" s="727" t="s">
        <v>1552</v>
      </c>
      <c r="C7" s="727" t="s">
        <v>1553</v>
      </c>
      <c r="D7" s="727">
        <v>298</v>
      </c>
      <c r="E7" s="728" t="s">
        <v>1765</v>
      </c>
      <c r="F7" s="727" t="s">
        <v>1761</v>
      </c>
      <c r="G7" s="729" t="s">
        <v>878</v>
      </c>
      <c r="H7" s="730" t="s">
        <v>1762</v>
      </c>
      <c r="I7" s="731" t="s">
        <v>1763</v>
      </c>
      <c r="J7" s="731" t="s">
        <v>1763</v>
      </c>
      <c r="K7" s="731" t="s">
        <v>1763</v>
      </c>
      <c r="L7" s="731" t="s">
        <v>1763</v>
      </c>
      <c r="M7" s="731" t="s">
        <v>1763</v>
      </c>
      <c r="N7" s="731" t="s">
        <v>876</v>
      </c>
      <c r="O7" s="731" t="s">
        <v>1763</v>
      </c>
      <c r="P7" s="731" t="s">
        <v>1763</v>
      </c>
      <c r="Q7" s="731" t="s">
        <v>1763</v>
      </c>
      <c r="R7" s="731" t="s">
        <v>1763</v>
      </c>
      <c r="S7" s="729" t="s">
        <v>876</v>
      </c>
      <c r="T7" s="731" t="s">
        <v>1763</v>
      </c>
      <c r="U7" s="731" t="s">
        <v>1763</v>
      </c>
      <c r="V7" s="731" t="s">
        <v>1763</v>
      </c>
      <c r="W7" s="731" t="s">
        <v>1763</v>
      </c>
      <c r="X7" s="731" t="s">
        <v>1763</v>
      </c>
      <c r="Y7" s="732" t="s">
        <v>1766</v>
      </c>
      <c r="Z7" s="733"/>
    </row>
    <row r="8" spans="1:26" ht="15.75">
      <c r="A8" s="726">
        <v>3</v>
      </c>
      <c r="B8" s="727" t="s">
        <v>1554</v>
      </c>
      <c r="C8" s="727" t="s">
        <v>1555</v>
      </c>
      <c r="D8" s="727">
        <v>302</v>
      </c>
      <c r="E8" s="728" t="s">
        <v>1767</v>
      </c>
      <c r="F8" s="727" t="s">
        <v>1761</v>
      </c>
      <c r="G8" s="729" t="s">
        <v>878</v>
      </c>
      <c r="H8" s="730" t="s">
        <v>1762</v>
      </c>
      <c r="I8" s="731" t="s">
        <v>1763</v>
      </c>
      <c r="J8" s="731" t="s">
        <v>1763</v>
      </c>
      <c r="K8" s="731" t="s">
        <v>1763</v>
      </c>
      <c r="L8" s="731" t="s">
        <v>1763</v>
      </c>
      <c r="M8" s="731" t="s">
        <v>1763</v>
      </c>
      <c r="N8" s="731" t="s">
        <v>876</v>
      </c>
      <c r="O8" s="731" t="s">
        <v>1763</v>
      </c>
      <c r="P8" s="731" t="s">
        <v>1763</v>
      </c>
      <c r="Q8" s="731" t="s">
        <v>1763</v>
      </c>
      <c r="R8" s="731" t="s">
        <v>1763</v>
      </c>
      <c r="S8" s="729" t="s">
        <v>876</v>
      </c>
      <c r="T8" s="731" t="s">
        <v>1763</v>
      </c>
      <c r="U8" s="731" t="s">
        <v>1763</v>
      </c>
      <c r="V8" s="731" t="s">
        <v>1763</v>
      </c>
      <c r="W8" s="732" t="s">
        <v>1763</v>
      </c>
      <c r="X8" s="732" t="s">
        <v>1763</v>
      </c>
      <c r="Y8" s="727" t="s">
        <v>1768</v>
      </c>
      <c r="Z8" s="733"/>
    </row>
    <row r="9" spans="1:26" ht="15.75">
      <c r="A9" s="726">
        <v>4</v>
      </c>
      <c r="B9" s="727" t="s">
        <v>1572</v>
      </c>
      <c r="C9" s="727" t="s">
        <v>1574</v>
      </c>
      <c r="D9" s="727">
        <v>250</v>
      </c>
      <c r="E9" s="728" t="s">
        <v>1769</v>
      </c>
      <c r="F9" s="727" t="s">
        <v>1761</v>
      </c>
      <c r="G9" s="729" t="s">
        <v>878</v>
      </c>
      <c r="H9" s="730" t="s">
        <v>1762</v>
      </c>
      <c r="I9" s="731" t="s">
        <v>1763</v>
      </c>
      <c r="J9" s="731" t="s">
        <v>1763</v>
      </c>
      <c r="K9" s="731" t="s">
        <v>1763</v>
      </c>
      <c r="L9" s="731" t="s">
        <v>1763</v>
      </c>
      <c r="M9" s="731" t="s">
        <v>1763</v>
      </c>
      <c r="N9" s="729"/>
      <c r="O9" s="731" t="s">
        <v>1763</v>
      </c>
      <c r="P9" s="731" t="s">
        <v>1763</v>
      </c>
      <c r="Q9" s="731" t="s">
        <v>1763</v>
      </c>
      <c r="R9" s="731" t="s">
        <v>1763</v>
      </c>
      <c r="S9" s="729"/>
      <c r="T9" s="731" t="s">
        <v>1763</v>
      </c>
      <c r="U9" s="731" t="s">
        <v>1763</v>
      </c>
      <c r="V9" s="731" t="s">
        <v>1763</v>
      </c>
      <c r="W9" s="732" t="s">
        <v>1763</v>
      </c>
      <c r="X9" s="732" t="s">
        <v>1763</v>
      </c>
      <c r="Y9" s="731" t="s">
        <v>1764</v>
      </c>
      <c r="Z9" s="733"/>
    </row>
    <row r="10" spans="1:26" ht="15.75">
      <c r="A10" s="726">
        <v>5</v>
      </c>
      <c r="B10" s="727" t="s">
        <v>1581</v>
      </c>
      <c r="C10" s="727" t="s">
        <v>1582</v>
      </c>
      <c r="D10" s="727">
        <v>293</v>
      </c>
      <c r="E10" s="728" t="s">
        <v>1770</v>
      </c>
      <c r="F10" s="727" t="s">
        <v>1761</v>
      </c>
      <c r="G10" s="729" t="s">
        <v>878</v>
      </c>
      <c r="H10" s="730" t="s">
        <v>1762</v>
      </c>
      <c r="I10" s="731" t="s">
        <v>1763</v>
      </c>
      <c r="J10" s="731" t="s">
        <v>1763</v>
      </c>
      <c r="K10" s="731" t="s">
        <v>1763</v>
      </c>
      <c r="L10" s="731" t="s">
        <v>1763</v>
      </c>
      <c r="M10" s="731" t="s">
        <v>1763</v>
      </c>
      <c r="N10" s="731" t="s">
        <v>876</v>
      </c>
      <c r="O10" s="731" t="s">
        <v>1763</v>
      </c>
      <c r="P10" s="731" t="s">
        <v>1763</v>
      </c>
      <c r="Q10" s="731" t="s">
        <v>1763</v>
      </c>
      <c r="R10" s="731" t="s">
        <v>1763</v>
      </c>
      <c r="S10" s="729"/>
      <c r="T10" s="731" t="s">
        <v>1763</v>
      </c>
      <c r="U10" s="731" t="s">
        <v>1763</v>
      </c>
      <c r="V10" s="731" t="s">
        <v>1763</v>
      </c>
      <c r="W10" s="732" t="s">
        <v>1763</v>
      </c>
      <c r="X10" s="732" t="s">
        <v>1763</v>
      </c>
      <c r="Y10" s="731" t="s">
        <v>1764</v>
      </c>
      <c r="Z10" s="733"/>
    </row>
    <row r="11" spans="1:26" ht="15.75">
      <c r="A11" s="726">
        <v>6</v>
      </c>
      <c r="B11" s="727" t="s">
        <v>1771</v>
      </c>
      <c r="C11" s="727" t="s">
        <v>1772</v>
      </c>
      <c r="D11" s="727">
        <v>274</v>
      </c>
      <c r="E11" s="728" t="s">
        <v>1773</v>
      </c>
      <c r="F11" s="727" t="s">
        <v>1761</v>
      </c>
      <c r="G11" s="729" t="s">
        <v>878</v>
      </c>
      <c r="H11" s="730" t="s">
        <v>1762</v>
      </c>
      <c r="I11" s="731" t="s">
        <v>1763</v>
      </c>
      <c r="J11" s="731" t="s">
        <v>1763</v>
      </c>
      <c r="K11" s="731" t="s">
        <v>1763</v>
      </c>
      <c r="L11" s="731" t="s">
        <v>1763</v>
      </c>
      <c r="M11" s="731" t="s">
        <v>1763</v>
      </c>
      <c r="N11" s="731" t="s">
        <v>876</v>
      </c>
      <c r="O11" s="731" t="s">
        <v>1763</v>
      </c>
      <c r="P11" s="731" t="s">
        <v>1763</v>
      </c>
      <c r="Q11" s="731" t="s">
        <v>1763</v>
      </c>
      <c r="R11" s="731" t="s">
        <v>1763</v>
      </c>
      <c r="S11" s="729" t="s">
        <v>876</v>
      </c>
      <c r="T11" s="731" t="s">
        <v>1763</v>
      </c>
      <c r="U11" s="731" t="s">
        <v>1763</v>
      </c>
      <c r="V11" s="731" t="s">
        <v>1763</v>
      </c>
      <c r="W11" s="732" t="s">
        <v>1763</v>
      </c>
      <c r="X11" s="732" t="s">
        <v>1763</v>
      </c>
      <c r="Y11" s="731" t="s">
        <v>1764</v>
      </c>
      <c r="Z11" s="734"/>
    </row>
    <row r="12" spans="1:26" ht="15.75">
      <c r="A12" s="726">
        <v>7</v>
      </c>
      <c r="B12" s="727" t="s">
        <v>1772</v>
      </c>
      <c r="C12" s="727" t="s">
        <v>1774</v>
      </c>
      <c r="D12" s="727">
        <v>289</v>
      </c>
      <c r="E12" s="728" t="s">
        <v>1775</v>
      </c>
      <c r="F12" s="727" t="s">
        <v>1761</v>
      </c>
      <c r="G12" s="729" t="s">
        <v>878</v>
      </c>
      <c r="H12" s="730" t="s">
        <v>1762</v>
      </c>
      <c r="I12" s="731" t="s">
        <v>1763</v>
      </c>
      <c r="J12" s="731" t="s">
        <v>1763</v>
      </c>
      <c r="K12" s="731" t="s">
        <v>1763</v>
      </c>
      <c r="L12" s="731" t="s">
        <v>1763</v>
      </c>
      <c r="M12" s="731" t="s">
        <v>1763</v>
      </c>
      <c r="N12" s="731" t="s">
        <v>876</v>
      </c>
      <c r="O12" s="731" t="s">
        <v>1763</v>
      </c>
      <c r="P12" s="731" t="s">
        <v>1763</v>
      </c>
      <c r="Q12" s="731" t="s">
        <v>1763</v>
      </c>
      <c r="R12" s="731" t="s">
        <v>1763</v>
      </c>
      <c r="S12" s="729"/>
      <c r="T12" s="731" t="s">
        <v>1763</v>
      </c>
      <c r="U12" s="731" t="s">
        <v>1763</v>
      </c>
      <c r="V12" s="731" t="s">
        <v>1763</v>
      </c>
      <c r="W12" s="732" t="s">
        <v>1763</v>
      </c>
      <c r="X12" s="732" t="s">
        <v>1763</v>
      </c>
      <c r="Y12" s="731" t="s">
        <v>1764</v>
      </c>
      <c r="Z12" s="734"/>
    </row>
    <row r="13" spans="1:26" ht="16.5" thickBot="1">
      <c r="A13" s="735">
        <v>8</v>
      </c>
      <c r="B13" s="736" t="s">
        <v>1774</v>
      </c>
      <c r="C13" s="736" t="s">
        <v>1776</v>
      </c>
      <c r="D13" s="736">
        <v>248</v>
      </c>
      <c r="E13" s="737" t="s">
        <v>1777</v>
      </c>
      <c r="F13" s="736" t="s">
        <v>1761</v>
      </c>
      <c r="G13" s="738" t="s">
        <v>878</v>
      </c>
      <c r="H13" s="739" t="s">
        <v>1762</v>
      </c>
      <c r="I13" s="740" t="s">
        <v>1763</v>
      </c>
      <c r="J13" s="740" t="s">
        <v>1763</v>
      </c>
      <c r="K13" s="740" t="s">
        <v>1763</v>
      </c>
      <c r="L13" s="740" t="s">
        <v>1763</v>
      </c>
      <c r="M13" s="740" t="s">
        <v>1763</v>
      </c>
      <c r="N13" s="740" t="s">
        <v>876</v>
      </c>
      <c r="O13" s="731" t="s">
        <v>1763</v>
      </c>
      <c r="P13" s="731" t="s">
        <v>1763</v>
      </c>
      <c r="Q13" s="740" t="s">
        <v>1763</v>
      </c>
      <c r="R13" s="736" t="s">
        <v>1763</v>
      </c>
      <c r="S13" s="738"/>
      <c r="T13" s="740" t="s">
        <v>1763</v>
      </c>
      <c r="U13" s="740" t="s">
        <v>1763</v>
      </c>
      <c r="V13" s="740" t="s">
        <v>1763</v>
      </c>
      <c r="W13" s="732" t="s">
        <v>1763</v>
      </c>
      <c r="X13" s="732" t="s">
        <v>1763</v>
      </c>
      <c r="Y13" s="736" t="s">
        <v>1764</v>
      </c>
      <c r="Z13" s="741"/>
    </row>
  </sheetData>
  <mergeCells count="17"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  <mergeCell ref="K4:N4"/>
    <mergeCell ref="O4:P4"/>
    <mergeCell ref="Q4:S4"/>
    <mergeCell ref="T4:U4"/>
    <mergeCell ref="V4:Y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Foundation</vt:lpstr>
      <vt:lpstr>Earthing Pending</vt:lpstr>
      <vt:lpstr>Erection</vt:lpstr>
      <vt:lpstr>Earthing</vt:lpstr>
      <vt:lpstr>Stringing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Foundation!Print_Area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'VC 220 TM'!Print_Area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2026-07-09T03:22:51Z</cp:lastPrinted>
  <dcterms:created xsi:type="dcterms:W3CDTF">2025-10-22T05:28:14Z</dcterms:created>
  <dcterms:modified xsi:type="dcterms:W3CDTF">2026-07-10T05:21:16Z</dcterms:modified>
</cp:coreProperties>
</file>