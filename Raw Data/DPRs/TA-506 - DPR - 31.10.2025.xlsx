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rojects\DPR\TA-506\"/>
    </mc:Choice>
  </mc:AlternateContent>
  <xr:revisionPtr revIDLastSave="0" documentId="13_ncr:1_{429AE37F-96D0-4679-9444-215610BAC9E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ept-25" sheetId="1" r:id="rId1"/>
    <sheet name="Oct-25" sheetId="2" r:id="rId2"/>
  </sheets>
  <definedNames>
    <definedName name="_xlnm._FilterDatabase" localSheetId="0" hidden="1">'Sept-25'!$F$3:$H$72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2" l="1"/>
  <c r="J62" i="2" s="1"/>
  <c r="I61" i="2"/>
  <c r="J61" i="2"/>
  <c r="I60" i="2"/>
  <c r="J60" i="2"/>
  <c r="I59" i="2"/>
  <c r="J59" i="2"/>
  <c r="I58" i="2" l="1"/>
  <c r="J58" i="2" s="1"/>
  <c r="I57" i="2"/>
  <c r="J57" i="2" s="1"/>
  <c r="I56" i="2"/>
  <c r="J56" i="2" s="1"/>
  <c r="I55" i="2"/>
  <c r="J55" i="2" s="1"/>
  <c r="I54" i="2"/>
  <c r="J54" i="2" s="1"/>
  <c r="I52" i="2"/>
  <c r="J52" i="2" s="1"/>
  <c r="I53" i="2"/>
  <c r="J53" i="2" s="1"/>
  <c r="I49" i="2" l="1"/>
  <c r="J49" i="2" s="1"/>
  <c r="I50" i="2"/>
  <c r="J50" i="2" s="1"/>
  <c r="I51" i="2"/>
  <c r="J51" i="2"/>
  <c r="I48" i="2"/>
  <c r="J48" i="2" s="1"/>
  <c r="I47" i="2"/>
  <c r="J47" i="2" s="1"/>
  <c r="I45" i="2" l="1"/>
  <c r="J45" i="2" s="1"/>
  <c r="I46" i="2"/>
  <c r="J46" i="2" s="1"/>
  <c r="I44" i="2" l="1"/>
  <c r="J44" i="2" s="1"/>
  <c r="I43" i="2"/>
  <c r="J43" i="2" s="1"/>
  <c r="I42" i="2"/>
  <c r="J42" i="2" s="1"/>
  <c r="I41" i="2"/>
  <c r="J41" i="2" s="1"/>
  <c r="I40" i="2" l="1"/>
  <c r="J40" i="2" s="1"/>
  <c r="I39" i="2"/>
  <c r="J39" i="2" s="1"/>
  <c r="I38" i="2"/>
  <c r="J38" i="2"/>
  <c r="I35" i="2" l="1"/>
  <c r="J35" i="2" s="1"/>
  <c r="I36" i="2"/>
  <c r="J36" i="2" s="1"/>
  <c r="I37" i="2"/>
  <c r="J37" i="2"/>
  <c r="I32" i="2"/>
  <c r="J32" i="2" s="1"/>
  <c r="I33" i="2"/>
  <c r="J33" i="2" s="1"/>
  <c r="I34" i="2"/>
  <c r="J34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15" i="2" l="1"/>
  <c r="J15" i="2" s="1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F63" i="2"/>
  <c r="AO62" i="2"/>
  <c r="AO61" i="2"/>
  <c r="AO60" i="2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I23" i="2"/>
  <c r="J23" i="2" s="1"/>
  <c r="AO22" i="2"/>
  <c r="I22" i="2"/>
  <c r="J22" i="2" s="1"/>
  <c r="AO21" i="2"/>
  <c r="I21" i="2"/>
  <c r="J21" i="2" s="1"/>
  <c r="AO20" i="2"/>
  <c r="I20" i="2"/>
  <c r="J20" i="2" s="1"/>
  <c r="AO19" i="2"/>
  <c r="I19" i="2"/>
  <c r="J19" i="2" s="1"/>
  <c r="AO18" i="2"/>
  <c r="I18" i="2"/>
  <c r="J18" i="2" s="1"/>
  <c r="AO17" i="2"/>
  <c r="I17" i="2"/>
  <c r="J17" i="2" s="1"/>
  <c r="AO16" i="2"/>
  <c r="I16" i="2"/>
  <c r="J16" i="2" s="1"/>
  <c r="AO15" i="2"/>
  <c r="AO14" i="2"/>
  <c r="I14" i="2"/>
  <c r="J14" i="2" s="1"/>
  <c r="AO13" i="2"/>
  <c r="I13" i="2"/>
  <c r="J13" i="2" s="1"/>
  <c r="AO12" i="2"/>
  <c r="I12" i="2"/>
  <c r="J12" i="2" s="1"/>
  <c r="AO11" i="2"/>
  <c r="I11" i="2"/>
  <c r="J11" i="2" s="1"/>
  <c r="AO10" i="2"/>
  <c r="I10" i="2"/>
  <c r="J10" i="2" s="1"/>
  <c r="AO9" i="2"/>
  <c r="I9" i="2"/>
  <c r="J9" i="2" s="1"/>
  <c r="AO8" i="2"/>
  <c r="I8" i="2"/>
  <c r="J8" i="2" s="1"/>
  <c r="AO7" i="2"/>
  <c r="I7" i="2"/>
  <c r="J7" i="2" s="1"/>
  <c r="AO6" i="2"/>
  <c r="I6" i="2"/>
  <c r="J6" i="2" s="1"/>
  <c r="AO5" i="2"/>
  <c r="I5" i="2"/>
  <c r="J5" i="2" s="1"/>
  <c r="AO4" i="2"/>
  <c r="I4" i="2"/>
  <c r="J4" i="2" s="1"/>
  <c r="AO3" i="2"/>
  <c r="I3" i="2"/>
  <c r="J3" i="2" s="1"/>
  <c r="AO2" i="2"/>
  <c r="I2" i="2"/>
  <c r="J2" i="2" s="1"/>
  <c r="L1" i="2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I63" i="2" l="1"/>
  <c r="J63" i="2" s="1"/>
  <c r="AO63" i="2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" i="1"/>
  <c r="L4" i="1" s="1"/>
  <c r="AQ4" i="1" l="1"/>
  <c r="AQ72" i="1" l="1"/>
  <c r="N3" i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M72" i="1" l="1"/>
  <c r="H72" i="1"/>
</calcChain>
</file>

<file path=xl/sharedStrings.xml><?xml version="1.0" encoding="utf-8"?>
<sst xmlns="http://schemas.openxmlformats.org/spreadsheetml/2006/main" count="549" uniqueCount="207">
  <si>
    <t>SL NO</t>
  </si>
  <si>
    <t>SUPERVISOR</t>
  </si>
  <si>
    <t>SECTION INCHARGE</t>
  </si>
  <si>
    <t>LOCATION NO</t>
  </si>
  <si>
    <t>TYPE OF TOWER</t>
  </si>
  <si>
    <t>WEIGHT IN MT</t>
  </si>
  <si>
    <t>Total Tonnage Completed</t>
  </si>
  <si>
    <t>Start Date</t>
  </si>
  <si>
    <t>Remarks</t>
  </si>
  <si>
    <t>Gang</t>
  </si>
  <si>
    <t>End Date</t>
  </si>
  <si>
    <t>No. of Days taken</t>
  </si>
  <si>
    <t>DATE-14-09-2025</t>
  </si>
  <si>
    <t>Date wise Productivity</t>
  </si>
  <si>
    <t>DA+9</t>
  </si>
  <si>
    <t>33/0</t>
  </si>
  <si>
    <t>DC1+6</t>
  </si>
  <si>
    <t>183/4</t>
  </si>
  <si>
    <t>25/0</t>
  </si>
  <si>
    <t>DB2+6</t>
  </si>
  <si>
    <t>223/0</t>
  </si>
  <si>
    <t>DC2+6</t>
  </si>
  <si>
    <t>163/2</t>
  </si>
  <si>
    <t>DA+3</t>
  </si>
  <si>
    <t>68/0</t>
  </si>
  <si>
    <t>76A/1</t>
  </si>
  <si>
    <t>DB1+6</t>
  </si>
  <si>
    <t>141/0</t>
  </si>
  <si>
    <t>DC2+3</t>
  </si>
  <si>
    <t>DA+6</t>
  </si>
  <si>
    <t>22/0</t>
  </si>
  <si>
    <t>DC1+9</t>
  </si>
  <si>
    <t>218/0</t>
  </si>
  <si>
    <t>DD45+3</t>
  </si>
  <si>
    <t>6/0</t>
  </si>
  <si>
    <t>DB1+0</t>
  </si>
  <si>
    <t>2A/0</t>
  </si>
  <si>
    <t>DB2+0</t>
  </si>
  <si>
    <t>12/0</t>
  </si>
  <si>
    <t>184/0</t>
  </si>
  <si>
    <t>DA+0</t>
  </si>
  <si>
    <t>191/0</t>
  </si>
  <si>
    <t>220/1</t>
  </si>
  <si>
    <t>13/2</t>
  </si>
  <si>
    <t>18/7</t>
  </si>
  <si>
    <t>13/3</t>
  </si>
  <si>
    <t>2/4</t>
  </si>
  <si>
    <t>5/3</t>
  </si>
  <si>
    <t>18/8</t>
  </si>
  <si>
    <t>11/1</t>
  </si>
  <si>
    <t>2/3</t>
  </si>
  <si>
    <t>26/1</t>
  </si>
  <si>
    <t>TEJAL</t>
  </si>
  <si>
    <t>Shri Karni Construction</t>
  </si>
  <si>
    <t>PANKAJ -1</t>
  </si>
  <si>
    <t>Govind Mahto</t>
  </si>
  <si>
    <t>VINOD</t>
  </si>
  <si>
    <t>MOHAN MAHTO</t>
  </si>
  <si>
    <t>JAY PRAKASH</t>
  </si>
  <si>
    <t>PANKAJ-2</t>
  </si>
  <si>
    <t>FATIMA -1</t>
  </si>
  <si>
    <t>Radhika Enterprises</t>
  </si>
  <si>
    <t>Pankaj-1</t>
  </si>
  <si>
    <t>Horil</t>
  </si>
  <si>
    <t>KHEMLAL</t>
  </si>
  <si>
    <t>137/2</t>
  </si>
  <si>
    <t>12/3</t>
  </si>
  <si>
    <t>10/1</t>
  </si>
  <si>
    <t>27/0</t>
  </si>
  <si>
    <t>DD45+9</t>
  </si>
  <si>
    <t>72/2</t>
  </si>
  <si>
    <t>141/1</t>
  </si>
  <si>
    <t>194/0</t>
  </si>
  <si>
    <t>DC1+3</t>
  </si>
  <si>
    <t>6/1</t>
  </si>
  <si>
    <t>10/2</t>
  </si>
  <si>
    <t>shri Karni Construction</t>
  </si>
  <si>
    <t xml:space="preserve">FATIMA </t>
  </si>
  <si>
    <t>19/0</t>
  </si>
  <si>
    <t>66/1</t>
  </si>
  <si>
    <t>19/1</t>
  </si>
  <si>
    <t>Rajkumar Tomar</t>
  </si>
  <si>
    <t>Krishna Prasad</t>
  </si>
  <si>
    <t>Anil Kumar</t>
  </si>
  <si>
    <t>Bipattaran Dolui</t>
  </si>
  <si>
    <t>Abhishek Kumar</t>
  </si>
  <si>
    <t>Bhola Karmakar</t>
  </si>
  <si>
    <t>Sahadeb Gope</t>
  </si>
  <si>
    <t>Location Completed</t>
  </si>
  <si>
    <t>100/2</t>
  </si>
  <si>
    <t>166/0</t>
  </si>
  <si>
    <t>186/0</t>
  </si>
  <si>
    <t>DD60+0</t>
  </si>
  <si>
    <t>220/4</t>
  </si>
  <si>
    <t>214/0</t>
  </si>
  <si>
    <t>DC2+0</t>
  </si>
  <si>
    <t>2/2</t>
  </si>
  <si>
    <t>60/2</t>
  </si>
  <si>
    <t>11/2</t>
  </si>
  <si>
    <t>79/0</t>
  </si>
  <si>
    <t>DD45+0</t>
  </si>
  <si>
    <t>212/5</t>
  </si>
  <si>
    <t>35A/1</t>
  </si>
  <si>
    <t>142/1</t>
  </si>
  <si>
    <t>187A/1</t>
  </si>
  <si>
    <t>6/2</t>
  </si>
  <si>
    <t>2/1</t>
  </si>
  <si>
    <t>2/5</t>
  </si>
  <si>
    <t>DA-3</t>
  </si>
  <si>
    <t>5/10</t>
  </si>
  <si>
    <t>5/9</t>
  </si>
  <si>
    <t>11/3</t>
  </si>
  <si>
    <t>DB1+9</t>
  </si>
  <si>
    <t>18/5</t>
  </si>
  <si>
    <t>18/6</t>
  </si>
  <si>
    <t>60/3</t>
  </si>
  <si>
    <t>DA-1.5</t>
  </si>
  <si>
    <t>61/1</t>
  </si>
  <si>
    <t>66/0</t>
  </si>
  <si>
    <t>DC1+0</t>
  </si>
  <si>
    <t>187/2</t>
  </si>
  <si>
    <t>194/2</t>
  </si>
  <si>
    <t>210/10</t>
  </si>
  <si>
    <t>212/4</t>
  </si>
  <si>
    <t>212/3</t>
  </si>
  <si>
    <t>220/2</t>
  </si>
  <si>
    <t>19/2</t>
  </si>
  <si>
    <t>A B const.(Birendra Panday)</t>
  </si>
  <si>
    <t>Avg. Productivity per day (MT)</t>
  </si>
  <si>
    <t>ERECTION PRODUCTIVITY- TA-506 for thr month of September-2025</t>
  </si>
  <si>
    <t>140/2</t>
  </si>
  <si>
    <t>101/0</t>
  </si>
  <si>
    <t>206/1</t>
  </si>
  <si>
    <t>Karni Const. 5</t>
  </si>
  <si>
    <t>Karni Const. 6</t>
  </si>
  <si>
    <t>Karni Const. 3</t>
  </si>
  <si>
    <t>Jai Prakash Mahto</t>
  </si>
  <si>
    <t>Karni Const. 1</t>
  </si>
  <si>
    <t>Karni Const. 2</t>
  </si>
  <si>
    <t>Karni Const. 4</t>
  </si>
  <si>
    <t>AB Const.</t>
  </si>
  <si>
    <t>Tejal Const.</t>
  </si>
  <si>
    <t>Horil Mahto</t>
  </si>
  <si>
    <t>Pankaj Const.</t>
  </si>
  <si>
    <t>51A/2</t>
  </si>
  <si>
    <t>2/6</t>
  </si>
  <si>
    <t>5/11</t>
  </si>
  <si>
    <t>19/3</t>
  </si>
  <si>
    <t>67/0</t>
  </si>
  <si>
    <t>164/0</t>
  </si>
  <si>
    <t>13/1</t>
  </si>
  <si>
    <t>51A/1</t>
  </si>
  <si>
    <t>213/5</t>
  </si>
  <si>
    <t>224/0</t>
  </si>
  <si>
    <t>19/4</t>
  </si>
  <si>
    <t>Khemlal Mahto</t>
  </si>
  <si>
    <t>Binod Mahto</t>
  </si>
  <si>
    <t>187/0</t>
  </si>
  <si>
    <t>206/0</t>
  </si>
  <si>
    <t>2/8</t>
  </si>
  <si>
    <t>12/5</t>
  </si>
  <si>
    <t>51C/2</t>
  </si>
  <si>
    <t>142/0</t>
  </si>
  <si>
    <t>193/2</t>
  </si>
  <si>
    <t>19/5</t>
  </si>
  <si>
    <t>13/0</t>
  </si>
  <si>
    <t>205/1</t>
  </si>
  <si>
    <t>2/7</t>
  </si>
  <si>
    <t>65A/0</t>
  </si>
  <si>
    <t>213/0</t>
  </si>
  <si>
    <t>9/0</t>
  </si>
  <si>
    <t>12/6</t>
  </si>
  <si>
    <t>220/7</t>
  </si>
  <si>
    <t>1/1</t>
  </si>
  <si>
    <t>1/2</t>
  </si>
  <si>
    <t>12/7</t>
  </si>
  <si>
    <t>51C/0</t>
  </si>
  <si>
    <t>Gulab Mahto</t>
  </si>
  <si>
    <t>211/7</t>
  </si>
  <si>
    <t>220/6</t>
  </si>
  <si>
    <t>193/1</t>
  </si>
  <si>
    <t>205/2</t>
  </si>
  <si>
    <t>42/0</t>
  </si>
  <si>
    <t>DD45+6</t>
  </si>
  <si>
    <t>205/0</t>
  </si>
  <si>
    <t>202/2</t>
  </si>
  <si>
    <t>1/3</t>
  </si>
  <si>
    <t>101/1</t>
  </si>
  <si>
    <t>10/0</t>
  </si>
  <si>
    <t>53/0</t>
  </si>
  <si>
    <t>DB2+9</t>
  </si>
  <si>
    <t>65/0</t>
  </si>
  <si>
    <t>DD60+9</t>
  </si>
  <si>
    <t>1/7</t>
  </si>
  <si>
    <t>60/0</t>
  </si>
  <si>
    <t>Prem Kumar</t>
  </si>
  <si>
    <t>1/6</t>
  </si>
  <si>
    <t>14/0</t>
  </si>
  <si>
    <t>97/1</t>
  </si>
  <si>
    <t>DA+1.5</t>
  </si>
  <si>
    <t>167/1</t>
  </si>
  <si>
    <t>Serial No</t>
  </si>
  <si>
    <t>Gang Name</t>
  </si>
  <si>
    <t>Starting Date</t>
  </si>
  <si>
    <t>Ending Date</t>
  </si>
  <si>
    <t>No of Days Taken</t>
  </si>
  <si>
    <t>Productivity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</si>
</sst>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4" fontId="1" fillId="5" borderId="7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2" fontId="0" fillId="0" borderId="22" xfId="0" applyNumberFormat="1" applyBorder="1" applyAlignment="1">
      <alignment horizontal="center" vertical="center" wrapText="1"/>
    </xf>
    <xf numFmtId="2" fontId="0" fillId="0" borderId="23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4" fontId="0" fillId="0" borderId="26" xfId="0" applyNumberFormat="1" applyBorder="1" applyAlignment="1">
      <alignment horizontal="center" vertical="center" wrapText="1"/>
    </xf>
    <xf numFmtId="14" fontId="0" fillId="0" borderId="25" xfId="0" applyNumberFormat="1" applyBorder="1" applyAlignment="1">
      <alignment horizontal="center" vertical="center" wrapText="1"/>
    </xf>
    <xf numFmtId="14" fontId="0" fillId="0" borderId="27" xfId="0" applyNumberFormat="1" applyBorder="1" applyAlignment="1">
      <alignment horizontal="center" vertical="center" wrapText="1"/>
    </xf>
    <xf numFmtId="14" fontId="1" fillId="5" borderId="28" xfId="0" applyNumberFormat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6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7" borderId="1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0" fillId="7" borderId="9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6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2" fontId="0" fillId="7" borderId="16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4" fillId="7" borderId="9" xfId="0" applyNumberFormat="1" applyFont="1" applyFill="1" applyBorder="1" applyAlignment="1">
      <alignment horizontal="center" vertical="center"/>
    </xf>
    <xf numFmtId="2" fontId="1" fillId="6" borderId="4" xfId="0" applyNumberFormat="1" applyFont="1" applyFill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2" fontId="1" fillId="6" borderId="18" xfId="0" applyNumberFormat="1" applyFont="1" applyFill="1" applyBorder="1" applyAlignment="1">
      <alignment horizontal="center" vertical="center" wrapText="1"/>
    </xf>
    <xf numFmtId="49" fontId="0" fillId="7" borderId="2" xfId="0" quotePrefix="1" applyNumberFormat="1" applyFill="1" applyBorder="1" applyAlignment="1">
      <alignment horizontal="center" vertical="center"/>
    </xf>
    <xf numFmtId="49" fontId="0" fillId="7" borderId="1" xfId="0" quotePrefix="1" applyNumberForma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49" fontId="0" fillId="7" borderId="9" xfId="0" quotePrefix="1" applyNumberFormat="1" applyFill="1" applyBorder="1" applyAlignment="1">
      <alignment horizontal="center" vertical="center"/>
    </xf>
    <xf numFmtId="1" fontId="1" fillId="6" borderId="4" xfId="0" applyNumberFormat="1" applyFont="1" applyFill="1" applyBorder="1" applyAlignment="1">
      <alignment horizontal="center" vertical="center" wrapText="1"/>
    </xf>
    <xf numFmtId="16" fontId="0" fillId="7" borderId="1" xfId="0" quotePrefix="1" applyNumberForma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R72"/>
  <sheetViews>
    <sheetView workbookViewId="0">
      <pane xSplit="12" ySplit="3" topLeftCell="M27" activePane="bottomRight" state="frozen"/>
      <selection pane="topRight" activeCell="P1" sqref="P1"/>
      <selection pane="bottomLeft" activeCell="A4" sqref="A4"/>
      <selection pane="bottomRight" activeCell="H35" sqref="H35"/>
    </sheetView>
  </sheetViews>
  <sheetFormatPr defaultColWidth="9.1796875" defaultRowHeight="14.5" x14ac:dyDescent="0.35"/>
  <cols>
    <col min="1" max="1" width="2.1796875" style="1" customWidth="1"/>
    <col min="2" max="2" width="6.1796875" style="1" customWidth="1"/>
    <col min="3" max="3" width="22.36328125" style="1" customWidth="1"/>
    <col min="4" max="4" width="20.81640625" style="1" customWidth="1"/>
    <col min="5" max="5" width="20.6328125" style="26" customWidth="1"/>
    <col min="6" max="7" width="10.54296875" style="1" customWidth="1"/>
    <col min="8" max="8" width="11.6328125" style="1" customWidth="1"/>
    <col min="9" max="9" width="10.453125" style="1" bestFit="1" customWidth="1"/>
    <col min="10" max="10" width="11.453125" style="1" bestFit="1" customWidth="1"/>
    <col min="11" max="11" width="11.453125" style="1" customWidth="1"/>
    <col min="12" max="12" width="11.08984375" style="1" customWidth="1"/>
    <col min="13" max="42" width="11.453125" style="1" customWidth="1"/>
    <col min="43" max="43" width="18" style="1" bestFit="1" customWidth="1"/>
    <col min="44" max="44" width="17.54296875" style="1" customWidth="1"/>
    <col min="45" max="16384" width="9.1796875" style="1"/>
  </cols>
  <sheetData>
    <row r="1" spans="2:44" ht="24" customHeight="1" thickBot="1" x14ac:dyDescent="0.4">
      <c r="B1" s="61" t="s">
        <v>129</v>
      </c>
      <c r="C1" s="62"/>
      <c r="D1" s="62"/>
      <c r="E1" s="62"/>
      <c r="F1" s="62"/>
      <c r="G1" s="62"/>
      <c r="H1" s="63"/>
      <c r="I1" s="7"/>
      <c r="AR1" s="2" t="s">
        <v>12</v>
      </c>
    </row>
    <row r="2" spans="2:44" ht="24" customHeight="1" x14ac:dyDescent="0.35">
      <c r="B2" s="66" t="s">
        <v>0</v>
      </c>
      <c r="C2" s="68" t="s">
        <v>2</v>
      </c>
      <c r="D2" s="68" t="s">
        <v>1</v>
      </c>
      <c r="E2" s="68" t="s">
        <v>9</v>
      </c>
      <c r="F2" s="70" t="s">
        <v>88</v>
      </c>
      <c r="G2" s="71"/>
      <c r="H2" s="72"/>
      <c r="I2" s="68" t="s">
        <v>7</v>
      </c>
      <c r="J2" s="68" t="s">
        <v>10</v>
      </c>
      <c r="K2" s="59" t="s">
        <v>11</v>
      </c>
      <c r="L2" s="59" t="s">
        <v>128</v>
      </c>
      <c r="M2" s="64" t="s">
        <v>13</v>
      </c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5"/>
      <c r="AQ2" s="55" t="s">
        <v>6</v>
      </c>
      <c r="AR2" s="57" t="s">
        <v>8</v>
      </c>
    </row>
    <row r="3" spans="2:44" ht="36" customHeight="1" thickBot="1" x14ac:dyDescent="0.4">
      <c r="B3" s="67"/>
      <c r="C3" s="69"/>
      <c r="D3" s="69"/>
      <c r="E3" s="69"/>
      <c r="F3" s="8" t="s">
        <v>3</v>
      </c>
      <c r="G3" s="8" t="s">
        <v>4</v>
      </c>
      <c r="H3" s="8" t="s">
        <v>5</v>
      </c>
      <c r="I3" s="69"/>
      <c r="J3" s="69"/>
      <c r="K3" s="60"/>
      <c r="L3" s="60"/>
      <c r="M3" s="22">
        <v>45901</v>
      </c>
      <c r="N3" s="9">
        <f>M3+1</f>
        <v>45902</v>
      </c>
      <c r="O3" s="9">
        <f t="shared" ref="O3:AP3" si="0">N3+1</f>
        <v>45903</v>
      </c>
      <c r="P3" s="9">
        <f t="shared" si="0"/>
        <v>45904</v>
      </c>
      <c r="Q3" s="9">
        <f t="shared" si="0"/>
        <v>45905</v>
      </c>
      <c r="R3" s="9">
        <f t="shared" si="0"/>
        <v>45906</v>
      </c>
      <c r="S3" s="9">
        <f t="shared" si="0"/>
        <v>45907</v>
      </c>
      <c r="T3" s="9">
        <f t="shared" si="0"/>
        <v>45908</v>
      </c>
      <c r="U3" s="9">
        <f t="shared" si="0"/>
        <v>45909</v>
      </c>
      <c r="V3" s="9">
        <f t="shared" si="0"/>
        <v>45910</v>
      </c>
      <c r="W3" s="9">
        <f t="shared" si="0"/>
        <v>45911</v>
      </c>
      <c r="X3" s="9">
        <f t="shared" si="0"/>
        <v>45912</v>
      </c>
      <c r="Y3" s="9">
        <f t="shared" si="0"/>
        <v>45913</v>
      </c>
      <c r="Z3" s="9">
        <f t="shared" si="0"/>
        <v>45914</v>
      </c>
      <c r="AA3" s="9">
        <f t="shared" si="0"/>
        <v>45915</v>
      </c>
      <c r="AB3" s="9">
        <f t="shared" si="0"/>
        <v>45916</v>
      </c>
      <c r="AC3" s="9">
        <f t="shared" si="0"/>
        <v>45917</v>
      </c>
      <c r="AD3" s="9">
        <f t="shared" si="0"/>
        <v>45918</v>
      </c>
      <c r="AE3" s="9">
        <f t="shared" si="0"/>
        <v>45919</v>
      </c>
      <c r="AF3" s="9">
        <f t="shared" si="0"/>
        <v>45920</v>
      </c>
      <c r="AG3" s="9">
        <f t="shared" si="0"/>
        <v>45921</v>
      </c>
      <c r="AH3" s="9">
        <f t="shared" si="0"/>
        <v>45922</v>
      </c>
      <c r="AI3" s="9">
        <f t="shared" si="0"/>
        <v>45923</v>
      </c>
      <c r="AJ3" s="9">
        <f t="shared" si="0"/>
        <v>45924</v>
      </c>
      <c r="AK3" s="9">
        <f t="shared" si="0"/>
        <v>45925</v>
      </c>
      <c r="AL3" s="9">
        <f t="shared" si="0"/>
        <v>45926</v>
      </c>
      <c r="AM3" s="9">
        <f t="shared" si="0"/>
        <v>45927</v>
      </c>
      <c r="AN3" s="9">
        <f t="shared" si="0"/>
        <v>45928</v>
      </c>
      <c r="AO3" s="9">
        <f t="shared" si="0"/>
        <v>45929</v>
      </c>
      <c r="AP3" s="9">
        <f t="shared" si="0"/>
        <v>45930</v>
      </c>
      <c r="AQ3" s="56"/>
      <c r="AR3" s="58"/>
    </row>
    <row r="4" spans="2:44" ht="16.5" customHeight="1" x14ac:dyDescent="0.35">
      <c r="B4" s="3">
        <v>1</v>
      </c>
      <c r="C4" s="4" t="s">
        <v>81</v>
      </c>
      <c r="D4" s="4" t="s">
        <v>87</v>
      </c>
      <c r="E4" s="36" t="s">
        <v>52</v>
      </c>
      <c r="F4" s="28" t="s">
        <v>65</v>
      </c>
      <c r="G4" s="29" t="s">
        <v>40</v>
      </c>
      <c r="H4" s="38">
        <v>16.966723999999999</v>
      </c>
      <c r="I4" s="5">
        <v>45896</v>
      </c>
      <c r="J4" s="27">
        <v>45901</v>
      </c>
      <c r="K4" s="4">
        <f>J4-I4+1</f>
        <v>6</v>
      </c>
      <c r="L4" s="15">
        <f t="shared" ref="L4:L35" si="1">H4/K4</f>
        <v>2.8277873333333332</v>
      </c>
      <c r="M4" s="15">
        <v>2.8277873333333332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6"/>
      <c r="AI4" s="16"/>
      <c r="AJ4" s="16"/>
      <c r="AK4" s="16"/>
      <c r="AL4" s="16"/>
      <c r="AM4" s="16"/>
      <c r="AN4" s="16"/>
      <c r="AO4" s="16"/>
      <c r="AP4" s="16"/>
      <c r="AQ4" s="42">
        <f t="shared" ref="AQ4:AQ67" si="2">SUM(M4:AP4)</f>
        <v>2.8277873333333332</v>
      </c>
      <c r="AR4" s="20"/>
    </row>
    <row r="5" spans="2:44" ht="16.5" customHeight="1" x14ac:dyDescent="0.35">
      <c r="B5" s="3">
        <v>2</v>
      </c>
      <c r="C5" s="4" t="s">
        <v>82</v>
      </c>
      <c r="D5" s="4" t="s">
        <v>83</v>
      </c>
      <c r="E5" s="35" t="s">
        <v>53</v>
      </c>
      <c r="F5" s="30" t="s">
        <v>43</v>
      </c>
      <c r="G5" s="24" t="s">
        <v>14</v>
      </c>
      <c r="H5" s="39">
        <v>16.966723999999999</v>
      </c>
      <c r="I5" s="5">
        <v>45901</v>
      </c>
      <c r="J5" s="27">
        <v>45905</v>
      </c>
      <c r="K5" s="4">
        <f t="shared" ref="K5:K68" si="3">J5-I5+1</f>
        <v>5</v>
      </c>
      <c r="L5" s="15">
        <f t="shared" si="1"/>
        <v>3.3933447999999999</v>
      </c>
      <c r="M5" s="15">
        <v>3.3933447999999999</v>
      </c>
      <c r="N5" s="15">
        <v>3.3933447999999999</v>
      </c>
      <c r="O5" s="15">
        <v>3.3933447999999999</v>
      </c>
      <c r="P5" s="15">
        <v>3.3933447999999999</v>
      </c>
      <c r="Q5" s="15">
        <v>3.3933447999999999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6"/>
      <c r="AI5" s="16"/>
      <c r="AJ5" s="16"/>
      <c r="AK5" s="16"/>
      <c r="AL5" s="16"/>
      <c r="AM5" s="16"/>
      <c r="AN5" s="16"/>
      <c r="AO5" s="16"/>
      <c r="AP5" s="16"/>
      <c r="AQ5" s="42">
        <f t="shared" si="2"/>
        <v>16.966723999999999</v>
      </c>
      <c r="AR5" s="21"/>
    </row>
    <row r="6" spans="2:44" ht="16.5" customHeight="1" x14ac:dyDescent="0.35">
      <c r="B6" s="3">
        <v>3</v>
      </c>
      <c r="C6" s="4" t="s">
        <v>82</v>
      </c>
      <c r="D6" s="4" t="s">
        <v>83</v>
      </c>
      <c r="E6" s="35" t="s">
        <v>53</v>
      </c>
      <c r="F6" s="23" t="s">
        <v>15</v>
      </c>
      <c r="G6" s="24" t="s">
        <v>16</v>
      </c>
      <c r="H6" s="39">
        <v>37.205740999999996</v>
      </c>
      <c r="I6" s="5">
        <v>45896</v>
      </c>
      <c r="J6" s="27">
        <v>45905</v>
      </c>
      <c r="K6" s="4">
        <f t="shared" si="3"/>
        <v>10</v>
      </c>
      <c r="L6" s="15">
        <f t="shared" si="1"/>
        <v>3.7205740999999994</v>
      </c>
      <c r="M6" s="15">
        <v>3.7205740999999994</v>
      </c>
      <c r="N6" s="15">
        <v>3.7205740999999994</v>
      </c>
      <c r="O6" s="15">
        <v>3.7205740999999994</v>
      </c>
      <c r="P6" s="15">
        <v>3.7205740999999994</v>
      </c>
      <c r="Q6" s="15">
        <v>3.7205740999999994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6"/>
      <c r="AI6" s="16"/>
      <c r="AJ6" s="16"/>
      <c r="AK6" s="16"/>
      <c r="AL6" s="16"/>
      <c r="AM6" s="16"/>
      <c r="AN6" s="16"/>
      <c r="AO6" s="16"/>
      <c r="AP6" s="16"/>
      <c r="AQ6" s="42">
        <f t="shared" si="2"/>
        <v>18.602870499999998</v>
      </c>
      <c r="AR6" s="21"/>
    </row>
    <row r="7" spans="2:44" ht="16.5" customHeight="1" x14ac:dyDescent="0.35">
      <c r="B7" s="3">
        <v>4</v>
      </c>
      <c r="C7" s="4" t="s">
        <v>85</v>
      </c>
      <c r="D7" s="4" t="s">
        <v>86</v>
      </c>
      <c r="E7" s="35" t="s">
        <v>54</v>
      </c>
      <c r="F7" s="23" t="s">
        <v>17</v>
      </c>
      <c r="G7" s="24" t="s">
        <v>14</v>
      </c>
      <c r="H7" s="39">
        <v>16.966723999999999</v>
      </c>
      <c r="I7" s="5">
        <v>45900</v>
      </c>
      <c r="J7" s="27">
        <v>45904</v>
      </c>
      <c r="K7" s="4">
        <f t="shared" si="3"/>
        <v>5</v>
      </c>
      <c r="L7" s="15">
        <f t="shared" si="1"/>
        <v>3.3933447999999999</v>
      </c>
      <c r="M7" s="15">
        <v>3.3933447999999999</v>
      </c>
      <c r="N7" s="15">
        <v>3.3933447999999999</v>
      </c>
      <c r="O7" s="15">
        <v>3.3933447999999999</v>
      </c>
      <c r="P7" s="15">
        <v>3.3933447999999999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6"/>
      <c r="AI7" s="16"/>
      <c r="AJ7" s="16"/>
      <c r="AK7" s="16"/>
      <c r="AL7" s="16"/>
      <c r="AM7" s="16"/>
      <c r="AN7" s="16"/>
      <c r="AO7" s="16"/>
      <c r="AP7" s="16"/>
      <c r="AQ7" s="42">
        <f t="shared" si="2"/>
        <v>13.5733792</v>
      </c>
      <c r="AR7" s="21"/>
    </row>
    <row r="8" spans="2:44" ht="16.5" customHeight="1" x14ac:dyDescent="0.35">
      <c r="B8" s="3">
        <v>5</v>
      </c>
      <c r="C8" s="4" t="s">
        <v>82</v>
      </c>
      <c r="D8" s="4" t="s">
        <v>83</v>
      </c>
      <c r="E8" s="35" t="s">
        <v>53</v>
      </c>
      <c r="F8" s="23" t="s">
        <v>18</v>
      </c>
      <c r="G8" s="24" t="s">
        <v>19</v>
      </c>
      <c r="H8" s="39">
        <v>34.166430999999996</v>
      </c>
      <c r="I8" s="5">
        <v>45896</v>
      </c>
      <c r="J8" s="27">
        <v>45905</v>
      </c>
      <c r="K8" s="4">
        <f t="shared" si="3"/>
        <v>10</v>
      </c>
      <c r="L8" s="15">
        <f t="shared" si="1"/>
        <v>3.4166430999999995</v>
      </c>
      <c r="M8" s="15">
        <v>3.4166430999999995</v>
      </c>
      <c r="N8" s="15">
        <v>3.4166430999999995</v>
      </c>
      <c r="O8" s="15">
        <v>3.4166430999999995</v>
      </c>
      <c r="P8" s="15">
        <v>3.4166430999999995</v>
      </c>
      <c r="Q8" s="15">
        <v>3.4166430999999995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6"/>
      <c r="AI8" s="16"/>
      <c r="AJ8" s="16"/>
      <c r="AK8" s="16"/>
      <c r="AL8" s="16"/>
      <c r="AM8" s="16"/>
      <c r="AN8" s="16"/>
      <c r="AO8" s="16"/>
      <c r="AP8" s="16"/>
      <c r="AQ8" s="42">
        <f t="shared" si="2"/>
        <v>17.083215499999998</v>
      </c>
      <c r="AR8" s="21"/>
    </row>
    <row r="9" spans="2:44" ht="16.5" customHeight="1" x14ac:dyDescent="0.35">
      <c r="B9" s="3">
        <v>6</v>
      </c>
      <c r="C9" s="4" t="s">
        <v>85</v>
      </c>
      <c r="D9" s="4" t="s">
        <v>86</v>
      </c>
      <c r="E9" s="35" t="s">
        <v>55</v>
      </c>
      <c r="F9" s="23" t="s">
        <v>20</v>
      </c>
      <c r="G9" s="24" t="s">
        <v>21</v>
      </c>
      <c r="H9" s="39">
        <v>37.205740999999996</v>
      </c>
      <c r="I9" s="5">
        <v>45902</v>
      </c>
      <c r="J9" s="27">
        <v>45912</v>
      </c>
      <c r="K9" s="4">
        <f t="shared" si="3"/>
        <v>11</v>
      </c>
      <c r="L9" s="15">
        <f t="shared" si="1"/>
        <v>3.3823400909090906</v>
      </c>
      <c r="M9" s="15"/>
      <c r="N9" s="15">
        <v>3.3823400909090906</v>
      </c>
      <c r="O9" s="15">
        <v>3.3823400909090906</v>
      </c>
      <c r="P9" s="15">
        <v>3.3823400909090906</v>
      </c>
      <c r="Q9" s="15">
        <v>3.3823400909090906</v>
      </c>
      <c r="R9" s="15">
        <v>3.3823400909090906</v>
      </c>
      <c r="S9" s="15">
        <v>3.3823400909090906</v>
      </c>
      <c r="T9" s="15">
        <v>3.3823400909090906</v>
      </c>
      <c r="U9" s="15">
        <v>3.3823400909090906</v>
      </c>
      <c r="V9" s="15">
        <v>3.3823400909090906</v>
      </c>
      <c r="W9" s="15">
        <v>3.3823400909090906</v>
      </c>
      <c r="X9" s="15">
        <v>3.3823400909090906</v>
      </c>
      <c r="Y9" s="15"/>
      <c r="Z9" s="15"/>
      <c r="AA9" s="15"/>
      <c r="AB9" s="15"/>
      <c r="AC9" s="15"/>
      <c r="AD9" s="15"/>
      <c r="AE9" s="15"/>
      <c r="AF9" s="15"/>
      <c r="AG9" s="15"/>
      <c r="AH9" s="16"/>
      <c r="AI9" s="16"/>
      <c r="AJ9" s="16"/>
      <c r="AK9" s="16"/>
      <c r="AL9" s="16"/>
      <c r="AM9" s="16"/>
      <c r="AN9" s="16"/>
      <c r="AO9" s="16"/>
      <c r="AP9" s="16"/>
      <c r="AQ9" s="42">
        <f t="shared" si="2"/>
        <v>37.205740999999989</v>
      </c>
      <c r="AR9" s="21"/>
    </row>
    <row r="10" spans="2:44" ht="16.5" customHeight="1" x14ac:dyDescent="0.35">
      <c r="B10" s="3">
        <v>7</v>
      </c>
      <c r="C10" s="4" t="s">
        <v>85</v>
      </c>
      <c r="D10" s="4" t="s">
        <v>86</v>
      </c>
      <c r="E10" s="35" t="s">
        <v>56</v>
      </c>
      <c r="F10" s="23" t="s">
        <v>22</v>
      </c>
      <c r="G10" s="24" t="s">
        <v>23</v>
      </c>
      <c r="H10" s="39">
        <v>18.118815999999999</v>
      </c>
      <c r="I10" s="5">
        <v>45907</v>
      </c>
      <c r="J10" s="27">
        <v>45911</v>
      </c>
      <c r="K10" s="4">
        <f t="shared" si="3"/>
        <v>5</v>
      </c>
      <c r="L10" s="15">
        <f t="shared" si="1"/>
        <v>3.6237632</v>
      </c>
      <c r="M10" s="15"/>
      <c r="N10" s="15"/>
      <c r="O10" s="15"/>
      <c r="P10" s="15"/>
      <c r="Q10" s="15"/>
      <c r="R10" s="15"/>
      <c r="S10" s="15">
        <v>3.6237632</v>
      </c>
      <c r="T10" s="15">
        <v>3.6237632</v>
      </c>
      <c r="U10" s="15">
        <v>3.6237632</v>
      </c>
      <c r="V10" s="15">
        <v>3.6237632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6"/>
      <c r="AJ10" s="16"/>
      <c r="AK10" s="16"/>
      <c r="AL10" s="16"/>
      <c r="AM10" s="16"/>
      <c r="AN10" s="16"/>
      <c r="AO10" s="16"/>
      <c r="AP10" s="16"/>
      <c r="AQ10" s="42">
        <f t="shared" si="2"/>
        <v>14.4950528</v>
      </c>
      <c r="AR10" s="21"/>
    </row>
    <row r="11" spans="2:44" ht="16.5" customHeight="1" x14ac:dyDescent="0.35">
      <c r="B11" s="3">
        <v>8</v>
      </c>
      <c r="C11" s="4" t="s">
        <v>82</v>
      </c>
      <c r="D11" s="4" t="s">
        <v>84</v>
      </c>
      <c r="E11" s="35" t="s">
        <v>57</v>
      </c>
      <c r="F11" s="23" t="s">
        <v>24</v>
      </c>
      <c r="G11" s="24" t="s">
        <v>21</v>
      </c>
      <c r="H11" s="39">
        <v>37.205740999999996</v>
      </c>
      <c r="I11" s="5">
        <v>45901</v>
      </c>
      <c r="J11" s="27">
        <v>45910</v>
      </c>
      <c r="K11" s="4">
        <f t="shared" si="3"/>
        <v>10</v>
      </c>
      <c r="L11" s="15">
        <f t="shared" si="1"/>
        <v>3.7205740999999994</v>
      </c>
      <c r="M11" s="15">
        <v>3.7205740999999994</v>
      </c>
      <c r="N11" s="15">
        <v>3.7205740999999994</v>
      </c>
      <c r="O11" s="15">
        <v>3.7205740999999994</v>
      </c>
      <c r="P11" s="15">
        <v>3.7205740999999994</v>
      </c>
      <c r="Q11" s="15">
        <v>3.7205740999999994</v>
      </c>
      <c r="R11" s="15">
        <v>3.7205740999999994</v>
      </c>
      <c r="S11" s="15">
        <v>3.7205740999999994</v>
      </c>
      <c r="T11" s="15">
        <v>3.7205740999999994</v>
      </c>
      <c r="U11" s="15">
        <v>3.7205740999999994</v>
      </c>
      <c r="V11" s="15">
        <v>3.7205740999999994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6"/>
      <c r="AI11" s="16"/>
      <c r="AJ11" s="16"/>
      <c r="AK11" s="16"/>
      <c r="AL11" s="16"/>
      <c r="AM11" s="16"/>
      <c r="AN11" s="16"/>
      <c r="AO11" s="16"/>
      <c r="AP11" s="16"/>
      <c r="AQ11" s="42">
        <f t="shared" si="2"/>
        <v>37.205740999999996</v>
      </c>
      <c r="AR11" s="21"/>
    </row>
    <row r="12" spans="2:44" ht="16.5" customHeight="1" x14ac:dyDescent="0.35">
      <c r="B12" s="3">
        <v>9</v>
      </c>
      <c r="C12" s="4" t="s">
        <v>82</v>
      </c>
      <c r="D12" s="4" t="s">
        <v>84</v>
      </c>
      <c r="E12" s="35" t="s">
        <v>58</v>
      </c>
      <c r="F12" s="23" t="s">
        <v>25</v>
      </c>
      <c r="G12" s="24" t="s">
        <v>26</v>
      </c>
      <c r="H12" s="39">
        <v>34.166430999999996</v>
      </c>
      <c r="I12" s="5">
        <v>45909</v>
      </c>
      <c r="J12" s="27">
        <v>45917</v>
      </c>
      <c r="K12" s="4">
        <f t="shared" si="3"/>
        <v>9</v>
      </c>
      <c r="L12" s="15">
        <f t="shared" si="1"/>
        <v>3.7962701111111108</v>
      </c>
      <c r="M12" s="15"/>
      <c r="N12" s="15"/>
      <c r="O12" s="15"/>
      <c r="P12" s="15"/>
      <c r="Q12" s="15"/>
      <c r="R12" s="15"/>
      <c r="S12" s="15"/>
      <c r="T12" s="15"/>
      <c r="U12" s="15">
        <v>3.7962701111111108</v>
      </c>
      <c r="V12" s="15">
        <v>3.7962701111111108</v>
      </c>
      <c r="W12" s="15">
        <v>3.7962701111111108</v>
      </c>
      <c r="X12" s="15">
        <v>3.7962701111111108</v>
      </c>
      <c r="Y12" s="15">
        <v>3.7962701111111108</v>
      </c>
      <c r="Z12" s="15">
        <v>3.7962701111111108</v>
      </c>
      <c r="AA12" s="15">
        <v>3.7962701111111108</v>
      </c>
      <c r="AB12" s="15">
        <v>3.7962701111111108</v>
      </c>
      <c r="AC12" s="15">
        <v>3.7962701111111108</v>
      </c>
      <c r="AD12" s="15"/>
      <c r="AE12" s="15"/>
      <c r="AF12" s="15"/>
      <c r="AG12" s="15"/>
      <c r="AH12" s="16"/>
      <c r="AI12" s="16"/>
      <c r="AJ12" s="16"/>
      <c r="AK12" s="16"/>
      <c r="AL12" s="16"/>
      <c r="AM12" s="16"/>
      <c r="AN12" s="16"/>
      <c r="AO12" s="16"/>
      <c r="AP12" s="16"/>
      <c r="AQ12" s="42">
        <f t="shared" si="2"/>
        <v>34.166430999999996</v>
      </c>
      <c r="AR12" s="21"/>
    </row>
    <row r="13" spans="2:44" ht="16.5" customHeight="1" x14ac:dyDescent="0.35">
      <c r="B13" s="3">
        <v>10</v>
      </c>
      <c r="C13" s="4" t="s">
        <v>81</v>
      </c>
      <c r="D13" s="4" t="s">
        <v>87</v>
      </c>
      <c r="E13" s="35" t="s">
        <v>52</v>
      </c>
      <c r="F13" s="23" t="s">
        <v>27</v>
      </c>
      <c r="G13" s="24" t="s">
        <v>28</v>
      </c>
      <c r="H13" s="39">
        <v>31.864677</v>
      </c>
      <c r="I13" s="5">
        <v>45903</v>
      </c>
      <c r="J13" s="27">
        <v>45912</v>
      </c>
      <c r="K13" s="4">
        <f t="shared" si="3"/>
        <v>10</v>
      </c>
      <c r="L13" s="15">
        <f t="shared" si="1"/>
        <v>3.1864677000000001</v>
      </c>
      <c r="M13" s="15"/>
      <c r="N13" s="15"/>
      <c r="O13" s="15">
        <v>3.1864677000000001</v>
      </c>
      <c r="P13" s="15">
        <v>3.1864677000000001</v>
      </c>
      <c r="Q13" s="15">
        <v>3.1864677000000001</v>
      </c>
      <c r="R13" s="15">
        <v>3.1864677000000001</v>
      </c>
      <c r="S13" s="15">
        <v>3.1864677000000001</v>
      </c>
      <c r="T13" s="15">
        <v>3.1864677000000001</v>
      </c>
      <c r="U13" s="15">
        <v>3.1864677000000001</v>
      </c>
      <c r="V13" s="15">
        <v>3.1864677000000001</v>
      </c>
      <c r="W13" s="15">
        <v>3.1864677000000001</v>
      </c>
      <c r="X13" s="15">
        <v>3.1864677000000001</v>
      </c>
      <c r="Y13" s="15"/>
      <c r="Z13" s="15"/>
      <c r="AA13" s="15"/>
      <c r="AB13" s="15"/>
      <c r="AC13" s="15"/>
      <c r="AD13" s="15"/>
      <c r="AE13" s="15"/>
      <c r="AF13" s="15"/>
      <c r="AG13" s="15"/>
      <c r="AH13" s="16"/>
      <c r="AI13" s="16"/>
      <c r="AJ13" s="16"/>
      <c r="AK13" s="16"/>
      <c r="AL13" s="16"/>
      <c r="AM13" s="16"/>
      <c r="AN13" s="16"/>
      <c r="AO13" s="16"/>
      <c r="AP13" s="16"/>
      <c r="AQ13" s="42">
        <f t="shared" si="2"/>
        <v>31.864677000000007</v>
      </c>
      <c r="AR13" s="21"/>
    </row>
    <row r="14" spans="2:44" ht="16.5" customHeight="1" x14ac:dyDescent="0.35">
      <c r="B14" s="3">
        <v>11</v>
      </c>
      <c r="C14" s="4" t="s">
        <v>82</v>
      </c>
      <c r="D14" s="4" t="s">
        <v>83</v>
      </c>
      <c r="E14" s="35" t="s">
        <v>53</v>
      </c>
      <c r="F14" s="23" t="s">
        <v>44</v>
      </c>
      <c r="G14" s="24" t="s">
        <v>29</v>
      </c>
      <c r="H14" s="39">
        <v>21.096916</v>
      </c>
      <c r="I14" s="5">
        <v>45904</v>
      </c>
      <c r="J14" s="27">
        <v>45908</v>
      </c>
      <c r="K14" s="4">
        <f t="shared" si="3"/>
        <v>5</v>
      </c>
      <c r="L14" s="15">
        <f t="shared" si="1"/>
        <v>4.2193832000000002</v>
      </c>
      <c r="M14" s="15"/>
      <c r="N14" s="15"/>
      <c r="O14" s="15"/>
      <c r="P14" s="15">
        <v>4.2193832000000002</v>
      </c>
      <c r="Q14" s="15">
        <v>4.2193832000000002</v>
      </c>
      <c r="R14" s="15">
        <v>4.2193832000000002</v>
      </c>
      <c r="S14" s="15">
        <v>4.2193832000000002</v>
      </c>
      <c r="T14" s="15">
        <v>4.2193832000000002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6"/>
      <c r="AI14" s="16"/>
      <c r="AJ14" s="16"/>
      <c r="AK14" s="16"/>
      <c r="AL14" s="16"/>
      <c r="AM14" s="16"/>
      <c r="AN14" s="16"/>
      <c r="AO14" s="16"/>
      <c r="AP14" s="16"/>
      <c r="AQ14" s="42">
        <f t="shared" si="2"/>
        <v>21.096916</v>
      </c>
      <c r="AR14" s="21"/>
    </row>
    <row r="15" spans="2:44" ht="16.5" customHeight="1" x14ac:dyDescent="0.35">
      <c r="B15" s="3">
        <v>12</v>
      </c>
      <c r="C15" s="4" t="s">
        <v>82</v>
      </c>
      <c r="D15" s="4" t="s">
        <v>83</v>
      </c>
      <c r="E15" s="35" t="s">
        <v>53</v>
      </c>
      <c r="F15" s="23" t="s">
        <v>30</v>
      </c>
      <c r="G15" s="24" t="s">
        <v>31</v>
      </c>
      <c r="H15" s="39">
        <v>42.613351000000002</v>
      </c>
      <c r="I15" s="5">
        <v>45902</v>
      </c>
      <c r="J15" s="27">
        <v>45912</v>
      </c>
      <c r="K15" s="4">
        <f t="shared" si="3"/>
        <v>11</v>
      </c>
      <c r="L15" s="15">
        <f t="shared" si="1"/>
        <v>3.8739410000000003</v>
      </c>
      <c r="M15" s="15"/>
      <c r="N15" s="15">
        <v>3.8739410000000003</v>
      </c>
      <c r="O15" s="15">
        <v>3.8739410000000003</v>
      </c>
      <c r="P15" s="15">
        <v>3.8739410000000003</v>
      </c>
      <c r="Q15" s="15">
        <v>3.8739410000000003</v>
      </c>
      <c r="R15" s="15">
        <v>3.8739410000000003</v>
      </c>
      <c r="S15" s="15">
        <v>3.8739410000000003</v>
      </c>
      <c r="T15" s="15">
        <v>3.8739410000000003</v>
      </c>
      <c r="U15" s="15">
        <v>3.8739410000000003</v>
      </c>
      <c r="V15" s="15">
        <v>3.8739410000000003</v>
      </c>
      <c r="W15" s="15">
        <v>3.8739410000000003</v>
      </c>
      <c r="X15" s="15">
        <v>3.8739410000000003</v>
      </c>
      <c r="Y15" s="15"/>
      <c r="Z15" s="15"/>
      <c r="AA15" s="15"/>
      <c r="AB15" s="15"/>
      <c r="AC15" s="15"/>
      <c r="AD15" s="15"/>
      <c r="AE15" s="15"/>
      <c r="AF15" s="15"/>
      <c r="AG15" s="15"/>
      <c r="AH15" s="16"/>
      <c r="AI15" s="16"/>
      <c r="AJ15" s="16"/>
      <c r="AK15" s="16"/>
      <c r="AL15" s="16"/>
      <c r="AM15" s="16"/>
      <c r="AN15" s="16"/>
      <c r="AO15" s="16"/>
      <c r="AP15" s="16"/>
      <c r="AQ15" s="42">
        <f t="shared" si="2"/>
        <v>42.613351000000016</v>
      </c>
      <c r="AR15" s="21"/>
    </row>
    <row r="16" spans="2:44" ht="16.5" customHeight="1" x14ac:dyDescent="0.35">
      <c r="B16" s="3">
        <v>13</v>
      </c>
      <c r="C16" s="4" t="s">
        <v>82</v>
      </c>
      <c r="D16" s="4" t="s">
        <v>83</v>
      </c>
      <c r="E16" s="35" t="s">
        <v>76</v>
      </c>
      <c r="F16" s="23" t="s">
        <v>45</v>
      </c>
      <c r="G16" s="24" t="s">
        <v>23</v>
      </c>
      <c r="H16" s="39">
        <v>18.118815999999999</v>
      </c>
      <c r="I16" s="5">
        <v>45907</v>
      </c>
      <c r="J16" s="27">
        <v>45911</v>
      </c>
      <c r="K16" s="4">
        <f t="shared" si="3"/>
        <v>5</v>
      </c>
      <c r="L16" s="15">
        <f t="shared" si="1"/>
        <v>3.6237632</v>
      </c>
      <c r="M16" s="15"/>
      <c r="N16" s="15"/>
      <c r="O16" s="15"/>
      <c r="P16" s="15"/>
      <c r="Q16" s="15"/>
      <c r="R16" s="15"/>
      <c r="S16" s="15">
        <v>3.6237632</v>
      </c>
      <c r="T16" s="15">
        <v>3.6237632</v>
      </c>
      <c r="U16" s="15">
        <v>3.6237632</v>
      </c>
      <c r="V16" s="15">
        <v>3.6237632</v>
      </c>
      <c r="W16" s="15">
        <v>3.6237632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6"/>
      <c r="AI16" s="16"/>
      <c r="AJ16" s="16"/>
      <c r="AK16" s="16"/>
      <c r="AL16" s="16"/>
      <c r="AM16" s="16"/>
      <c r="AN16" s="16"/>
      <c r="AO16" s="16"/>
      <c r="AP16" s="16"/>
      <c r="AQ16" s="42">
        <f t="shared" si="2"/>
        <v>18.118815999999999</v>
      </c>
      <c r="AR16" s="21"/>
    </row>
    <row r="17" spans="2:44" ht="16.5" customHeight="1" x14ac:dyDescent="0.35">
      <c r="B17" s="3">
        <v>14</v>
      </c>
      <c r="C17" s="4" t="s">
        <v>82</v>
      </c>
      <c r="D17" s="4" t="s">
        <v>83</v>
      </c>
      <c r="E17" s="35" t="s">
        <v>53</v>
      </c>
      <c r="F17" s="24" t="s">
        <v>46</v>
      </c>
      <c r="G17" s="24" t="s">
        <v>23</v>
      </c>
      <c r="H17" s="39">
        <v>18.118815999999999</v>
      </c>
      <c r="I17" s="5">
        <v>45906</v>
      </c>
      <c r="J17" s="27">
        <v>45911</v>
      </c>
      <c r="K17" s="4">
        <f t="shared" si="3"/>
        <v>6</v>
      </c>
      <c r="L17" s="15">
        <f t="shared" si="1"/>
        <v>3.0198026666666666</v>
      </c>
      <c r="M17" s="15"/>
      <c r="N17" s="15"/>
      <c r="O17" s="15"/>
      <c r="P17" s="15"/>
      <c r="Q17" s="15"/>
      <c r="R17" s="15">
        <v>3.0198026666666666</v>
      </c>
      <c r="S17" s="15">
        <v>3.0198026666666666</v>
      </c>
      <c r="T17" s="15">
        <v>3.0198026666666666</v>
      </c>
      <c r="U17" s="15">
        <v>3.0198026666666666</v>
      </c>
      <c r="V17" s="15">
        <v>3.0198026666666666</v>
      </c>
      <c r="W17" s="15">
        <v>3.0198026666666666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6"/>
      <c r="AI17" s="16"/>
      <c r="AJ17" s="16"/>
      <c r="AK17" s="16"/>
      <c r="AL17" s="16"/>
      <c r="AM17" s="16"/>
      <c r="AN17" s="16"/>
      <c r="AO17" s="16"/>
      <c r="AP17" s="16"/>
      <c r="AQ17" s="42">
        <f t="shared" si="2"/>
        <v>18.118815999999999</v>
      </c>
      <c r="AR17" s="21"/>
    </row>
    <row r="18" spans="2:44" ht="16.5" customHeight="1" x14ac:dyDescent="0.35">
      <c r="B18" s="3">
        <v>15</v>
      </c>
      <c r="C18" s="4" t="s">
        <v>82</v>
      </c>
      <c r="D18" s="4" t="s">
        <v>83</v>
      </c>
      <c r="E18" s="35" t="s">
        <v>53</v>
      </c>
      <c r="F18" s="23" t="s">
        <v>47</v>
      </c>
      <c r="G18" s="24" t="s">
        <v>23</v>
      </c>
      <c r="H18" s="39">
        <v>18.118815999999999</v>
      </c>
      <c r="I18" s="5">
        <v>45910</v>
      </c>
      <c r="J18" s="27">
        <v>45915</v>
      </c>
      <c r="K18" s="4">
        <f t="shared" si="3"/>
        <v>6</v>
      </c>
      <c r="L18" s="15">
        <f t="shared" si="1"/>
        <v>3.0198026666666666</v>
      </c>
      <c r="M18" s="15"/>
      <c r="N18" s="15"/>
      <c r="O18" s="15"/>
      <c r="P18" s="15"/>
      <c r="Q18" s="15"/>
      <c r="R18" s="15"/>
      <c r="S18" s="15"/>
      <c r="T18" s="15"/>
      <c r="U18" s="15"/>
      <c r="V18" s="15">
        <v>3.0198026666666666</v>
      </c>
      <c r="W18" s="15">
        <v>3.0198026666666666</v>
      </c>
      <c r="X18" s="15">
        <v>3.0198026666666666</v>
      </c>
      <c r="Y18" s="15">
        <v>3.0198026666666666</v>
      </c>
      <c r="Z18" s="15">
        <v>3.0198026666666666</v>
      </c>
      <c r="AA18" s="15">
        <v>3.0198026666666666</v>
      </c>
      <c r="AB18" s="15"/>
      <c r="AC18" s="15"/>
      <c r="AD18" s="15"/>
      <c r="AE18" s="15"/>
      <c r="AF18" s="15"/>
      <c r="AG18" s="15"/>
      <c r="AH18" s="16"/>
      <c r="AI18" s="16"/>
      <c r="AJ18" s="16"/>
      <c r="AK18" s="16"/>
      <c r="AL18" s="16"/>
      <c r="AM18" s="16"/>
      <c r="AN18" s="16"/>
      <c r="AO18" s="16"/>
      <c r="AP18" s="16"/>
      <c r="AQ18" s="42">
        <f t="shared" si="2"/>
        <v>18.118815999999999</v>
      </c>
      <c r="AR18" s="21"/>
    </row>
    <row r="19" spans="2:44" ht="16.5" customHeight="1" x14ac:dyDescent="0.35">
      <c r="B19" s="3">
        <v>16</v>
      </c>
      <c r="C19" s="4" t="s">
        <v>85</v>
      </c>
      <c r="D19" s="4" t="s">
        <v>86</v>
      </c>
      <c r="E19" s="37" t="s">
        <v>59</v>
      </c>
      <c r="F19" s="31" t="s">
        <v>32</v>
      </c>
      <c r="G19" s="32" t="s">
        <v>33</v>
      </c>
      <c r="H19" s="39">
        <v>38.137878999999998</v>
      </c>
      <c r="I19" s="5">
        <v>45906</v>
      </c>
      <c r="J19" s="27">
        <v>45915</v>
      </c>
      <c r="K19" s="4">
        <f t="shared" si="3"/>
        <v>10</v>
      </c>
      <c r="L19" s="15">
        <f t="shared" si="1"/>
        <v>3.8137878999999999</v>
      </c>
      <c r="M19" s="15"/>
      <c r="N19" s="15"/>
      <c r="O19" s="15"/>
      <c r="P19" s="15"/>
      <c r="Q19" s="15"/>
      <c r="R19" s="15">
        <v>3.8137878999999999</v>
      </c>
      <c r="S19" s="15">
        <v>3.8137878999999999</v>
      </c>
      <c r="T19" s="15">
        <v>3.8137878999999999</v>
      </c>
      <c r="U19" s="15">
        <v>3.8137878999999999</v>
      </c>
      <c r="V19" s="15">
        <v>3.8137878999999999</v>
      </c>
      <c r="W19" s="15">
        <v>3.8137878999999999</v>
      </c>
      <c r="X19" s="15">
        <v>3.8137878999999999</v>
      </c>
      <c r="Y19" s="15">
        <v>3.8137878999999999</v>
      </c>
      <c r="Z19" s="15">
        <v>3.8137878999999999</v>
      </c>
      <c r="AA19" s="15">
        <v>3.8137878999999999</v>
      </c>
      <c r="AB19" s="15"/>
      <c r="AC19" s="15"/>
      <c r="AD19" s="15"/>
      <c r="AE19" s="15"/>
      <c r="AF19" s="15"/>
      <c r="AG19" s="15"/>
      <c r="AH19" s="16"/>
      <c r="AI19" s="16"/>
      <c r="AJ19" s="16"/>
      <c r="AK19" s="16"/>
      <c r="AL19" s="16"/>
      <c r="AM19" s="16"/>
      <c r="AN19" s="16"/>
      <c r="AO19" s="16"/>
      <c r="AP19" s="16"/>
      <c r="AQ19" s="42">
        <f t="shared" si="2"/>
        <v>38.137879000000005</v>
      </c>
      <c r="AR19" s="21"/>
    </row>
    <row r="20" spans="2:44" ht="16.5" customHeight="1" x14ac:dyDescent="0.35">
      <c r="B20" s="3">
        <v>17</v>
      </c>
      <c r="C20" s="4" t="s">
        <v>82</v>
      </c>
      <c r="D20" s="4" t="s">
        <v>84</v>
      </c>
      <c r="E20" s="35" t="s">
        <v>60</v>
      </c>
      <c r="F20" s="23" t="s">
        <v>34</v>
      </c>
      <c r="G20" s="24" t="s">
        <v>35</v>
      </c>
      <c r="H20" s="39">
        <v>27.092148999999996</v>
      </c>
      <c r="I20" s="5">
        <v>45906</v>
      </c>
      <c r="J20" s="27">
        <v>45911</v>
      </c>
      <c r="K20" s="4">
        <f t="shared" si="3"/>
        <v>6</v>
      </c>
      <c r="L20" s="15">
        <f t="shared" si="1"/>
        <v>4.5153581666666662</v>
      </c>
      <c r="M20" s="15"/>
      <c r="N20" s="15"/>
      <c r="O20" s="15"/>
      <c r="P20" s="15"/>
      <c r="Q20" s="15"/>
      <c r="R20" s="15">
        <v>4.5153581666666662</v>
      </c>
      <c r="S20" s="15">
        <v>4.5153581666666662</v>
      </c>
      <c r="T20" s="15">
        <v>4.5153581666666662</v>
      </c>
      <c r="U20" s="15">
        <v>4.5153581666666662</v>
      </c>
      <c r="V20" s="15">
        <v>4.5153581666666662</v>
      </c>
      <c r="W20" s="15">
        <v>4.5153581666666662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6"/>
      <c r="AI20" s="16"/>
      <c r="AJ20" s="16"/>
      <c r="AK20" s="16"/>
      <c r="AL20" s="16"/>
      <c r="AM20" s="16"/>
      <c r="AN20" s="16"/>
      <c r="AO20" s="16"/>
      <c r="AP20" s="16"/>
      <c r="AQ20" s="42">
        <f t="shared" si="2"/>
        <v>27.092148999999996</v>
      </c>
      <c r="AR20" s="21"/>
    </row>
    <row r="21" spans="2:44" ht="16.5" customHeight="1" x14ac:dyDescent="0.35">
      <c r="B21" s="3">
        <v>18</v>
      </c>
      <c r="C21" s="4" t="s">
        <v>82</v>
      </c>
      <c r="D21" s="4" t="s">
        <v>84</v>
      </c>
      <c r="E21" s="35" t="s">
        <v>61</v>
      </c>
      <c r="F21" s="23" t="s">
        <v>36</v>
      </c>
      <c r="G21" s="24" t="s">
        <v>37</v>
      </c>
      <c r="H21" s="39">
        <v>27.092148999999996</v>
      </c>
      <c r="I21" s="5">
        <v>45902</v>
      </c>
      <c r="J21" s="27">
        <v>45908</v>
      </c>
      <c r="K21" s="4">
        <f t="shared" si="3"/>
        <v>7</v>
      </c>
      <c r="L21" s="15">
        <f t="shared" si="1"/>
        <v>3.8703069999999995</v>
      </c>
      <c r="M21" s="15"/>
      <c r="N21" s="15">
        <v>3.8703069999999995</v>
      </c>
      <c r="O21" s="15">
        <v>3.8703069999999995</v>
      </c>
      <c r="P21" s="15">
        <v>3.8703069999999995</v>
      </c>
      <c r="Q21" s="15">
        <v>3.8703069999999995</v>
      </c>
      <c r="R21" s="15">
        <v>3.8703069999999995</v>
      </c>
      <c r="S21" s="15">
        <v>3.8703069999999995</v>
      </c>
      <c r="T21" s="15">
        <v>3.8703069999999995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6"/>
      <c r="AI21" s="16"/>
      <c r="AJ21" s="16"/>
      <c r="AK21" s="16"/>
      <c r="AL21" s="16"/>
      <c r="AM21" s="16"/>
      <c r="AN21" s="16"/>
      <c r="AO21" s="16"/>
      <c r="AP21" s="16"/>
      <c r="AQ21" s="42">
        <f t="shared" si="2"/>
        <v>27.092148999999999</v>
      </c>
      <c r="AR21" s="21"/>
    </row>
    <row r="22" spans="2:44" ht="16.5" customHeight="1" x14ac:dyDescent="0.35">
      <c r="B22" s="3">
        <v>19</v>
      </c>
      <c r="C22" s="4" t="s">
        <v>82</v>
      </c>
      <c r="D22" s="4" t="s">
        <v>83</v>
      </c>
      <c r="E22" s="35" t="s">
        <v>53</v>
      </c>
      <c r="F22" s="23" t="s">
        <v>38</v>
      </c>
      <c r="G22" s="24" t="s">
        <v>16</v>
      </c>
      <c r="H22" s="39">
        <v>37.205740999999996</v>
      </c>
      <c r="I22" s="5">
        <v>45900</v>
      </c>
      <c r="J22" s="27">
        <v>45909</v>
      </c>
      <c r="K22" s="4">
        <f t="shared" si="3"/>
        <v>10</v>
      </c>
      <c r="L22" s="15">
        <f t="shared" si="1"/>
        <v>3.7205740999999994</v>
      </c>
      <c r="M22" s="15">
        <v>3.7205740999999994</v>
      </c>
      <c r="N22" s="15">
        <v>3.7205740999999994</v>
      </c>
      <c r="O22" s="15">
        <v>3.7205740999999994</v>
      </c>
      <c r="P22" s="15">
        <v>3.7205740999999994</v>
      </c>
      <c r="Q22" s="15">
        <v>3.7205740999999994</v>
      </c>
      <c r="R22" s="15">
        <v>3.7205740999999994</v>
      </c>
      <c r="S22" s="15">
        <v>3.7205740999999994</v>
      </c>
      <c r="T22" s="15">
        <v>3.7205740999999994</v>
      </c>
      <c r="U22" s="15">
        <v>3.7205740999999994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6"/>
      <c r="AI22" s="16"/>
      <c r="AJ22" s="16"/>
      <c r="AK22" s="16"/>
      <c r="AL22" s="16"/>
      <c r="AM22" s="16"/>
      <c r="AN22" s="16"/>
      <c r="AO22" s="16"/>
      <c r="AP22" s="16"/>
      <c r="AQ22" s="42">
        <f t="shared" si="2"/>
        <v>33.485166899999996</v>
      </c>
      <c r="AR22" s="21"/>
    </row>
    <row r="23" spans="2:44" ht="16.5" customHeight="1" x14ac:dyDescent="0.35">
      <c r="B23" s="3">
        <v>20</v>
      </c>
      <c r="C23" s="4" t="s">
        <v>81</v>
      </c>
      <c r="D23" s="4" t="s">
        <v>87</v>
      </c>
      <c r="E23" s="35" t="s">
        <v>62</v>
      </c>
      <c r="F23" s="23" t="s">
        <v>39</v>
      </c>
      <c r="G23" s="24" t="s">
        <v>31</v>
      </c>
      <c r="H23" s="39">
        <v>42.613351000000002</v>
      </c>
      <c r="I23" s="5">
        <v>45904</v>
      </c>
      <c r="J23" s="27">
        <v>45911</v>
      </c>
      <c r="K23" s="4">
        <f t="shared" si="3"/>
        <v>8</v>
      </c>
      <c r="L23" s="15">
        <f t="shared" si="1"/>
        <v>5.3266688750000002</v>
      </c>
      <c r="M23" s="15"/>
      <c r="N23" s="15"/>
      <c r="O23" s="15"/>
      <c r="P23" s="15">
        <v>5.3266688750000002</v>
      </c>
      <c r="Q23" s="15">
        <v>5.3266688750000002</v>
      </c>
      <c r="R23" s="15">
        <v>5.3266688750000002</v>
      </c>
      <c r="S23" s="15">
        <v>5.3266688750000002</v>
      </c>
      <c r="T23" s="15">
        <v>5.3266688750000002</v>
      </c>
      <c r="U23" s="15">
        <v>5.3266688750000002</v>
      </c>
      <c r="V23" s="15">
        <v>5.3266688750000002</v>
      </c>
      <c r="W23" s="15">
        <v>5.3266688750000002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6"/>
      <c r="AI23" s="16"/>
      <c r="AJ23" s="16"/>
      <c r="AK23" s="16"/>
      <c r="AL23" s="16"/>
      <c r="AM23" s="16"/>
      <c r="AN23" s="16"/>
      <c r="AO23" s="16"/>
      <c r="AP23" s="16"/>
      <c r="AQ23" s="42">
        <f t="shared" si="2"/>
        <v>42.613351000000002</v>
      </c>
      <c r="AR23" s="21"/>
    </row>
    <row r="24" spans="2:44" ht="16.5" customHeight="1" x14ac:dyDescent="0.35">
      <c r="B24" s="3">
        <v>21</v>
      </c>
      <c r="C24" s="4" t="s">
        <v>82</v>
      </c>
      <c r="D24" s="4" t="s">
        <v>83</v>
      </c>
      <c r="E24" s="35" t="s">
        <v>53</v>
      </c>
      <c r="F24" s="23" t="s">
        <v>48</v>
      </c>
      <c r="G24" s="24" t="s">
        <v>23</v>
      </c>
      <c r="H24" s="39">
        <v>18.118815999999999</v>
      </c>
      <c r="I24" s="5">
        <v>45909</v>
      </c>
      <c r="J24" s="27">
        <v>45913</v>
      </c>
      <c r="K24" s="4">
        <f t="shared" si="3"/>
        <v>5</v>
      </c>
      <c r="L24" s="15">
        <f t="shared" si="1"/>
        <v>3.6237632</v>
      </c>
      <c r="M24" s="15"/>
      <c r="N24" s="15"/>
      <c r="O24" s="15"/>
      <c r="P24" s="15"/>
      <c r="Q24" s="15"/>
      <c r="R24" s="15"/>
      <c r="S24" s="15"/>
      <c r="T24" s="15"/>
      <c r="U24" s="15">
        <v>3.6237632</v>
      </c>
      <c r="V24" s="15">
        <v>3.6237632</v>
      </c>
      <c r="W24" s="15">
        <v>3.6237632</v>
      </c>
      <c r="X24" s="15">
        <v>3.6237632</v>
      </c>
      <c r="Y24" s="15">
        <v>3.6237632</v>
      </c>
      <c r="Z24" s="15"/>
      <c r="AA24" s="15"/>
      <c r="AB24" s="15"/>
      <c r="AC24" s="15"/>
      <c r="AD24" s="15"/>
      <c r="AE24" s="15"/>
      <c r="AF24" s="15"/>
      <c r="AG24" s="15"/>
      <c r="AH24" s="16"/>
      <c r="AI24" s="16"/>
      <c r="AJ24" s="16"/>
      <c r="AK24" s="16"/>
      <c r="AL24" s="16"/>
      <c r="AM24" s="16"/>
      <c r="AN24" s="16"/>
      <c r="AO24" s="16"/>
      <c r="AP24" s="16"/>
      <c r="AQ24" s="42">
        <f t="shared" si="2"/>
        <v>18.118815999999999</v>
      </c>
      <c r="AR24" s="21"/>
    </row>
    <row r="25" spans="2:44" ht="16.5" customHeight="1" x14ac:dyDescent="0.35">
      <c r="B25" s="3">
        <v>22</v>
      </c>
      <c r="C25" s="4" t="s">
        <v>82</v>
      </c>
      <c r="D25" s="4" t="s">
        <v>83</v>
      </c>
      <c r="E25" s="35" t="s">
        <v>53</v>
      </c>
      <c r="F25" s="23" t="s">
        <v>66</v>
      </c>
      <c r="G25" s="24" t="s">
        <v>40</v>
      </c>
      <c r="H25" s="39">
        <v>16.966723999999999</v>
      </c>
      <c r="I25" s="5">
        <v>45916</v>
      </c>
      <c r="J25" s="27">
        <v>45920</v>
      </c>
      <c r="K25" s="4">
        <f t="shared" si="3"/>
        <v>5</v>
      </c>
      <c r="L25" s="15">
        <f t="shared" si="1"/>
        <v>3.3933447999999999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>
        <v>3.3933447999999999</v>
      </c>
      <c r="AC25" s="15">
        <v>3.3933447999999999</v>
      </c>
      <c r="AD25" s="15">
        <v>3.3933447999999999</v>
      </c>
      <c r="AE25" s="15">
        <v>3.3933447999999999</v>
      </c>
      <c r="AF25" s="15">
        <v>3.3933447999999999</v>
      </c>
      <c r="AG25" s="15"/>
      <c r="AH25" s="16"/>
      <c r="AI25" s="16"/>
      <c r="AJ25" s="16"/>
      <c r="AK25" s="16"/>
      <c r="AL25" s="16"/>
      <c r="AM25" s="16"/>
      <c r="AN25" s="16"/>
      <c r="AO25" s="16"/>
      <c r="AP25" s="16"/>
      <c r="AQ25" s="42">
        <f t="shared" si="2"/>
        <v>16.966723999999999</v>
      </c>
      <c r="AR25" s="21"/>
    </row>
    <row r="26" spans="2:44" ht="16.5" customHeight="1" x14ac:dyDescent="0.35">
      <c r="B26" s="3">
        <v>23</v>
      </c>
      <c r="C26" s="4" t="s">
        <v>82</v>
      </c>
      <c r="D26" s="4" t="s">
        <v>84</v>
      </c>
      <c r="E26" s="35" t="s">
        <v>77</v>
      </c>
      <c r="F26" s="23" t="s">
        <v>67</v>
      </c>
      <c r="G26" s="24" t="s">
        <v>29</v>
      </c>
      <c r="H26" s="39">
        <v>21.096916</v>
      </c>
      <c r="I26" s="5">
        <v>45916</v>
      </c>
      <c r="J26" s="27">
        <v>45920</v>
      </c>
      <c r="K26" s="4">
        <f t="shared" si="3"/>
        <v>5</v>
      </c>
      <c r="L26" s="15">
        <f t="shared" si="1"/>
        <v>4.2193832000000002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>
        <v>4.2193832000000002</v>
      </c>
      <c r="AC26" s="15">
        <v>4.2193832000000002</v>
      </c>
      <c r="AD26" s="15">
        <v>4.2193832000000002</v>
      </c>
      <c r="AE26" s="15">
        <v>4.2193832000000002</v>
      </c>
      <c r="AF26" s="15">
        <v>4.2193832000000002</v>
      </c>
      <c r="AG26" s="15"/>
      <c r="AH26" s="16"/>
      <c r="AI26" s="16"/>
      <c r="AJ26" s="16"/>
      <c r="AK26" s="16"/>
      <c r="AL26" s="16"/>
      <c r="AM26" s="16"/>
      <c r="AN26" s="16"/>
      <c r="AO26" s="16"/>
      <c r="AP26" s="16"/>
      <c r="AQ26" s="42">
        <f t="shared" si="2"/>
        <v>21.096916</v>
      </c>
      <c r="AR26" s="21"/>
    </row>
    <row r="27" spans="2:44" ht="16.5" customHeight="1" x14ac:dyDescent="0.35">
      <c r="B27" s="3">
        <v>24</v>
      </c>
      <c r="C27" s="4" t="s">
        <v>82</v>
      </c>
      <c r="D27" s="4" t="s">
        <v>83</v>
      </c>
      <c r="E27" s="35" t="s">
        <v>53</v>
      </c>
      <c r="F27" s="23" t="s">
        <v>49</v>
      </c>
      <c r="G27" s="24" t="s">
        <v>40</v>
      </c>
      <c r="H27" s="39">
        <v>16.966723999999999</v>
      </c>
      <c r="I27" s="5">
        <v>45911</v>
      </c>
      <c r="J27" s="27">
        <v>45915</v>
      </c>
      <c r="K27" s="4">
        <f t="shared" si="3"/>
        <v>5</v>
      </c>
      <c r="L27" s="15">
        <f t="shared" si="1"/>
        <v>3.3933447999999999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>
        <v>3.3933447999999999</v>
      </c>
      <c r="X27" s="15">
        <v>3.3933447999999999</v>
      </c>
      <c r="Y27" s="15">
        <v>3.3933447999999999</v>
      </c>
      <c r="Z27" s="15">
        <v>3.3933447999999999</v>
      </c>
      <c r="AA27" s="15">
        <v>3.3933447999999999</v>
      </c>
      <c r="AB27" s="15"/>
      <c r="AC27" s="15"/>
      <c r="AD27" s="15"/>
      <c r="AE27" s="15"/>
      <c r="AF27" s="15"/>
      <c r="AG27" s="15"/>
      <c r="AH27" s="16"/>
      <c r="AI27" s="16"/>
      <c r="AJ27" s="16"/>
      <c r="AK27" s="16"/>
      <c r="AL27" s="16"/>
      <c r="AM27" s="16"/>
      <c r="AN27" s="16"/>
      <c r="AO27" s="16"/>
      <c r="AP27" s="16"/>
      <c r="AQ27" s="42">
        <f t="shared" si="2"/>
        <v>16.966723999999999</v>
      </c>
      <c r="AR27" s="21"/>
    </row>
    <row r="28" spans="2:44" ht="16.5" customHeight="1" x14ac:dyDescent="0.35">
      <c r="B28" s="3">
        <v>25</v>
      </c>
      <c r="C28" s="4" t="s">
        <v>82</v>
      </c>
      <c r="D28" s="4" t="s">
        <v>84</v>
      </c>
      <c r="E28" s="35" t="s">
        <v>57</v>
      </c>
      <c r="F28" s="24" t="s">
        <v>68</v>
      </c>
      <c r="G28" s="24" t="s">
        <v>69</v>
      </c>
      <c r="H28" s="39">
        <v>48.341991</v>
      </c>
      <c r="I28" s="5">
        <v>45908</v>
      </c>
      <c r="J28" s="27">
        <v>45920</v>
      </c>
      <c r="K28" s="4">
        <f t="shared" si="3"/>
        <v>13</v>
      </c>
      <c r="L28" s="15">
        <f t="shared" si="1"/>
        <v>3.7186146923076921</v>
      </c>
      <c r="M28" s="15"/>
      <c r="N28" s="15"/>
      <c r="O28" s="15"/>
      <c r="P28" s="15"/>
      <c r="Q28" s="15"/>
      <c r="R28" s="15"/>
      <c r="S28" s="15"/>
      <c r="T28" s="15">
        <v>3.7186146923076921</v>
      </c>
      <c r="U28" s="15">
        <v>3.7186146923076921</v>
      </c>
      <c r="V28" s="15">
        <v>3.7186146923076921</v>
      </c>
      <c r="W28" s="15">
        <v>3.7186146923076921</v>
      </c>
      <c r="X28" s="15">
        <v>3.7186146923076921</v>
      </c>
      <c r="Y28" s="15">
        <v>3.7186146923076921</v>
      </c>
      <c r="Z28" s="15">
        <v>3.7186146923076921</v>
      </c>
      <c r="AA28" s="15">
        <v>3.7186146923076921</v>
      </c>
      <c r="AB28" s="15">
        <v>3.7186146923076921</v>
      </c>
      <c r="AC28" s="15">
        <v>3.7186146923076921</v>
      </c>
      <c r="AD28" s="15">
        <v>3.7186146923076921</v>
      </c>
      <c r="AE28" s="15">
        <v>3.7186146923076921</v>
      </c>
      <c r="AF28" s="15">
        <v>3.7186146923076921</v>
      </c>
      <c r="AG28" s="15"/>
      <c r="AH28" s="16"/>
      <c r="AI28" s="16"/>
      <c r="AJ28" s="16"/>
      <c r="AK28" s="16"/>
      <c r="AL28" s="16"/>
      <c r="AM28" s="16"/>
      <c r="AN28" s="16"/>
      <c r="AO28" s="16"/>
      <c r="AP28" s="16"/>
      <c r="AQ28" s="42">
        <f t="shared" si="2"/>
        <v>48.341990999999986</v>
      </c>
      <c r="AR28" s="21"/>
    </row>
    <row r="29" spans="2:44" ht="16.5" customHeight="1" x14ac:dyDescent="0.35">
      <c r="B29" s="3">
        <v>26</v>
      </c>
      <c r="C29" s="4" t="s">
        <v>82</v>
      </c>
      <c r="D29" s="4" t="s">
        <v>83</v>
      </c>
      <c r="E29" s="35" t="s">
        <v>53</v>
      </c>
      <c r="F29" s="23" t="s">
        <v>50</v>
      </c>
      <c r="G29" s="24" t="s">
        <v>29</v>
      </c>
      <c r="H29" s="39">
        <v>21.096916</v>
      </c>
      <c r="I29" s="5">
        <v>45914</v>
      </c>
      <c r="J29" s="27">
        <v>45918</v>
      </c>
      <c r="K29" s="4">
        <f t="shared" si="3"/>
        <v>5</v>
      </c>
      <c r="L29" s="15">
        <f t="shared" si="1"/>
        <v>4.2193832000000002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>
        <v>4.2193832000000002</v>
      </c>
      <c r="AA29" s="15">
        <v>4.2193832000000002</v>
      </c>
      <c r="AB29" s="15">
        <v>4.2193832000000002</v>
      </c>
      <c r="AC29" s="15">
        <v>4.2193832000000002</v>
      </c>
      <c r="AD29" s="15">
        <v>4.2193832000000002</v>
      </c>
      <c r="AE29" s="15"/>
      <c r="AF29" s="15"/>
      <c r="AG29" s="15"/>
      <c r="AH29" s="16"/>
      <c r="AI29" s="16"/>
      <c r="AJ29" s="16"/>
      <c r="AK29" s="16"/>
      <c r="AL29" s="16"/>
      <c r="AM29" s="16"/>
      <c r="AN29" s="16"/>
      <c r="AO29" s="16"/>
      <c r="AP29" s="16"/>
      <c r="AQ29" s="42">
        <f t="shared" si="2"/>
        <v>21.096916</v>
      </c>
      <c r="AR29" s="21"/>
    </row>
    <row r="30" spans="2:44" ht="16.5" customHeight="1" x14ac:dyDescent="0.35">
      <c r="B30" s="3">
        <v>27</v>
      </c>
      <c r="C30" s="4" t="s">
        <v>82</v>
      </c>
      <c r="D30" s="4" t="s">
        <v>83</v>
      </c>
      <c r="E30" s="35" t="s">
        <v>53</v>
      </c>
      <c r="F30" s="23" t="s">
        <v>51</v>
      </c>
      <c r="G30" s="24" t="s">
        <v>40</v>
      </c>
      <c r="H30" s="39">
        <v>16.966723999999999</v>
      </c>
      <c r="I30" s="5">
        <v>45915</v>
      </c>
      <c r="J30" s="27">
        <v>45918</v>
      </c>
      <c r="K30" s="4">
        <f t="shared" si="3"/>
        <v>4</v>
      </c>
      <c r="L30" s="15">
        <f t="shared" si="1"/>
        <v>4.2416809999999998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>
        <v>4.2416809999999998</v>
      </c>
      <c r="AB30" s="15">
        <v>4.2416809999999998</v>
      </c>
      <c r="AC30" s="15">
        <v>4.2416809999999998</v>
      </c>
      <c r="AD30" s="15">
        <v>4.2416809999999998</v>
      </c>
      <c r="AE30" s="15"/>
      <c r="AF30" s="15"/>
      <c r="AG30" s="15"/>
      <c r="AH30" s="16"/>
      <c r="AI30" s="16"/>
      <c r="AJ30" s="16"/>
      <c r="AK30" s="16"/>
      <c r="AL30" s="16"/>
      <c r="AM30" s="16"/>
      <c r="AN30" s="16"/>
      <c r="AO30" s="16"/>
      <c r="AP30" s="16"/>
      <c r="AQ30" s="42">
        <f t="shared" si="2"/>
        <v>16.966723999999999</v>
      </c>
      <c r="AR30" s="21"/>
    </row>
    <row r="31" spans="2:44" ht="16.5" customHeight="1" x14ac:dyDescent="0.35">
      <c r="B31" s="3">
        <v>28</v>
      </c>
      <c r="C31" s="4" t="s">
        <v>82</v>
      </c>
      <c r="D31" s="4" t="s">
        <v>84</v>
      </c>
      <c r="E31" s="35" t="s">
        <v>57</v>
      </c>
      <c r="F31" s="24" t="s">
        <v>70</v>
      </c>
      <c r="G31" s="24" t="s">
        <v>14</v>
      </c>
      <c r="H31" s="39">
        <v>22.488373999999997</v>
      </c>
      <c r="I31" s="5">
        <v>45913</v>
      </c>
      <c r="J31" s="27">
        <v>45917</v>
      </c>
      <c r="K31" s="4">
        <f t="shared" si="3"/>
        <v>5</v>
      </c>
      <c r="L31" s="15">
        <f t="shared" si="1"/>
        <v>4.4976747999999995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>
        <v>4.4976747999999995</v>
      </c>
      <c r="Z31" s="15">
        <v>4.4976747999999995</v>
      </c>
      <c r="AA31" s="15">
        <v>4.4976747999999995</v>
      </c>
      <c r="AB31" s="15">
        <v>4.4976747999999995</v>
      </c>
      <c r="AC31" s="15">
        <v>4.4976747999999995</v>
      </c>
      <c r="AD31" s="15"/>
      <c r="AE31" s="15"/>
      <c r="AF31" s="15"/>
      <c r="AG31" s="15"/>
      <c r="AH31" s="16"/>
      <c r="AI31" s="16"/>
      <c r="AJ31" s="16"/>
      <c r="AK31" s="16"/>
      <c r="AL31" s="16"/>
      <c r="AM31" s="16"/>
      <c r="AN31" s="16"/>
      <c r="AO31" s="16"/>
      <c r="AP31" s="16"/>
      <c r="AQ31" s="42">
        <f t="shared" si="2"/>
        <v>22.488373999999997</v>
      </c>
      <c r="AR31" s="21"/>
    </row>
    <row r="32" spans="2:44" ht="16.5" customHeight="1" x14ac:dyDescent="0.35">
      <c r="B32" s="3">
        <v>29</v>
      </c>
      <c r="C32" s="4" t="s">
        <v>81</v>
      </c>
      <c r="D32" s="4" t="s">
        <v>87</v>
      </c>
      <c r="E32" s="35" t="s">
        <v>127</v>
      </c>
      <c r="F32" s="24" t="s">
        <v>89</v>
      </c>
      <c r="G32" s="24" t="s">
        <v>40</v>
      </c>
      <c r="H32" s="39">
        <v>16.966723999999999</v>
      </c>
      <c r="I32" s="5">
        <v>45918</v>
      </c>
      <c r="J32" s="27">
        <v>45922</v>
      </c>
      <c r="K32" s="4">
        <f t="shared" si="3"/>
        <v>5</v>
      </c>
      <c r="L32" s="15">
        <f t="shared" si="1"/>
        <v>3.3933447999999999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>
        <v>3.3933447999999999</v>
      </c>
      <c r="AE32" s="15">
        <v>3.3933447999999999</v>
      </c>
      <c r="AF32" s="15">
        <v>3.3933447999999999</v>
      </c>
      <c r="AG32" s="15">
        <v>3.3933447999999999</v>
      </c>
      <c r="AH32" s="16">
        <v>3.3933447999999999</v>
      </c>
      <c r="AI32" s="16"/>
      <c r="AJ32" s="16"/>
      <c r="AK32" s="16"/>
      <c r="AL32" s="16"/>
      <c r="AM32" s="16"/>
      <c r="AN32" s="16"/>
      <c r="AO32" s="16"/>
      <c r="AP32" s="16"/>
      <c r="AQ32" s="42">
        <f t="shared" si="2"/>
        <v>16.966723999999999</v>
      </c>
      <c r="AR32" s="21"/>
    </row>
    <row r="33" spans="2:44" x14ac:dyDescent="0.35">
      <c r="B33" s="3">
        <v>30</v>
      </c>
      <c r="C33" s="4" t="s">
        <v>85</v>
      </c>
      <c r="D33" s="4" t="s">
        <v>86</v>
      </c>
      <c r="E33" s="35" t="s">
        <v>52</v>
      </c>
      <c r="F33" s="24" t="s">
        <v>71</v>
      </c>
      <c r="G33" s="24" t="s">
        <v>40</v>
      </c>
      <c r="H33" s="39">
        <v>16.966723999999999</v>
      </c>
      <c r="I33" s="6">
        <v>45912</v>
      </c>
      <c r="J33" s="27">
        <v>45918</v>
      </c>
      <c r="K33" s="4">
        <f t="shared" si="3"/>
        <v>7</v>
      </c>
      <c r="L33" s="15">
        <f t="shared" si="1"/>
        <v>2.4238177142857142</v>
      </c>
      <c r="M33" s="13"/>
      <c r="N33" s="13"/>
      <c r="O33" s="12"/>
      <c r="P33" s="12"/>
      <c r="Q33" s="12"/>
      <c r="R33" s="12"/>
      <c r="S33" s="12"/>
      <c r="T33" s="12"/>
      <c r="U33" s="15"/>
      <c r="V33" s="15"/>
      <c r="W33" s="15"/>
      <c r="X33" s="15">
        <v>2.4238177142857142</v>
      </c>
      <c r="Y33" s="15">
        <v>2.4238177142857142</v>
      </c>
      <c r="Z33" s="15">
        <v>2.4238177142857142</v>
      </c>
      <c r="AA33" s="15">
        <v>2.4238177142857142</v>
      </c>
      <c r="AB33" s="12">
        <v>2.4238177142857142</v>
      </c>
      <c r="AC33" s="12">
        <v>2.4238177142857142</v>
      </c>
      <c r="AD33" s="12">
        <v>2.4238177142857142</v>
      </c>
      <c r="AE33" s="12"/>
      <c r="AF33" s="12"/>
      <c r="AG33" s="12"/>
      <c r="AH33" s="17"/>
      <c r="AI33" s="17"/>
      <c r="AJ33" s="17"/>
      <c r="AK33" s="17"/>
      <c r="AL33" s="17"/>
      <c r="AM33" s="17"/>
      <c r="AN33" s="17"/>
      <c r="AO33" s="17"/>
      <c r="AP33" s="17"/>
      <c r="AQ33" s="42">
        <f t="shared" si="2"/>
        <v>16.966723999999999</v>
      </c>
      <c r="AR33" s="19"/>
    </row>
    <row r="34" spans="2:44" x14ac:dyDescent="0.35">
      <c r="B34" s="3">
        <v>31</v>
      </c>
      <c r="C34" s="4" t="s">
        <v>85</v>
      </c>
      <c r="D34" s="4" t="s">
        <v>86</v>
      </c>
      <c r="E34" s="35" t="s">
        <v>56</v>
      </c>
      <c r="F34" s="24" t="s">
        <v>90</v>
      </c>
      <c r="G34" s="24" t="s">
        <v>31</v>
      </c>
      <c r="H34" s="39">
        <v>42.613351000000002</v>
      </c>
      <c r="I34" s="6">
        <v>45914</v>
      </c>
      <c r="J34" s="27">
        <v>45925</v>
      </c>
      <c r="K34" s="4">
        <f t="shared" si="3"/>
        <v>12</v>
      </c>
      <c r="L34" s="15">
        <f t="shared" si="1"/>
        <v>3.5511125833333335</v>
      </c>
      <c r="M34" s="18"/>
      <c r="N34" s="13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5">
        <v>3.5511125833333335</v>
      </c>
      <c r="AA34" s="15">
        <v>3.5511125833333335</v>
      </c>
      <c r="AB34" s="15">
        <v>3.5511125833333335</v>
      </c>
      <c r="AC34" s="15">
        <v>3.5511125833333335</v>
      </c>
      <c r="AD34" s="15">
        <v>3.5511125833333335</v>
      </c>
      <c r="AE34" s="12">
        <v>3.5511125833333335</v>
      </c>
      <c r="AF34" s="12">
        <v>3.5511125833333335</v>
      </c>
      <c r="AG34" s="12">
        <v>3.5511125833333335</v>
      </c>
      <c r="AH34" s="17">
        <v>3.5511125833333335</v>
      </c>
      <c r="AI34" s="17">
        <v>3.5511125833333335</v>
      </c>
      <c r="AJ34" s="17">
        <v>3.5511125833333335</v>
      </c>
      <c r="AK34" s="17">
        <v>3.5511125833333335</v>
      </c>
      <c r="AL34" s="17"/>
      <c r="AM34" s="17"/>
      <c r="AN34" s="17"/>
      <c r="AO34" s="17"/>
      <c r="AP34" s="17"/>
      <c r="AQ34" s="42">
        <f t="shared" si="2"/>
        <v>42.613351000000016</v>
      </c>
      <c r="AR34" s="19"/>
    </row>
    <row r="35" spans="2:44" x14ac:dyDescent="0.35">
      <c r="B35" s="3">
        <v>32</v>
      </c>
      <c r="C35" s="4" t="s">
        <v>85</v>
      </c>
      <c r="D35" s="4" t="s">
        <v>86</v>
      </c>
      <c r="E35" s="35" t="s">
        <v>62</v>
      </c>
      <c r="F35" s="24" t="s">
        <v>91</v>
      </c>
      <c r="G35" s="24" t="s">
        <v>92</v>
      </c>
      <c r="H35" s="39">
        <v>39.59669499999999</v>
      </c>
      <c r="I35" s="6">
        <v>45910</v>
      </c>
      <c r="J35" s="27">
        <v>45924</v>
      </c>
      <c r="K35" s="4">
        <f t="shared" si="3"/>
        <v>15</v>
      </c>
      <c r="L35" s="15">
        <f t="shared" si="1"/>
        <v>2.6397796666666662</v>
      </c>
      <c r="M35" s="13"/>
      <c r="N35" s="13"/>
      <c r="O35" s="13"/>
      <c r="P35" s="13"/>
      <c r="Q35" s="13"/>
      <c r="R35" s="13"/>
      <c r="S35" s="13"/>
      <c r="T35" s="13"/>
      <c r="U35" s="13"/>
      <c r="V35" s="15">
        <v>2.6397796666666662</v>
      </c>
      <c r="W35" s="15">
        <v>2.6397796666666662</v>
      </c>
      <c r="X35" s="15">
        <v>2.6397796666666662</v>
      </c>
      <c r="Y35" s="15">
        <v>2.6397796666666662</v>
      </c>
      <c r="Z35" s="15">
        <v>2.6397796666666662</v>
      </c>
      <c r="AA35" s="15">
        <v>2.6397796666666662</v>
      </c>
      <c r="AB35" s="15">
        <v>2.6397796666666662</v>
      </c>
      <c r="AC35" s="15">
        <v>2.6397796666666662</v>
      </c>
      <c r="AD35" s="15">
        <v>2.6397796666666662</v>
      </c>
      <c r="AE35" s="15">
        <v>2.6397796666666662</v>
      </c>
      <c r="AF35" s="12">
        <v>2.6397796666666662</v>
      </c>
      <c r="AG35" s="12">
        <v>2.6397796666666662</v>
      </c>
      <c r="AH35" s="17">
        <v>2.6397796666666662</v>
      </c>
      <c r="AI35" s="17">
        <v>2.6397796666666662</v>
      </c>
      <c r="AJ35" s="17">
        <v>2.6397796666666662</v>
      </c>
      <c r="AK35" s="17"/>
      <c r="AL35" s="17"/>
      <c r="AM35" s="17"/>
      <c r="AN35" s="17"/>
      <c r="AO35" s="17"/>
      <c r="AP35" s="17"/>
      <c r="AQ35" s="42">
        <f t="shared" si="2"/>
        <v>39.596694999999997</v>
      </c>
      <c r="AR35" s="19"/>
    </row>
    <row r="36" spans="2:44" x14ac:dyDescent="0.35">
      <c r="B36" s="3">
        <v>33</v>
      </c>
      <c r="C36" s="4" t="s">
        <v>82</v>
      </c>
      <c r="D36" s="4" t="s">
        <v>83</v>
      </c>
      <c r="E36" s="35" t="s">
        <v>63</v>
      </c>
      <c r="F36" s="24" t="s">
        <v>41</v>
      </c>
      <c r="G36" s="24" t="s">
        <v>35</v>
      </c>
      <c r="H36" s="39">
        <v>27.092148999999996</v>
      </c>
      <c r="I36" s="6">
        <v>45910</v>
      </c>
      <c r="J36" s="27">
        <v>45914</v>
      </c>
      <c r="K36" s="4">
        <f t="shared" si="3"/>
        <v>5</v>
      </c>
      <c r="L36" s="15">
        <f t="shared" ref="L36:L67" si="4">H36/K36</f>
        <v>5.4184297999999993</v>
      </c>
      <c r="M36" s="18"/>
      <c r="N36" s="13"/>
      <c r="O36" s="12"/>
      <c r="P36" s="12"/>
      <c r="Q36" s="12"/>
      <c r="R36" s="12"/>
      <c r="S36" s="12"/>
      <c r="T36" s="12"/>
      <c r="U36" s="12"/>
      <c r="V36" s="12">
        <v>5.4184297999999993</v>
      </c>
      <c r="W36" s="12">
        <v>5.4184297999999993</v>
      </c>
      <c r="X36" s="12">
        <v>5.4184297999999993</v>
      </c>
      <c r="Y36" s="12">
        <v>5.4184297999999993</v>
      </c>
      <c r="Z36" s="12">
        <v>5.4184297999999993</v>
      </c>
      <c r="AA36" s="12"/>
      <c r="AB36" s="15"/>
      <c r="AC36" s="15"/>
      <c r="AD36" s="15"/>
      <c r="AE36" s="15"/>
      <c r="AF36" s="15"/>
      <c r="AG36" s="12"/>
      <c r="AH36" s="17"/>
      <c r="AI36" s="17"/>
      <c r="AJ36" s="17"/>
      <c r="AK36" s="17"/>
      <c r="AL36" s="17"/>
      <c r="AM36" s="17"/>
      <c r="AN36" s="17"/>
      <c r="AO36" s="17"/>
      <c r="AP36" s="17"/>
      <c r="AQ36" s="42">
        <f t="shared" si="2"/>
        <v>27.092148999999996</v>
      </c>
      <c r="AR36" s="19"/>
    </row>
    <row r="37" spans="2:44" x14ac:dyDescent="0.35">
      <c r="B37" s="3">
        <v>34</v>
      </c>
      <c r="C37" s="4" t="s">
        <v>82</v>
      </c>
      <c r="D37" s="4" t="s">
        <v>84</v>
      </c>
      <c r="E37" s="35" t="s">
        <v>64</v>
      </c>
      <c r="F37" s="24" t="s">
        <v>42</v>
      </c>
      <c r="G37" s="24" t="s">
        <v>23</v>
      </c>
      <c r="H37" s="39">
        <v>18.118815999999999</v>
      </c>
      <c r="I37" s="6">
        <v>45916</v>
      </c>
      <c r="J37" s="27">
        <v>45918</v>
      </c>
      <c r="K37" s="4">
        <f t="shared" si="3"/>
        <v>3</v>
      </c>
      <c r="L37" s="15">
        <f t="shared" si="4"/>
        <v>6.0396053333333333</v>
      </c>
      <c r="M37" s="18"/>
      <c r="N37" s="13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5">
        <v>6.0396053333333333</v>
      </c>
      <c r="AC37" s="15">
        <v>6.0396053333333333</v>
      </c>
      <c r="AD37" s="15">
        <v>6.0396053333333333</v>
      </c>
      <c r="AE37" s="15"/>
      <c r="AF37" s="15"/>
      <c r="AG37" s="12"/>
      <c r="AH37" s="17"/>
      <c r="AI37" s="17"/>
      <c r="AJ37" s="17"/>
      <c r="AK37" s="17"/>
      <c r="AL37" s="17"/>
      <c r="AM37" s="17"/>
      <c r="AN37" s="17"/>
      <c r="AO37" s="17"/>
      <c r="AP37" s="17"/>
      <c r="AQ37" s="42">
        <f t="shared" si="2"/>
        <v>18.118815999999999</v>
      </c>
      <c r="AR37" s="19"/>
    </row>
    <row r="38" spans="2:44" x14ac:dyDescent="0.35">
      <c r="B38" s="3">
        <v>35</v>
      </c>
      <c r="C38" s="4" t="s">
        <v>82</v>
      </c>
      <c r="D38" s="4" t="s">
        <v>83</v>
      </c>
      <c r="E38" s="35" t="s">
        <v>55</v>
      </c>
      <c r="F38" s="24" t="s">
        <v>93</v>
      </c>
      <c r="G38" s="24" t="s">
        <v>14</v>
      </c>
      <c r="H38" s="39">
        <v>22.488373999999997</v>
      </c>
      <c r="I38" s="6">
        <v>45916</v>
      </c>
      <c r="J38" s="27">
        <v>45921</v>
      </c>
      <c r="K38" s="4">
        <f t="shared" si="3"/>
        <v>6</v>
      </c>
      <c r="L38" s="15">
        <f t="shared" si="4"/>
        <v>3.7480623333333329</v>
      </c>
      <c r="M38" s="18"/>
      <c r="N38" s="13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5"/>
      <c r="AB38" s="15">
        <v>3.7480623333333329</v>
      </c>
      <c r="AC38" s="15">
        <v>3.7480623333333329</v>
      </c>
      <c r="AD38" s="15">
        <v>3.7480623333333329</v>
      </c>
      <c r="AE38" s="15">
        <v>3.7480623333333329</v>
      </c>
      <c r="AF38" s="15">
        <v>3.7480623333333329</v>
      </c>
      <c r="AG38" s="15">
        <v>3.7480623333333329</v>
      </c>
      <c r="AH38" s="17"/>
      <c r="AI38" s="17"/>
      <c r="AJ38" s="17"/>
      <c r="AK38" s="17"/>
      <c r="AL38" s="17"/>
      <c r="AM38" s="17"/>
      <c r="AN38" s="17"/>
      <c r="AO38" s="17"/>
      <c r="AP38" s="17"/>
      <c r="AQ38" s="42">
        <f t="shared" si="2"/>
        <v>22.488373999999997</v>
      </c>
      <c r="AR38" s="19"/>
    </row>
    <row r="39" spans="2:44" x14ac:dyDescent="0.35">
      <c r="B39" s="3">
        <v>36</v>
      </c>
      <c r="C39" s="4" t="s">
        <v>82</v>
      </c>
      <c r="D39" s="4" t="s">
        <v>84</v>
      </c>
      <c r="E39" s="35" t="s">
        <v>63</v>
      </c>
      <c r="F39" s="33" t="s">
        <v>72</v>
      </c>
      <c r="G39" s="33" t="s">
        <v>73</v>
      </c>
      <c r="H39" s="39">
        <v>31.864677</v>
      </c>
      <c r="I39" s="6">
        <v>45914</v>
      </c>
      <c r="J39" s="27">
        <v>45919</v>
      </c>
      <c r="K39" s="4">
        <f t="shared" si="3"/>
        <v>6</v>
      </c>
      <c r="L39" s="15">
        <f t="shared" si="4"/>
        <v>5.3107794999999998</v>
      </c>
      <c r="M39" s="18"/>
      <c r="N39" s="13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>
        <v>5.3107794999999998</v>
      </c>
      <c r="AA39" s="12">
        <v>5.3107794999999998</v>
      </c>
      <c r="AB39" s="12">
        <v>5.3107794999999998</v>
      </c>
      <c r="AC39" s="15">
        <v>5.3107794999999998</v>
      </c>
      <c r="AD39" s="15">
        <v>5.3107794999999998</v>
      </c>
      <c r="AE39" s="15">
        <v>5.3107794999999998</v>
      </c>
      <c r="AF39" s="15"/>
      <c r="AG39" s="15"/>
      <c r="AH39" s="17"/>
      <c r="AI39" s="17"/>
      <c r="AJ39" s="17"/>
      <c r="AK39" s="17"/>
      <c r="AL39" s="17"/>
      <c r="AM39" s="17"/>
      <c r="AN39" s="17"/>
      <c r="AO39" s="17"/>
      <c r="AP39" s="17"/>
      <c r="AQ39" s="42">
        <f t="shared" si="2"/>
        <v>31.864676999999997</v>
      </c>
      <c r="AR39" s="19"/>
    </row>
    <row r="40" spans="2:44" x14ac:dyDescent="0.35">
      <c r="B40" s="3">
        <v>37</v>
      </c>
      <c r="C40" s="4" t="s">
        <v>82</v>
      </c>
      <c r="D40" s="4" t="s">
        <v>83</v>
      </c>
      <c r="E40" s="35" t="s">
        <v>59</v>
      </c>
      <c r="F40" s="24" t="s">
        <v>94</v>
      </c>
      <c r="G40" s="24" t="s">
        <v>95</v>
      </c>
      <c r="H40" s="40">
        <v>29.777915000000004</v>
      </c>
      <c r="I40" s="6">
        <v>45914</v>
      </c>
      <c r="J40" s="27">
        <v>45927</v>
      </c>
      <c r="K40" s="4">
        <f t="shared" si="3"/>
        <v>14</v>
      </c>
      <c r="L40" s="15">
        <f t="shared" si="4"/>
        <v>2.1269939285714288</v>
      </c>
      <c r="M40" s="18"/>
      <c r="N40" s="13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5">
        <v>2.1269939285714288</v>
      </c>
      <c r="AA40" s="15">
        <v>2.1269939285714288</v>
      </c>
      <c r="AB40" s="15">
        <v>2.1269939285714288</v>
      </c>
      <c r="AC40" s="15">
        <v>2.1269939285714288</v>
      </c>
      <c r="AD40" s="15">
        <v>2.1269939285714288</v>
      </c>
      <c r="AE40" s="12">
        <v>2.1269939285714288</v>
      </c>
      <c r="AF40" s="12">
        <v>2.1269939285714288</v>
      </c>
      <c r="AG40" s="12">
        <v>2.1269939285714288</v>
      </c>
      <c r="AH40" s="17">
        <v>2.1269939285714288</v>
      </c>
      <c r="AI40" s="17">
        <v>2.1269939285714288</v>
      </c>
      <c r="AJ40" s="17">
        <v>2.1269939285714288</v>
      </c>
      <c r="AK40" s="17">
        <v>2.1269939285714288</v>
      </c>
      <c r="AL40" s="17">
        <v>2.1269939285714288</v>
      </c>
      <c r="AM40" s="17">
        <v>2.1269939285714288</v>
      </c>
      <c r="AN40" s="17"/>
      <c r="AO40" s="17"/>
      <c r="AP40" s="17"/>
      <c r="AQ40" s="42">
        <f t="shared" si="2"/>
        <v>29.777915000000011</v>
      </c>
      <c r="AR40" s="19"/>
    </row>
    <row r="41" spans="2:44" x14ac:dyDescent="0.35">
      <c r="B41" s="3">
        <v>38</v>
      </c>
      <c r="C41" s="4" t="s">
        <v>82</v>
      </c>
      <c r="D41" s="4" t="s">
        <v>83</v>
      </c>
      <c r="E41" s="35" t="s">
        <v>53</v>
      </c>
      <c r="F41" s="23" t="s">
        <v>96</v>
      </c>
      <c r="G41" s="24" t="s">
        <v>29</v>
      </c>
      <c r="H41" s="39">
        <v>21.096916</v>
      </c>
      <c r="I41" s="6">
        <v>45919</v>
      </c>
      <c r="J41" s="27">
        <v>45924</v>
      </c>
      <c r="K41" s="4">
        <f t="shared" si="3"/>
        <v>6</v>
      </c>
      <c r="L41" s="15">
        <f t="shared" si="4"/>
        <v>3.5161526666666667</v>
      </c>
      <c r="M41" s="18"/>
      <c r="N41" s="13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>
        <v>3.5161526666666667</v>
      </c>
      <c r="AF41" s="12">
        <v>3.5161526666666667</v>
      </c>
      <c r="AG41" s="12">
        <v>3.5161526666666667</v>
      </c>
      <c r="AH41" s="17">
        <v>3.5161526666666667</v>
      </c>
      <c r="AI41" s="17">
        <v>3.5161526666666667</v>
      </c>
      <c r="AJ41" s="17">
        <v>3.5161526666666667</v>
      </c>
      <c r="AK41" s="17"/>
      <c r="AL41" s="17"/>
      <c r="AM41" s="17"/>
      <c r="AN41" s="17"/>
      <c r="AO41" s="17"/>
      <c r="AP41" s="17"/>
      <c r="AQ41" s="42">
        <f t="shared" si="2"/>
        <v>21.096916</v>
      </c>
      <c r="AR41" s="19"/>
    </row>
    <row r="42" spans="2:44" x14ac:dyDescent="0.35">
      <c r="B42" s="3">
        <v>39</v>
      </c>
      <c r="C42" s="4" t="s">
        <v>82</v>
      </c>
      <c r="D42" s="4" t="s">
        <v>83</v>
      </c>
      <c r="E42" s="35" t="s">
        <v>53</v>
      </c>
      <c r="F42" s="23" t="s">
        <v>74</v>
      </c>
      <c r="G42" s="24" t="s">
        <v>29</v>
      </c>
      <c r="H42" s="39">
        <v>21.096916</v>
      </c>
      <c r="I42" s="6">
        <v>45915</v>
      </c>
      <c r="J42" s="27">
        <v>45920</v>
      </c>
      <c r="K42" s="4">
        <f t="shared" si="3"/>
        <v>6</v>
      </c>
      <c r="L42" s="15">
        <f t="shared" si="4"/>
        <v>3.5161526666666667</v>
      </c>
      <c r="M42" s="18"/>
      <c r="N42" s="13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>
        <v>3.5161526666666667</v>
      </c>
      <c r="AB42" s="12">
        <v>3.5161526666666667</v>
      </c>
      <c r="AC42" s="12">
        <v>3.5161526666666667</v>
      </c>
      <c r="AD42" s="12">
        <v>3.5161526666666667</v>
      </c>
      <c r="AE42" s="12">
        <v>3.5161526666666667</v>
      </c>
      <c r="AF42" s="12">
        <v>3.5161526666666667</v>
      </c>
      <c r="AG42" s="12"/>
      <c r="AH42" s="17"/>
      <c r="AI42" s="17"/>
      <c r="AJ42" s="17"/>
      <c r="AK42" s="17"/>
      <c r="AL42" s="17"/>
      <c r="AM42" s="17"/>
      <c r="AN42" s="17"/>
      <c r="AO42" s="17"/>
      <c r="AP42" s="17"/>
      <c r="AQ42" s="42">
        <f t="shared" si="2"/>
        <v>21.096916</v>
      </c>
      <c r="AR42" s="19"/>
    </row>
    <row r="43" spans="2:44" x14ac:dyDescent="0.35">
      <c r="B43" s="3">
        <v>40</v>
      </c>
      <c r="C43" s="4" t="s">
        <v>82</v>
      </c>
      <c r="D43" s="4" t="s">
        <v>83</v>
      </c>
      <c r="E43" s="35" t="s">
        <v>53</v>
      </c>
      <c r="F43" s="23" t="s">
        <v>75</v>
      </c>
      <c r="G43" s="24" t="s">
        <v>29</v>
      </c>
      <c r="H43" s="39">
        <v>21.096916</v>
      </c>
      <c r="I43" s="6">
        <v>45926</v>
      </c>
      <c r="J43" s="27">
        <v>45930</v>
      </c>
      <c r="K43" s="4">
        <f t="shared" si="3"/>
        <v>5</v>
      </c>
      <c r="L43" s="15">
        <f t="shared" si="4"/>
        <v>4.2193832000000002</v>
      </c>
      <c r="M43" s="18"/>
      <c r="N43" s="13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7"/>
      <c r="AI43" s="17"/>
      <c r="AJ43" s="17"/>
      <c r="AK43" s="17"/>
      <c r="AL43" s="17">
        <v>4.2193832000000002</v>
      </c>
      <c r="AM43" s="17">
        <v>4.2193832000000002</v>
      </c>
      <c r="AN43" s="17">
        <v>4.2193832000000002</v>
      </c>
      <c r="AO43" s="17">
        <v>4.2193832000000002</v>
      </c>
      <c r="AP43" s="17">
        <v>4.2193832000000002</v>
      </c>
      <c r="AQ43" s="42">
        <f t="shared" si="2"/>
        <v>21.096916</v>
      </c>
      <c r="AR43" s="19"/>
    </row>
    <row r="44" spans="2:44" x14ac:dyDescent="0.35">
      <c r="B44" s="3">
        <v>41</v>
      </c>
      <c r="C44" s="4" t="s">
        <v>82</v>
      </c>
      <c r="D44" s="4" t="s">
        <v>83</v>
      </c>
      <c r="E44" s="35" t="s">
        <v>53</v>
      </c>
      <c r="F44" s="34" t="s">
        <v>78</v>
      </c>
      <c r="G44" s="24" t="s">
        <v>37</v>
      </c>
      <c r="H44" s="39">
        <v>27.092148999999996</v>
      </c>
      <c r="I44" s="6">
        <v>45915</v>
      </c>
      <c r="J44" s="27">
        <v>45921</v>
      </c>
      <c r="K44" s="4">
        <f t="shared" si="3"/>
        <v>7</v>
      </c>
      <c r="L44" s="15">
        <f t="shared" si="4"/>
        <v>3.8703069999999995</v>
      </c>
      <c r="M44" s="18"/>
      <c r="N44" s="13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>
        <v>3.8703069999999995</v>
      </c>
      <c r="AB44" s="12">
        <v>3.8703069999999995</v>
      </c>
      <c r="AC44" s="12">
        <v>3.8703069999999995</v>
      </c>
      <c r="AD44" s="12">
        <v>3.8703069999999995</v>
      </c>
      <c r="AE44" s="12">
        <v>3.8703069999999995</v>
      </c>
      <c r="AF44" s="12">
        <v>3.8703069999999995</v>
      </c>
      <c r="AG44" s="12">
        <v>3.8703069999999995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42">
        <f t="shared" si="2"/>
        <v>27.092148999999999</v>
      </c>
      <c r="AR44" s="19"/>
    </row>
    <row r="45" spans="2:44" x14ac:dyDescent="0.35">
      <c r="B45" s="3">
        <v>42</v>
      </c>
      <c r="C45" s="4" t="s">
        <v>82</v>
      </c>
      <c r="D45" s="4" t="s">
        <v>83</v>
      </c>
      <c r="E45" s="35" t="s">
        <v>53</v>
      </c>
      <c r="F45" s="34" t="s">
        <v>97</v>
      </c>
      <c r="G45" s="34" t="s">
        <v>23</v>
      </c>
      <c r="H45" s="39">
        <v>18.118815999999999</v>
      </c>
      <c r="I45" s="6">
        <v>45918</v>
      </c>
      <c r="J45" s="27">
        <v>45922</v>
      </c>
      <c r="K45" s="4">
        <f t="shared" si="3"/>
        <v>5</v>
      </c>
      <c r="L45" s="15">
        <f t="shared" si="4"/>
        <v>3.6237632</v>
      </c>
      <c r="M45" s="18"/>
      <c r="N45" s="13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>
        <v>3.6237632</v>
      </c>
      <c r="AE45" s="12">
        <v>3.6237632</v>
      </c>
      <c r="AF45" s="12">
        <v>3.6237632</v>
      </c>
      <c r="AG45" s="12">
        <v>3.6237632</v>
      </c>
      <c r="AH45" s="17">
        <v>3.6237632</v>
      </c>
      <c r="AI45" s="17"/>
      <c r="AJ45" s="17"/>
      <c r="AK45" s="17"/>
      <c r="AL45" s="17"/>
      <c r="AM45" s="17"/>
      <c r="AN45" s="17"/>
      <c r="AO45" s="17"/>
      <c r="AP45" s="17"/>
      <c r="AQ45" s="42">
        <f t="shared" si="2"/>
        <v>18.118815999999999</v>
      </c>
      <c r="AR45" s="19"/>
    </row>
    <row r="46" spans="2:44" x14ac:dyDescent="0.35">
      <c r="B46" s="3">
        <v>43</v>
      </c>
      <c r="C46" s="4" t="s">
        <v>82</v>
      </c>
      <c r="D46" s="4" t="s">
        <v>83</v>
      </c>
      <c r="E46" s="35" t="s">
        <v>53</v>
      </c>
      <c r="F46" s="23" t="s">
        <v>98</v>
      </c>
      <c r="G46" s="24" t="s">
        <v>23</v>
      </c>
      <c r="H46" s="39">
        <v>18.118815999999999</v>
      </c>
      <c r="I46" s="6">
        <v>45922</v>
      </c>
      <c r="J46" s="27">
        <v>45925</v>
      </c>
      <c r="K46" s="4">
        <f t="shared" si="3"/>
        <v>4</v>
      </c>
      <c r="L46" s="15">
        <f t="shared" si="4"/>
        <v>4.5297039999999997</v>
      </c>
      <c r="M46" s="18"/>
      <c r="N46" s="13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7">
        <v>4.5297039999999997</v>
      </c>
      <c r="AI46" s="17">
        <v>4.5297039999999997</v>
      </c>
      <c r="AJ46" s="17">
        <v>4.5297039999999997</v>
      </c>
      <c r="AK46" s="17">
        <v>4.5297039999999997</v>
      </c>
      <c r="AL46" s="17"/>
      <c r="AM46" s="17"/>
      <c r="AN46" s="17"/>
      <c r="AO46" s="17"/>
      <c r="AP46" s="17"/>
      <c r="AQ46" s="42">
        <f t="shared" si="2"/>
        <v>18.118815999999999</v>
      </c>
      <c r="AR46" s="19"/>
    </row>
    <row r="47" spans="2:44" x14ac:dyDescent="0.35">
      <c r="B47" s="3">
        <v>44</v>
      </c>
      <c r="C47" s="4" t="s">
        <v>82</v>
      </c>
      <c r="D47" s="4" t="s">
        <v>84</v>
      </c>
      <c r="E47" s="35" t="s">
        <v>58</v>
      </c>
      <c r="F47" s="34" t="s">
        <v>99</v>
      </c>
      <c r="G47" s="24" t="s">
        <v>100</v>
      </c>
      <c r="H47" s="39">
        <v>35.845216999999991</v>
      </c>
      <c r="I47" s="6">
        <v>45920</v>
      </c>
      <c r="J47" s="27">
        <v>45925</v>
      </c>
      <c r="K47" s="4">
        <f t="shared" si="3"/>
        <v>6</v>
      </c>
      <c r="L47" s="15">
        <f t="shared" si="4"/>
        <v>5.9742028333333321</v>
      </c>
      <c r="M47" s="18"/>
      <c r="N47" s="13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>
        <v>5.9742028333333321</v>
      </c>
      <c r="AG47" s="12">
        <v>5.9742028333333321</v>
      </c>
      <c r="AH47" s="17">
        <v>5.9742028333333321</v>
      </c>
      <c r="AI47" s="17">
        <v>5.9742028333333321</v>
      </c>
      <c r="AJ47" s="17">
        <v>5.9742028333333321</v>
      </c>
      <c r="AK47" s="17">
        <v>5.9742028333333321</v>
      </c>
      <c r="AL47" s="17"/>
      <c r="AM47" s="17"/>
      <c r="AN47" s="17"/>
      <c r="AO47" s="17"/>
      <c r="AP47" s="17"/>
      <c r="AQ47" s="42">
        <f t="shared" si="2"/>
        <v>35.845216999999991</v>
      </c>
      <c r="AR47" s="19"/>
    </row>
    <row r="48" spans="2:44" x14ac:dyDescent="0.35">
      <c r="B48" s="3">
        <v>45</v>
      </c>
      <c r="C48" s="4" t="s">
        <v>85</v>
      </c>
      <c r="D48" s="4" t="s">
        <v>86</v>
      </c>
      <c r="E48" s="35" t="s">
        <v>64</v>
      </c>
      <c r="F48" s="34" t="s">
        <v>101</v>
      </c>
      <c r="G48" s="24" t="s">
        <v>29</v>
      </c>
      <c r="H48" s="39">
        <v>21.096916</v>
      </c>
      <c r="I48" s="6">
        <v>45917</v>
      </c>
      <c r="J48" s="27">
        <v>45922</v>
      </c>
      <c r="K48" s="4">
        <f t="shared" si="3"/>
        <v>6</v>
      </c>
      <c r="L48" s="15">
        <f t="shared" si="4"/>
        <v>3.5161526666666667</v>
      </c>
      <c r="M48" s="18"/>
      <c r="N48" s="13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>
        <v>3.5161526666666667</v>
      </c>
      <c r="AD48" s="12">
        <v>3.5161526666666667</v>
      </c>
      <c r="AE48" s="12">
        <v>3.5161526666666667</v>
      </c>
      <c r="AF48" s="12">
        <v>3.5161526666666667</v>
      </c>
      <c r="AG48" s="12">
        <v>3.5161526666666667</v>
      </c>
      <c r="AH48" s="17">
        <v>3.5161526666666667</v>
      </c>
      <c r="AI48" s="17"/>
      <c r="AJ48" s="17"/>
      <c r="AK48" s="17"/>
      <c r="AL48" s="17"/>
      <c r="AM48" s="17"/>
      <c r="AN48" s="17"/>
      <c r="AO48" s="17"/>
      <c r="AP48" s="17"/>
      <c r="AQ48" s="42">
        <f t="shared" si="2"/>
        <v>21.096916</v>
      </c>
      <c r="AR48" s="19"/>
    </row>
    <row r="49" spans="2:44" x14ac:dyDescent="0.35">
      <c r="B49" s="3">
        <v>46</v>
      </c>
      <c r="C49" s="4" t="s">
        <v>82</v>
      </c>
      <c r="D49" s="4" t="s">
        <v>84</v>
      </c>
      <c r="E49" s="35" t="s">
        <v>53</v>
      </c>
      <c r="F49" s="34" t="s">
        <v>102</v>
      </c>
      <c r="G49" s="24" t="s">
        <v>29</v>
      </c>
      <c r="H49" s="39">
        <v>21.096916</v>
      </c>
      <c r="I49" s="6">
        <v>45923</v>
      </c>
      <c r="J49" s="27">
        <v>45926</v>
      </c>
      <c r="K49" s="4">
        <f t="shared" si="3"/>
        <v>4</v>
      </c>
      <c r="L49" s="15">
        <f t="shared" si="4"/>
        <v>5.2742290000000001</v>
      </c>
      <c r="M49" s="18"/>
      <c r="N49" s="13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7"/>
      <c r="AI49" s="17">
        <v>5.2742290000000001</v>
      </c>
      <c r="AJ49" s="17">
        <v>5.2742290000000001</v>
      </c>
      <c r="AK49" s="17">
        <v>5.2742290000000001</v>
      </c>
      <c r="AL49" s="17">
        <v>5.2742290000000001</v>
      </c>
      <c r="AM49" s="17"/>
      <c r="AN49" s="17"/>
      <c r="AO49" s="17"/>
      <c r="AP49" s="17"/>
      <c r="AQ49" s="42">
        <f t="shared" si="2"/>
        <v>21.096916</v>
      </c>
      <c r="AR49" s="19"/>
    </row>
    <row r="50" spans="2:44" x14ac:dyDescent="0.35">
      <c r="B50" s="3">
        <v>47</v>
      </c>
      <c r="C50" s="4" t="s">
        <v>81</v>
      </c>
      <c r="D50" s="4" t="s">
        <v>87</v>
      </c>
      <c r="E50" s="35" t="s">
        <v>52</v>
      </c>
      <c r="F50" s="34" t="s">
        <v>103</v>
      </c>
      <c r="G50" s="24" t="s">
        <v>40</v>
      </c>
      <c r="H50" s="39">
        <v>16.966723999999999</v>
      </c>
      <c r="I50" s="6">
        <v>45927</v>
      </c>
      <c r="J50" s="27">
        <v>45929</v>
      </c>
      <c r="K50" s="4">
        <f t="shared" si="3"/>
        <v>3</v>
      </c>
      <c r="L50" s="15">
        <f t="shared" si="4"/>
        <v>5.6555746666666664</v>
      </c>
      <c r="M50" s="18"/>
      <c r="N50" s="13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7"/>
      <c r="AI50" s="17"/>
      <c r="AJ50" s="17"/>
      <c r="AK50" s="17"/>
      <c r="AL50" s="17"/>
      <c r="AM50" s="17">
        <v>5.6555746666666664</v>
      </c>
      <c r="AN50" s="17">
        <v>5.6555746666666664</v>
      </c>
      <c r="AO50" s="17">
        <v>5.6555746666666664</v>
      </c>
      <c r="AP50" s="17"/>
      <c r="AQ50" s="42">
        <f t="shared" si="2"/>
        <v>16.966723999999999</v>
      </c>
      <c r="AR50" s="19"/>
    </row>
    <row r="51" spans="2:44" x14ac:dyDescent="0.35">
      <c r="B51" s="3">
        <v>48</v>
      </c>
      <c r="C51" s="4" t="s">
        <v>85</v>
      </c>
      <c r="D51" s="4" t="s">
        <v>86</v>
      </c>
      <c r="E51" s="35" t="s">
        <v>63</v>
      </c>
      <c r="F51" s="34" t="s">
        <v>104</v>
      </c>
      <c r="G51" s="24" t="s">
        <v>29</v>
      </c>
      <c r="H51" s="39">
        <v>21.096916</v>
      </c>
      <c r="I51" s="6">
        <v>45920</v>
      </c>
      <c r="J51" s="27">
        <v>45923</v>
      </c>
      <c r="K51" s="4">
        <f t="shared" si="3"/>
        <v>4</v>
      </c>
      <c r="L51" s="15">
        <f t="shared" si="4"/>
        <v>5.2742290000000001</v>
      </c>
      <c r="M51" s="18"/>
      <c r="N51" s="13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>
        <v>5.2742290000000001</v>
      </c>
      <c r="AG51" s="12">
        <v>5.2742290000000001</v>
      </c>
      <c r="AH51" s="17">
        <v>5.2742290000000001</v>
      </c>
      <c r="AI51" s="17">
        <v>5.2742290000000001</v>
      </c>
      <c r="AJ51" s="17"/>
      <c r="AK51" s="17"/>
      <c r="AL51" s="17"/>
      <c r="AM51" s="17"/>
      <c r="AN51" s="17"/>
      <c r="AO51" s="17"/>
      <c r="AP51" s="17"/>
      <c r="AQ51" s="42">
        <f t="shared" si="2"/>
        <v>21.096916</v>
      </c>
      <c r="AR51" s="19"/>
    </row>
    <row r="52" spans="2:44" x14ac:dyDescent="0.35">
      <c r="B52" s="3">
        <v>49</v>
      </c>
      <c r="C52" s="4" t="s">
        <v>82</v>
      </c>
      <c r="D52" s="4" t="s">
        <v>84</v>
      </c>
      <c r="E52" s="35" t="s">
        <v>57</v>
      </c>
      <c r="F52" s="24" t="s">
        <v>79</v>
      </c>
      <c r="G52" s="24" t="s">
        <v>23</v>
      </c>
      <c r="H52" s="39">
        <v>18.118815999999999</v>
      </c>
      <c r="I52" s="6">
        <v>45918</v>
      </c>
      <c r="J52" s="27">
        <v>45921</v>
      </c>
      <c r="K52" s="4">
        <f t="shared" si="3"/>
        <v>4</v>
      </c>
      <c r="L52" s="15">
        <f t="shared" si="4"/>
        <v>4.5297039999999997</v>
      </c>
      <c r="M52" s="18"/>
      <c r="N52" s="13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>
        <v>4.5297039999999997</v>
      </c>
      <c r="AE52" s="12">
        <v>4.5297039999999997</v>
      </c>
      <c r="AF52" s="12">
        <v>4.5297039999999997</v>
      </c>
      <c r="AG52" s="12">
        <v>4.5297039999999997</v>
      </c>
      <c r="AH52" s="17"/>
      <c r="AI52" s="17"/>
      <c r="AJ52" s="17"/>
      <c r="AK52" s="17"/>
      <c r="AL52" s="17"/>
      <c r="AM52" s="17"/>
      <c r="AN52" s="17"/>
      <c r="AO52" s="17"/>
      <c r="AP52" s="17"/>
      <c r="AQ52" s="42">
        <f t="shared" si="2"/>
        <v>18.118815999999999</v>
      </c>
      <c r="AR52" s="19"/>
    </row>
    <row r="53" spans="2:44" x14ac:dyDescent="0.35">
      <c r="B53" s="3">
        <v>50</v>
      </c>
      <c r="C53" s="4" t="s">
        <v>82</v>
      </c>
      <c r="D53" s="4" t="s">
        <v>84</v>
      </c>
      <c r="E53" s="37" t="s">
        <v>53</v>
      </c>
      <c r="F53" s="23" t="s">
        <v>105</v>
      </c>
      <c r="G53" s="32" t="s">
        <v>14</v>
      </c>
      <c r="H53" s="39">
        <v>22.488373999999997</v>
      </c>
      <c r="I53" s="6">
        <v>45922</v>
      </c>
      <c r="J53" s="27">
        <v>45926</v>
      </c>
      <c r="K53" s="4">
        <f t="shared" si="3"/>
        <v>5</v>
      </c>
      <c r="L53" s="15">
        <f t="shared" si="4"/>
        <v>4.4976747999999995</v>
      </c>
      <c r="M53" s="18"/>
      <c r="N53" s="13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7">
        <v>4.4976747999999995</v>
      </c>
      <c r="AI53" s="17">
        <v>4.4976747999999995</v>
      </c>
      <c r="AJ53" s="17">
        <v>4.4976747999999995</v>
      </c>
      <c r="AK53" s="17">
        <v>4.4976747999999995</v>
      </c>
      <c r="AL53" s="17">
        <v>4.4976747999999995</v>
      </c>
      <c r="AM53" s="17"/>
      <c r="AN53" s="17"/>
      <c r="AO53" s="17"/>
      <c r="AP53" s="17"/>
      <c r="AQ53" s="42">
        <f t="shared" si="2"/>
        <v>22.488373999999997</v>
      </c>
      <c r="AR53" s="19"/>
    </row>
    <row r="54" spans="2:44" x14ac:dyDescent="0.35">
      <c r="B54" s="3">
        <v>51</v>
      </c>
      <c r="C54" s="4" t="s">
        <v>82</v>
      </c>
      <c r="D54" s="4" t="s">
        <v>84</v>
      </c>
      <c r="E54" s="35" t="s">
        <v>53</v>
      </c>
      <c r="F54" s="23" t="s">
        <v>106</v>
      </c>
      <c r="G54" s="24" t="s">
        <v>29</v>
      </c>
      <c r="H54" s="39">
        <v>21.096916</v>
      </c>
      <c r="I54" s="6">
        <v>45926</v>
      </c>
      <c r="J54" s="27">
        <v>45929</v>
      </c>
      <c r="K54" s="4">
        <f t="shared" si="3"/>
        <v>4</v>
      </c>
      <c r="L54" s="15">
        <f t="shared" si="4"/>
        <v>5.2742290000000001</v>
      </c>
      <c r="M54" s="18"/>
      <c r="N54" s="13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7"/>
      <c r="AI54" s="17"/>
      <c r="AJ54" s="17"/>
      <c r="AK54" s="17"/>
      <c r="AL54" s="17">
        <v>5.2742290000000001</v>
      </c>
      <c r="AM54" s="17">
        <v>5.2742290000000001</v>
      </c>
      <c r="AN54" s="17">
        <v>5.2742290000000001</v>
      </c>
      <c r="AO54" s="17">
        <v>5.2742290000000001</v>
      </c>
      <c r="AP54" s="17"/>
      <c r="AQ54" s="42">
        <f t="shared" si="2"/>
        <v>21.096916</v>
      </c>
      <c r="AR54" s="19"/>
    </row>
    <row r="55" spans="2:44" x14ac:dyDescent="0.35">
      <c r="B55" s="3">
        <v>52</v>
      </c>
      <c r="C55" s="4" t="s">
        <v>82</v>
      </c>
      <c r="D55" s="4" t="s">
        <v>83</v>
      </c>
      <c r="E55" s="35" t="s">
        <v>53</v>
      </c>
      <c r="F55" s="23" t="s">
        <v>107</v>
      </c>
      <c r="G55" s="24" t="s">
        <v>108</v>
      </c>
      <c r="H55" s="39">
        <v>15.857766</v>
      </c>
      <c r="I55" s="6">
        <v>45928</v>
      </c>
      <c r="J55" s="27">
        <v>45930</v>
      </c>
      <c r="K55" s="4">
        <f t="shared" si="3"/>
        <v>3</v>
      </c>
      <c r="L55" s="15">
        <f t="shared" si="4"/>
        <v>5.2859220000000002</v>
      </c>
      <c r="M55" s="18"/>
      <c r="N55" s="13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7"/>
      <c r="AI55" s="17"/>
      <c r="AJ55" s="17"/>
      <c r="AK55" s="17"/>
      <c r="AL55" s="17"/>
      <c r="AM55" s="17"/>
      <c r="AN55" s="17">
        <v>5.2859220000000002</v>
      </c>
      <c r="AO55" s="17">
        <v>5.2859220000000002</v>
      </c>
      <c r="AP55" s="17">
        <v>5.2859220000000002</v>
      </c>
      <c r="AQ55" s="42">
        <f t="shared" si="2"/>
        <v>15.857766000000002</v>
      </c>
      <c r="AR55" s="19"/>
    </row>
    <row r="56" spans="2:44" x14ac:dyDescent="0.35">
      <c r="B56" s="3">
        <v>53</v>
      </c>
      <c r="C56" s="4" t="s">
        <v>82</v>
      </c>
      <c r="D56" s="4" t="s">
        <v>83</v>
      </c>
      <c r="E56" s="35" t="s">
        <v>53</v>
      </c>
      <c r="F56" s="23" t="s">
        <v>109</v>
      </c>
      <c r="G56" s="24" t="s">
        <v>23</v>
      </c>
      <c r="H56" s="39">
        <v>18.118815999999999</v>
      </c>
      <c r="I56" s="6">
        <v>45924</v>
      </c>
      <c r="J56" s="27">
        <v>45927</v>
      </c>
      <c r="K56" s="4">
        <f t="shared" si="3"/>
        <v>4</v>
      </c>
      <c r="L56" s="15">
        <f t="shared" si="4"/>
        <v>4.5297039999999997</v>
      </c>
      <c r="M56" s="18"/>
      <c r="N56" s="13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7"/>
      <c r="AI56" s="17"/>
      <c r="AJ56" s="17">
        <v>4.5297039999999997</v>
      </c>
      <c r="AK56" s="17">
        <v>4.5297039999999997</v>
      </c>
      <c r="AL56" s="17">
        <v>4.5297039999999997</v>
      </c>
      <c r="AM56" s="17">
        <v>4.5297039999999997</v>
      </c>
      <c r="AN56" s="17"/>
      <c r="AO56" s="17"/>
      <c r="AP56" s="17"/>
      <c r="AQ56" s="42">
        <f t="shared" si="2"/>
        <v>18.118815999999999</v>
      </c>
      <c r="AR56" s="19"/>
    </row>
    <row r="57" spans="2:44" x14ac:dyDescent="0.35">
      <c r="B57" s="3">
        <v>54</v>
      </c>
      <c r="C57" s="4" t="s">
        <v>82</v>
      </c>
      <c r="D57" s="4" t="s">
        <v>83</v>
      </c>
      <c r="E57" s="35" t="s">
        <v>53</v>
      </c>
      <c r="F57" s="23" t="s">
        <v>110</v>
      </c>
      <c r="G57" s="24" t="s">
        <v>14</v>
      </c>
      <c r="H57" s="39">
        <v>22.488373999999997</v>
      </c>
      <c r="I57" s="6">
        <v>45927</v>
      </c>
      <c r="J57" s="27">
        <v>45930</v>
      </c>
      <c r="K57" s="4">
        <f t="shared" si="3"/>
        <v>4</v>
      </c>
      <c r="L57" s="15">
        <f t="shared" si="4"/>
        <v>5.6220934999999992</v>
      </c>
      <c r="M57" s="18"/>
      <c r="N57" s="13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7"/>
      <c r="AI57" s="17"/>
      <c r="AJ57" s="17"/>
      <c r="AK57" s="17"/>
      <c r="AL57" s="17"/>
      <c r="AM57" s="17">
        <v>5.6220934999999992</v>
      </c>
      <c r="AN57" s="17">
        <v>5.6220934999999992</v>
      </c>
      <c r="AO57" s="17">
        <v>5.6220934999999992</v>
      </c>
      <c r="AP57" s="17">
        <v>5.6220934999999992</v>
      </c>
      <c r="AQ57" s="42">
        <f t="shared" si="2"/>
        <v>22.488373999999997</v>
      </c>
      <c r="AR57" s="19"/>
    </row>
    <row r="58" spans="2:44" x14ac:dyDescent="0.35">
      <c r="B58" s="3">
        <v>55</v>
      </c>
      <c r="C58" s="4" t="s">
        <v>82</v>
      </c>
      <c r="D58" s="4" t="s">
        <v>83</v>
      </c>
      <c r="E58" s="35" t="s">
        <v>53</v>
      </c>
      <c r="F58" s="23" t="s">
        <v>111</v>
      </c>
      <c r="G58" s="24" t="s">
        <v>112</v>
      </c>
      <c r="H58" s="39">
        <v>36.585352999999998</v>
      </c>
      <c r="I58" s="6">
        <v>45924</v>
      </c>
      <c r="J58" s="27">
        <v>45930</v>
      </c>
      <c r="K58" s="4">
        <f t="shared" si="3"/>
        <v>7</v>
      </c>
      <c r="L58" s="15">
        <f t="shared" si="4"/>
        <v>5.2264789999999994</v>
      </c>
      <c r="M58" s="18"/>
      <c r="N58" s="13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7"/>
      <c r="AI58" s="17"/>
      <c r="AJ58" s="17">
        <v>5.2264789999999994</v>
      </c>
      <c r="AK58" s="17">
        <v>5.2264789999999994</v>
      </c>
      <c r="AL58" s="17">
        <v>5.2264789999999994</v>
      </c>
      <c r="AM58" s="17">
        <v>5.2264789999999994</v>
      </c>
      <c r="AN58" s="17">
        <v>5.2264789999999994</v>
      </c>
      <c r="AO58" s="17">
        <v>5.2264789999999994</v>
      </c>
      <c r="AP58" s="17">
        <v>5.2264789999999994</v>
      </c>
      <c r="AQ58" s="42">
        <f t="shared" si="2"/>
        <v>36.585352999999991</v>
      </c>
      <c r="AR58" s="19"/>
    </row>
    <row r="59" spans="2:44" x14ac:dyDescent="0.35">
      <c r="B59" s="3">
        <v>56</v>
      </c>
      <c r="C59" s="4" t="s">
        <v>82</v>
      </c>
      <c r="D59" s="4" t="s">
        <v>83</v>
      </c>
      <c r="E59" s="35" t="s">
        <v>76</v>
      </c>
      <c r="F59" s="23" t="s">
        <v>80</v>
      </c>
      <c r="G59" s="24" t="s">
        <v>14</v>
      </c>
      <c r="H59" s="39">
        <v>22.488373999999997</v>
      </c>
      <c r="I59" s="6">
        <v>45915</v>
      </c>
      <c r="J59" s="27">
        <v>45918</v>
      </c>
      <c r="K59" s="4">
        <f t="shared" si="3"/>
        <v>4</v>
      </c>
      <c r="L59" s="15">
        <f t="shared" si="4"/>
        <v>5.6220934999999992</v>
      </c>
      <c r="M59" s="18"/>
      <c r="N59" s="13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>
        <v>5.6220934999999992</v>
      </c>
      <c r="AB59" s="12">
        <v>5.6220934999999992</v>
      </c>
      <c r="AC59" s="12">
        <v>5.6220934999999992</v>
      </c>
      <c r="AD59" s="12">
        <v>5.6220934999999992</v>
      </c>
      <c r="AE59" s="12"/>
      <c r="AF59" s="12"/>
      <c r="AG59" s="12"/>
      <c r="AH59" s="17"/>
      <c r="AI59" s="17"/>
      <c r="AJ59" s="17"/>
      <c r="AK59" s="17"/>
      <c r="AL59" s="17"/>
      <c r="AM59" s="17"/>
      <c r="AN59" s="17"/>
      <c r="AO59" s="17"/>
      <c r="AP59" s="17"/>
      <c r="AQ59" s="42">
        <f t="shared" si="2"/>
        <v>22.488373999999997</v>
      </c>
      <c r="AR59" s="19"/>
    </row>
    <row r="60" spans="2:44" x14ac:dyDescent="0.35">
      <c r="B60" s="3">
        <v>57</v>
      </c>
      <c r="C60" s="4" t="s">
        <v>82</v>
      </c>
      <c r="D60" s="4" t="s">
        <v>83</v>
      </c>
      <c r="E60" s="35" t="s">
        <v>53</v>
      </c>
      <c r="F60" s="23" t="s">
        <v>113</v>
      </c>
      <c r="G60" s="24" t="s">
        <v>108</v>
      </c>
      <c r="H60" s="39">
        <v>15.857766</v>
      </c>
      <c r="I60" s="6">
        <v>45924</v>
      </c>
      <c r="J60" s="27">
        <v>45926</v>
      </c>
      <c r="K60" s="4">
        <f t="shared" si="3"/>
        <v>3</v>
      </c>
      <c r="L60" s="15">
        <f t="shared" si="4"/>
        <v>5.2859220000000002</v>
      </c>
      <c r="M60" s="18"/>
      <c r="N60" s="13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7"/>
      <c r="AI60" s="17"/>
      <c r="AJ60" s="17">
        <v>5.2859220000000002</v>
      </c>
      <c r="AK60" s="17">
        <v>5.2859220000000002</v>
      </c>
      <c r="AL60" s="17">
        <v>5.2859220000000002</v>
      </c>
      <c r="AM60" s="17"/>
      <c r="AN60" s="17"/>
      <c r="AO60" s="17"/>
      <c r="AP60" s="17"/>
      <c r="AQ60" s="42">
        <f t="shared" si="2"/>
        <v>15.857766000000002</v>
      </c>
      <c r="AR60" s="19"/>
    </row>
    <row r="61" spans="2:44" x14ac:dyDescent="0.35">
      <c r="B61" s="3">
        <v>58</v>
      </c>
      <c r="C61" s="4" t="s">
        <v>82</v>
      </c>
      <c r="D61" s="4" t="s">
        <v>83</v>
      </c>
      <c r="E61" s="35" t="s">
        <v>53</v>
      </c>
      <c r="F61" s="23" t="s">
        <v>114</v>
      </c>
      <c r="G61" s="24" t="s">
        <v>29</v>
      </c>
      <c r="H61" s="39">
        <v>21.096916</v>
      </c>
      <c r="I61" s="6">
        <v>45925</v>
      </c>
      <c r="J61" s="27">
        <v>45928</v>
      </c>
      <c r="K61" s="4">
        <f t="shared" si="3"/>
        <v>4</v>
      </c>
      <c r="L61" s="15">
        <f t="shared" si="4"/>
        <v>5.2742290000000001</v>
      </c>
      <c r="M61" s="18"/>
      <c r="N61" s="13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7"/>
      <c r="AI61" s="17"/>
      <c r="AJ61" s="17"/>
      <c r="AK61" s="17">
        <v>5.2742290000000001</v>
      </c>
      <c r="AL61" s="17">
        <v>5.2742290000000001</v>
      </c>
      <c r="AM61" s="17">
        <v>5.2742290000000001</v>
      </c>
      <c r="AN61" s="17">
        <v>5.2742290000000001</v>
      </c>
      <c r="AO61" s="17"/>
      <c r="AP61" s="17"/>
      <c r="AQ61" s="42">
        <f t="shared" si="2"/>
        <v>21.096916</v>
      </c>
      <c r="AR61" s="19"/>
    </row>
    <row r="62" spans="2:44" x14ac:dyDescent="0.35">
      <c r="B62" s="3">
        <v>59</v>
      </c>
      <c r="C62" s="4" t="s">
        <v>82</v>
      </c>
      <c r="D62" s="4" t="s">
        <v>84</v>
      </c>
      <c r="E62" s="35" t="s">
        <v>53</v>
      </c>
      <c r="F62" s="23" t="s">
        <v>115</v>
      </c>
      <c r="G62" s="24" t="s">
        <v>116</v>
      </c>
      <c r="H62" s="39">
        <v>16.452445999999998</v>
      </c>
      <c r="I62" s="6">
        <v>45924</v>
      </c>
      <c r="J62" s="27">
        <v>45926</v>
      </c>
      <c r="K62" s="4">
        <f t="shared" si="3"/>
        <v>3</v>
      </c>
      <c r="L62" s="15">
        <f t="shared" si="4"/>
        <v>5.4841486666666661</v>
      </c>
      <c r="M62" s="18"/>
      <c r="N62" s="13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7"/>
      <c r="AI62" s="17"/>
      <c r="AJ62" s="17">
        <v>5.4841486666666661</v>
      </c>
      <c r="AK62" s="17">
        <v>5.4841486666666661</v>
      </c>
      <c r="AL62" s="17">
        <v>5.4841486666666661</v>
      </c>
      <c r="AM62" s="17"/>
      <c r="AN62" s="17"/>
      <c r="AO62" s="17"/>
      <c r="AP62" s="17"/>
      <c r="AQ62" s="42">
        <f t="shared" si="2"/>
        <v>16.452445999999998</v>
      </c>
      <c r="AR62" s="19"/>
    </row>
    <row r="63" spans="2:44" x14ac:dyDescent="0.35">
      <c r="B63" s="3">
        <v>60</v>
      </c>
      <c r="C63" s="4" t="s">
        <v>82</v>
      </c>
      <c r="D63" s="4" t="s">
        <v>84</v>
      </c>
      <c r="E63" s="35" t="s">
        <v>53</v>
      </c>
      <c r="F63" s="23" t="s">
        <v>117</v>
      </c>
      <c r="G63" s="24" t="s">
        <v>23</v>
      </c>
      <c r="H63" s="39">
        <v>18.118815999999999</v>
      </c>
      <c r="I63" s="6">
        <v>45927</v>
      </c>
      <c r="J63" s="27">
        <v>45930</v>
      </c>
      <c r="K63" s="4">
        <f t="shared" si="3"/>
        <v>4</v>
      </c>
      <c r="L63" s="15">
        <f t="shared" si="4"/>
        <v>4.5297039999999997</v>
      </c>
      <c r="M63" s="18"/>
      <c r="N63" s="13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7"/>
      <c r="AI63" s="17"/>
      <c r="AJ63" s="17"/>
      <c r="AK63" s="17"/>
      <c r="AL63" s="17"/>
      <c r="AM63" s="17">
        <v>4.5297039999999997</v>
      </c>
      <c r="AN63" s="17">
        <v>4.5297039999999997</v>
      </c>
      <c r="AO63" s="17">
        <v>4.5297039999999997</v>
      </c>
      <c r="AP63" s="17">
        <v>4.5297039999999997</v>
      </c>
      <c r="AQ63" s="42">
        <f t="shared" si="2"/>
        <v>18.118815999999999</v>
      </c>
      <c r="AR63" s="19"/>
    </row>
    <row r="64" spans="2:44" x14ac:dyDescent="0.35">
      <c r="B64" s="3">
        <v>61</v>
      </c>
      <c r="C64" s="4" t="s">
        <v>82</v>
      </c>
      <c r="D64" s="4" t="s">
        <v>84</v>
      </c>
      <c r="E64" s="35" t="s">
        <v>58</v>
      </c>
      <c r="F64" s="23" t="s">
        <v>118</v>
      </c>
      <c r="G64" s="24" t="s">
        <v>119</v>
      </c>
      <c r="H64" s="39">
        <v>29.777915000000004</v>
      </c>
      <c r="I64" s="6">
        <v>45925</v>
      </c>
      <c r="J64" s="27">
        <v>45930</v>
      </c>
      <c r="K64" s="4">
        <f t="shared" si="3"/>
        <v>6</v>
      </c>
      <c r="L64" s="15">
        <f t="shared" si="4"/>
        <v>4.9629858333333337</v>
      </c>
      <c r="M64" s="18"/>
      <c r="N64" s="13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7"/>
      <c r="AI64" s="17"/>
      <c r="AJ64" s="17"/>
      <c r="AK64" s="17">
        <v>4.9629858333333337</v>
      </c>
      <c r="AL64" s="17">
        <v>4.9629858333333337</v>
      </c>
      <c r="AM64" s="17">
        <v>4.9629858333333337</v>
      </c>
      <c r="AN64" s="17">
        <v>4.9629858333333337</v>
      </c>
      <c r="AO64" s="17">
        <v>4.9629858333333337</v>
      </c>
      <c r="AP64" s="17">
        <v>4.9629858333333337</v>
      </c>
      <c r="AQ64" s="42">
        <f t="shared" si="2"/>
        <v>29.777915000000004</v>
      </c>
      <c r="AR64" s="19"/>
    </row>
    <row r="65" spans="2:44" x14ac:dyDescent="0.35">
      <c r="B65" s="3">
        <v>62</v>
      </c>
      <c r="C65" s="4" t="s">
        <v>85</v>
      </c>
      <c r="D65" s="4" t="s">
        <v>86</v>
      </c>
      <c r="E65" s="35" t="s">
        <v>63</v>
      </c>
      <c r="F65" s="23" t="s">
        <v>120</v>
      </c>
      <c r="G65" s="24" t="s">
        <v>29</v>
      </c>
      <c r="H65" s="39">
        <v>21.096916</v>
      </c>
      <c r="I65" s="6">
        <v>45924</v>
      </c>
      <c r="J65" s="27">
        <v>45927</v>
      </c>
      <c r="K65" s="4">
        <f t="shared" si="3"/>
        <v>4</v>
      </c>
      <c r="L65" s="15">
        <f t="shared" si="4"/>
        <v>5.2742290000000001</v>
      </c>
      <c r="M65" s="18"/>
      <c r="N65" s="13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7"/>
      <c r="AI65" s="17"/>
      <c r="AJ65" s="17">
        <v>5.2742290000000001</v>
      </c>
      <c r="AK65" s="17">
        <v>5.2742290000000001</v>
      </c>
      <c r="AL65" s="17">
        <v>5.2742290000000001</v>
      </c>
      <c r="AM65" s="17">
        <v>5.2742290000000001</v>
      </c>
      <c r="AN65" s="17"/>
      <c r="AO65" s="17"/>
      <c r="AP65" s="17"/>
      <c r="AQ65" s="42">
        <f t="shared" si="2"/>
        <v>21.096916</v>
      </c>
      <c r="AR65" s="19"/>
    </row>
    <row r="66" spans="2:44" x14ac:dyDescent="0.35">
      <c r="B66" s="3">
        <v>63</v>
      </c>
      <c r="C66" s="4" t="s">
        <v>85</v>
      </c>
      <c r="D66" s="4" t="s">
        <v>86</v>
      </c>
      <c r="E66" s="35" t="s">
        <v>63</v>
      </c>
      <c r="F66" s="23" t="s">
        <v>121</v>
      </c>
      <c r="G66" s="24" t="s">
        <v>29</v>
      </c>
      <c r="H66" s="39">
        <v>21.096916</v>
      </c>
      <c r="I66" s="6">
        <v>45927</v>
      </c>
      <c r="J66" s="27">
        <v>45930</v>
      </c>
      <c r="K66" s="4">
        <f t="shared" si="3"/>
        <v>4</v>
      </c>
      <c r="L66" s="15">
        <f t="shared" si="4"/>
        <v>5.2742290000000001</v>
      </c>
      <c r="M66" s="18"/>
      <c r="N66" s="13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7"/>
      <c r="AI66" s="17"/>
      <c r="AJ66" s="17"/>
      <c r="AK66" s="17"/>
      <c r="AL66" s="17"/>
      <c r="AM66" s="17">
        <v>5.2742290000000001</v>
      </c>
      <c r="AN66" s="17">
        <v>5.2742290000000001</v>
      </c>
      <c r="AO66" s="17">
        <v>5.2742290000000001</v>
      </c>
      <c r="AP66" s="17">
        <v>5.2742290000000001</v>
      </c>
      <c r="AQ66" s="42">
        <f t="shared" si="2"/>
        <v>21.096916</v>
      </c>
      <c r="AR66" s="19"/>
    </row>
    <row r="67" spans="2:44" x14ac:dyDescent="0.35">
      <c r="B67" s="3">
        <v>64</v>
      </c>
      <c r="C67" s="4" t="s">
        <v>85</v>
      </c>
      <c r="D67" s="4" t="s">
        <v>86</v>
      </c>
      <c r="E67" s="35" t="s">
        <v>62</v>
      </c>
      <c r="F67" s="23" t="s">
        <v>122</v>
      </c>
      <c r="G67" s="24" t="s">
        <v>23</v>
      </c>
      <c r="H67" s="39">
        <v>18.118815999999999</v>
      </c>
      <c r="I67" s="6">
        <v>45927</v>
      </c>
      <c r="J67" s="27">
        <v>45930</v>
      </c>
      <c r="K67" s="4">
        <f t="shared" si="3"/>
        <v>4</v>
      </c>
      <c r="L67" s="15">
        <f t="shared" si="4"/>
        <v>4.5297039999999997</v>
      </c>
      <c r="M67" s="18"/>
      <c r="N67" s="13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7"/>
      <c r="AI67" s="17"/>
      <c r="AJ67" s="17"/>
      <c r="AK67" s="17"/>
      <c r="AL67" s="17"/>
      <c r="AM67" s="17">
        <v>4.5297039999999997</v>
      </c>
      <c r="AN67" s="17">
        <v>4.5297039999999997</v>
      </c>
      <c r="AO67" s="17">
        <v>4.5297039999999997</v>
      </c>
      <c r="AP67" s="17">
        <v>4.5297039999999997</v>
      </c>
      <c r="AQ67" s="42">
        <f t="shared" si="2"/>
        <v>18.118815999999999</v>
      </c>
      <c r="AR67" s="19"/>
    </row>
    <row r="68" spans="2:44" x14ac:dyDescent="0.35">
      <c r="B68" s="3">
        <v>65</v>
      </c>
      <c r="C68" s="4" t="s">
        <v>85</v>
      </c>
      <c r="D68" s="4" t="s">
        <v>86</v>
      </c>
      <c r="E68" s="35" t="s">
        <v>64</v>
      </c>
      <c r="F68" s="23" t="s">
        <v>123</v>
      </c>
      <c r="G68" s="24" t="s">
        <v>14</v>
      </c>
      <c r="H68" s="39">
        <v>22.488373999999997</v>
      </c>
      <c r="I68" s="6">
        <v>45923</v>
      </c>
      <c r="J68" s="27">
        <v>45927</v>
      </c>
      <c r="K68" s="4">
        <f t="shared" si="3"/>
        <v>5</v>
      </c>
      <c r="L68" s="15">
        <f t="shared" ref="L68:L71" si="5">H68/K68</f>
        <v>4.4976747999999995</v>
      </c>
      <c r="M68" s="18"/>
      <c r="N68" s="13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7"/>
      <c r="AI68" s="17">
        <v>4.4976747999999995</v>
      </c>
      <c r="AJ68" s="17">
        <v>4.4976747999999995</v>
      </c>
      <c r="AK68" s="17">
        <v>4.4976747999999995</v>
      </c>
      <c r="AL68" s="17">
        <v>4.4976747999999995</v>
      </c>
      <c r="AM68" s="17">
        <v>4.4976747999999995</v>
      </c>
      <c r="AN68" s="17"/>
      <c r="AO68" s="17"/>
      <c r="AP68" s="17"/>
      <c r="AQ68" s="42">
        <f t="shared" ref="AQ68:AQ71" si="6">SUM(M68:AP68)</f>
        <v>22.488373999999997</v>
      </c>
      <c r="AR68" s="19"/>
    </row>
    <row r="69" spans="2:44" x14ac:dyDescent="0.35">
      <c r="B69" s="3">
        <v>66</v>
      </c>
      <c r="C69" s="4" t="s">
        <v>85</v>
      </c>
      <c r="D69" s="4" t="s">
        <v>86</v>
      </c>
      <c r="E69" s="35" t="s">
        <v>64</v>
      </c>
      <c r="F69" s="23" t="s">
        <v>124</v>
      </c>
      <c r="G69" s="24" t="s">
        <v>29</v>
      </c>
      <c r="H69" s="39">
        <v>21.096916</v>
      </c>
      <c r="I69" s="6">
        <v>45927</v>
      </c>
      <c r="J69" s="27">
        <v>45930</v>
      </c>
      <c r="K69" s="4">
        <f t="shared" ref="K69:K71" si="7">J69-I69+1</f>
        <v>4</v>
      </c>
      <c r="L69" s="15">
        <f t="shared" si="5"/>
        <v>5.2742290000000001</v>
      </c>
      <c r="M69" s="18"/>
      <c r="N69" s="13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7"/>
      <c r="AI69" s="17"/>
      <c r="AJ69" s="17"/>
      <c r="AK69" s="17"/>
      <c r="AL69" s="17"/>
      <c r="AM69" s="17">
        <v>5.2742290000000001</v>
      </c>
      <c r="AN69" s="17">
        <v>5.2742290000000001</v>
      </c>
      <c r="AO69" s="17">
        <v>5.2742290000000001</v>
      </c>
      <c r="AP69" s="17">
        <v>5.2742290000000001</v>
      </c>
      <c r="AQ69" s="42">
        <f t="shared" si="6"/>
        <v>21.096916</v>
      </c>
      <c r="AR69" s="19"/>
    </row>
    <row r="70" spans="2:44" x14ac:dyDescent="0.35">
      <c r="B70" s="3">
        <v>67</v>
      </c>
      <c r="C70" s="4" t="s">
        <v>85</v>
      </c>
      <c r="D70" s="4" t="s">
        <v>86</v>
      </c>
      <c r="E70" s="35" t="s">
        <v>55</v>
      </c>
      <c r="F70" s="23" t="s">
        <v>125</v>
      </c>
      <c r="G70" s="24" t="s">
        <v>116</v>
      </c>
      <c r="H70" s="39">
        <v>16.452445999999998</v>
      </c>
      <c r="I70" s="6">
        <v>45924</v>
      </c>
      <c r="J70" s="27">
        <v>45927</v>
      </c>
      <c r="K70" s="4">
        <f t="shared" si="7"/>
        <v>4</v>
      </c>
      <c r="L70" s="15">
        <f t="shared" si="5"/>
        <v>4.1131114999999996</v>
      </c>
      <c r="M70" s="18"/>
      <c r="N70" s="13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7"/>
      <c r="AI70" s="17"/>
      <c r="AJ70" s="17">
        <v>4.1131114999999996</v>
      </c>
      <c r="AK70" s="17">
        <v>4.1131114999999996</v>
      </c>
      <c r="AL70" s="17">
        <v>4.1131114999999996</v>
      </c>
      <c r="AM70" s="17">
        <v>4.1131114999999996</v>
      </c>
      <c r="AN70" s="17"/>
      <c r="AO70" s="17"/>
      <c r="AP70" s="17"/>
      <c r="AQ70" s="42">
        <f t="shared" si="6"/>
        <v>16.452445999999998</v>
      </c>
      <c r="AR70" s="19"/>
    </row>
    <row r="71" spans="2:44" ht="15" thickBot="1" x14ac:dyDescent="0.4">
      <c r="B71" s="3">
        <v>68</v>
      </c>
      <c r="C71" s="4" t="s">
        <v>82</v>
      </c>
      <c r="D71" s="4" t="s">
        <v>83</v>
      </c>
      <c r="E71" s="35" t="s">
        <v>53</v>
      </c>
      <c r="F71" s="23" t="s">
        <v>126</v>
      </c>
      <c r="G71" s="24" t="s">
        <v>108</v>
      </c>
      <c r="H71" s="39">
        <v>15.857766</v>
      </c>
      <c r="I71" s="6">
        <v>45928</v>
      </c>
      <c r="J71" s="27">
        <v>45930</v>
      </c>
      <c r="K71" s="4">
        <f t="shared" si="7"/>
        <v>3</v>
      </c>
      <c r="L71" s="15">
        <f t="shared" si="5"/>
        <v>5.2859220000000002</v>
      </c>
      <c r="M71" s="18"/>
      <c r="N71" s="13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7"/>
      <c r="AI71" s="17"/>
      <c r="AJ71" s="17"/>
      <c r="AK71" s="17"/>
      <c r="AL71" s="17"/>
      <c r="AM71" s="17"/>
      <c r="AN71" s="17">
        <v>5.2859220000000002</v>
      </c>
      <c r="AO71" s="17">
        <v>5.2859220000000002</v>
      </c>
      <c r="AP71" s="17">
        <v>5.2859220000000002</v>
      </c>
      <c r="AQ71" s="42">
        <f t="shared" si="6"/>
        <v>15.857766000000002</v>
      </c>
      <c r="AR71" s="19"/>
    </row>
    <row r="72" spans="2:44" s="2" customFormat="1" ht="15" thickBot="1" x14ac:dyDescent="0.4">
      <c r="B72" s="10"/>
      <c r="C72" s="11"/>
      <c r="D72" s="11"/>
      <c r="E72" s="25"/>
      <c r="F72" s="11"/>
      <c r="G72" s="11"/>
      <c r="H72" s="41">
        <f>SUM(H4:H71)</f>
        <v>1656.0483599999995</v>
      </c>
      <c r="I72" s="11"/>
      <c r="J72" s="11"/>
      <c r="K72" s="11"/>
      <c r="L72" s="11"/>
      <c r="M72" s="41">
        <f>SUM(M4:M71)</f>
        <v>24.192842333333331</v>
      </c>
      <c r="N72" s="41">
        <f t="shared" ref="N72:AP72" si="8">SUM(N4:N71)</f>
        <v>32.491643090909086</v>
      </c>
      <c r="O72" s="41">
        <f t="shared" si="8"/>
        <v>35.678110790909088</v>
      </c>
      <c r="P72" s="41">
        <f t="shared" si="8"/>
        <v>45.224162865909094</v>
      </c>
      <c r="Q72" s="41">
        <f t="shared" si="8"/>
        <v>41.830818065909092</v>
      </c>
      <c r="R72" s="41">
        <f t="shared" si="8"/>
        <v>42.649204799242426</v>
      </c>
      <c r="S72" s="41">
        <f t="shared" si="8"/>
        <v>49.896731199242417</v>
      </c>
      <c r="T72" s="41">
        <f t="shared" si="8"/>
        <v>53.615345891550106</v>
      </c>
      <c r="U72" s="41">
        <f t="shared" si="8"/>
        <v>52.945689002661219</v>
      </c>
      <c r="V72" s="41">
        <f t="shared" si="8"/>
        <v>60.303127035994557</v>
      </c>
      <c r="W72" s="41">
        <f t="shared" si="8"/>
        <v>56.352134535994566</v>
      </c>
      <c r="X72" s="41">
        <f t="shared" si="8"/>
        <v>42.290359341946946</v>
      </c>
      <c r="Y72" s="41">
        <f t="shared" si="8"/>
        <v>36.345285351037852</v>
      </c>
      <c r="Z72" s="41">
        <f t="shared" si="8"/>
        <v>47.929791362942616</v>
      </c>
      <c r="AA72" s="41">
        <f t="shared" si="8"/>
        <v>59.761595729609276</v>
      </c>
      <c r="AB72" s="41">
        <f t="shared" si="8"/>
        <v>66.935056029609285</v>
      </c>
      <c r="AC72" s="41">
        <f t="shared" si="8"/>
        <v>70.451208696275955</v>
      </c>
      <c r="AD72" s="41">
        <f t="shared" si="8"/>
        <v>73.704075785164832</v>
      </c>
      <c r="AE72" s="41">
        <f t="shared" si="8"/>
        <v>54.673647704212463</v>
      </c>
      <c r="AF72" s="41">
        <f t="shared" si="8"/>
        <v>60.611300037545774</v>
      </c>
      <c r="AG72" s="41">
        <f t="shared" si="8"/>
        <v>45.763804678571432</v>
      </c>
      <c r="AH72" s="41">
        <f t="shared" si="8"/>
        <v>42.64311014523809</v>
      </c>
      <c r="AI72" s="41">
        <f t="shared" si="8"/>
        <v>41.881753278571423</v>
      </c>
      <c r="AJ72" s="41">
        <f t="shared" si="8"/>
        <v>66.521118445238088</v>
      </c>
      <c r="AK72" s="41">
        <f t="shared" si="8"/>
        <v>70.602400945238102</v>
      </c>
      <c r="AL72" s="41">
        <f t="shared" si="8"/>
        <v>66.040993728571422</v>
      </c>
      <c r="AM72" s="41">
        <f t="shared" si="8"/>
        <v>76.384553428571436</v>
      </c>
      <c r="AN72" s="41">
        <f t="shared" si="8"/>
        <v>66.414684199999996</v>
      </c>
      <c r="AO72" s="41">
        <f t="shared" si="8"/>
        <v>61.140455199999998</v>
      </c>
      <c r="AP72" s="41">
        <f t="shared" si="8"/>
        <v>50.210651533333333</v>
      </c>
      <c r="AQ72" s="43">
        <f>SUM(AQ4:AQ71)</f>
        <v>1595.4856552333324</v>
      </c>
      <c r="AR72" s="14"/>
    </row>
  </sheetData>
  <autoFilter ref="F3:H72" xr:uid="{00000000-0001-0000-0000-000000000000}"/>
  <mergeCells count="13">
    <mergeCell ref="AQ2:AQ3"/>
    <mergeCell ref="AR2:AR3"/>
    <mergeCell ref="K2:K3"/>
    <mergeCell ref="B1:H1"/>
    <mergeCell ref="M2:AP2"/>
    <mergeCell ref="B2:B3"/>
    <mergeCell ref="C2:C3"/>
    <mergeCell ref="D2:D3"/>
    <mergeCell ref="F2:H2"/>
    <mergeCell ref="E2:E3"/>
    <mergeCell ref="I2:I3"/>
    <mergeCell ref="J2:J3"/>
    <mergeCell ref="L2:L3"/>
  </mergeCells>
  <phoneticPr fontId="3" type="noConversion"/>
  <conditionalFormatting sqref="G45 F4:F71">
    <cfRule type="duplicateValues" dxfId="3" priority="1"/>
  </conditionalFormatting>
  <conditionalFormatting sqref="G45 F28:F71 F4:F23">
    <cfRule type="duplicateValues" dxfId="2" priority="2"/>
  </conditionalFormatting>
  <pageMargins left="0.7" right="0.7" top="0.75" bottom="0.75" header="0.3" footer="0.3"/>
  <ignoredErrors>
    <ignoredError sqref="M7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9100-6691-4DEE-80FA-ECE5CC4D8E62}">
  <dimension ref="B1:AR63"/>
  <sheetViews>
    <sheetView tabSelected="1" workbookViewId="0">
      <pane xSplit="10" ySplit="1" topLeftCell="K2" activePane="bottomRight" state="frozen"/>
      <selection pane="topRight" activeCell="M1" sqref="M1"/>
      <selection pane="bottomLeft" activeCell="A4" sqref="A4"/>
      <selection pane="bottomRight" activeCell="H74" sqref="H74"/>
    </sheetView>
  </sheetViews>
  <sheetFormatPr defaultColWidth="9.1796875" defaultRowHeight="14.5" x14ac:dyDescent="0.35"/>
  <cols>
    <col min="1" max="1" width="2.1796875" style="1" customWidth="1"/>
    <col min="2" max="2" width="6.1796875" style="1" customWidth="1"/>
    <col min="3" max="3" width="20.6328125" style="26" customWidth="1"/>
    <col min="4" max="5" width="10.54296875" style="1" customWidth="1"/>
    <col min="6" max="6" width="11.6328125" style="1" customWidth="1"/>
    <col min="7" max="7" width="10.453125" style="1" bestFit="1" customWidth="1"/>
    <col min="8" max="8" width="11.453125" style="1" bestFit="1" customWidth="1"/>
    <col min="9" max="9" width="11.453125" style="1" customWidth="1"/>
    <col min="10" max="10" width="11.08984375" style="1" customWidth="1"/>
    <col min="11" max="40" width="11.453125" style="1" hidden="1" customWidth="1"/>
    <col min="41" max="41" width="18" style="1" hidden="1" customWidth="1"/>
    <col min="42" max="42" width="17.54296875" style="1" hidden="1" customWidth="1"/>
    <col min="43" max="16384" width="9.1796875" style="1"/>
  </cols>
  <sheetData>
    <row r="1" spans="2:42" ht="36" customHeight="1" thickBot="1" x14ac:dyDescent="0.4">
      <c r="B1" s="53" t="s">
        <v>201</v>
      </c>
      <c r="C1" s="54" t="s">
        <v>202</v>
      </c>
      <c r="D1" s="8" t="s">
        <v>3</v>
      </c>
      <c r="E1" s="8" t="s">
        <v>4</v>
      </c>
      <c r="F1" s="8" t="s">
        <v>5</v>
      </c>
      <c r="G1" s="54" t="s">
        <v>203</v>
      </c>
      <c r="H1" s="54" t="s">
        <v>204</v>
      </c>
      <c r="I1" s="52" t="s">
        <v>205</v>
      </c>
      <c r="J1" s="52" t="s">
        <v>206</v>
      </c>
      <c r="K1" s="22">
        <v>45931</v>
      </c>
      <c r="L1" s="9">
        <f>K1+1</f>
        <v>45932</v>
      </c>
      <c r="M1" s="9">
        <f t="shared" ref="M1:AN1" si="0">L1+1</f>
        <v>45933</v>
      </c>
      <c r="N1" s="9">
        <f t="shared" si="0"/>
        <v>45934</v>
      </c>
      <c r="O1" s="9">
        <f t="shared" si="0"/>
        <v>45935</v>
      </c>
      <c r="P1" s="9">
        <f t="shared" si="0"/>
        <v>45936</v>
      </c>
      <c r="Q1" s="9">
        <f t="shared" si="0"/>
        <v>45937</v>
      </c>
      <c r="R1" s="9">
        <f t="shared" si="0"/>
        <v>45938</v>
      </c>
      <c r="S1" s="9">
        <f t="shared" si="0"/>
        <v>45939</v>
      </c>
      <c r="T1" s="9">
        <f t="shared" si="0"/>
        <v>45940</v>
      </c>
      <c r="U1" s="9">
        <f t="shared" si="0"/>
        <v>45941</v>
      </c>
      <c r="V1" s="9">
        <f t="shared" si="0"/>
        <v>45942</v>
      </c>
      <c r="W1" s="9">
        <f t="shared" si="0"/>
        <v>45943</v>
      </c>
      <c r="X1" s="9">
        <f t="shared" si="0"/>
        <v>45944</v>
      </c>
      <c r="Y1" s="9">
        <f t="shared" si="0"/>
        <v>45945</v>
      </c>
      <c r="Z1" s="9">
        <f t="shared" si="0"/>
        <v>45946</v>
      </c>
      <c r="AA1" s="9">
        <f t="shared" si="0"/>
        <v>45947</v>
      </c>
      <c r="AB1" s="9">
        <f t="shared" si="0"/>
        <v>45948</v>
      </c>
      <c r="AC1" s="9">
        <f t="shared" si="0"/>
        <v>45949</v>
      </c>
      <c r="AD1" s="9">
        <f t="shared" si="0"/>
        <v>45950</v>
      </c>
      <c r="AE1" s="9">
        <f t="shared" si="0"/>
        <v>45951</v>
      </c>
      <c r="AF1" s="9">
        <f t="shared" si="0"/>
        <v>45952</v>
      </c>
      <c r="AG1" s="9">
        <f t="shared" si="0"/>
        <v>45953</v>
      </c>
      <c r="AH1" s="9">
        <f t="shared" si="0"/>
        <v>45954</v>
      </c>
      <c r="AI1" s="9">
        <f t="shared" si="0"/>
        <v>45955</v>
      </c>
      <c r="AJ1" s="9">
        <f t="shared" si="0"/>
        <v>45956</v>
      </c>
      <c r="AK1" s="9">
        <f t="shared" si="0"/>
        <v>45957</v>
      </c>
      <c r="AL1" s="9">
        <f t="shared" si="0"/>
        <v>45958</v>
      </c>
      <c r="AM1" s="9">
        <f t="shared" si="0"/>
        <v>45959</v>
      </c>
      <c r="AN1" s="9">
        <f t="shared" si="0"/>
        <v>45960</v>
      </c>
      <c r="AO1" s="50"/>
      <c r="AP1" s="51"/>
    </row>
    <row r="2" spans="2:42" ht="16.5" customHeight="1" x14ac:dyDescent="0.35">
      <c r="B2" s="3">
        <v>1</v>
      </c>
      <c r="C2" s="36" t="s">
        <v>133</v>
      </c>
      <c r="D2" s="44" t="s">
        <v>75</v>
      </c>
      <c r="E2" s="29" t="s">
        <v>29</v>
      </c>
      <c r="F2" s="38">
        <v>21.096916</v>
      </c>
      <c r="G2" s="5">
        <v>45923</v>
      </c>
      <c r="H2" s="27">
        <v>45931</v>
      </c>
      <c r="I2" s="4">
        <f>H2-G2+1</f>
        <v>9</v>
      </c>
      <c r="J2" s="15">
        <f t="shared" ref="J2:J23" si="1">F2/I2</f>
        <v>2.344101777777778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6"/>
      <c r="AG2" s="16"/>
      <c r="AH2" s="16"/>
      <c r="AI2" s="16"/>
      <c r="AJ2" s="16"/>
      <c r="AK2" s="16"/>
      <c r="AL2" s="16"/>
      <c r="AM2" s="16"/>
      <c r="AN2" s="16"/>
      <c r="AO2" s="42">
        <f t="shared" ref="AO2:AO62" si="2">SUM(K2:AN2)</f>
        <v>0</v>
      </c>
      <c r="AP2" s="20"/>
    </row>
    <row r="3" spans="2:42" ht="16.5" customHeight="1" x14ac:dyDescent="0.35">
      <c r="B3" s="3">
        <v>2</v>
      </c>
      <c r="C3" s="36" t="s">
        <v>134</v>
      </c>
      <c r="D3" s="30" t="s">
        <v>117</v>
      </c>
      <c r="E3" s="24" t="s">
        <v>23</v>
      </c>
      <c r="F3" s="39">
        <v>18.118815999999999</v>
      </c>
      <c r="G3" s="5">
        <v>45927</v>
      </c>
      <c r="H3" s="27">
        <v>45931</v>
      </c>
      <c r="I3" s="4">
        <f t="shared" ref="I3:I23" si="3">H3-G3+1</f>
        <v>5</v>
      </c>
      <c r="J3" s="15">
        <f t="shared" si="1"/>
        <v>3.6237632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6"/>
      <c r="AG3" s="16"/>
      <c r="AH3" s="16"/>
      <c r="AI3" s="16"/>
      <c r="AJ3" s="16"/>
      <c r="AK3" s="16"/>
      <c r="AL3" s="16"/>
      <c r="AM3" s="16"/>
      <c r="AN3" s="16"/>
      <c r="AO3" s="42">
        <f t="shared" si="2"/>
        <v>0</v>
      </c>
      <c r="AP3" s="21"/>
    </row>
    <row r="4" spans="2:42" ht="16.5" customHeight="1" x14ac:dyDescent="0.35">
      <c r="B4" s="3">
        <v>3</v>
      </c>
      <c r="C4" s="36" t="s">
        <v>135</v>
      </c>
      <c r="D4" s="45" t="s">
        <v>111</v>
      </c>
      <c r="E4" s="24" t="s">
        <v>112</v>
      </c>
      <c r="F4" s="39">
        <v>36.585352999999998</v>
      </c>
      <c r="G4" s="5">
        <v>45925</v>
      </c>
      <c r="H4" s="27">
        <v>45932</v>
      </c>
      <c r="I4" s="4">
        <f t="shared" si="3"/>
        <v>8</v>
      </c>
      <c r="J4" s="15">
        <f t="shared" si="1"/>
        <v>4.5731691249999997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6"/>
      <c r="AG4" s="16"/>
      <c r="AH4" s="16"/>
      <c r="AI4" s="16"/>
      <c r="AJ4" s="16"/>
      <c r="AK4" s="16"/>
      <c r="AL4" s="16"/>
      <c r="AM4" s="16"/>
      <c r="AN4" s="16"/>
      <c r="AO4" s="42">
        <f t="shared" si="2"/>
        <v>0</v>
      </c>
      <c r="AP4" s="21"/>
    </row>
    <row r="5" spans="2:42" ht="16.5" customHeight="1" x14ac:dyDescent="0.35">
      <c r="B5" s="3">
        <v>4</v>
      </c>
      <c r="C5" s="35" t="s">
        <v>136</v>
      </c>
      <c r="D5" s="23" t="s">
        <v>118</v>
      </c>
      <c r="E5" s="24" t="s">
        <v>119</v>
      </c>
      <c r="F5" s="39">
        <v>29.777915000000004</v>
      </c>
      <c r="G5" s="5">
        <v>45922</v>
      </c>
      <c r="H5" s="27">
        <v>45932</v>
      </c>
      <c r="I5" s="4">
        <f t="shared" si="3"/>
        <v>11</v>
      </c>
      <c r="J5" s="15">
        <f t="shared" si="1"/>
        <v>2.7070831818181822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6"/>
      <c r="AG5" s="16"/>
      <c r="AH5" s="16"/>
      <c r="AI5" s="16"/>
      <c r="AJ5" s="16"/>
      <c r="AK5" s="16"/>
      <c r="AL5" s="16"/>
      <c r="AM5" s="16"/>
      <c r="AN5" s="16"/>
      <c r="AO5" s="42">
        <f t="shared" si="2"/>
        <v>0</v>
      </c>
      <c r="AP5" s="21"/>
    </row>
    <row r="6" spans="2:42" ht="16.5" customHeight="1" x14ac:dyDescent="0.35">
      <c r="B6" s="3">
        <v>5</v>
      </c>
      <c r="C6" s="36" t="s">
        <v>137</v>
      </c>
      <c r="D6" s="45" t="s">
        <v>107</v>
      </c>
      <c r="E6" s="24" t="s">
        <v>108</v>
      </c>
      <c r="F6" s="39">
        <v>15.857766</v>
      </c>
      <c r="G6" s="5">
        <v>45931</v>
      </c>
      <c r="H6" s="27">
        <v>45933</v>
      </c>
      <c r="I6" s="4">
        <f t="shared" si="3"/>
        <v>3</v>
      </c>
      <c r="J6" s="15">
        <f t="shared" si="1"/>
        <v>5.2859220000000002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6"/>
      <c r="AG6" s="16"/>
      <c r="AH6" s="16"/>
      <c r="AI6" s="16"/>
      <c r="AJ6" s="16"/>
      <c r="AK6" s="16"/>
      <c r="AL6" s="16"/>
      <c r="AM6" s="16"/>
      <c r="AN6" s="16"/>
      <c r="AO6" s="42">
        <f t="shared" si="2"/>
        <v>0</v>
      </c>
      <c r="AP6" s="21"/>
    </row>
    <row r="7" spans="2:42" ht="16.5" customHeight="1" x14ac:dyDescent="0.35">
      <c r="B7" s="3">
        <v>6</v>
      </c>
      <c r="C7" s="36" t="s">
        <v>138</v>
      </c>
      <c r="D7" s="45" t="s">
        <v>110</v>
      </c>
      <c r="E7" s="24" t="s">
        <v>23</v>
      </c>
      <c r="F7" s="39">
        <v>18.118815999999999</v>
      </c>
      <c r="G7" s="5">
        <v>45931</v>
      </c>
      <c r="H7" s="27">
        <v>45933</v>
      </c>
      <c r="I7" s="4">
        <f t="shared" si="3"/>
        <v>3</v>
      </c>
      <c r="J7" s="15">
        <f t="shared" si="1"/>
        <v>6.0396053333333333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6"/>
      <c r="AG7" s="16"/>
      <c r="AH7" s="16"/>
      <c r="AI7" s="16"/>
      <c r="AJ7" s="16"/>
      <c r="AK7" s="16"/>
      <c r="AL7" s="16"/>
      <c r="AM7" s="16"/>
      <c r="AN7" s="16"/>
      <c r="AO7" s="42">
        <f t="shared" si="2"/>
        <v>0</v>
      </c>
      <c r="AP7" s="21"/>
    </row>
    <row r="8" spans="2:42" ht="16.5" customHeight="1" x14ac:dyDescent="0.35">
      <c r="B8" s="3">
        <v>7</v>
      </c>
      <c r="C8" s="36" t="s">
        <v>139</v>
      </c>
      <c r="D8" s="45" t="s">
        <v>126</v>
      </c>
      <c r="E8" s="24" t="s">
        <v>108</v>
      </c>
      <c r="F8" s="39">
        <v>15.857766</v>
      </c>
      <c r="G8" s="5">
        <v>45930</v>
      </c>
      <c r="H8" s="27">
        <v>45933</v>
      </c>
      <c r="I8" s="4">
        <f t="shared" si="3"/>
        <v>4</v>
      </c>
      <c r="J8" s="15">
        <f t="shared" si="1"/>
        <v>3.9644415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6"/>
      <c r="AG8" s="16"/>
      <c r="AH8" s="16"/>
      <c r="AI8" s="16"/>
      <c r="AJ8" s="16"/>
      <c r="AK8" s="16"/>
      <c r="AL8" s="16"/>
      <c r="AM8" s="16"/>
      <c r="AN8" s="16"/>
      <c r="AO8" s="42">
        <f t="shared" si="2"/>
        <v>0</v>
      </c>
      <c r="AP8" s="21"/>
    </row>
    <row r="9" spans="2:42" ht="16.5" customHeight="1" x14ac:dyDescent="0.35">
      <c r="B9" s="3">
        <v>8</v>
      </c>
      <c r="C9" s="35" t="s">
        <v>140</v>
      </c>
      <c r="D9" s="23" t="s">
        <v>131</v>
      </c>
      <c r="E9" s="24" t="s">
        <v>69</v>
      </c>
      <c r="F9" s="39">
        <v>48.341991</v>
      </c>
      <c r="G9" s="5">
        <v>45926</v>
      </c>
      <c r="H9" s="27">
        <v>45933</v>
      </c>
      <c r="I9" s="4">
        <f t="shared" si="3"/>
        <v>8</v>
      </c>
      <c r="J9" s="15">
        <f t="shared" si="1"/>
        <v>6.042748875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6"/>
      <c r="AG9" s="16"/>
      <c r="AH9" s="16"/>
      <c r="AI9" s="16"/>
      <c r="AJ9" s="16"/>
      <c r="AK9" s="16"/>
      <c r="AL9" s="16"/>
      <c r="AM9" s="16"/>
      <c r="AN9" s="16"/>
      <c r="AO9" s="42">
        <f t="shared" si="2"/>
        <v>0</v>
      </c>
      <c r="AP9" s="21"/>
    </row>
    <row r="10" spans="2:42" ht="16.5" customHeight="1" x14ac:dyDescent="0.35">
      <c r="B10" s="3">
        <v>9</v>
      </c>
      <c r="C10" s="35" t="s">
        <v>141</v>
      </c>
      <c r="D10" s="23" t="s">
        <v>130</v>
      </c>
      <c r="E10" s="24" t="s">
        <v>23</v>
      </c>
      <c r="F10" s="39">
        <v>18.118815999999999</v>
      </c>
      <c r="G10" s="5">
        <v>45929</v>
      </c>
      <c r="H10" s="27">
        <v>45933</v>
      </c>
      <c r="I10" s="4">
        <f t="shared" si="3"/>
        <v>5</v>
      </c>
      <c r="J10" s="15">
        <f t="shared" si="1"/>
        <v>3.6237632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6"/>
      <c r="AG10" s="16"/>
      <c r="AH10" s="16"/>
      <c r="AI10" s="16"/>
      <c r="AJ10" s="16"/>
      <c r="AK10" s="16"/>
      <c r="AL10" s="16"/>
      <c r="AM10" s="16"/>
      <c r="AN10" s="16"/>
      <c r="AO10" s="42">
        <f t="shared" si="2"/>
        <v>0</v>
      </c>
      <c r="AP10" s="21"/>
    </row>
    <row r="11" spans="2:42" ht="16.5" customHeight="1" x14ac:dyDescent="0.35">
      <c r="B11" s="3">
        <v>10</v>
      </c>
      <c r="C11" s="35" t="s">
        <v>142</v>
      </c>
      <c r="D11" s="23" t="s">
        <v>121</v>
      </c>
      <c r="E11" s="24" t="s">
        <v>29</v>
      </c>
      <c r="F11" s="39">
        <v>21.096916</v>
      </c>
      <c r="G11" s="5">
        <v>45929</v>
      </c>
      <c r="H11" s="27">
        <v>45933</v>
      </c>
      <c r="I11" s="4">
        <f t="shared" si="3"/>
        <v>5</v>
      </c>
      <c r="J11" s="15">
        <f t="shared" si="1"/>
        <v>4.2193832000000002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6"/>
      <c r="AG11" s="16"/>
      <c r="AH11" s="16"/>
      <c r="AI11" s="16"/>
      <c r="AJ11" s="16"/>
      <c r="AK11" s="16"/>
      <c r="AL11" s="16"/>
      <c r="AM11" s="16"/>
      <c r="AN11" s="16"/>
      <c r="AO11" s="42">
        <f t="shared" si="2"/>
        <v>0</v>
      </c>
      <c r="AP11" s="21"/>
    </row>
    <row r="12" spans="2:42" ht="16.5" customHeight="1" x14ac:dyDescent="0.35">
      <c r="B12" s="3">
        <v>11</v>
      </c>
      <c r="C12" s="35" t="s">
        <v>143</v>
      </c>
      <c r="D12" s="23" t="s">
        <v>132</v>
      </c>
      <c r="E12" s="24" t="s">
        <v>40</v>
      </c>
      <c r="F12" s="39">
        <v>16.966723999999999</v>
      </c>
      <c r="G12" s="5">
        <v>45927</v>
      </c>
      <c r="H12" s="27">
        <v>45933</v>
      </c>
      <c r="I12" s="4">
        <f t="shared" si="3"/>
        <v>7</v>
      </c>
      <c r="J12" s="15">
        <f t="shared" si="1"/>
        <v>2.4238177142857142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6"/>
      <c r="AG12" s="16"/>
      <c r="AH12" s="16"/>
      <c r="AI12" s="16"/>
      <c r="AJ12" s="16"/>
      <c r="AK12" s="16"/>
      <c r="AL12" s="16"/>
      <c r="AM12" s="16"/>
      <c r="AN12" s="16"/>
      <c r="AO12" s="42">
        <f t="shared" si="2"/>
        <v>0</v>
      </c>
      <c r="AP12" s="21"/>
    </row>
    <row r="13" spans="2:42" ht="16.5" customHeight="1" x14ac:dyDescent="0.35">
      <c r="B13" s="3">
        <v>12</v>
      </c>
      <c r="C13" s="35" t="s">
        <v>55</v>
      </c>
      <c r="D13" s="23" t="s">
        <v>42</v>
      </c>
      <c r="E13" s="24" t="s">
        <v>23</v>
      </c>
      <c r="F13" s="39">
        <v>18.118815999999999</v>
      </c>
      <c r="G13" s="5">
        <v>45928</v>
      </c>
      <c r="H13" s="27">
        <v>45933</v>
      </c>
      <c r="I13" s="4">
        <f t="shared" si="3"/>
        <v>6</v>
      </c>
      <c r="J13" s="15">
        <f t="shared" si="1"/>
        <v>3.0198026666666666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6"/>
      <c r="AH13" s="16"/>
      <c r="AI13" s="16"/>
      <c r="AJ13" s="16"/>
      <c r="AK13" s="16"/>
      <c r="AL13" s="16"/>
      <c r="AM13" s="16"/>
      <c r="AN13" s="16"/>
      <c r="AO13" s="42">
        <f t="shared" si="2"/>
        <v>0</v>
      </c>
      <c r="AP13" s="21"/>
    </row>
    <row r="14" spans="2:42" ht="16.5" customHeight="1" x14ac:dyDescent="0.35">
      <c r="B14" s="3">
        <v>13</v>
      </c>
      <c r="C14" s="36" t="s">
        <v>134</v>
      </c>
      <c r="D14" s="23" t="s">
        <v>144</v>
      </c>
      <c r="E14" s="24" t="s">
        <v>116</v>
      </c>
      <c r="F14" s="39">
        <v>16.452445999999998</v>
      </c>
      <c r="G14" s="5">
        <v>45931</v>
      </c>
      <c r="H14" s="27">
        <v>45936</v>
      </c>
      <c r="I14" s="4">
        <f t="shared" si="3"/>
        <v>6</v>
      </c>
      <c r="J14" s="15">
        <f t="shared" si="1"/>
        <v>2.7420743333333331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6"/>
      <c r="AH14" s="16"/>
      <c r="AI14" s="16"/>
      <c r="AJ14" s="16"/>
      <c r="AK14" s="16"/>
      <c r="AL14" s="16"/>
      <c r="AM14" s="16"/>
      <c r="AN14" s="16"/>
      <c r="AO14" s="42">
        <f t="shared" si="2"/>
        <v>0</v>
      </c>
      <c r="AP14" s="21"/>
    </row>
    <row r="15" spans="2:42" ht="16.5" customHeight="1" x14ac:dyDescent="0.35">
      <c r="B15" s="3">
        <v>14</v>
      </c>
      <c r="C15" s="36" t="s">
        <v>137</v>
      </c>
      <c r="D15" s="46" t="s">
        <v>145</v>
      </c>
      <c r="E15" s="24" t="s">
        <v>40</v>
      </c>
      <c r="F15" s="39">
        <v>16.966723999999999</v>
      </c>
      <c r="G15" s="5">
        <v>45934</v>
      </c>
      <c r="H15" s="27">
        <v>45937</v>
      </c>
      <c r="I15" s="4">
        <f t="shared" si="3"/>
        <v>4</v>
      </c>
      <c r="J15" s="15">
        <f t="shared" si="1"/>
        <v>4.2416809999999998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6"/>
      <c r="AH15" s="16"/>
      <c r="AI15" s="16"/>
      <c r="AJ15" s="16"/>
      <c r="AK15" s="16"/>
      <c r="AL15" s="16"/>
      <c r="AM15" s="16"/>
      <c r="AN15" s="16"/>
      <c r="AO15" s="42">
        <f t="shared" si="2"/>
        <v>0</v>
      </c>
      <c r="AP15" s="21"/>
    </row>
    <row r="16" spans="2:42" ht="16.5" customHeight="1" x14ac:dyDescent="0.35">
      <c r="B16" s="3">
        <v>15</v>
      </c>
      <c r="C16" s="36" t="s">
        <v>138</v>
      </c>
      <c r="D16" s="45" t="s">
        <v>146</v>
      </c>
      <c r="E16" s="24" t="s">
        <v>23</v>
      </c>
      <c r="F16" s="39">
        <v>18.118815999999999</v>
      </c>
      <c r="G16" s="5">
        <v>45934</v>
      </c>
      <c r="H16" s="27">
        <v>45937</v>
      </c>
      <c r="I16" s="4">
        <f t="shared" si="3"/>
        <v>4</v>
      </c>
      <c r="J16" s="15">
        <f t="shared" si="1"/>
        <v>4.5297039999999997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6"/>
      <c r="AH16" s="16"/>
      <c r="AI16" s="16"/>
      <c r="AJ16" s="16"/>
      <c r="AK16" s="16"/>
      <c r="AL16" s="16"/>
      <c r="AM16" s="16"/>
      <c r="AN16" s="16"/>
      <c r="AO16" s="42">
        <f t="shared" si="2"/>
        <v>0</v>
      </c>
      <c r="AP16" s="21"/>
    </row>
    <row r="17" spans="2:42" ht="16.5" customHeight="1" x14ac:dyDescent="0.35">
      <c r="B17" s="3">
        <v>16</v>
      </c>
      <c r="C17" s="36" t="s">
        <v>139</v>
      </c>
      <c r="D17" s="47" t="s">
        <v>147</v>
      </c>
      <c r="E17" s="32" t="s">
        <v>29</v>
      </c>
      <c r="F17" s="39">
        <v>21.096916</v>
      </c>
      <c r="G17" s="5">
        <v>45932</v>
      </c>
      <c r="H17" s="27">
        <v>45938</v>
      </c>
      <c r="I17" s="4">
        <f t="shared" si="3"/>
        <v>7</v>
      </c>
      <c r="J17" s="15">
        <f t="shared" si="1"/>
        <v>3.0138451428571429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6"/>
      <c r="AH17" s="16"/>
      <c r="AI17" s="16"/>
      <c r="AJ17" s="16"/>
      <c r="AK17" s="16"/>
      <c r="AL17" s="16"/>
      <c r="AM17" s="16"/>
      <c r="AN17" s="16"/>
      <c r="AO17" s="42">
        <f t="shared" si="2"/>
        <v>0</v>
      </c>
      <c r="AP17" s="21"/>
    </row>
    <row r="18" spans="2:42" ht="16.5" customHeight="1" x14ac:dyDescent="0.35">
      <c r="B18" s="3">
        <v>17</v>
      </c>
      <c r="C18" s="35" t="s">
        <v>136</v>
      </c>
      <c r="D18" s="45" t="s">
        <v>148</v>
      </c>
      <c r="E18" s="24" t="s">
        <v>16</v>
      </c>
      <c r="F18" s="39">
        <v>37.205740999999996</v>
      </c>
      <c r="G18" s="5">
        <v>45932</v>
      </c>
      <c r="H18" s="27">
        <v>45939</v>
      </c>
      <c r="I18" s="4">
        <f t="shared" si="3"/>
        <v>8</v>
      </c>
      <c r="J18" s="15">
        <f t="shared" si="1"/>
        <v>4.6507176249999995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6"/>
      <c r="AH18" s="16"/>
      <c r="AI18" s="16"/>
      <c r="AJ18" s="16"/>
      <c r="AK18" s="16"/>
      <c r="AL18" s="16"/>
      <c r="AM18" s="16"/>
      <c r="AN18" s="16"/>
      <c r="AO18" s="42">
        <f t="shared" si="2"/>
        <v>0</v>
      </c>
      <c r="AP18" s="21"/>
    </row>
    <row r="19" spans="2:42" ht="16.5" customHeight="1" x14ac:dyDescent="0.35">
      <c r="B19" s="3">
        <v>18</v>
      </c>
      <c r="C19" s="35" t="s">
        <v>156</v>
      </c>
      <c r="D19" s="23" t="s">
        <v>149</v>
      </c>
      <c r="E19" s="24" t="s">
        <v>100</v>
      </c>
      <c r="F19" s="39">
        <v>35.845216999999991</v>
      </c>
      <c r="G19" s="5">
        <v>45928</v>
      </c>
      <c r="H19" s="27">
        <v>45939</v>
      </c>
      <c r="I19" s="4">
        <f t="shared" si="3"/>
        <v>12</v>
      </c>
      <c r="J19" s="15">
        <f t="shared" si="1"/>
        <v>2.9871014166666661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6"/>
      <c r="AH19" s="16"/>
      <c r="AI19" s="16"/>
      <c r="AJ19" s="16"/>
      <c r="AK19" s="16"/>
      <c r="AL19" s="16"/>
      <c r="AM19" s="16"/>
      <c r="AN19" s="16"/>
      <c r="AO19" s="42">
        <f t="shared" si="2"/>
        <v>0</v>
      </c>
      <c r="AP19" s="21"/>
    </row>
    <row r="20" spans="2:42" ht="16.5" customHeight="1" x14ac:dyDescent="0.35">
      <c r="B20" s="3">
        <v>19</v>
      </c>
      <c r="C20" s="36" t="s">
        <v>135</v>
      </c>
      <c r="D20" s="45" t="s">
        <v>150</v>
      </c>
      <c r="E20" s="24" t="s">
        <v>14</v>
      </c>
      <c r="F20" s="39">
        <v>22.488373999999997</v>
      </c>
      <c r="G20" s="5">
        <v>45935</v>
      </c>
      <c r="H20" s="27">
        <v>45940</v>
      </c>
      <c r="I20" s="4">
        <f t="shared" si="3"/>
        <v>6</v>
      </c>
      <c r="J20" s="15">
        <f t="shared" si="1"/>
        <v>3.7480623333333329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6"/>
      <c r="AH20" s="16"/>
      <c r="AI20" s="16"/>
      <c r="AJ20" s="16"/>
      <c r="AK20" s="16"/>
      <c r="AL20" s="16"/>
      <c r="AM20" s="16"/>
      <c r="AN20" s="16"/>
      <c r="AO20" s="42">
        <f t="shared" si="2"/>
        <v>0</v>
      </c>
      <c r="AP20" s="21"/>
    </row>
    <row r="21" spans="2:42" ht="16.5" customHeight="1" x14ac:dyDescent="0.35">
      <c r="B21" s="3">
        <v>20</v>
      </c>
      <c r="C21" s="36" t="s">
        <v>134</v>
      </c>
      <c r="D21" s="23" t="s">
        <v>151</v>
      </c>
      <c r="E21" s="24" t="s">
        <v>116</v>
      </c>
      <c r="F21" s="39">
        <v>16.452445999999998</v>
      </c>
      <c r="G21" s="5">
        <v>45937</v>
      </c>
      <c r="H21" s="27">
        <v>45940</v>
      </c>
      <c r="I21" s="4">
        <f t="shared" si="3"/>
        <v>4</v>
      </c>
      <c r="J21" s="15">
        <f t="shared" si="1"/>
        <v>4.1131114999999996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6"/>
      <c r="AG21" s="16"/>
      <c r="AH21" s="16"/>
      <c r="AI21" s="16"/>
      <c r="AJ21" s="16"/>
      <c r="AK21" s="16"/>
      <c r="AL21" s="16"/>
      <c r="AM21" s="16"/>
      <c r="AN21" s="16"/>
      <c r="AO21" s="42">
        <f t="shared" si="2"/>
        <v>0</v>
      </c>
      <c r="AP21" s="21"/>
    </row>
    <row r="22" spans="2:42" ht="16.5" customHeight="1" x14ac:dyDescent="0.35">
      <c r="B22" s="3">
        <v>21</v>
      </c>
      <c r="C22" s="35" t="s">
        <v>155</v>
      </c>
      <c r="D22" s="23" t="s">
        <v>152</v>
      </c>
      <c r="E22" s="24" t="s">
        <v>23</v>
      </c>
      <c r="F22" s="39">
        <v>18.118815999999999</v>
      </c>
      <c r="G22" s="5">
        <v>45935</v>
      </c>
      <c r="H22" s="27">
        <v>45940</v>
      </c>
      <c r="I22" s="4">
        <f t="shared" si="3"/>
        <v>6</v>
      </c>
      <c r="J22" s="15">
        <f t="shared" si="1"/>
        <v>3.0198026666666666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6"/>
      <c r="AG22" s="16"/>
      <c r="AH22" s="16"/>
      <c r="AI22" s="16"/>
      <c r="AJ22" s="16"/>
      <c r="AK22" s="16"/>
      <c r="AL22" s="16"/>
      <c r="AM22" s="16"/>
      <c r="AN22" s="16"/>
      <c r="AO22" s="42">
        <f t="shared" si="2"/>
        <v>0</v>
      </c>
      <c r="AP22" s="21"/>
    </row>
    <row r="23" spans="2:42" ht="16.5" customHeight="1" x14ac:dyDescent="0.35">
      <c r="B23" s="3">
        <v>22</v>
      </c>
      <c r="C23" s="35" t="s">
        <v>55</v>
      </c>
      <c r="D23" s="23" t="s">
        <v>153</v>
      </c>
      <c r="E23" s="24" t="s">
        <v>33</v>
      </c>
      <c r="F23" s="39">
        <v>38.137878999999998</v>
      </c>
      <c r="G23" s="5">
        <v>45934</v>
      </c>
      <c r="H23" s="27">
        <v>45940</v>
      </c>
      <c r="I23" s="4">
        <f t="shared" si="3"/>
        <v>7</v>
      </c>
      <c r="J23" s="15">
        <f t="shared" si="1"/>
        <v>5.4482684285714287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6"/>
      <c r="AG23" s="16"/>
      <c r="AH23" s="16"/>
      <c r="AI23" s="16"/>
      <c r="AJ23" s="16"/>
      <c r="AK23" s="16"/>
      <c r="AL23" s="16"/>
      <c r="AM23" s="16"/>
      <c r="AN23" s="16"/>
      <c r="AO23" s="42">
        <f t="shared" si="2"/>
        <v>0</v>
      </c>
      <c r="AP23" s="21"/>
    </row>
    <row r="24" spans="2:42" ht="16.5" customHeight="1" x14ac:dyDescent="0.35">
      <c r="B24" s="3">
        <v>23</v>
      </c>
      <c r="C24" s="36" t="s">
        <v>139</v>
      </c>
      <c r="D24" s="45" t="s">
        <v>154</v>
      </c>
      <c r="E24" s="24" t="s">
        <v>108</v>
      </c>
      <c r="F24" s="39">
        <v>15.857766</v>
      </c>
      <c r="G24" s="5">
        <v>45937</v>
      </c>
      <c r="H24" s="5">
        <v>45942</v>
      </c>
      <c r="I24" s="4">
        <f t="shared" ref="I24:I34" si="4">H24-G24+1</f>
        <v>6</v>
      </c>
      <c r="J24" s="15">
        <f t="shared" ref="J24:J34" si="5">F24/I24</f>
        <v>2.6429610000000001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6"/>
      <c r="AG24" s="16"/>
      <c r="AH24" s="16"/>
      <c r="AI24" s="16"/>
      <c r="AJ24" s="16"/>
      <c r="AK24" s="16"/>
      <c r="AL24" s="16"/>
      <c r="AM24" s="16"/>
      <c r="AN24" s="16"/>
      <c r="AO24" s="42">
        <f t="shared" si="2"/>
        <v>0</v>
      </c>
      <c r="AP24" s="21"/>
    </row>
    <row r="25" spans="2:42" ht="16.5" customHeight="1" x14ac:dyDescent="0.35">
      <c r="B25" s="3">
        <v>24</v>
      </c>
      <c r="C25" s="35" t="s">
        <v>142</v>
      </c>
      <c r="D25" s="23" t="s">
        <v>157</v>
      </c>
      <c r="E25" s="24" t="s">
        <v>21</v>
      </c>
      <c r="F25" s="39">
        <v>37.205740999999996</v>
      </c>
      <c r="G25" s="5">
        <v>45932</v>
      </c>
      <c r="H25" s="27">
        <v>45941</v>
      </c>
      <c r="I25" s="4">
        <f t="shared" si="4"/>
        <v>10</v>
      </c>
      <c r="J25" s="15">
        <f t="shared" si="5"/>
        <v>3.7205740999999994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6"/>
      <c r="AG25" s="16"/>
      <c r="AH25" s="16"/>
      <c r="AI25" s="16"/>
      <c r="AJ25" s="16"/>
      <c r="AK25" s="16"/>
      <c r="AL25" s="16"/>
      <c r="AM25" s="16"/>
      <c r="AN25" s="16"/>
      <c r="AO25" s="42">
        <f t="shared" si="2"/>
        <v>0</v>
      </c>
      <c r="AP25" s="21"/>
    </row>
    <row r="26" spans="2:42" ht="16.5" customHeight="1" x14ac:dyDescent="0.35">
      <c r="B26" s="3">
        <v>25</v>
      </c>
      <c r="C26" s="35" t="s">
        <v>143</v>
      </c>
      <c r="D26" s="24" t="s">
        <v>158</v>
      </c>
      <c r="E26" s="24" t="s">
        <v>95</v>
      </c>
      <c r="F26" s="39">
        <v>29.777915000000004</v>
      </c>
      <c r="G26" s="5">
        <v>45933</v>
      </c>
      <c r="H26" s="27">
        <v>45941</v>
      </c>
      <c r="I26" s="4">
        <f t="shared" si="4"/>
        <v>9</v>
      </c>
      <c r="J26" s="15">
        <f t="shared" si="5"/>
        <v>3.3086572222222226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6"/>
      <c r="AG26" s="16"/>
      <c r="AH26" s="16"/>
      <c r="AI26" s="16"/>
      <c r="AJ26" s="16"/>
      <c r="AK26" s="16"/>
      <c r="AL26" s="16"/>
      <c r="AM26" s="16"/>
      <c r="AN26" s="16"/>
      <c r="AO26" s="42">
        <f t="shared" si="2"/>
        <v>0</v>
      </c>
      <c r="AP26" s="21"/>
    </row>
    <row r="27" spans="2:42" ht="16.5" customHeight="1" x14ac:dyDescent="0.35">
      <c r="B27" s="3">
        <v>26</v>
      </c>
      <c r="C27" s="36" t="s">
        <v>137</v>
      </c>
      <c r="D27" s="45" t="s">
        <v>159</v>
      </c>
      <c r="E27" s="24" t="s">
        <v>108</v>
      </c>
      <c r="F27" s="39">
        <v>15.857766</v>
      </c>
      <c r="G27" s="5">
        <v>45940</v>
      </c>
      <c r="H27" s="27">
        <v>45944</v>
      </c>
      <c r="I27" s="4">
        <f t="shared" si="4"/>
        <v>5</v>
      </c>
      <c r="J27" s="15">
        <f t="shared" si="5"/>
        <v>3.1715532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6"/>
      <c r="AG27" s="16"/>
      <c r="AH27" s="16"/>
      <c r="AI27" s="16"/>
      <c r="AJ27" s="16"/>
      <c r="AK27" s="16"/>
      <c r="AL27" s="16"/>
      <c r="AM27" s="16"/>
      <c r="AN27" s="16"/>
      <c r="AO27" s="42">
        <f t="shared" si="2"/>
        <v>0</v>
      </c>
      <c r="AP27" s="21"/>
    </row>
    <row r="28" spans="2:42" ht="16.5" customHeight="1" x14ac:dyDescent="0.35">
      <c r="B28" s="3">
        <v>27</v>
      </c>
      <c r="C28" s="36" t="s">
        <v>135</v>
      </c>
      <c r="D28" s="45" t="s">
        <v>160</v>
      </c>
      <c r="E28" s="24" t="s">
        <v>108</v>
      </c>
      <c r="F28" s="39">
        <v>15.857766</v>
      </c>
      <c r="G28" s="5">
        <v>45940</v>
      </c>
      <c r="H28" s="27">
        <v>45944</v>
      </c>
      <c r="I28" s="4">
        <f t="shared" si="4"/>
        <v>5</v>
      </c>
      <c r="J28" s="15">
        <f t="shared" si="5"/>
        <v>3.1715532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6"/>
      <c r="AG28" s="16"/>
      <c r="AH28" s="16"/>
      <c r="AI28" s="16"/>
      <c r="AJ28" s="16"/>
      <c r="AK28" s="16"/>
      <c r="AL28" s="16"/>
      <c r="AM28" s="16"/>
      <c r="AN28" s="16"/>
      <c r="AO28" s="42">
        <f t="shared" si="2"/>
        <v>0</v>
      </c>
      <c r="AP28" s="21"/>
    </row>
    <row r="29" spans="2:42" ht="16.5" customHeight="1" x14ac:dyDescent="0.35">
      <c r="B29" s="3">
        <v>28</v>
      </c>
      <c r="C29" s="36" t="s">
        <v>134</v>
      </c>
      <c r="D29" s="24" t="s">
        <v>161</v>
      </c>
      <c r="E29" s="24" t="s">
        <v>116</v>
      </c>
      <c r="F29" s="39">
        <v>16.452445999999998</v>
      </c>
      <c r="G29" s="5">
        <v>45941</v>
      </c>
      <c r="H29" s="27">
        <v>45944</v>
      </c>
      <c r="I29" s="4">
        <f t="shared" si="4"/>
        <v>4</v>
      </c>
      <c r="J29" s="15">
        <f t="shared" si="5"/>
        <v>4.1131114999999996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6"/>
      <c r="AG29" s="16"/>
      <c r="AH29" s="16"/>
      <c r="AI29" s="16"/>
      <c r="AJ29" s="16"/>
      <c r="AK29" s="16"/>
      <c r="AL29" s="16"/>
      <c r="AM29" s="16"/>
      <c r="AN29" s="16"/>
      <c r="AO29" s="42">
        <f t="shared" si="2"/>
        <v>0</v>
      </c>
      <c r="AP29" s="21"/>
    </row>
    <row r="30" spans="2:42" ht="16.5" customHeight="1" x14ac:dyDescent="0.35">
      <c r="B30" s="3">
        <v>29</v>
      </c>
      <c r="C30" s="35" t="s">
        <v>141</v>
      </c>
      <c r="D30" s="24" t="s">
        <v>162</v>
      </c>
      <c r="E30" s="24" t="s">
        <v>95</v>
      </c>
      <c r="F30" s="39">
        <v>29.777915000000004</v>
      </c>
      <c r="G30" s="5">
        <v>45938</v>
      </c>
      <c r="H30" s="27">
        <v>45944</v>
      </c>
      <c r="I30" s="4">
        <f t="shared" si="4"/>
        <v>7</v>
      </c>
      <c r="J30" s="15">
        <f t="shared" si="5"/>
        <v>4.2539878571428575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6"/>
      <c r="AG30" s="16"/>
      <c r="AH30" s="16"/>
      <c r="AI30" s="16"/>
      <c r="AJ30" s="16"/>
      <c r="AK30" s="16"/>
      <c r="AL30" s="16"/>
      <c r="AM30" s="16"/>
      <c r="AN30" s="16"/>
      <c r="AO30" s="42">
        <f t="shared" si="2"/>
        <v>0</v>
      </c>
      <c r="AP30" s="21"/>
    </row>
    <row r="31" spans="2:42" x14ac:dyDescent="0.35">
      <c r="B31" s="3">
        <v>30</v>
      </c>
      <c r="C31" s="35" t="s">
        <v>142</v>
      </c>
      <c r="D31" s="24" t="s">
        <v>163</v>
      </c>
      <c r="E31" s="24" t="s">
        <v>14</v>
      </c>
      <c r="F31" s="39">
        <v>22.488373999999997</v>
      </c>
      <c r="G31" s="6">
        <v>45939</v>
      </c>
      <c r="H31" s="27">
        <v>45944</v>
      </c>
      <c r="I31" s="4">
        <f t="shared" si="4"/>
        <v>6</v>
      </c>
      <c r="J31" s="15">
        <f t="shared" si="5"/>
        <v>3.7480623333333329</v>
      </c>
      <c r="K31" s="13"/>
      <c r="L31" s="13"/>
      <c r="M31" s="12"/>
      <c r="N31" s="12"/>
      <c r="O31" s="12"/>
      <c r="P31" s="12"/>
      <c r="Q31" s="12"/>
      <c r="R31" s="12"/>
      <c r="S31" s="15"/>
      <c r="T31" s="15"/>
      <c r="U31" s="15"/>
      <c r="V31" s="15"/>
      <c r="W31" s="15"/>
      <c r="X31" s="15"/>
      <c r="Y31" s="15"/>
      <c r="Z31" s="12"/>
      <c r="AA31" s="12"/>
      <c r="AB31" s="12"/>
      <c r="AC31" s="12"/>
      <c r="AD31" s="12"/>
      <c r="AE31" s="12"/>
      <c r="AF31" s="17"/>
      <c r="AG31" s="17"/>
      <c r="AH31" s="17"/>
      <c r="AI31" s="17"/>
      <c r="AJ31" s="17"/>
      <c r="AK31" s="17"/>
      <c r="AL31" s="17"/>
      <c r="AM31" s="17"/>
      <c r="AN31" s="17"/>
      <c r="AO31" s="42">
        <f t="shared" si="2"/>
        <v>0</v>
      </c>
      <c r="AP31" s="19"/>
    </row>
    <row r="32" spans="2:42" x14ac:dyDescent="0.35">
      <c r="B32" s="3">
        <v>31</v>
      </c>
      <c r="C32" s="36" t="s">
        <v>139</v>
      </c>
      <c r="D32" s="46" t="s">
        <v>164</v>
      </c>
      <c r="E32" s="24" t="s">
        <v>29</v>
      </c>
      <c r="F32" s="39">
        <v>21.096916</v>
      </c>
      <c r="G32" s="5">
        <v>45938</v>
      </c>
      <c r="H32" s="27">
        <v>45945</v>
      </c>
      <c r="I32" s="4">
        <f t="shared" si="4"/>
        <v>8</v>
      </c>
      <c r="J32" s="15">
        <f t="shared" si="5"/>
        <v>2.6371145</v>
      </c>
      <c r="K32" s="18"/>
      <c r="L32" s="13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5"/>
      <c r="Y32" s="15"/>
      <c r="Z32" s="15"/>
      <c r="AA32" s="15"/>
      <c r="AB32" s="15"/>
      <c r="AC32" s="12"/>
      <c r="AD32" s="12"/>
      <c r="AE32" s="12"/>
      <c r="AF32" s="17"/>
      <c r="AG32" s="17"/>
      <c r="AH32" s="17"/>
      <c r="AI32" s="17"/>
      <c r="AJ32" s="17"/>
      <c r="AK32" s="17"/>
      <c r="AL32" s="17"/>
      <c r="AM32" s="17"/>
      <c r="AN32" s="17"/>
      <c r="AO32" s="42">
        <f t="shared" si="2"/>
        <v>0</v>
      </c>
      <c r="AP32" s="19"/>
    </row>
    <row r="33" spans="2:42" x14ac:dyDescent="0.35">
      <c r="B33" s="3">
        <v>32</v>
      </c>
      <c r="C33" s="36" t="s">
        <v>133</v>
      </c>
      <c r="D33" s="24" t="s">
        <v>165</v>
      </c>
      <c r="E33" s="24" t="s">
        <v>37</v>
      </c>
      <c r="F33" s="39">
        <v>27.092148999999996</v>
      </c>
      <c r="G33" s="5">
        <v>45940</v>
      </c>
      <c r="H33" s="27">
        <v>45945</v>
      </c>
      <c r="I33" s="4">
        <f t="shared" si="4"/>
        <v>6</v>
      </c>
      <c r="J33" s="15">
        <f t="shared" si="5"/>
        <v>4.5153581666666662</v>
      </c>
      <c r="K33" s="13"/>
      <c r="L33" s="13"/>
      <c r="M33" s="13"/>
      <c r="N33" s="13"/>
      <c r="O33" s="13"/>
      <c r="P33" s="13"/>
      <c r="Q33" s="13"/>
      <c r="R33" s="13"/>
      <c r="S33" s="13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2"/>
      <c r="AE33" s="12"/>
      <c r="AF33" s="17"/>
      <c r="AG33" s="17"/>
      <c r="AH33" s="17"/>
      <c r="AI33" s="17"/>
      <c r="AJ33" s="17"/>
      <c r="AK33" s="17"/>
      <c r="AL33" s="17"/>
      <c r="AM33" s="17"/>
      <c r="AN33" s="17"/>
      <c r="AO33" s="42">
        <f t="shared" si="2"/>
        <v>0</v>
      </c>
      <c r="AP33" s="19"/>
    </row>
    <row r="34" spans="2:42" x14ac:dyDescent="0.35">
      <c r="B34" s="3">
        <v>33</v>
      </c>
      <c r="C34" s="35" t="s">
        <v>143</v>
      </c>
      <c r="D34" s="24" t="s">
        <v>166</v>
      </c>
      <c r="E34" s="24" t="s">
        <v>29</v>
      </c>
      <c r="F34" s="39">
        <v>21.096916</v>
      </c>
      <c r="G34" s="5">
        <v>45941</v>
      </c>
      <c r="H34" s="27">
        <v>45945</v>
      </c>
      <c r="I34" s="4">
        <f t="shared" si="4"/>
        <v>5</v>
      </c>
      <c r="J34" s="15">
        <f t="shared" si="5"/>
        <v>4.2193832000000002</v>
      </c>
      <c r="K34" s="18"/>
      <c r="L34" s="13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5"/>
      <c r="AA34" s="15"/>
      <c r="AB34" s="15"/>
      <c r="AC34" s="15"/>
      <c r="AD34" s="15"/>
      <c r="AE34" s="12"/>
      <c r="AF34" s="17"/>
      <c r="AG34" s="17"/>
      <c r="AH34" s="17"/>
      <c r="AI34" s="17"/>
      <c r="AJ34" s="17"/>
      <c r="AK34" s="17"/>
      <c r="AL34" s="17"/>
      <c r="AM34" s="17"/>
      <c r="AN34" s="17"/>
      <c r="AO34" s="42">
        <f t="shared" si="2"/>
        <v>0</v>
      </c>
      <c r="AP34" s="19"/>
    </row>
    <row r="35" spans="2:42" x14ac:dyDescent="0.35">
      <c r="B35" s="3">
        <v>34</v>
      </c>
      <c r="C35" s="36" t="s">
        <v>137</v>
      </c>
      <c r="D35" s="46" t="s">
        <v>167</v>
      </c>
      <c r="E35" s="24" t="s">
        <v>108</v>
      </c>
      <c r="F35" s="39">
        <v>15.857766</v>
      </c>
      <c r="G35" s="6">
        <v>45942</v>
      </c>
      <c r="H35" s="27">
        <v>45946</v>
      </c>
      <c r="I35" s="4">
        <f t="shared" ref="I35:I44" si="6">H35-G35+1</f>
        <v>5</v>
      </c>
      <c r="J35" s="15">
        <f t="shared" ref="J35:J44" si="7">F35/I35</f>
        <v>3.1715532</v>
      </c>
      <c r="K35" s="18"/>
      <c r="L35" s="13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5"/>
      <c r="AA35" s="15"/>
      <c r="AB35" s="15"/>
      <c r="AC35" s="15"/>
      <c r="AD35" s="15"/>
      <c r="AE35" s="12"/>
      <c r="AF35" s="17"/>
      <c r="AG35" s="17"/>
      <c r="AH35" s="17"/>
      <c r="AI35" s="17"/>
      <c r="AJ35" s="17"/>
      <c r="AK35" s="17"/>
      <c r="AL35" s="17"/>
      <c r="AM35" s="17"/>
      <c r="AN35" s="17"/>
      <c r="AO35" s="42">
        <f t="shared" si="2"/>
        <v>0</v>
      </c>
      <c r="AP35" s="19"/>
    </row>
    <row r="36" spans="2:42" x14ac:dyDescent="0.35">
      <c r="B36" s="3">
        <v>35</v>
      </c>
      <c r="C36" s="35" t="s">
        <v>136</v>
      </c>
      <c r="D36" s="24" t="s">
        <v>168</v>
      </c>
      <c r="E36" s="24" t="s">
        <v>19</v>
      </c>
      <c r="F36" s="39">
        <v>34.17</v>
      </c>
      <c r="G36" s="6">
        <v>45940</v>
      </c>
      <c r="H36" s="27">
        <v>45946</v>
      </c>
      <c r="I36" s="4">
        <f t="shared" si="6"/>
        <v>7</v>
      </c>
      <c r="J36" s="15">
        <f t="shared" si="7"/>
        <v>4.8814285714285717</v>
      </c>
      <c r="K36" s="18"/>
      <c r="L36" s="13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5"/>
      <c r="Z36" s="15"/>
      <c r="AA36" s="15"/>
      <c r="AB36" s="15"/>
      <c r="AC36" s="15"/>
      <c r="AD36" s="15"/>
      <c r="AE36" s="15"/>
      <c r="AF36" s="17"/>
      <c r="AG36" s="17"/>
      <c r="AH36" s="17"/>
      <c r="AI36" s="17"/>
      <c r="AJ36" s="17"/>
      <c r="AK36" s="17"/>
      <c r="AL36" s="17"/>
      <c r="AM36" s="17"/>
      <c r="AN36" s="17"/>
      <c r="AO36" s="42">
        <f t="shared" si="2"/>
        <v>0</v>
      </c>
      <c r="AP36" s="19"/>
    </row>
    <row r="37" spans="2:42" x14ac:dyDescent="0.35">
      <c r="B37" s="3">
        <v>36</v>
      </c>
      <c r="C37" s="35" t="s">
        <v>143</v>
      </c>
      <c r="D37" s="33" t="s">
        <v>169</v>
      </c>
      <c r="E37" s="33" t="s">
        <v>100</v>
      </c>
      <c r="F37" s="39">
        <v>36.85</v>
      </c>
      <c r="G37" s="6">
        <v>45941</v>
      </c>
      <c r="H37" s="27">
        <v>45946</v>
      </c>
      <c r="I37" s="4">
        <f t="shared" si="6"/>
        <v>6</v>
      </c>
      <c r="J37" s="15">
        <f t="shared" si="7"/>
        <v>6.1416666666666666</v>
      </c>
      <c r="K37" s="18"/>
      <c r="L37" s="1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5"/>
      <c r="AB37" s="15"/>
      <c r="AC37" s="15"/>
      <c r="AD37" s="15"/>
      <c r="AE37" s="15"/>
      <c r="AF37" s="17"/>
      <c r="AG37" s="17"/>
      <c r="AH37" s="17"/>
      <c r="AI37" s="17"/>
      <c r="AJ37" s="17"/>
      <c r="AK37" s="17"/>
      <c r="AL37" s="17"/>
      <c r="AM37" s="17"/>
      <c r="AN37" s="17"/>
      <c r="AO37" s="42">
        <f t="shared" si="2"/>
        <v>0</v>
      </c>
      <c r="AP37" s="19"/>
    </row>
    <row r="38" spans="2:42" x14ac:dyDescent="0.35">
      <c r="B38" s="3">
        <v>37</v>
      </c>
      <c r="C38" s="35" t="s">
        <v>138</v>
      </c>
      <c r="D38" s="24" t="s">
        <v>170</v>
      </c>
      <c r="E38" s="24" t="s">
        <v>69</v>
      </c>
      <c r="F38" s="40">
        <v>48.341990000000003</v>
      </c>
      <c r="G38" s="6">
        <v>45942</v>
      </c>
      <c r="H38" s="27">
        <v>45947</v>
      </c>
      <c r="I38" s="4">
        <f t="shared" si="6"/>
        <v>6</v>
      </c>
      <c r="J38" s="15">
        <f t="shared" si="7"/>
        <v>8.0569983333333344</v>
      </c>
      <c r="K38" s="18"/>
      <c r="L38" s="13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5"/>
      <c r="Y38" s="15"/>
      <c r="Z38" s="15"/>
      <c r="AA38" s="15"/>
      <c r="AB38" s="15"/>
      <c r="AC38" s="12"/>
      <c r="AD38" s="12"/>
      <c r="AE38" s="12"/>
      <c r="AF38" s="17"/>
      <c r="AG38" s="17"/>
      <c r="AH38" s="17"/>
      <c r="AI38" s="17"/>
      <c r="AJ38" s="17"/>
      <c r="AK38" s="17"/>
      <c r="AL38" s="17"/>
      <c r="AM38" s="17"/>
      <c r="AN38" s="17"/>
      <c r="AO38" s="42">
        <f t="shared" si="2"/>
        <v>0</v>
      </c>
      <c r="AP38" s="19"/>
    </row>
    <row r="39" spans="2:42" x14ac:dyDescent="0.35">
      <c r="B39" s="3">
        <v>38</v>
      </c>
      <c r="C39" s="35" t="s">
        <v>135</v>
      </c>
      <c r="D39" s="45" t="s">
        <v>171</v>
      </c>
      <c r="E39" s="24" t="s">
        <v>40</v>
      </c>
      <c r="F39" s="39">
        <v>16.966723999999999</v>
      </c>
      <c r="G39" s="6">
        <v>45944</v>
      </c>
      <c r="H39" s="27">
        <v>45947</v>
      </c>
      <c r="I39" s="4">
        <f t="shared" si="6"/>
        <v>4</v>
      </c>
      <c r="J39" s="15">
        <f t="shared" si="7"/>
        <v>4.2416809999999998</v>
      </c>
      <c r="K39" s="18"/>
      <c r="L39" s="13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7"/>
      <c r="AG39" s="17"/>
      <c r="AH39" s="17"/>
      <c r="AI39" s="17"/>
      <c r="AJ39" s="17"/>
      <c r="AK39" s="17"/>
      <c r="AL39" s="17"/>
      <c r="AM39" s="17"/>
      <c r="AN39" s="17"/>
      <c r="AO39" s="42">
        <f t="shared" si="2"/>
        <v>0</v>
      </c>
      <c r="AP39" s="19"/>
    </row>
    <row r="40" spans="2:42" x14ac:dyDescent="0.35">
      <c r="B40" s="3">
        <v>39</v>
      </c>
      <c r="C40" s="35" t="s">
        <v>55</v>
      </c>
      <c r="D40" s="23" t="s">
        <v>172</v>
      </c>
      <c r="E40" s="24" t="s">
        <v>14</v>
      </c>
      <c r="F40" s="39">
        <v>22.488373999999997</v>
      </c>
      <c r="G40" s="6">
        <v>45943</v>
      </c>
      <c r="H40" s="27">
        <v>45947</v>
      </c>
      <c r="I40" s="4">
        <f t="shared" si="6"/>
        <v>5</v>
      </c>
      <c r="J40" s="15">
        <f t="shared" si="7"/>
        <v>4.4976747999999995</v>
      </c>
      <c r="K40" s="18"/>
      <c r="L40" s="13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7"/>
      <c r="AG40" s="17"/>
      <c r="AH40" s="17"/>
      <c r="AI40" s="17"/>
      <c r="AJ40" s="17"/>
      <c r="AK40" s="17"/>
      <c r="AL40" s="17"/>
      <c r="AM40" s="17"/>
      <c r="AN40" s="17"/>
      <c r="AO40" s="42">
        <f t="shared" si="2"/>
        <v>0</v>
      </c>
      <c r="AP40" s="19"/>
    </row>
    <row r="41" spans="2:42" x14ac:dyDescent="0.35">
      <c r="B41" s="3">
        <v>40</v>
      </c>
      <c r="C41" s="35" t="s">
        <v>177</v>
      </c>
      <c r="D41" s="45" t="s">
        <v>173</v>
      </c>
      <c r="E41" s="24" t="s">
        <v>23</v>
      </c>
      <c r="F41" s="39">
        <v>18.118815999999999</v>
      </c>
      <c r="G41" s="6">
        <v>45946</v>
      </c>
      <c r="H41" s="27">
        <v>45948</v>
      </c>
      <c r="I41" s="4">
        <f t="shared" si="6"/>
        <v>3</v>
      </c>
      <c r="J41" s="15">
        <f t="shared" si="7"/>
        <v>6.0396053333333333</v>
      </c>
      <c r="K41" s="18"/>
      <c r="L41" s="13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7"/>
      <c r="AG41" s="17"/>
      <c r="AH41" s="17"/>
      <c r="AI41" s="17"/>
      <c r="AJ41" s="17"/>
      <c r="AK41" s="17"/>
      <c r="AL41" s="17"/>
      <c r="AM41" s="17"/>
      <c r="AN41" s="17"/>
      <c r="AO41" s="42">
        <f t="shared" si="2"/>
        <v>0</v>
      </c>
      <c r="AP41" s="19"/>
    </row>
    <row r="42" spans="2:42" x14ac:dyDescent="0.35">
      <c r="B42" s="3">
        <v>41</v>
      </c>
      <c r="C42" s="35" t="s">
        <v>177</v>
      </c>
      <c r="D42" s="49" t="s">
        <v>174</v>
      </c>
      <c r="E42" s="24" t="s">
        <v>23</v>
      </c>
      <c r="F42" s="39">
        <v>18.118815999999999</v>
      </c>
      <c r="G42" s="6">
        <v>45949</v>
      </c>
      <c r="H42" s="27">
        <v>45951</v>
      </c>
      <c r="I42" s="4">
        <f t="shared" si="6"/>
        <v>3</v>
      </c>
      <c r="J42" s="15">
        <f t="shared" si="7"/>
        <v>6.0396053333333333</v>
      </c>
      <c r="K42" s="18"/>
      <c r="L42" s="13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7"/>
      <c r="AG42" s="17"/>
      <c r="AH42" s="17"/>
      <c r="AI42" s="17"/>
      <c r="AJ42" s="17"/>
      <c r="AK42" s="17"/>
      <c r="AL42" s="17"/>
      <c r="AM42" s="17"/>
      <c r="AN42" s="17"/>
      <c r="AO42" s="42">
        <f t="shared" si="2"/>
        <v>0</v>
      </c>
      <c r="AP42" s="19"/>
    </row>
    <row r="43" spans="2:42" x14ac:dyDescent="0.35">
      <c r="B43" s="3">
        <v>42</v>
      </c>
      <c r="C43" s="35" t="s">
        <v>135</v>
      </c>
      <c r="D43" s="49" t="s">
        <v>175</v>
      </c>
      <c r="E43" s="24" t="s">
        <v>40</v>
      </c>
      <c r="F43" s="39">
        <v>16.966723999999999</v>
      </c>
      <c r="G43" s="6">
        <v>45948</v>
      </c>
      <c r="H43" s="27">
        <v>45951</v>
      </c>
      <c r="I43" s="4">
        <f t="shared" si="6"/>
        <v>4</v>
      </c>
      <c r="J43" s="15">
        <f t="shared" si="7"/>
        <v>4.2416809999999998</v>
      </c>
      <c r="K43" s="18"/>
      <c r="L43" s="13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7"/>
      <c r="AG43" s="17"/>
      <c r="AH43" s="17"/>
      <c r="AI43" s="17"/>
      <c r="AJ43" s="17"/>
      <c r="AK43" s="17"/>
      <c r="AL43" s="17"/>
      <c r="AM43" s="17"/>
      <c r="AN43" s="17"/>
      <c r="AO43" s="42">
        <f t="shared" si="2"/>
        <v>0</v>
      </c>
      <c r="AP43" s="19"/>
    </row>
    <row r="44" spans="2:42" x14ac:dyDescent="0.35">
      <c r="B44" s="3">
        <v>43</v>
      </c>
      <c r="C44" s="36" t="s">
        <v>133</v>
      </c>
      <c r="D44" s="23" t="s">
        <v>176</v>
      </c>
      <c r="E44" s="24" t="s">
        <v>37</v>
      </c>
      <c r="F44" s="39">
        <v>27.092148999999996</v>
      </c>
      <c r="G44" s="6">
        <v>45946</v>
      </c>
      <c r="H44" s="27">
        <v>45951</v>
      </c>
      <c r="I44" s="4">
        <f t="shared" si="6"/>
        <v>6</v>
      </c>
      <c r="J44" s="15">
        <f t="shared" si="7"/>
        <v>4.5153581666666662</v>
      </c>
      <c r="K44" s="18"/>
      <c r="L44" s="13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7"/>
      <c r="AG44" s="17"/>
      <c r="AH44" s="17"/>
      <c r="AI44" s="17"/>
      <c r="AJ44" s="17"/>
      <c r="AK44" s="17"/>
      <c r="AL44" s="17"/>
      <c r="AM44" s="17"/>
      <c r="AN44" s="17"/>
      <c r="AO44" s="42">
        <f t="shared" si="2"/>
        <v>0</v>
      </c>
      <c r="AP44" s="19"/>
    </row>
    <row r="45" spans="2:42" x14ac:dyDescent="0.35">
      <c r="B45" s="3">
        <v>44</v>
      </c>
      <c r="C45" s="35" t="s">
        <v>155</v>
      </c>
      <c r="D45" s="34" t="s">
        <v>178</v>
      </c>
      <c r="E45" s="24" t="s">
        <v>14</v>
      </c>
      <c r="F45" s="39">
        <v>22.488373999999997</v>
      </c>
      <c r="G45" s="6">
        <v>45947</v>
      </c>
      <c r="H45" s="27">
        <v>45952</v>
      </c>
      <c r="I45" s="4">
        <f t="shared" ref="I45:I48" si="8">H45-G45+1</f>
        <v>6</v>
      </c>
      <c r="J45" s="15">
        <f t="shared" ref="J45:J48" si="9">F45/I45</f>
        <v>3.7480623333333329</v>
      </c>
      <c r="K45" s="18"/>
      <c r="L45" s="13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7"/>
      <c r="AG45" s="17"/>
      <c r="AH45" s="17"/>
      <c r="AI45" s="17"/>
      <c r="AJ45" s="17"/>
      <c r="AK45" s="17"/>
      <c r="AL45" s="17"/>
      <c r="AM45" s="17"/>
      <c r="AN45" s="17"/>
      <c r="AO45" s="42">
        <f t="shared" si="2"/>
        <v>0</v>
      </c>
      <c r="AP45" s="19"/>
    </row>
    <row r="46" spans="2:42" x14ac:dyDescent="0.35">
      <c r="B46" s="3">
        <v>45</v>
      </c>
      <c r="C46" s="35" t="s">
        <v>55</v>
      </c>
      <c r="D46" s="34" t="s">
        <v>179</v>
      </c>
      <c r="E46" s="24" t="s">
        <v>29</v>
      </c>
      <c r="F46" s="39">
        <v>21.096916</v>
      </c>
      <c r="G46" s="6">
        <v>45949</v>
      </c>
      <c r="H46" s="27">
        <v>45952</v>
      </c>
      <c r="I46" s="4">
        <f t="shared" si="8"/>
        <v>4</v>
      </c>
      <c r="J46" s="15">
        <f t="shared" si="9"/>
        <v>5.2742290000000001</v>
      </c>
      <c r="K46" s="18"/>
      <c r="L46" s="13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7"/>
      <c r="AG46" s="17"/>
      <c r="AH46" s="17"/>
      <c r="AI46" s="17"/>
      <c r="AJ46" s="17"/>
      <c r="AK46" s="17"/>
      <c r="AL46" s="17"/>
      <c r="AM46" s="17"/>
      <c r="AN46" s="17"/>
      <c r="AO46" s="42">
        <f t="shared" si="2"/>
        <v>0</v>
      </c>
      <c r="AP46" s="19"/>
    </row>
    <row r="47" spans="2:42" x14ac:dyDescent="0.35">
      <c r="B47" s="3">
        <v>46</v>
      </c>
      <c r="C47" s="35" t="s">
        <v>142</v>
      </c>
      <c r="D47" s="34" t="s">
        <v>180</v>
      </c>
      <c r="E47" s="24" t="s">
        <v>23</v>
      </c>
      <c r="F47" s="39">
        <v>18.118815999999999</v>
      </c>
      <c r="G47" s="6">
        <v>45948</v>
      </c>
      <c r="H47" s="27">
        <v>45954</v>
      </c>
      <c r="I47" s="4">
        <f t="shared" si="8"/>
        <v>7</v>
      </c>
      <c r="J47" s="15">
        <f t="shared" si="9"/>
        <v>2.5884022857142854</v>
      </c>
      <c r="K47" s="18"/>
      <c r="L47" s="13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7"/>
      <c r="AG47" s="17"/>
      <c r="AH47" s="17"/>
      <c r="AI47" s="17"/>
      <c r="AJ47" s="17"/>
      <c r="AK47" s="17"/>
      <c r="AL47" s="17"/>
      <c r="AM47" s="17"/>
      <c r="AN47" s="17"/>
      <c r="AO47" s="42">
        <f t="shared" si="2"/>
        <v>0</v>
      </c>
      <c r="AP47" s="19"/>
    </row>
    <row r="48" spans="2:42" x14ac:dyDescent="0.35">
      <c r="B48" s="3">
        <v>47</v>
      </c>
      <c r="C48" s="35" t="s">
        <v>142</v>
      </c>
      <c r="D48" s="34" t="s">
        <v>181</v>
      </c>
      <c r="E48" s="24" t="s">
        <v>23</v>
      </c>
      <c r="F48" s="39">
        <v>18.118815999999999</v>
      </c>
      <c r="G48" s="6">
        <v>45951</v>
      </c>
      <c r="H48" s="27">
        <v>45954</v>
      </c>
      <c r="I48" s="4">
        <f t="shared" si="8"/>
        <v>4</v>
      </c>
      <c r="J48" s="15">
        <f t="shared" si="9"/>
        <v>4.5297039999999997</v>
      </c>
      <c r="K48" s="18"/>
      <c r="L48" s="13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7"/>
      <c r="AG48" s="17"/>
      <c r="AH48" s="17"/>
      <c r="AI48" s="17"/>
      <c r="AJ48" s="17"/>
      <c r="AK48" s="17"/>
      <c r="AL48" s="17"/>
      <c r="AM48" s="17"/>
      <c r="AN48" s="17"/>
      <c r="AO48" s="42">
        <f t="shared" si="2"/>
        <v>0</v>
      </c>
      <c r="AP48" s="19"/>
    </row>
    <row r="49" spans="2:42" x14ac:dyDescent="0.35">
      <c r="B49" s="3">
        <v>48</v>
      </c>
      <c r="C49" s="35" t="s">
        <v>139</v>
      </c>
      <c r="D49" s="34" t="s">
        <v>182</v>
      </c>
      <c r="E49" s="24" t="s">
        <v>183</v>
      </c>
      <c r="F49" s="39">
        <v>46.468620000000001</v>
      </c>
      <c r="G49" s="6">
        <v>45948</v>
      </c>
      <c r="H49" s="27">
        <v>45954</v>
      </c>
      <c r="I49" s="4">
        <f t="shared" ref="I49:I51" si="10">H49-G49+1</f>
        <v>7</v>
      </c>
      <c r="J49" s="15">
        <f t="shared" ref="J49:J51" si="11">F49/I49</f>
        <v>6.6383742857142858</v>
      </c>
      <c r="K49" s="18"/>
      <c r="L49" s="13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7"/>
      <c r="AG49" s="17"/>
      <c r="AH49" s="17"/>
      <c r="AI49" s="17"/>
      <c r="AJ49" s="17"/>
      <c r="AK49" s="17"/>
      <c r="AL49" s="17"/>
      <c r="AM49" s="17"/>
      <c r="AN49" s="17"/>
      <c r="AO49" s="42">
        <f t="shared" si="2"/>
        <v>0</v>
      </c>
      <c r="AP49" s="19"/>
    </row>
    <row r="50" spans="2:42" x14ac:dyDescent="0.35">
      <c r="B50" s="3">
        <v>49</v>
      </c>
      <c r="C50" s="35" t="s">
        <v>142</v>
      </c>
      <c r="D50" s="24" t="s">
        <v>184</v>
      </c>
      <c r="E50" s="24" t="s">
        <v>73</v>
      </c>
      <c r="F50" s="39">
        <v>31.86467</v>
      </c>
      <c r="G50" s="6">
        <v>45943</v>
      </c>
      <c r="H50" s="27">
        <v>45950</v>
      </c>
      <c r="I50" s="4">
        <f t="shared" si="10"/>
        <v>8</v>
      </c>
      <c r="J50" s="15">
        <f t="shared" si="11"/>
        <v>3.98308375</v>
      </c>
      <c r="K50" s="18"/>
      <c r="L50" s="13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7"/>
      <c r="AG50" s="17"/>
      <c r="AH50" s="17"/>
      <c r="AI50" s="17"/>
      <c r="AJ50" s="17"/>
      <c r="AK50" s="17"/>
      <c r="AL50" s="17"/>
      <c r="AM50" s="17"/>
      <c r="AN50" s="17"/>
      <c r="AO50" s="42">
        <f t="shared" si="2"/>
        <v>0</v>
      </c>
      <c r="AP50" s="19"/>
    </row>
    <row r="51" spans="2:42" x14ac:dyDescent="0.35">
      <c r="B51" s="3">
        <v>50</v>
      </c>
      <c r="C51" s="37" t="s">
        <v>142</v>
      </c>
      <c r="D51" s="23" t="s">
        <v>185</v>
      </c>
      <c r="E51" s="32" t="s">
        <v>23</v>
      </c>
      <c r="F51" s="39">
        <v>18.118815999999999</v>
      </c>
      <c r="G51" s="6">
        <v>45938</v>
      </c>
      <c r="H51" s="27">
        <v>45942</v>
      </c>
      <c r="I51" s="4">
        <f t="shared" si="10"/>
        <v>5</v>
      </c>
      <c r="J51" s="15">
        <f t="shared" si="11"/>
        <v>3.6237632</v>
      </c>
      <c r="K51" s="18"/>
      <c r="L51" s="13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7"/>
      <c r="AG51" s="17"/>
      <c r="AH51" s="17"/>
      <c r="AI51" s="17"/>
      <c r="AJ51" s="17"/>
      <c r="AK51" s="17"/>
      <c r="AL51" s="17"/>
      <c r="AM51" s="17"/>
      <c r="AN51" s="17"/>
      <c r="AO51" s="42">
        <f t="shared" si="2"/>
        <v>0</v>
      </c>
      <c r="AP51" s="19"/>
    </row>
    <row r="52" spans="2:42" x14ac:dyDescent="0.35">
      <c r="B52" s="3">
        <v>51</v>
      </c>
      <c r="C52" s="35" t="s">
        <v>177</v>
      </c>
      <c r="D52" s="45" t="s">
        <v>186</v>
      </c>
      <c r="E52" s="24" t="s">
        <v>40</v>
      </c>
      <c r="F52" s="39">
        <v>16.966723999999999</v>
      </c>
      <c r="G52" s="6">
        <v>45952</v>
      </c>
      <c r="H52" s="27">
        <v>45955</v>
      </c>
      <c r="I52" s="4">
        <f t="shared" ref="I52:I61" si="12">H52-G52+1</f>
        <v>4</v>
      </c>
      <c r="J52" s="15">
        <f t="shared" ref="J52:J61" si="13">F52/I52</f>
        <v>4.2416809999999998</v>
      </c>
      <c r="K52" s="18"/>
      <c r="L52" s="13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7"/>
      <c r="AG52" s="17"/>
      <c r="AH52" s="17"/>
      <c r="AI52" s="17"/>
      <c r="AJ52" s="17"/>
      <c r="AK52" s="17"/>
      <c r="AL52" s="17"/>
      <c r="AM52" s="17"/>
      <c r="AN52" s="17"/>
      <c r="AO52" s="42">
        <f t="shared" si="2"/>
        <v>0</v>
      </c>
      <c r="AP52" s="19"/>
    </row>
    <row r="53" spans="2:42" x14ac:dyDescent="0.35">
      <c r="B53" s="3">
        <v>52</v>
      </c>
      <c r="C53" s="35" t="s">
        <v>140</v>
      </c>
      <c r="D53" s="23" t="s">
        <v>187</v>
      </c>
      <c r="E53" s="24" t="s">
        <v>29</v>
      </c>
      <c r="F53" s="39">
        <v>21.096916</v>
      </c>
      <c r="G53" s="6">
        <v>45949</v>
      </c>
      <c r="H53" s="27">
        <v>45956</v>
      </c>
      <c r="I53" s="4">
        <f t="shared" si="12"/>
        <v>8</v>
      </c>
      <c r="J53" s="15">
        <f t="shared" si="13"/>
        <v>2.6371145</v>
      </c>
      <c r="K53" s="18"/>
      <c r="L53" s="13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7"/>
      <c r="AG53" s="17"/>
      <c r="AH53" s="17"/>
      <c r="AI53" s="17"/>
      <c r="AJ53" s="17"/>
      <c r="AK53" s="17"/>
      <c r="AL53" s="17"/>
      <c r="AM53" s="17"/>
      <c r="AN53" s="17"/>
      <c r="AO53" s="42">
        <f t="shared" si="2"/>
        <v>0</v>
      </c>
      <c r="AP53" s="19"/>
    </row>
    <row r="54" spans="2:42" x14ac:dyDescent="0.35">
      <c r="B54" s="3">
        <v>53</v>
      </c>
      <c r="C54" s="35" t="s">
        <v>138</v>
      </c>
      <c r="D54" s="23" t="s">
        <v>188</v>
      </c>
      <c r="E54" s="24" t="s">
        <v>69</v>
      </c>
      <c r="F54" s="39">
        <v>48.341991</v>
      </c>
      <c r="G54" s="6">
        <v>45950</v>
      </c>
      <c r="H54" s="27">
        <v>45958</v>
      </c>
      <c r="I54" s="4">
        <f t="shared" si="12"/>
        <v>9</v>
      </c>
      <c r="J54" s="15">
        <f t="shared" si="13"/>
        <v>5.3713323333333332</v>
      </c>
      <c r="K54" s="18"/>
      <c r="L54" s="13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7"/>
      <c r="AG54" s="17"/>
      <c r="AH54" s="17"/>
      <c r="AI54" s="17"/>
      <c r="AJ54" s="17"/>
      <c r="AK54" s="17"/>
      <c r="AL54" s="17"/>
      <c r="AM54" s="17"/>
      <c r="AN54" s="17"/>
      <c r="AO54" s="42">
        <f t="shared" si="2"/>
        <v>0</v>
      </c>
      <c r="AP54" s="19"/>
    </row>
    <row r="55" spans="2:42" x14ac:dyDescent="0.35">
      <c r="B55" s="3">
        <v>54</v>
      </c>
      <c r="C55" s="35" t="s">
        <v>133</v>
      </c>
      <c r="D55" s="23" t="s">
        <v>189</v>
      </c>
      <c r="E55" s="24" t="s">
        <v>190</v>
      </c>
      <c r="F55" s="39">
        <v>36.585352999999998</v>
      </c>
      <c r="G55" s="6">
        <v>45949</v>
      </c>
      <c r="H55" s="27">
        <v>45958</v>
      </c>
      <c r="I55" s="4">
        <f t="shared" si="12"/>
        <v>10</v>
      </c>
      <c r="J55" s="15">
        <f t="shared" si="13"/>
        <v>3.6585352999999996</v>
      </c>
      <c r="K55" s="18"/>
      <c r="L55" s="13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7"/>
      <c r="AG55" s="17"/>
      <c r="AH55" s="17"/>
      <c r="AI55" s="17"/>
      <c r="AJ55" s="17"/>
      <c r="AK55" s="17"/>
      <c r="AL55" s="17"/>
      <c r="AM55" s="17"/>
      <c r="AN55" s="17"/>
      <c r="AO55" s="42">
        <f t="shared" si="2"/>
        <v>0</v>
      </c>
      <c r="AP55" s="19"/>
    </row>
    <row r="56" spans="2:42" x14ac:dyDescent="0.35">
      <c r="B56" s="3">
        <v>55</v>
      </c>
      <c r="C56" s="35" t="s">
        <v>136</v>
      </c>
      <c r="D56" s="23" t="s">
        <v>191</v>
      </c>
      <c r="E56" s="24" t="s">
        <v>192</v>
      </c>
      <c r="F56" s="39">
        <v>53.122635000000002</v>
      </c>
      <c r="G56" s="6">
        <v>45950</v>
      </c>
      <c r="H56" s="27">
        <v>45957</v>
      </c>
      <c r="I56" s="4">
        <f t="shared" si="12"/>
        <v>8</v>
      </c>
      <c r="J56" s="15">
        <f t="shared" si="13"/>
        <v>6.6403293750000003</v>
      </c>
      <c r="K56" s="18"/>
      <c r="L56" s="1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7"/>
      <c r="AG56" s="17"/>
      <c r="AH56" s="17"/>
      <c r="AI56" s="17"/>
      <c r="AJ56" s="17"/>
      <c r="AK56" s="17"/>
      <c r="AL56" s="17"/>
      <c r="AM56" s="17"/>
      <c r="AN56" s="17"/>
      <c r="AO56" s="42">
        <f t="shared" si="2"/>
        <v>0</v>
      </c>
      <c r="AP56" s="19"/>
    </row>
    <row r="57" spans="2:42" x14ac:dyDescent="0.35">
      <c r="B57" s="3">
        <v>56</v>
      </c>
      <c r="C57" s="35" t="s">
        <v>177</v>
      </c>
      <c r="D57" s="45" t="s">
        <v>193</v>
      </c>
      <c r="E57" s="24" t="s">
        <v>23</v>
      </c>
      <c r="F57" s="39">
        <v>18.118815999999999</v>
      </c>
      <c r="G57" s="6">
        <v>45956</v>
      </c>
      <c r="H57" s="27">
        <v>45959</v>
      </c>
      <c r="I57" s="4">
        <f t="shared" si="12"/>
        <v>4</v>
      </c>
      <c r="J57" s="15">
        <f t="shared" si="13"/>
        <v>4.5297039999999997</v>
      </c>
      <c r="K57" s="18"/>
      <c r="L57" s="13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7"/>
      <c r="AG57" s="17"/>
      <c r="AH57" s="17"/>
      <c r="AI57" s="17"/>
      <c r="AJ57" s="17"/>
      <c r="AK57" s="17"/>
      <c r="AL57" s="17"/>
      <c r="AM57" s="17"/>
      <c r="AN57" s="17"/>
      <c r="AO57" s="42">
        <f t="shared" si="2"/>
        <v>0</v>
      </c>
      <c r="AP57" s="19"/>
    </row>
    <row r="58" spans="2:42" x14ac:dyDescent="0.35">
      <c r="B58" s="3">
        <v>57</v>
      </c>
      <c r="C58" s="35" t="s">
        <v>195</v>
      </c>
      <c r="D58" s="23" t="s">
        <v>194</v>
      </c>
      <c r="E58" s="24" t="s">
        <v>92</v>
      </c>
      <c r="F58" s="39">
        <v>39.59669499999999</v>
      </c>
      <c r="G58" s="6">
        <v>45954</v>
      </c>
      <c r="H58" s="27">
        <v>45959</v>
      </c>
      <c r="I58" s="4">
        <f t="shared" si="12"/>
        <v>6</v>
      </c>
      <c r="J58" s="15">
        <f t="shared" si="13"/>
        <v>6.5994491666666653</v>
      </c>
      <c r="K58" s="18"/>
      <c r="L58" s="13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7"/>
      <c r="AG58" s="17"/>
      <c r="AH58" s="17"/>
      <c r="AI58" s="17"/>
      <c r="AJ58" s="17"/>
      <c r="AK58" s="17"/>
      <c r="AL58" s="17"/>
      <c r="AM58" s="17"/>
      <c r="AN58" s="17"/>
      <c r="AO58" s="42">
        <f t="shared" si="2"/>
        <v>0</v>
      </c>
      <c r="AP58" s="19"/>
    </row>
    <row r="59" spans="2:42" x14ac:dyDescent="0.35">
      <c r="B59" s="3">
        <v>58</v>
      </c>
      <c r="C59" s="35" t="s">
        <v>177</v>
      </c>
      <c r="D59" s="45" t="s">
        <v>196</v>
      </c>
      <c r="E59" s="24" t="s">
        <v>23</v>
      </c>
      <c r="F59" s="39">
        <v>18.118815999999999</v>
      </c>
      <c r="G59" s="6">
        <v>45958</v>
      </c>
      <c r="H59" s="27">
        <v>45961</v>
      </c>
      <c r="I59" s="4">
        <f t="shared" si="12"/>
        <v>4</v>
      </c>
      <c r="J59" s="15">
        <f t="shared" si="13"/>
        <v>4.5297039999999997</v>
      </c>
      <c r="K59" s="18"/>
      <c r="L59" s="13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7"/>
      <c r="AG59" s="17"/>
      <c r="AH59" s="17"/>
      <c r="AI59" s="17"/>
      <c r="AJ59" s="17"/>
      <c r="AK59" s="17"/>
      <c r="AL59" s="17"/>
      <c r="AM59" s="17"/>
      <c r="AN59" s="17"/>
      <c r="AO59" s="42">
        <f t="shared" si="2"/>
        <v>0</v>
      </c>
      <c r="AP59" s="19"/>
    </row>
    <row r="60" spans="2:42" x14ac:dyDescent="0.35">
      <c r="B60" s="3">
        <v>59</v>
      </c>
      <c r="C60" s="35" t="s">
        <v>135</v>
      </c>
      <c r="D60" s="23" t="s">
        <v>197</v>
      </c>
      <c r="E60" s="24" t="s">
        <v>31</v>
      </c>
      <c r="F60" s="39">
        <v>39.622439999999997</v>
      </c>
      <c r="G60" s="6">
        <v>45956</v>
      </c>
      <c r="H60" s="27">
        <v>45961</v>
      </c>
      <c r="I60" s="4">
        <f t="shared" si="12"/>
        <v>6</v>
      </c>
      <c r="J60" s="15">
        <f t="shared" si="13"/>
        <v>6.6037399999999993</v>
      </c>
      <c r="K60" s="18"/>
      <c r="L60" s="13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7"/>
      <c r="AG60" s="17"/>
      <c r="AH60" s="17"/>
      <c r="AI60" s="17"/>
      <c r="AJ60" s="17"/>
      <c r="AK60" s="17"/>
      <c r="AL60" s="17"/>
      <c r="AM60" s="17"/>
      <c r="AN60" s="17"/>
      <c r="AO60" s="42">
        <f t="shared" si="2"/>
        <v>0</v>
      </c>
      <c r="AP60" s="19"/>
    </row>
    <row r="61" spans="2:42" x14ac:dyDescent="0.35">
      <c r="B61" s="3">
        <v>60</v>
      </c>
      <c r="C61" s="35" t="s">
        <v>140</v>
      </c>
      <c r="D61" s="23" t="s">
        <v>198</v>
      </c>
      <c r="E61" s="24" t="s">
        <v>199</v>
      </c>
      <c r="F61" s="39">
        <v>17.633659999999999</v>
      </c>
      <c r="G61" s="6">
        <v>45957</v>
      </c>
      <c r="H61" s="27">
        <v>45961</v>
      </c>
      <c r="I61" s="4">
        <f t="shared" si="12"/>
        <v>5</v>
      </c>
      <c r="J61" s="15">
        <f t="shared" si="13"/>
        <v>3.526732</v>
      </c>
      <c r="K61" s="18"/>
      <c r="L61" s="13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7"/>
      <c r="AG61" s="17"/>
      <c r="AH61" s="17"/>
      <c r="AI61" s="17"/>
      <c r="AJ61" s="17"/>
      <c r="AK61" s="17"/>
      <c r="AL61" s="17"/>
      <c r="AM61" s="17"/>
      <c r="AN61" s="17"/>
      <c r="AO61" s="42">
        <f t="shared" si="2"/>
        <v>0</v>
      </c>
      <c r="AP61" s="19"/>
    </row>
    <row r="62" spans="2:42" ht="15" thickBot="1" x14ac:dyDescent="0.4">
      <c r="B62" s="3">
        <v>61</v>
      </c>
      <c r="C62" s="35" t="s">
        <v>156</v>
      </c>
      <c r="D62" s="23" t="s">
        <v>200</v>
      </c>
      <c r="E62" s="24" t="s">
        <v>14</v>
      </c>
      <c r="F62" s="39">
        <v>22.488373999999997</v>
      </c>
      <c r="G62" s="6">
        <v>45957</v>
      </c>
      <c r="H62" s="27">
        <v>45961</v>
      </c>
      <c r="I62" s="4">
        <f t="shared" ref="I62" si="14">H62-G62+1</f>
        <v>5</v>
      </c>
      <c r="J62" s="15">
        <f t="shared" ref="J62" si="15">F62/I62</f>
        <v>4.4976747999999995</v>
      </c>
      <c r="K62" s="18"/>
      <c r="L62" s="13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7"/>
      <c r="AG62" s="17"/>
      <c r="AH62" s="17"/>
      <c r="AI62" s="17"/>
      <c r="AJ62" s="17"/>
      <c r="AK62" s="17"/>
      <c r="AL62" s="17"/>
      <c r="AM62" s="17"/>
      <c r="AN62" s="17"/>
      <c r="AO62" s="42">
        <f t="shared" si="2"/>
        <v>0</v>
      </c>
      <c r="AP62" s="19"/>
    </row>
    <row r="63" spans="2:42" s="2" customFormat="1" ht="15" thickBot="1" x14ac:dyDescent="0.4">
      <c r="B63" s="10"/>
      <c r="C63" s="25"/>
      <c r="D63" s="11"/>
      <c r="E63" s="11"/>
      <c r="F63" s="41">
        <f>SUM(F2:F62)</f>
        <v>1534.4404629999997</v>
      </c>
      <c r="G63" s="11"/>
      <c r="H63" s="11"/>
      <c r="I63" s="48">
        <f>SUM(I2:I62)</f>
        <v>368</v>
      </c>
      <c r="J63" s="41">
        <f t="shared" ref="J63" si="16">F63/I63</f>
        <v>4.1696751711956512</v>
      </c>
      <c r="K63" s="41">
        <f>SUM(K2:K62)</f>
        <v>0</v>
      </c>
      <c r="L63" s="41">
        <f>SUM(L2:L62)</f>
        <v>0</v>
      </c>
      <c r="M63" s="41">
        <f>SUM(M2:M62)</f>
        <v>0</v>
      </c>
      <c r="N63" s="41">
        <f>SUM(N2:N62)</f>
        <v>0</v>
      </c>
      <c r="O63" s="41">
        <f>SUM(O2:O62)</f>
        <v>0</v>
      </c>
      <c r="P63" s="41">
        <f>SUM(P2:P62)</f>
        <v>0</v>
      </c>
      <c r="Q63" s="41">
        <f>SUM(Q2:Q62)</f>
        <v>0</v>
      </c>
      <c r="R63" s="41">
        <f>SUM(R2:R62)</f>
        <v>0</v>
      </c>
      <c r="S63" s="41">
        <f>SUM(S2:S62)</f>
        <v>0</v>
      </c>
      <c r="T63" s="41">
        <f>SUM(T2:T62)</f>
        <v>0</v>
      </c>
      <c r="U63" s="41">
        <f>SUM(U2:U62)</f>
        <v>0</v>
      </c>
      <c r="V63" s="41">
        <f>SUM(V2:V62)</f>
        <v>0</v>
      </c>
      <c r="W63" s="41">
        <f>SUM(W2:W62)</f>
        <v>0</v>
      </c>
      <c r="X63" s="41">
        <f>SUM(X2:X62)</f>
        <v>0</v>
      </c>
      <c r="Y63" s="41">
        <f>SUM(Y2:Y62)</f>
        <v>0</v>
      </c>
      <c r="Z63" s="41">
        <f>SUM(Z2:Z62)</f>
        <v>0</v>
      </c>
      <c r="AA63" s="41">
        <f>SUM(AA2:AA62)</f>
        <v>0</v>
      </c>
      <c r="AB63" s="41">
        <f>SUM(AB2:AB62)</f>
        <v>0</v>
      </c>
      <c r="AC63" s="41">
        <f>SUM(AC2:AC62)</f>
        <v>0</v>
      </c>
      <c r="AD63" s="41">
        <f>SUM(AD2:AD62)</f>
        <v>0</v>
      </c>
      <c r="AE63" s="41">
        <f>SUM(AE2:AE62)</f>
        <v>0</v>
      </c>
      <c r="AF63" s="41">
        <f>SUM(AF2:AF62)</f>
        <v>0</v>
      </c>
      <c r="AG63" s="41">
        <f>SUM(AG2:AG62)</f>
        <v>0</v>
      </c>
      <c r="AH63" s="41">
        <f>SUM(AH2:AH62)</f>
        <v>0</v>
      </c>
      <c r="AI63" s="41">
        <f>SUM(AI2:AI62)</f>
        <v>0</v>
      </c>
      <c r="AJ63" s="41">
        <f>SUM(AJ2:AJ62)</f>
        <v>0</v>
      </c>
      <c r="AK63" s="41">
        <f>SUM(AK2:AK62)</f>
        <v>0</v>
      </c>
      <c r="AL63" s="41">
        <f>SUM(AL2:AL62)</f>
        <v>0</v>
      </c>
      <c r="AM63" s="41">
        <f>SUM(AM2:AM62)</f>
        <v>0</v>
      </c>
      <c r="AN63" s="41">
        <f>SUM(AN2:AN62)</f>
        <v>0</v>
      </c>
      <c r="AO63" s="43">
        <f>SUM(AO2:AO62)</f>
        <v>0</v>
      </c>
      <c r="AP63" s="14"/>
    </row>
  </sheetData>
  <phoneticPr fontId="3" type="noConversion"/>
  <conditionalFormatting sqref="D2:D21 D26:D62">
    <cfRule type="duplicateValues" dxfId="1" priority="3"/>
  </conditionalFormatting>
  <conditionalFormatting sqref="D2:D62">
    <cfRule type="duplicateValues" dxfId="0" priority="5"/>
  </conditionalFormatting>
  <pageMargins left="0.7" right="0.7" top="0.75" bottom="0.75" header="0.3" footer="0.3"/>
  <ignoredErrors>
    <ignoredError sqref="J63" formula="1"/>
    <ignoredError sqref="K6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Sept-25</vt:lpstr>
      <vt:lpstr>Oct-25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Sanjib Kumar Samantaray</dc:creator>
  <cp:lastModifiedBy>Abir Kumar Das</cp:lastModifiedBy>
  <dcterms:created xsi:type="dcterms:W3CDTF">2015-06-05T18:17:20Z</dcterms:created>
  <dcterms:modified xsi:type="dcterms:W3CDTF">2025-11-01T07:25:21Z</dcterms:modified>
</cp:coreProperties>
</file>