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TB 507\DPR\400kV\"/>
    </mc:Choice>
  </mc:AlternateContent>
  <xr:revisionPtr revIDLastSave="0" documentId="13_ncr:1_{DA8059E3-F80B-4F7D-8E58-85551547FB02}" xr6:coauthVersionLast="47" xr6:coauthVersionMax="47" xr10:uidLastSave="{00000000-0000-0000-0000-000000000000}"/>
  <bookViews>
    <workbookView xWindow="-110" yWindow="-110" windowWidth="19420" windowHeight="11500" tabRatio="822" firstSheet="1" activeTab="19" xr2:uid="{00000000-000D-0000-FFFF-FFFF00000000}"/>
  </bookViews>
  <sheets>
    <sheet name=" " sheetId="18" r:id="rId1"/>
    <sheet name="400kV Summery" sheetId="62" r:id="rId2"/>
    <sheet name="Check Survey " sheetId="56" r:id="rId3"/>
    <sheet name="Check Survey Status" sheetId="55" state="hidden" r:id="rId4"/>
    <sheet name="Check Survey" sheetId="22" state="hidden" r:id="rId5"/>
    <sheet name="Sheet8" sheetId="48" state="hidden" r:id="rId6"/>
    <sheet name="Sheet2" sheetId="65" state="hidden" r:id="rId7"/>
    <sheet name=" Crossing Proposal" sheetId="32" r:id="rId8"/>
    <sheet name="Sheet1" sheetId="41" state="hidden" r:id="rId9"/>
    <sheet name="VC 51-96" sheetId="40" state="hidden" r:id="rId10"/>
    <sheet name="VC" sheetId="31" state="hidden" r:id="rId11"/>
    <sheet name="ROW" sheetId="38" state="hidden" r:id="rId12"/>
    <sheet name="June" sheetId="60" state="hidden" r:id="rId13"/>
    <sheet name="Foundation" sheetId="26" r:id="rId14"/>
    <sheet name="Royalty" sheetId="58" state="hidden" r:id="rId15"/>
    <sheet name="Sheet14" sheetId="64" state="hidden" r:id="rId16"/>
    <sheet name="Sheet7" sheetId="66" state="hidden" r:id="rId17"/>
    <sheet name="Project Details" sheetId="68" r:id="rId18"/>
    <sheet name="Erection " sheetId="52" r:id="rId19"/>
    <sheet name="Earthing" sheetId="37" r:id="rId20"/>
    <sheet name="Soil Investigation" sheetId="25" r:id="rId21"/>
    <sheet name="Sheet9" sheetId="67" state="hidden" r:id="rId22"/>
    <sheet name="VC " sheetId="46" state="hidden" r:id="rId23"/>
    <sheet name="Sheet6" sheetId="45" state="hidden" r:id="rId24"/>
    <sheet name="VC 51-121" sheetId="42" state="hidden" r:id="rId25"/>
    <sheet name="Sheet5" sheetId="44" state="hidden" r:id="rId26"/>
    <sheet name="Sheet3" sheetId="43" state="hidden" r:id="rId27"/>
    <sheet name="Tower Schedule" sheetId="24" state="hidden" r:id="rId28"/>
    <sheet name="Visual Chart" sheetId="69" r:id="rId29"/>
    <sheet name="L2 Vs Actual Progress Chart" sheetId="33" r:id="rId30"/>
    <sheet name="L2 Vs Actual Progress Chart (2)" sheetId="51" state="hidden" r:id="rId31"/>
    <sheet name="Sheet4" sheetId="36" state="hidden" r:id="rId32"/>
  </sheets>
  <externalReferences>
    <externalReference r:id="rId33"/>
    <externalReference r:id="rId34"/>
    <externalReference r:id="rId35"/>
    <externalReference r:id="rId36"/>
    <externalReference r:id="rId37"/>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19" hidden="1">Earthing!$A$5:$F$6</definedName>
    <definedName name="_xlnm._FilterDatabase" localSheetId="18" hidden="1">'Erection '!$A$5:$H$5</definedName>
    <definedName name="_xlnm._FilterDatabase" localSheetId="13" hidden="1">Foundation!$A$8:$P$229</definedName>
    <definedName name="_xlnm._FilterDatabase" localSheetId="11" hidden="1">ROW!$A$7:$G$36</definedName>
    <definedName name="_xlnm._FilterDatabase" localSheetId="14" hidden="1">Royalty!$C$14:$D$28</definedName>
    <definedName name="_xlnm._FilterDatabase" localSheetId="26" hidden="1">Sheet5!$B$3:$J$38</definedName>
    <definedName name="_xlnm._FilterDatabase" localSheetId="23" hidden="1">Sheet6!$B$4:$E$41</definedName>
    <definedName name="_xlnm._FilterDatabase" localSheetId="20" hidden="1">'Soil Investigation'!$A$5:$F$79</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 '!$B$1:$B$16,MATCH(#REF!,' '!$A$1:$A$16,0))</definedName>
    <definedName name="AA">INDEX(' '!$B$1:$B$16,MATCH(#REF!,' '!$A$1:$A$16,0))</definedName>
    <definedName name="AAA" hidden="1">{#N/A,#N/A,FALSE,"COVER1.XLS ";#N/A,#N/A,FALSE,"RACT1.XLS";#N/A,#N/A,FALSE,"RACT2.XLS";#N/A,#N/A,FALSE,"ECCMP";#N/A,#N/A,FALSE,"WELDER.XLS"}</definedName>
    <definedName name="AB">INDEX(' '!$B$1:$B$16,MATCH(#REF!,' '!$A$1:$A$16,0))</definedName>
    <definedName name="AC">INDEX(' '!$B$1:$B$16,MATCH(#REF!,' '!$A$1:$A$16,0))</definedName>
    <definedName name="AD" hidden="1">{"'Sheet1'!$A$4386:$N$4591"}</definedName>
    <definedName name="AE">INDEX(' '!$B$1:$B$16,MATCH(#REF!,' '!$A$1:$A$16,0))</definedName>
    <definedName name="AF">INDEX(' '!$B$1:$B$16,MATCH(#REF!,' '!$A$1:$A$16,0))</definedName>
    <definedName name="AG">INDEX(' '!$B$1:$B$16,MATCH(#REF!,' '!$A$1:$A$16,0))</definedName>
    <definedName name="AH">INDEX(' '!$B$1:$B$16,MATCH(#REF!,' '!$A$1:$A$16,0))</definedName>
    <definedName name="AI">INDEX(' '!$B$1:$B$16,MATCH(#REF!,' '!$A$1:$A$16,0))</definedName>
    <definedName name="AJ">INDEX(' '!$B$1:$B$16,MATCH(#REF!,' '!$A$1:$A$16,0))</definedName>
    <definedName name="AK">INDEX(' '!$B$1:$B$16,MATCH(#REF!,' '!$A$1:$A$16,0))</definedName>
    <definedName name="AL">INDEX(' '!$B$1:$B$16,MATCH(#REF!,' '!$A$1:$A$16,0))</definedName>
    <definedName name="AM">INDEX(' '!$B$1:$B$16,MATCH(#REF!,' '!$A$1:$A$16,0))</definedName>
    <definedName name="anscount" hidden="1">1</definedName>
    <definedName name="azsa" hidden="1">{"'PROFITABILITY'!$A$1:$F$45"}</definedName>
    <definedName name="BA">INDEX(' '!$B$1:$B$16,MATCH(#REF!,' '!$A$1:$A$16,0))</definedName>
    <definedName name="BB">INDEX(' '!$B$1:$B$16,MATCH(#REF!,' '!$A$1:$A$16,0))</definedName>
    <definedName name="BC">INDEX(' '!$B$1:$B$16,MATCH(#REF!,' '!$A$1:$A$16,0))</definedName>
    <definedName name="BD">INDEX(' '!$B$1:$B$16,MATCH(#REF!,' '!$A$1:$A$16,0))</definedName>
    <definedName name="BE">INDEX(' '!$B$1:$B$16,MATCH(#REF!,' '!$A$1:$A$16,0))</definedName>
    <definedName name="BF">INDEX(' '!$B$1:$B$16,MATCH(#REF!,' '!$A$1:$A$16,0))</definedName>
    <definedName name="BG">INDEX(' '!$B$1:$B$16,MATCH(#REF!,' '!$A$1:$A$16,0))</definedName>
    <definedName name="BH">INDEX(' '!$B$1:$B$16,MATCH(#REF!,' '!$A$1:$A$16,0))</definedName>
    <definedName name="BI">INDEX(' '!$B$1:$B$16,MATCH(#REF!,' '!$A$1:$A$16,0))</definedName>
    <definedName name="BJ">INDEX(' '!$B$1:$B$16,MATCH(#REF!,' '!$A$1:$A$16,0))</definedName>
    <definedName name="BK">INDEX(' '!$B$1:$B$16,MATCH(#REF!,' '!$A$1:$A$16,0))</definedName>
    <definedName name="BL">INDEX(' '!$B$1:$B$16,MATCH(#REF!,' '!$A$1:$A$16,0))</definedName>
    <definedName name="BM">INDEX(' '!$B$1:$B$16,MATCH(#REF!,' '!$A$1:$A$16,0))</definedName>
    <definedName name="CA">INDEX(' '!$B$1:$B$16,MATCH(#REF!,' '!$A$1:$A$16,0))</definedName>
    <definedName name="CB">INDEX(' '!$B$1:$B$16,MATCH(#REF!,' '!$A$1:$A$16,0))</definedName>
    <definedName name="CC">INDEX(' '!$B$1:$B$16,MATCH(#REF!,' '!$A$1:$A$16,0))</definedName>
    <definedName name="CCC" hidden="1">{#N/A,#N/A,FALSE,"str_title";#N/A,#N/A,FALSE,"SUM";#N/A,#N/A,FALSE,"Scope";#N/A,#N/A,FALSE,"PIE-Jn";#N/A,#N/A,FALSE,"PIE-Jn_Hz";#N/A,#N/A,FALSE,"Liq_Plan";#N/A,#N/A,FALSE,"S_Curve";#N/A,#N/A,FALSE,"Liq_Prof";#N/A,#N/A,FALSE,"Man_Pwr";#N/A,#N/A,FALSE,"Man_Prof"}</definedName>
    <definedName name="CD">INDEX(' '!$B$1:$B$16,MATCH(#REF!,' '!$A$1:$A$16,0))</definedName>
    <definedName name="CE">INDEX(' '!$B$1:$B$16,MATCH(#REF!,' '!$A$1:$A$16,0))</definedName>
    <definedName name="CF">INDEX(' '!$B$1:$B$16,MATCH(#REF!,' '!$A$1:$A$16,0))</definedName>
    <definedName name="CG">INDEX(' '!$B$1:$B$16,MATCH(#REF!,' '!$A$1:$A$16,0))</definedName>
    <definedName name="CH">INDEX(' '!$B$1:$B$16,MATCH(#REF!,' '!$A$1:$A$16,0))</definedName>
    <definedName name="CI">INDEX(' '!$B$1:$B$16,MATCH(#REF!,' '!$A$1:$A$16,0))</definedName>
    <definedName name="CJ">INDEX(' '!$B$1:$B$16,MATCH(#REF!,' '!$A$1:$A$16,0))</definedName>
    <definedName name="CK">INDEX(' '!$B$1:$B$16,MATCH(#REF!,' '!$A$1:$A$16,0))</definedName>
    <definedName name="CL">INDEX(' '!$B$1:$B$16,MATCH(#REF!,' '!$A$1:$A$16,0))</definedName>
    <definedName name="CM">INDEX(' '!$B$1:$B$16,MATCH(#REF!,' '!$A$1:$A$16,0))</definedName>
    <definedName name="COVVV" hidden="1">{#N/A,#N/A,FALSE,"str_title";#N/A,#N/A,FALSE,"SUM";#N/A,#N/A,FALSE,"Scope";#N/A,#N/A,FALSE,"PIE-Jn";#N/A,#N/A,FALSE,"PIE-Jn_Hz";#N/A,#N/A,FALSE,"Liq_Plan";#N/A,#N/A,FALSE,"S_Curve";#N/A,#N/A,FALSE,"Liq_Prof";#N/A,#N/A,FALSE,"Man_Pwr";#N/A,#N/A,FALSE,"Man_Prof"}</definedName>
    <definedName name="D_D">INDEX(' '!$B$1:$B$16,MATCH(#REF!,' '!$A$1:$A$16,0))</definedName>
    <definedName name="d_jp" hidden="1">{"'Sheet1'!$A$4386:$N$4591"}</definedName>
    <definedName name="DA">INDEX(' '!$B$1:$B$16,MATCH(#REF!,' '!$A$1:$A$16,0))</definedName>
    <definedName name="Dampers" hidden="1">{"'PROFITABILITY'!$A$1:$F$45"}</definedName>
    <definedName name="DB">INDEX(' '!$B$1:$B$16,MATCH(#REF!,' '!$A$1:$A$16,0))</definedName>
    <definedName name="DC">INDEX(' '!$B$1:$B$16,MATCH(#REF!,' '!$A$1:$A$16,0))</definedName>
    <definedName name="dd" hidden="1">{"'PROFITABILITY'!$A$1:$F$45"}</definedName>
    <definedName name="DE">INDEX(' '!$B$1:$B$16,MATCH(#REF!,' '!$A$1:$A$16,0))</definedName>
    <definedName name="DF">INDEX(' '!$B$1:$B$16,MATCH(#REF!,' '!$A$1:$A$16,0))</definedName>
    <definedName name="dfdfs" hidden="1">{"'Sheet1'!$A$4386:$N$4591"}</definedName>
    <definedName name="DG">INDEX(' '!$B$1:$B$16,MATCH(#REF!,' '!$A$1:$A$16,0))</definedName>
    <definedName name="DH">INDEX(' '!$B$1:$B$16,MATCH(#REF!,' '!$A$1:$A$16,0))</definedName>
    <definedName name="DHTML" hidden="1">{"'Sheet1'!$A$4386:$N$4591"}</definedName>
    <definedName name="DI">INDEX(' '!$B$1:$B$16,MATCH(#REF!,' '!$A$1:$A$16,0))</definedName>
    <definedName name="DJ">INDEX(' '!$B$1:$B$16,MATCH(#REF!,' '!$A$1:$A$16,0))</definedName>
    <definedName name="DK">INDEX(' '!$B$1:$B$16,MATCH(#REF!,' '!$A$1:$A$16,0))</definedName>
    <definedName name="DL">INDEX(' '!$B$1:$B$16,MATCH(#REF!,' '!$A$1:$A$16,0))</definedName>
    <definedName name="DM">INDEX(' '!$B$1:$B$16,MATCH(#REF!,' '!$A$1:$A$16,0))</definedName>
    <definedName name="DPR">#REF!&amp;#REF!&amp;#REF!&amp;#REF!&amp;#REF!&amp;#REF!&amp;#REF!&amp;#REF!&amp;#REF!&amp;#REF!</definedName>
    <definedName name="EA">INDEX(' '!$B$1:$B$16,MATCH(#REF!,' '!$A$1:$A$16,0))</definedName>
    <definedName name="EB">INDEX(' '!$B$1:$B$16,MATCH(#REF!,' '!$A$1:$A$16,0))</definedName>
    <definedName name="EC">INDEX(' '!$B$1:$B$16,MATCH(#REF!,' '!$A$1:$A$16,0))</definedName>
    <definedName name="ED">INDEX(' '!$B$1:$B$16,MATCH(#REF!,' '!$A$1:$A$16,0))</definedName>
    <definedName name="EE">INDEX(' '!$B$1:$B$16,MATCH(#REF!,' '!$A$1:$A$16,0))</definedName>
    <definedName name="EF">INDEX(' '!$B$1:$B$16,MATCH(#REF!,' '!$A$1:$A$16,0))</definedName>
    <definedName name="EG">INDEX(' '!$B$1:$B$16,MATCH(#REF!,' '!$A$1:$A$16,0))</definedName>
    <definedName name="EH">INDEX(' '!$B$1:$B$16,MATCH(#REF!,' '!$A$1:$A$16,0))</definedName>
    <definedName name="EI">INDEX(' '!$B$1:$B$16,MATCH(#REF!,' '!$A$1:$A$16,0))</definedName>
    <definedName name="EJ">INDEX(' '!$B$1:$B$16,MATCH(#REF!,' '!$A$1:$A$16,0))</definedName>
    <definedName name="EK">INDEX(' '!$B$1:$B$16,MATCH(#REF!,' '!$A$1:$A$16,0))</definedName>
    <definedName name="EL">INDEX(' '!$B$1:$B$16,MATCH(#REF!,' '!$A$1:$A$16,0))</definedName>
    <definedName name="EM">INDEX(' '!$B$1:$B$16,MATCH(#REF!,' '!$A$1:$A$16,0))</definedName>
    <definedName name="ERE">IFERROR(LEFT(INDEX(#REF!,MATCH(#REF!,#REF!,0)),3),"")</definedName>
    <definedName name="ERT">IFERROR(LEFT(INDEX(#REF!,MATCH(#REF!,#REF!,0)),3),"")</definedName>
    <definedName name="ewer" hidden="1">{"'PROFITABILITY'!$A$1:$F$45"}</definedName>
    <definedName name="FA">INDEX(' '!$B$1:$B$16,MATCH(#REF!,' '!$A$1:$A$16,0))</definedName>
    <definedName name="FB">INDEX(' '!$B$1:$B$16,MATCH(#REF!,' '!$A$1:$A$16,0))</definedName>
    <definedName name="FC">INDEX(' '!$B$1:$B$16,MATCH(#REF!,' '!$A$1:$A$16,0))</definedName>
    <definedName name="FD">INDEX(' '!$B$1:$B$16,MATCH(#REF!,' '!$A$1:$A$16,0))</definedName>
    <definedName name="FDN">IFERROR(LEFT(INDEX(#REF!,MATCH(#REF!,#REF!,0)),3),"")</definedName>
    <definedName name="FDN_Rate">IFERROR(_xlfn.XLOOKUP(#REF!&amp;#REF!,#REF!,#REF!),"")</definedName>
    <definedName name="FE">INDEX(' '!$B$1:$B$16,MATCH(#REF!,' '!$A$1:$A$16,0))</definedName>
    <definedName name="FF">INDEX(' '!$B$1:$B$16,MATCH(#REF!,' '!$A$1:$A$16,0))</definedName>
    <definedName name="FG">INDEX(' '!$B$1:$B$16,MATCH(#REF!,' '!$A$1:$A$16,0))</definedName>
    <definedName name="FH">INDEX(' '!$B$1:$B$16,MATCH(#REF!,' '!$A$1:$A$16,0))</definedName>
    <definedName name="FI">INDEX(' '!$B$1:$B$16,MATCH(#REF!,' '!$A$1:$A$16,0))</definedName>
    <definedName name="FJ">INDEX(' '!$B$1:$B$16,MATCH(#REF!,' '!$A$1:$A$16,0))</definedName>
    <definedName name="fjhgfd" hidden="1">{"'Sheet1'!$A$4386:$N$4591"}</definedName>
    <definedName name="FK">INDEX(' '!$B$1:$B$16,MATCH(#REF!,' '!$A$1:$A$16,0))</definedName>
    <definedName name="FL">INDEX(' '!$B$1:$B$16,MATCH(#REF!,' '!$A$1:$A$16,0))</definedName>
    <definedName name="FM">INDEX(' '!$B$1:$B$16,MATCH(#REF!,' '!$A$1:$A$16,0))</definedName>
    <definedName name="Fr" hidden="1">{"'PROFITABILITY'!$A$1:$F$45"}</definedName>
    <definedName name="funds" hidden="1">{"'Sheet1'!$A$4386:$N$4591"}</definedName>
    <definedName name="GA">INDEX(' '!$B$1:$B$16,MATCH(#REF!,' '!$A$1:$A$16,0))</definedName>
    <definedName name="GB">INDEX(' '!$B$1:$B$16,MATCH(#REF!,' '!$A$1:$A$16,0))</definedName>
    <definedName name="GC">INDEX(' '!$B$1:$B$16,MATCH(#REF!,' '!$A$1:$A$16,0))</definedName>
    <definedName name="GD">INDEX(' '!$B$1:$B$16,MATCH(#REF!,' '!$A$1:$A$16,0))</definedName>
    <definedName name="GE">INDEX(' '!$B$1:$B$16,MATCH(#REF!,' '!$A$1:$A$16,0))</definedName>
    <definedName name="GF">INDEX(' '!$B$1:$B$16,MATCH(#REF!,' '!$A$1:$A$16,0))</definedName>
    <definedName name="GG">INDEX(' '!$B$1:$B$16,MATCH(#REF!,' '!$A$1:$A$16,0))</definedName>
    <definedName name="GH">INDEX(' '!$B$1:$B$16,MATCH(#REF!,' '!$A$1:$A$16,0))</definedName>
    <definedName name="GI">INDEX(' '!$B$1:$B$16,MATCH(#REF!,' '!$A$1:$A$16,0))</definedName>
    <definedName name="GJ">INDEX(' '!$B$1:$B$16,MATCH(#REF!,' '!$A$1:$A$16,0))</definedName>
    <definedName name="GK">INDEX(' '!$B$1:$B$16,MATCH(#REF!,' '!$A$1:$A$16,0))</definedName>
    <definedName name="GL">INDEX(' '!$B$1:$B$16,MATCH(#REF!,' '!$A$1:$A$16,0))</definedName>
    <definedName name="GM">INDEX(' '!$B$1:$B$16,MATCH(#REF!,' '!$A$1:$A$16,0))</definedName>
    <definedName name="Groundinga" hidden="1">{"'PROFITABILITY'!$A$1:$F$45"}</definedName>
    <definedName name="HA">INDEX(' '!$B$1:$B$16,MATCH(#REF!,' '!$A$1:$A$16,0))</definedName>
    <definedName name="HB">INDEX(' '!$B$1:$B$16,MATCH(#REF!,' '!$A$1:$A$16,0))</definedName>
    <definedName name="HC">INDEX(' '!$B$1:$B$16,MATCH(#REF!,' '!$A$1:$A$16,0))</definedName>
    <definedName name="HD">INDEX(' '!$B$1:$B$16,MATCH(#REF!,' '!$A$1:$A$16,0))</definedName>
    <definedName name="HE">INDEX(' '!$B$1:$B$16,MATCH(#REF!,' '!$A$1:$A$16,0))</definedName>
    <definedName name="HF">INDEX(' '!$B$1:$B$16,MATCH(#REF!,' '!$A$1:$A$16,0))</definedName>
    <definedName name="HG">INDEX(' '!$B$1:$B$16,MATCH(#REF!,' '!$A$1:$A$16,0))</definedName>
    <definedName name="HH">INDEX(' '!$B$1:$B$16,MATCH(#REF!,' '!$A$1:$A$16,0))</definedName>
    <definedName name="HI">INDEX(' '!$B$1:$B$16,MATCH(#REF!,' '!$A$1:$A$16,0))</definedName>
    <definedName name="HJ">INDEX(' '!$B$1:$B$16,MATCH(#REF!,' '!$A$1:$A$16,0))</definedName>
    <definedName name="HK">INDEX(' '!$B$1:$B$16,MATCH(#REF!,' '!$A$1:$A$16,0))</definedName>
    <definedName name="HL">INDEX(' '!$B$1:$B$16,MATCH(#REF!,' '!$A$1:$A$16,0))</definedName>
    <definedName name="HM">INDEX(' '!$B$1:$B$16,MATCH(#REF!,' '!$A$1:$A$16,0))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 '!$B$1:$B$16,MATCH(#REF!,' '!$A$1:$A$16,0))</definedName>
    <definedName name="IAM" hidden="1">{"'Sheet1'!$A$4386:$N$4591"}</definedName>
    <definedName name="IB">INDEX(' '!$B$1:$B$16,MATCH(#REF!,' '!$A$1:$A$16,0))</definedName>
    <definedName name="IC">INDEX(' '!$B$1:$B$16,MATCH(#REF!,' '!$A$1:$A$16,0))</definedName>
    <definedName name="ID">INDEX(' '!$B$1:$B$16,MATCH(#REF!,' '!$A$1:$A$16,0))</definedName>
    <definedName name="IE">INDEX(' '!$B$1:$B$16,MATCH(#REF!,' '!$A$1:$A$16,0))</definedName>
    <definedName name="IF">INDEX(' '!$B$1:$B$16,MATCH(#REF!,' '!$A$1:$A$16,0))</definedName>
    <definedName name="IG">INDEX(' '!$B$1:$B$16,MATCH(#REF!,' '!$A$1:$A$16,0))</definedName>
    <definedName name="IH">INDEX(' '!$B$1:$B$16,MATCH(#REF!,' '!$A$1:$A$16,0))</definedName>
    <definedName name="II">INDEX(' '!$B$1:$B$16,MATCH(#REF!,' '!$A$1:$A$16,0))</definedName>
    <definedName name="IJ">INDEX(' '!$B$1:$B$16,MATCH(#REF!,' '!$A$1:$A$16,0))</definedName>
    <definedName name="IK">INDEX(' '!$B$1:$B$16,MATCH(#REF!,' '!$A$1:$A$16,0))</definedName>
    <definedName name="IL">INDEX(' '!$B$1:$B$16,MATCH(#REF!,' '!$A$1:$A$16,0))</definedName>
    <definedName name="IM">INDEX(' '!$B$1:$B$16,MATCH(#REF!,' '!$A$1:$A$16,0))</definedName>
    <definedName name="INS">IFERROR(LEFT(INDEX(#REF!,MATCH(#REF!,#REF!,0)),3),"")</definedName>
    <definedName name="JA">INDEX(' '!$B$1:$B$16,MATCH(#REF!,' '!$A$1:$A$16,0))</definedName>
    <definedName name="JB">INDEX(' '!$B$1:$B$16,MATCH(#REF!,' '!$A$1:$A$16,0))</definedName>
    <definedName name="JC">INDEX(' '!$B$1:$B$16,MATCH(#REF!,' '!$A$1:$A$16,0))</definedName>
    <definedName name="JD">INDEX(' '!$B$1:$B$16,MATCH(#REF!,' '!$A$1:$A$16,0))</definedName>
    <definedName name="JE">INDEX(' '!$B$1:$B$16,MATCH(#REF!,' '!$A$1:$A$16,0))</definedName>
    <definedName name="JF">INDEX(' '!$B$1:$B$16,MATCH(#REF!,' '!$A$1:$A$16,0))</definedName>
    <definedName name="JG">INDEX(' '!$B$1:$B$16,MATCH(#REF!,' '!$A$1:$A$16,0))</definedName>
    <definedName name="JH">INDEX(' '!$B$1:$B$16,MATCH(#REF!,' '!$A$1:$A$16,0))</definedName>
    <definedName name="JI">INDEX(' '!$B$1:$B$16,MATCH(#REF!,' '!$A$1:$A$16,0))</definedName>
    <definedName name="JJ">INDEX(' '!$B$1:$B$16,MATCH(#REF!,' '!$A$1:$A$16,0))</definedName>
    <definedName name="JK">INDEX(' '!$B$1:$B$16,MATCH(#REF!,' '!$A$1:$A$16,0))</definedName>
    <definedName name="JL">INDEX(' '!$B$1:$B$16,MATCH(#REF!,' '!$A$1:$A$16,0))</definedName>
    <definedName name="JM">INDEX(' '!$B$1:$B$16,MATCH(#REF!,' '!$A$1:$A$16,0))</definedName>
    <definedName name="k" hidden="1">{"'PROFITABILITY'!$A$1:$F$45"}</definedName>
    <definedName name="KA">INDEX(' '!$B$1:$B$16,MATCH(#REF!,' '!$A$1:$A$16,0))</definedName>
    <definedName name="KB">INDEX(' '!$B$1:$B$16,MATCH(#REF!,' '!$A$1:$A$16,0))</definedName>
    <definedName name="KC">INDEX(' '!$B$1:$B$16,MATCH(#REF!,' '!$A$1:$A$16,0))</definedName>
    <definedName name="KD">INDEX(' '!$B$1:$B$16,MATCH(#REF!,' '!$A$1:$A$16,0))</definedName>
    <definedName name="KE">INDEX(' '!$B$1:$B$16,MATCH(#REF!,' '!$A$1:$A$16,0))</definedName>
    <definedName name="KF">INDEX(' '!$B$1:$B$16,MATCH(#REF!,' '!$A$1:$A$16,0))</definedName>
    <definedName name="KG">INDEX(' '!$B$1:$B$16,MATCH(#REF!,' '!$A$1:$A$16,0))</definedName>
    <definedName name="KH">INDEX(' '!$B$1:$B$16,MATCH(#REF!,' '!$A$1:$A$16,0))</definedName>
    <definedName name="KI">INDEX(' '!$B$1:$B$16,MATCH(#REF!,' '!$A$1:$A$16,0))</definedName>
    <definedName name="KJ">INDEX(' '!$B$1:$B$16,MATCH(#REF!,' '!$A$1:$A$16,0))</definedName>
    <definedName name="KK">INDEX(' '!$B$1:$B$16,MATCH(#REF!,' '!$A$1:$A$16,0))</definedName>
    <definedName name="KL">INDEX(' '!$B$1:$B$16,MATCH(#REF!,' '!$A$1:$A$16,0))</definedName>
    <definedName name="KM">INDEX(' '!$B$1:$B$16,MATCH(#REF!,' '!$A$1:$A$16,0))</definedName>
    <definedName name="LA">INDEX(' '!$B$1:$B$16,MATCH(#REF!,' '!$A$1:$A$16,0))</definedName>
    <definedName name="LB">INDEX(' '!$B$1:$B$16,MATCH(#REF!,' '!$A$1:$A$16,0))</definedName>
    <definedName name="LC">INDEX(' '!$B$1:$B$16,MATCH(#REF!,' '!$A$1:$A$16,0))</definedName>
    <definedName name="LD">INDEX(' '!$B$1:$B$16,MATCH(#REF!,' '!$A$1:$A$16,0))</definedName>
    <definedName name="LE">INDEX(' '!$B$1:$B$16,MATCH(#REF!,' '!$A$1:$A$16,0))</definedName>
    <definedName name="LF">INDEX(' '!$B$1:$B$16,MATCH(#REF!,' '!$A$1:$A$16,0))</definedName>
    <definedName name="LG">INDEX(' '!$B$1:$B$16,MATCH(#REF!,' '!$A$1:$A$16,0))</definedName>
    <definedName name="LH">INDEX(' '!$B$1:$B$16,MATCH(#REF!,' '!$A$1:$A$16,0))</definedName>
    <definedName name="LI">INDEX(' '!$B$1:$B$16,MATCH(#REF!,' '!$A$1:$A$16,0))</definedName>
    <definedName name="LJ">INDEX(' '!$B$1:$B$16,MATCH(#REF!,' '!$A$1:$A$16,0))</definedName>
    <definedName name="LK">INDEX(' '!$B$1:$B$16,MATCH(#REF!,' '!$A$1:$A$16,0))</definedName>
    <definedName name="LL">INDEX(' '!$B$1:$B$16,MATCH(#REF!,' '!$A$1:$A$16,0))</definedName>
    <definedName name="LM">INDEX(' '!$B$1:$B$16,MATCH(#REF!,' '!$A$1:$A$16,0))</definedName>
    <definedName name="M_F">INDEX(' '!$B$1:$B$16,MATCH(#REF!,' '!$A$1:$A$16,0))</definedName>
    <definedName name="MA">INDEX(' '!$B$1:$B$16,MATCH(#REF!,' '!$A$1:$A$16,0))</definedName>
    <definedName name="MB">INDEX(' '!$B$1:$B$16,MATCH(#REF!,' '!$A$1:$A$16,0))</definedName>
    <definedName name="MC">INDEX(' '!$B$1:$B$16,MATCH(#REF!,' '!$A$1:$A$16,0))</definedName>
    <definedName name="MD">INDEX(' '!$B$1:$B$16,MATCH(#REF!,' '!$A$1:$A$16,0))</definedName>
    <definedName name="ME">INDEX(' '!$B$1:$B$16,MATCH(#REF!,' '!$A$1:$A$16,0))</definedName>
    <definedName name="mf" hidden="1">{"'PROFITABILITY'!$A$1:$F$45"}</definedName>
    <definedName name="MG">INDEX(' '!$B$1:$B$16,MATCH(#REF!,' '!$A$1:$A$16,0))</definedName>
    <definedName name="MH">INDEX(' '!$B$1:$B$16,MATCH(#REF!,' '!$A$1:$A$16,0))</definedName>
    <definedName name="MI">INDEX(' '!$B$1:$B$16,MATCH(#REF!,' '!$A$1:$A$16,0))</definedName>
    <definedName name="MJ">INDEX(' '!$B$1:$B$16,MATCH(#REF!,' '!$A$1:$A$16,0))</definedName>
    <definedName name="MK">INDEX(' '!$B$1:$B$16,MATCH(#REF!,' '!$A$1:$A$16,0))</definedName>
    <definedName name="ML">INDEX(' '!$B$1:$B$16,MATCH(#REF!,' '!$A$1:$A$16,0))</definedName>
    <definedName name="MM">INDEX(' '!$B$1:$B$16,MATCH(#REF!,' '!$A$1:$A$16,0))</definedName>
    <definedName name="NA">INDEX(' '!$B$1:$B$16,MATCH(#REF!,' '!$A$1:$A$16,0))</definedName>
    <definedName name="NB">INDEX(' '!$B$1:$B$16,MATCH(#REF!,' '!$A$1:$A$16,0))</definedName>
    <definedName name="NC">INDEX(' '!$B$1:$B$16,MATCH(#REF!,' '!$A$1:$A$16,0))</definedName>
    <definedName name="ND">INDEX(' '!$B$1:$B$16,MATCH(#REF!,' '!$A$1:$A$16,0))</definedName>
    <definedName name="NE">INDEX(' '!$B$1:$B$16,MATCH(#REF!,' '!$A$1:$A$16,0))</definedName>
    <definedName name="NF">INDEX(' '!$B$1:$B$16,MATCH(#REF!,' '!$A$1:$A$16,0))</definedName>
    <definedName name="NG">INDEX(' '!$B$1:$B$16,MATCH(#REF!,' '!$A$1:$A$16,0))</definedName>
    <definedName name="NH">INDEX(' '!$B$1:$B$16,MATCH(#REF!,' '!$A$1:$A$16,0))</definedName>
    <definedName name="NI">INDEX(' '!$B$1:$B$16,MATCH(#REF!,' '!$A$1:$A$16,0))</definedName>
    <definedName name="NJ">INDEX(' '!$B$1:$B$16,MATCH(#REF!,' '!$A$1:$A$16,0))</definedName>
    <definedName name="NK">INDEX(' '!$B$1:$B$16,MATCH(#REF!,' '!$A$1:$A$16,0))</definedName>
    <definedName name="NL">INDEX(' '!$B$1:$B$16,MATCH(#REF!,' '!$A$1:$A$16,0))</definedName>
    <definedName name="NM">INDEX(' '!$B$1:$B$16,MATCH(#REF!,' '!$A$1:$A$16,0))</definedName>
    <definedName name="OA">INDEX(' '!$B$1:$B$16,MATCH(#REF!,' '!$A$1:$A$16,0))</definedName>
    <definedName name="OB">INDEX(' '!$B$1:$B$16,MATCH(#REF!,' '!$A$1:$A$16,0))</definedName>
    <definedName name="OC">INDEX(' '!$B$1:$B$16,MATCH(#REF!,' '!$A$1:$A$16,0))</definedName>
    <definedName name="OD">INDEX(' '!$B$1:$B$16,MATCH(#REF!,' '!$A$1:$A$16,0))</definedName>
    <definedName name="OE">INDEX(' '!$B$1:$B$16,MATCH(#REF!,' '!$A$1:$A$16,0))</definedName>
    <definedName name="OF">INDEX(' '!$B$1:$B$16,MATCH(#REF!,' '!$A$1:$A$16,0))</definedName>
    <definedName name="OG">INDEX(' '!$B$1:$B$16,MATCH(#REF!,' '!$A$1:$A$16,0))</definedName>
    <definedName name="OH">INDEX(' '!$B$1:$B$16,MATCH(#REF!,' '!$A$1:$A$16,0))</definedName>
    <definedName name="OI">INDEX(' '!$B$1:$B$16,MATCH(#REF!,' '!$A$1:$A$16,0))</definedName>
    <definedName name="OJ">INDEX(' '!$B$1:$B$16,MATCH(#REF!,' '!$A$1:$A$16,0))</definedName>
    <definedName name="OK">INDEX(' '!$B$1:$B$16,MATCH(#REF!,' '!$A$1:$A$16,0))</definedName>
    <definedName name="OL">INDEX(' '!$B$1:$B$16,MATCH(#REF!,' '!$A$1:$A$16,0))</definedName>
    <definedName name="OM">INDEX(' '!$B$1:$B$16,MATCH(#REF!,' '!$A$1:$A$16,0))</definedName>
    <definedName name="PA">INDEX(' '!$B$1:$B$16,MATCH(#REF!,' '!$A$1:$A$16,0))</definedName>
    <definedName name="Pal_Workbook_GUID" hidden="1">"E9TT7WTUL973YIQMHP4L53VJ"</definedName>
    <definedName name="PB">INDEX(' '!$B$1:$B$16,MATCH(#REF!,' '!$A$1:$A$16,0))</definedName>
    <definedName name="PC">INDEX(' '!$B$1:$B$16,MATCH(#REF!,' '!$A$1:$A$16,0))</definedName>
    <definedName name="PD">INDEX(' '!$B$1:$B$16,MATCH(#REF!,' '!$A$1:$A$16,0))</definedName>
    <definedName name="PE">INDEX(' '!$B$1:$B$16,MATCH(#REF!,' '!$A$1:$A$16,0))</definedName>
    <definedName name="PF">INDEX(' '!$B$1:$B$16,MATCH(#REF!,' '!$A$1:$A$16,0))</definedName>
    <definedName name="PG">INDEX(' '!$B$1:$B$16,MATCH(#REF!,' '!$A$1:$A$16,0))</definedName>
    <definedName name="PH">INDEX(' '!$B$1:$B$16,MATCH(#REF!,' '!$A$1:$A$16,0))</definedName>
    <definedName name="PI">INDEX(' '!$B$1:$B$16,MATCH(#REF!,' '!$A$1:$A$16,0))</definedName>
    <definedName name="PJ">INDEX(' '!$B$1:$B$16,MATCH(#REF!,' '!$A$1:$A$16,0))</definedName>
    <definedName name="PK">INDEX(' '!$B$1:$B$16,MATCH(#REF!,' '!$A$1:$A$16,0))</definedName>
    <definedName name="PL">INDEX(' '!$B$1:$B$16,MATCH(#REF!,' '!$A$1:$A$16,0))</definedName>
    <definedName name="PM">INDEX(' '!$B$1:$B$16,MATCH(#REF!,' '!$A$1:$A$16,0))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1">'400kV Summery'!$A$1:$M$57</definedName>
    <definedName name="_xlnm.Print_Area" localSheetId="4">'Check Survey'!$A$1:$O$120</definedName>
    <definedName name="_xlnm.Print_Area" localSheetId="13">Foundation!$A$1:$P$234</definedName>
    <definedName name="_xlnm.Print_Area" localSheetId="26">Sheet3!$A$1:$V$219</definedName>
    <definedName name="_xlnm.Print_Area" localSheetId="9">'VC 51-96'!$A$1:$W$212</definedName>
    <definedName name="QA">INDEX(' '!$B$1:$B$16,MATCH(#REF!,' '!$A$1:$A$16,0))</definedName>
    <definedName name="QB">INDEX(' '!$B$1:$B$16,MATCH(#REF!,' '!$A$1:$A$16,0))</definedName>
    <definedName name="QC">INDEX(' '!$B$1:$B$16,MATCH(#REF!,' '!$A$1:$A$16,0))</definedName>
    <definedName name="QD">INDEX(' '!$B$1:$B$16,MATCH(#REF!,' '!$A$1:$A$16,0))</definedName>
    <definedName name="QE">INDEX(' '!$B$1:$B$16,MATCH(#REF!,' '!$A$1:$A$16,0))</definedName>
    <definedName name="QF">INDEX(' '!$B$1:$B$16,MATCH(#REF!,' '!$A$1:$A$16,0))</definedName>
    <definedName name="QG">INDEX(' '!$B$1:$B$16,MATCH(#REF!,' '!$A$1:$A$16,0))</definedName>
    <definedName name="QH">INDEX(' '!$B$1:$B$16,MATCH(#REF!,' '!$A$1:$A$16,0))</definedName>
    <definedName name="QI">INDEX(' '!$B$1:$B$16,MATCH(#REF!,' '!$A$1:$A$16,0))</definedName>
    <definedName name="QJ">INDEX(' '!$B$1:$B$16,MATCH(#REF!,' '!$A$1:$A$16,0))</definedName>
    <definedName name="QK">INDEX(' '!$B$1:$B$16,MATCH(#REF!,' '!$A$1:$A$16,0))</definedName>
    <definedName name="QL">INDEX(' '!$B$1:$B$16,MATCH(#REF!,' '!$A$1:$A$16,0))</definedName>
    <definedName name="QM">INDEX(' '!$B$1:$B$16,MATCH(#REF!,' '!$A$1:$A$16,0))</definedName>
    <definedName name="RA">INDEX(' '!$B$1:$B$16,MATCH(#REF!,' '!$A$1:$A$16,0))</definedName>
    <definedName name="raaa" hidden="1">{"'Sheet1'!$A$4386:$N$4591"}</definedName>
    <definedName name="Radio" hidden="1">{"'PROFITABILITY'!$A$1:$F$45"}</definedName>
    <definedName name="Raj" hidden="1">{"'Sheet1'!$A$4386:$N$4591"}</definedName>
    <definedName name="RB">INDEX(' '!$B$1:$B$16,MATCH(#REF!,' '!$A$1:$A$16,0))</definedName>
    <definedName name="RC_">INDEX(' '!$B$1:$B$16,MATCH(#REF!,' '!$A$1:$A$16,0))</definedName>
    <definedName name="RD">INDEX(' '!$B$1:$B$16,MATCH(#REF!,' '!$A$1:$A$16,0))</definedName>
    <definedName name="RE">INDEX(' '!$B$1:$B$16,MATCH(#REF!,' '!$A$1:$A$16,0))</definedName>
    <definedName name="RF">INDEX(' '!$B$1:$B$16,MATCH(#REF!,' '!$A$1:$A$16,0))</definedName>
    <definedName name="RG">INDEX(' '!$B$1:$B$16,MATCH(#REF!,' '!$A$1:$A$16,0))</definedName>
    <definedName name="RH">INDEX(' '!$B$1:$B$16,MATCH(#REF!,' '!$A$1:$A$16,0))</definedName>
    <definedName name="RI">INDEX(' '!$B$1:$B$16,MATCH(#REF!,' '!$A$1:$A$16,0))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 '!$B$1:$B$16,MATCH(#REF!,' '!$A$1:$A$16,0))</definedName>
    <definedName name="RK">INDEX(' '!$B$1:$B$16,MATCH(#REF!,' '!$A$1:$A$16,0))</definedName>
    <definedName name="RL">INDEX(' '!$B$1:$B$16,MATCH(#REF!,' '!$A$1:$A$16,0))</definedName>
    <definedName name="RM">INDEX(' '!$B$1:$B$16,MATCH(#REF!,' '!$A$1:$A$16,0))</definedName>
    <definedName name="SA">INDEX(' '!$B$1:$B$16,MATCH(#REF!,' '!$A$1:$A$16,0))</definedName>
    <definedName name="SB">INDEX(' '!$B$1:$B$16,MATCH(#REF!,' '!$A$1:$A$16,0))</definedName>
    <definedName name="SC">INDEX(' '!$B$1:$B$16,MATCH(#REF!,' '!$A$1:$A$16,0))</definedName>
    <definedName name="SD">INDEX(' '!$B$1:$B$16,MATCH(#REF!,' '!$A$1:$A$16,0))</definedName>
    <definedName name="SE">INDEX(' '!$B$1:$B$16,MATCH(#REF!,' '!$A$1:$A$16,0))</definedName>
    <definedName name="SF">INDEX(' '!$B$1:$B$16,MATCH(#REF!,' '!$A$1:$A$16,0))</definedName>
    <definedName name="SG">INDEX(' '!$B$1:$B$16,MATCH(#REF!,' '!$A$1:$A$16,0))</definedName>
    <definedName name="SH">INDEX(' '!$B$1:$B$16,MATCH(#REF!,' '!$A$1:$A$16,0))</definedName>
    <definedName name="SI">INDEX(' '!$B$1:$B$16,MATCH(#REF!,' '!$A$1:$A$16,0))</definedName>
    <definedName name="SJ">INDEX(' '!$B$1:$B$16,MATCH(#REF!,' '!$A$1:$A$16,0))</definedName>
    <definedName name="SK">INDEX(' '!$B$1:$B$16,MATCH(#REF!,' '!$A$1:$A$16,0))</definedName>
    <definedName name="SL">INDEX(' '!$B$1:$B$16,MATCH(#REF!,' '!$A$1:$A$16,0))</definedName>
    <definedName name="SM">INDEX(' '!$B$1:$B$16,MATCH(#REF!,' '!$A$1:$A$16,0))</definedName>
    <definedName name="SMP">INDEX(' '!$B$1:$B$16,MATCH(#REF!,' '!$A$1:$A$16,0))</definedName>
    <definedName name="SMPL">INDEX(' '!$B$1:$B$16,MATCH(#REF!,' '!$A$1:$A$16,0))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1" i="69" l="1"/>
  <c r="A117" i="52"/>
  <c r="A118" i="52" s="1"/>
  <c r="A119" i="52" s="1"/>
  <c r="A120" i="52" s="1"/>
  <c r="A121" i="52" s="1"/>
  <c r="A122" i="52" s="1"/>
  <c r="A123" i="52" s="1"/>
  <c r="A124" i="52" s="1"/>
  <c r="A125" i="52" s="1"/>
  <c r="A126" i="52" s="1"/>
  <c r="A224" i="26"/>
  <c r="A225" i="26" s="1"/>
  <c r="A226" i="26" s="1"/>
  <c r="A227" i="26" s="1"/>
  <c r="A228" i="26" s="1"/>
  <c r="A229" i="26" s="1"/>
  <c r="A230" i="26" s="1"/>
  <c r="A231" i="26" s="1"/>
  <c r="A232" i="26" s="1"/>
  <c r="A233" i="26" s="1"/>
  <c r="A234" i="26" s="1"/>
  <c r="F7" i="69"/>
  <c r="F9" i="69"/>
  <c r="F11" i="69"/>
  <c r="F5" i="69"/>
  <c r="A7" i="52"/>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10" i="52" s="1"/>
  <c r="A109" i="52" s="1"/>
  <c r="A111" i="52" s="1"/>
  <c r="A112" i="52" s="1"/>
  <c r="A113" i="52" s="1"/>
  <c r="A114" i="52" s="1"/>
  <c r="A115" i="52" s="1"/>
  <c r="A116" i="52" s="1"/>
  <c r="J17" i="62" l="1"/>
  <c r="D74" i="52"/>
  <c r="D101" i="52"/>
  <c r="D99" i="52"/>
  <c r="D73" i="52" l="1"/>
  <c r="A30" i="32"/>
  <c r="A31" i="32" s="1"/>
  <c r="A32" i="32" s="1"/>
  <c r="A33" i="32" s="1"/>
  <c r="A20" i="32"/>
  <c r="A43" i="62"/>
  <c r="A53" i="62"/>
  <c r="A54" i="62" s="1"/>
  <c r="A55" i="62" s="1"/>
  <c r="A56" i="62" s="1"/>
  <c r="R13" i="33" l="1"/>
  <c r="Q13" i="33"/>
  <c r="O13" i="33"/>
  <c r="M13" i="33"/>
  <c r="J15" i="62" l="1"/>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N309" i="67" s="1"/>
  <c r="AM20" i="67"/>
  <c r="AM309" i="67" s="1"/>
  <c r="N14" i="67"/>
  <c r="N13" i="67"/>
  <c r="N12" i="67"/>
  <c r="N11" i="67"/>
  <c r="N10" i="67"/>
  <c r="N9" i="67"/>
  <c r="N8" i="67"/>
  <c r="A8" i="67"/>
  <c r="A9" i="67" s="1"/>
  <c r="A10" i="67" s="1"/>
  <c r="A11" i="67" s="1"/>
  <c r="A12" i="67" s="1"/>
  <c r="A13" i="67" s="1"/>
  <c r="A14" i="67" s="1"/>
  <c r="A15" i="67" s="1"/>
  <c r="A16" i="67" s="1"/>
  <c r="N7" i="67"/>
  <c r="AB2" i="67"/>
  <c r="J16" i="62" l="1"/>
  <c r="Z73" i="52" l="1"/>
  <c r="D67" i="52" l="1"/>
  <c r="Y73" i="52" l="1"/>
  <c r="Y72" i="52" l="1"/>
  <c r="Y77" i="52" s="1"/>
  <c r="Y83" i="52" l="1"/>
  <c r="Y80" i="52"/>
  <c r="Y81" i="52"/>
  <c r="Y79" i="52"/>
  <c r="Y78" i="52"/>
  <c r="Y84" i="52" s="1"/>
  <c r="D7" i="66" l="1"/>
  <c r="D8" i="66"/>
  <c r="D9" i="66"/>
  <c r="D10" i="66"/>
  <c r="D11" i="66"/>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K17" i="62" l="1"/>
  <c r="K16" i="62"/>
  <c r="E18" i="65" l="1"/>
  <c r="E17" i="65"/>
  <c r="E19" i="65" s="1"/>
  <c r="E12" i="65"/>
  <c r="C6" i="65"/>
  <c r="C7" i="65" s="1"/>
  <c r="C8" i="65" s="1"/>
  <c r="C9" i="65" s="1"/>
  <c r="C10" i="65" s="1"/>
  <c r="C11" i="65" s="1"/>
  <c r="K13" i="62" l="1"/>
  <c r="F13" i="62"/>
  <c r="K15" i="62"/>
  <c r="D90" i="56" l="1"/>
  <c r="M3" i="62" l="1"/>
  <c r="N5" i="26" l="1"/>
  <c r="A3" i="64" l="1"/>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G12" i="62"/>
  <c r="K23" i="62" l="1"/>
  <c r="J22" i="62"/>
  <c r="K22" i="62" s="1"/>
  <c r="J21" i="62"/>
  <c r="K21" i="62" s="1"/>
  <c r="J20" i="62"/>
  <c r="K20" i="62" s="1"/>
  <c r="K19" i="62"/>
  <c r="J18" i="62"/>
  <c r="K18" i="62" s="1"/>
  <c r="K12" i="62"/>
  <c r="K11" i="62"/>
  <c r="L10" i="62"/>
  <c r="M9" i="62" l="1"/>
  <c r="C121" i="56" l="1"/>
  <c r="A102" i="56"/>
  <c r="A103" i="56" s="1"/>
  <c r="A104" i="56" s="1"/>
  <c r="A105" i="56" s="1"/>
  <c r="A106" i="56" s="1"/>
  <c r="A107" i="56" s="1"/>
  <c r="A108" i="56" s="1"/>
  <c r="A109" i="56" s="1"/>
  <c r="A110" i="56" s="1"/>
  <c r="A111" i="56" s="1"/>
  <c r="A112" i="56" s="1"/>
  <c r="A113" i="56" s="1"/>
  <c r="A114" i="56" s="1"/>
  <c r="A115" i="56" s="1"/>
  <c r="A116" i="56" s="1"/>
  <c r="A117" i="56" s="1"/>
  <c r="A118" i="56" s="1"/>
  <c r="A119" i="56" s="1"/>
  <c r="A120" i="56" s="1"/>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E71" i="26" l="1"/>
  <c r="F71" i="26"/>
  <c r="G71" i="26"/>
  <c r="H71" i="26"/>
  <c r="I71" i="26"/>
  <c r="B4" i="60" l="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B3" i="60"/>
  <c r="U30" i="58" l="1"/>
  <c r="T30" i="58"/>
  <c r="T28" i="58"/>
  <c r="T27" i="58"/>
  <c r="T26" i="58"/>
  <c r="T25" i="58"/>
  <c r="S26" i="58"/>
  <c r="R26" i="58"/>
  <c r="S25" i="58"/>
  <c r="R25" i="58"/>
  <c r="F8" i="58"/>
  <c r="S24" i="58"/>
  <c r="R24" i="58"/>
  <c r="S15" i="58" l="1"/>
  <c r="S14" i="58"/>
  <c r="S12" i="58"/>
  <c r="R13" i="58"/>
  <c r="Q13" i="58"/>
  <c r="R12" i="58"/>
  <c r="Q12" i="58"/>
  <c r="R11" i="58"/>
  <c r="Q11" i="58"/>
  <c r="S13" i="58" l="1"/>
  <c r="J11" i="58" l="1"/>
  <c r="F31" i="58" l="1"/>
  <c r="E31" i="58"/>
  <c r="F30" i="58"/>
  <c r="E30" i="58"/>
  <c r="E29" i="58"/>
  <c r="F29" i="58"/>
  <c r="I98" i="26"/>
  <c r="G31" i="58" l="1"/>
  <c r="G33" i="58" s="1"/>
  <c r="G30" i="58"/>
  <c r="G32" i="58" s="1"/>
  <c r="G11" i="58" l="1"/>
  <c r="G10" i="58"/>
  <c r="G9" i="58"/>
  <c r="G8" i="58"/>
  <c r="F9" i="58"/>
  <c r="E8" i="58"/>
  <c r="E9" i="58"/>
  <c r="F7" i="58"/>
  <c r="E7" i="58"/>
  <c r="I97" i="26" l="1"/>
  <c r="H97" i="26"/>
  <c r="G97" i="26"/>
  <c r="F97" i="26"/>
  <c r="E97" i="26"/>
  <c r="E93" i="56" l="1"/>
  <c r="E96" i="56" s="1"/>
  <c r="A69" i="56"/>
  <c r="A70" i="56" s="1"/>
  <c r="A71" i="56" s="1"/>
  <c r="A72" i="56" s="1"/>
  <c r="A73" i="56" s="1"/>
  <c r="A74" i="56" s="1"/>
  <c r="A75" i="56" s="1"/>
  <c r="A76" i="56" s="1"/>
  <c r="A77" i="56" s="1"/>
  <c r="A78" i="56" s="1"/>
  <c r="A79" i="56" s="1"/>
  <c r="A80" i="56" s="1"/>
  <c r="A81" i="56" s="1"/>
  <c r="A82" i="56" s="1"/>
  <c r="A83" i="56" s="1"/>
  <c r="A84" i="56" s="1"/>
  <c r="A85" i="56" s="1"/>
  <c r="A86" i="56" s="1"/>
  <c r="A87" i="56" s="1"/>
  <c r="A88" i="56" s="1"/>
  <c r="A89"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I140" i="26" l="1"/>
  <c r="H140" i="26"/>
  <c r="G140" i="26"/>
  <c r="F140" i="26"/>
  <c r="E140" i="26"/>
  <c r="I88" i="26"/>
  <c r="H88" i="26"/>
  <c r="G88" i="26"/>
  <c r="F88" i="26"/>
  <c r="E88" i="26"/>
  <c r="I76" i="26"/>
  <c r="H76" i="26"/>
  <c r="G76" i="26"/>
  <c r="F76" i="26"/>
  <c r="E76" i="26"/>
  <c r="I73" i="26"/>
  <c r="H73" i="26"/>
  <c r="G73" i="26"/>
  <c r="F73" i="26"/>
  <c r="E73" i="26"/>
  <c r="I66" i="26"/>
  <c r="H66" i="26"/>
  <c r="F66" i="26"/>
  <c r="E66" i="26"/>
  <c r="G66" i="26"/>
  <c r="I90" i="26" l="1"/>
  <c r="I79" i="26"/>
  <c r="I78" i="26"/>
  <c r="I63" i="26"/>
  <c r="H90" i="26"/>
  <c r="G90" i="26"/>
  <c r="F90" i="26"/>
  <c r="E90" i="26"/>
  <c r="H79" i="26"/>
  <c r="G79" i="26"/>
  <c r="F79" i="26"/>
  <c r="E79" i="26"/>
  <c r="H78" i="26"/>
  <c r="G78" i="26"/>
  <c r="F78" i="26"/>
  <c r="E78" i="26"/>
  <c r="F63" i="26"/>
  <c r="E63" i="26"/>
  <c r="H63" i="26"/>
  <c r="G63" i="26"/>
  <c r="E94" i="55" l="1"/>
  <c r="E93" i="55"/>
  <c r="D89" i="55" l="1"/>
  <c r="E92"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22"/>
  <c r="A8" i="22" s="1"/>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I8" i="22"/>
  <c r="N23" i="22"/>
  <c r="I36" i="22"/>
  <c r="C39" i="22"/>
  <c r="A46" i="22"/>
  <c r="A47" i="22"/>
  <c r="A48" i="22"/>
  <c r="A49" i="22"/>
  <c r="A50" i="22"/>
  <c r="A51" i="22"/>
  <c r="A52" i="22"/>
  <c r="A53" i="22" s="1"/>
  <c r="A54" i="22" s="1"/>
  <c r="A55" i="22" s="1"/>
  <c r="A56" i="22" s="1"/>
  <c r="A57" i="22" s="1"/>
  <c r="A58" i="22" s="1"/>
  <c r="A59" i="22" s="1"/>
  <c r="A60" i="22" s="1"/>
  <c r="A61" i="22" s="1"/>
  <c r="D63" i="22"/>
  <c r="I10" i="22" s="1"/>
  <c r="G63" i="22"/>
  <c r="B69" i="22"/>
  <c r="B70" i="22" s="1"/>
  <c r="B71" i="22" s="1"/>
  <c r="B72" i="22" s="1"/>
  <c r="B73" i="22" s="1"/>
  <c r="B74" i="22" s="1"/>
  <c r="B75" i="22" s="1"/>
  <c r="B76" i="22" s="1"/>
  <c r="B77" i="22" s="1"/>
  <c r="B78" i="22" s="1"/>
  <c r="B79" i="22" s="1"/>
  <c r="B80" i="22" s="1"/>
  <c r="B81" i="22" s="1"/>
  <c r="B82" i="22" s="1"/>
  <c r="B83" i="22" s="1"/>
  <c r="B84" i="22" s="1"/>
  <c r="B85" i="22" s="1"/>
  <c r="B86" i="22" s="1"/>
  <c r="D87" i="22"/>
  <c r="E89" i="22"/>
  <c r="E91" i="22"/>
  <c r="E92" i="22"/>
  <c r="E93" i="22"/>
  <c r="A2" i="46" l="1"/>
  <c r="E25" i="51" l="1"/>
  <c r="F25" i="51" s="1"/>
  <c r="F24" i="51"/>
  <c r="F23" i="51"/>
  <c r="D22" i="51"/>
  <c r="E22" i="51" s="1"/>
  <c r="F22" i="51" s="1"/>
  <c r="F20" i="51"/>
  <c r="E10" i="51"/>
  <c r="F10" i="51" s="1"/>
  <c r="F9" i="51"/>
  <c r="M8" i="51"/>
  <c r="F8" i="51"/>
  <c r="D7" i="51"/>
  <c r="E7" i="51" s="1"/>
  <c r="F7" i="51" s="1"/>
  <c r="F5" i="51"/>
  <c r="A39" i="38" l="1"/>
  <c r="A40" i="38"/>
  <c r="A34" i="38"/>
  <c r="A35" i="38"/>
  <c r="A36" i="38"/>
  <c r="A37" i="38" s="1"/>
  <c r="A38" i="38" s="1"/>
  <c r="A10" i="38"/>
  <c r="A8" i="37" l="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H314" i="46" l="1"/>
  <c r="AG314" i="46"/>
  <c r="AF314" i="46"/>
  <c r="N16" i="46"/>
  <c r="N15" i="46"/>
  <c r="N14" i="46"/>
  <c r="N13" i="46"/>
  <c r="N12" i="46"/>
  <c r="N11" i="46"/>
  <c r="N10" i="46"/>
  <c r="N9" i="46"/>
  <c r="A9" i="46"/>
  <c r="A10" i="46" s="1"/>
  <c r="A11" i="46" s="1"/>
  <c r="A12" i="46" s="1"/>
  <c r="A13" i="46" s="1"/>
  <c r="A14" i="46" s="1"/>
  <c r="A15" i="46" s="1"/>
  <c r="A16" i="46" s="1"/>
  <c r="N8" i="46"/>
  <c r="B6" i="45" l="1"/>
  <c r="B7" i="45"/>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H42" i="45"/>
  <c r="F42" i="45"/>
  <c r="G42" i="45"/>
  <c r="AB188" i="42" l="1"/>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I219" i="43" l="1"/>
  <c r="G216" i="43"/>
  <c r="E216" i="43"/>
  <c r="C216" i="43"/>
  <c r="J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AQ185" i="42" l="1"/>
  <c r="AQ177" i="42"/>
  <c r="AQ172" i="42"/>
  <c r="AQ164" i="42"/>
  <c r="AQ156" i="42"/>
  <c r="AQ147" i="42"/>
  <c r="AQ138" i="42"/>
  <c r="AQ129" i="42"/>
  <c r="AQ121" i="42"/>
  <c r="AQ114" i="42"/>
  <c r="AQ105" i="42"/>
  <c r="AQ97" i="42"/>
  <c r="AQ89" i="42"/>
  <c r="AQ81" i="42"/>
  <c r="AQ73" i="42"/>
  <c r="AQ65" i="42"/>
  <c r="AQ57" i="42"/>
  <c r="AQ49" i="42"/>
  <c r="AQ41" i="42"/>
  <c r="AQ32" i="42"/>
  <c r="AQ22" i="42"/>
  <c r="AQ12" i="42"/>
  <c r="AP185" i="42"/>
  <c r="AP177" i="42"/>
  <c r="AP172" i="42"/>
  <c r="AP164" i="42"/>
  <c r="AP156" i="42"/>
  <c r="AP147" i="42"/>
  <c r="AP138" i="42"/>
  <c r="AP129" i="42"/>
  <c r="AP121" i="42"/>
  <c r="AP114" i="42"/>
  <c r="AP105" i="42"/>
  <c r="AP97" i="42"/>
  <c r="AP89" i="42"/>
  <c r="AP81" i="42"/>
  <c r="AP73" i="42"/>
  <c r="AP65" i="42"/>
  <c r="AP57" i="42"/>
  <c r="AP49" i="42"/>
  <c r="AP41" i="42"/>
  <c r="AP32" i="42"/>
  <c r="AP22" i="42"/>
  <c r="AP12" i="42"/>
  <c r="AO185" i="42"/>
  <c r="AO177" i="42"/>
  <c r="AO172" i="42"/>
  <c r="AO164" i="42"/>
  <c r="AO156" i="42"/>
  <c r="AO147" i="42"/>
  <c r="AO138" i="42"/>
  <c r="AO129" i="42"/>
  <c r="AO121" i="42"/>
  <c r="AO114" i="42"/>
  <c r="AO105" i="42"/>
  <c r="AO89" i="42"/>
  <c r="AO81" i="42"/>
  <c r="AO73" i="42"/>
  <c r="AO65" i="42"/>
  <c r="AO57" i="42"/>
  <c r="AO49" i="42"/>
  <c r="AO41" i="42"/>
  <c r="AO32" i="42"/>
  <c r="AO22" i="42"/>
  <c r="AO12" i="42"/>
  <c r="AN185" i="42"/>
  <c r="AN177" i="42"/>
  <c r="AN172" i="42"/>
  <c r="AN164" i="42"/>
  <c r="AN156" i="42"/>
  <c r="AN147" i="42"/>
  <c r="AN138" i="42"/>
  <c r="AN129" i="42"/>
  <c r="AN121" i="42"/>
  <c r="AN114" i="42"/>
  <c r="AN105" i="42"/>
  <c r="AN97" i="42"/>
  <c r="AN89" i="42"/>
  <c r="AN81" i="42"/>
  <c r="AN73" i="42"/>
  <c r="AN65" i="42"/>
  <c r="AN57" i="42"/>
  <c r="AN41" i="42"/>
  <c r="AN32" i="42"/>
  <c r="AN22" i="42"/>
  <c r="AN12" i="42"/>
  <c r="AL185" i="42"/>
  <c r="AL177" i="42"/>
  <c r="AL172" i="42"/>
  <c r="AL164" i="42"/>
  <c r="AL156" i="42"/>
  <c r="AL147" i="42"/>
  <c r="AL138" i="42"/>
  <c r="AL129" i="42"/>
  <c r="AL121" i="42"/>
  <c r="AL114" i="42"/>
  <c r="AL105" i="42"/>
  <c r="AL97" i="42"/>
  <c r="AL89" i="42"/>
  <c r="AL81" i="42"/>
  <c r="AL73" i="42"/>
  <c r="AL65" i="42"/>
  <c r="AL57" i="42"/>
  <c r="AL49" i="42"/>
  <c r="AL41" i="42"/>
  <c r="AL32" i="42"/>
  <c r="AL22" i="42"/>
  <c r="AL12" i="42"/>
  <c r="AK185" i="42"/>
  <c r="AK177" i="42"/>
  <c r="AK172" i="42"/>
  <c r="AK164" i="42"/>
  <c r="AK156" i="42"/>
  <c r="AK147" i="42"/>
  <c r="AK138" i="42"/>
  <c r="AK129" i="42"/>
  <c r="AK121" i="42"/>
  <c r="AK114" i="42"/>
  <c r="AK105" i="42"/>
  <c r="AK97" i="42"/>
  <c r="AK89" i="42"/>
  <c r="AK81" i="42"/>
  <c r="AK73" i="42"/>
  <c r="AK65" i="42"/>
  <c r="AK57" i="42"/>
  <c r="AK49" i="42"/>
  <c r="AK41" i="42"/>
  <c r="AK32" i="42"/>
  <c r="AK22" i="42"/>
  <c r="AK12" i="42"/>
  <c r="AJ185" i="42"/>
  <c r="AJ177" i="42"/>
  <c r="AJ172" i="42"/>
  <c r="AJ164" i="42"/>
  <c r="AJ156" i="42"/>
  <c r="AJ147" i="42"/>
  <c r="AJ138" i="42"/>
  <c r="AJ129" i="42"/>
  <c r="AJ121" i="42"/>
  <c r="AJ114" i="42"/>
  <c r="AJ105" i="42"/>
  <c r="AJ89" i="42"/>
  <c r="AJ81" i="42"/>
  <c r="AJ73" i="42"/>
  <c r="AJ65" i="42"/>
  <c r="AJ57" i="42"/>
  <c r="AJ49" i="42"/>
  <c r="AJ41" i="42"/>
  <c r="AJ32" i="42"/>
  <c r="AJ22" i="42"/>
  <c r="AJ12" i="42"/>
  <c r="AI185" i="42"/>
  <c r="AI177" i="42"/>
  <c r="AI172" i="42"/>
  <c r="AI164" i="42"/>
  <c r="AI156" i="42"/>
  <c r="AI147" i="42"/>
  <c r="AI138" i="42"/>
  <c r="AI129" i="42"/>
  <c r="AI121" i="42"/>
  <c r="AI114" i="42"/>
  <c r="AI105" i="42"/>
  <c r="AI97" i="42"/>
  <c r="AI89" i="42"/>
  <c r="AI81" i="42"/>
  <c r="AI73" i="42"/>
  <c r="AI65" i="42"/>
  <c r="AI57" i="42"/>
  <c r="AI41" i="42"/>
  <c r="AI32" i="42"/>
  <c r="AI22" i="42"/>
  <c r="AI12" i="42"/>
  <c r="AG185" i="42"/>
  <c r="AF185" i="42"/>
  <c r="AE185" i="42"/>
  <c r="AD185" i="42"/>
  <c r="AG177" i="42"/>
  <c r="AF177" i="42"/>
  <c r="AE177" i="42"/>
  <c r="AD177" i="42"/>
  <c r="AG172" i="42"/>
  <c r="AF172" i="42"/>
  <c r="AE172" i="42"/>
  <c r="AD172" i="42"/>
  <c r="AG164" i="42"/>
  <c r="AF164" i="42"/>
  <c r="AE164" i="42"/>
  <c r="AD164" i="42"/>
  <c r="AG156" i="42"/>
  <c r="AF156" i="42"/>
  <c r="AE156" i="42"/>
  <c r="AD156" i="42"/>
  <c r="AG147" i="42"/>
  <c r="AF147" i="42"/>
  <c r="AE147" i="42"/>
  <c r="AD147" i="42"/>
  <c r="AG138" i="42"/>
  <c r="AF138" i="42"/>
  <c r="AE138" i="42"/>
  <c r="AD138" i="42"/>
  <c r="AG129" i="42"/>
  <c r="AF129" i="42"/>
  <c r="AE129" i="42"/>
  <c r="AD129" i="42"/>
  <c r="AG121" i="42"/>
  <c r="AF121" i="42"/>
  <c r="AE121" i="42"/>
  <c r="AD121" i="42"/>
  <c r="AG114" i="42"/>
  <c r="AF114" i="42"/>
  <c r="AE114" i="42"/>
  <c r="AD114" i="42"/>
  <c r="AG105" i="42"/>
  <c r="AF105" i="42"/>
  <c r="AE105" i="42"/>
  <c r="AD105" i="42"/>
  <c r="AG97" i="42"/>
  <c r="AF97" i="42"/>
  <c r="AE97" i="42"/>
  <c r="AD97" i="42"/>
  <c r="AG89" i="42"/>
  <c r="AF89" i="42"/>
  <c r="AE89" i="42"/>
  <c r="AD89" i="42"/>
  <c r="AG81" i="42"/>
  <c r="AF81" i="42"/>
  <c r="AE81" i="42"/>
  <c r="AD81" i="42"/>
  <c r="AG73" i="42"/>
  <c r="AF73" i="42"/>
  <c r="AE73" i="42"/>
  <c r="AD73" i="42"/>
  <c r="AG65" i="42"/>
  <c r="AF65" i="42"/>
  <c r="AE65" i="42"/>
  <c r="AD65" i="42"/>
  <c r="AG57" i="42"/>
  <c r="AF57" i="42"/>
  <c r="AE57" i="42"/>
  <c r="AD57" i="42"/>
  <c r="AG49" i="42"/>
  <c r="AF49" i="42"/>
  <c r="AE49" i="42"/>
  <c r="AG41" i="42"/>
  <c r="AF41" i="42"/>
  <c r="AE41" i="42"/>
  <c r="AD41" i="42"/>
  <c r="AG32" i="42"/>
  <c r="AF32" i="42"/>
  <c r="AE32" i="42"/>
  <c r="AD32" i="42"/>
  <c r="AG12" i="42"/>
  <c r="AF12" i="42"/>
  <c r="AE12" i="42"/>
  <c r="AD12" i="42"/>
  <c r="AG22" i="42"/>
  <c r="AF22" i="42"/>
  <c r="AE22" i="42"/>
  <c r="AD22" i="42"/>
  <c r="AO97" i="42"/>
  <c r="AJ97" i="42"/>
  <c r="AA185" i="42"/>
  <c r="Z185" i="42"/>
  <c r="Y185" i="42"/>
  <c r="X185" i="42"/>
  <c r="AA177" i="42"/>
  <c r="Z177" i="42"/>
  <c r="Y177" i="42"/>
  <c r="X177" i="42"/>
  <c r="AA172" i="42"/>
  <c r="Z172" i="42"/>
  <c r="Y172" i="42"/>
  <c r="X172" i="42"/>
  <c r="AA164" i="42"/>
  <c r="Z164" i="42"/>
  <c r="Y164" i="42"/>
  <c r="X164" i="42"/>
  <c r="AA156" i="42"/>
  <c r="Z156" i="42"/>
  <c r="Y156" i="42"/>
  <c r="X156" i="42"/>
  <c r="AA147" i="42"/>
  <c r="Z147" i="42"/>
  <c r="Y147" i="42"/>
  <c r="AA138" i="42"/>
  <c r="Z138" i="42"/>
  <c r="Y138" i="42"/>
  <c r="X138" i="42"/>
  <c r="AA129" i="42"/>
  <c r="Z129" i="42"/>
  <c r="Y129" i="42"/>
  <c r="X129" i="42"/>
  <c r="AA121" i="42"/>
  <c r="Z121" i="42"/>
  <c r="Y121" i="42"/>
  <c r="X121" i="42"/>
  <c r="AA114" i="42"/>
  <c r="Z114" i="42"/>
  <c r="Y114" i="42"/>
  <c r="X114" i="42"/>
  <c r="AA105" i="42"/>
  <c r="Z105" i="42"/>
  <c r="Y105" i="42"/>
  <c r="X105" i="42"/>
  <c r="AA97" i="42"/>
  <c r="Z97" i="42"/>
  <c r="Y97" i="42"/>
  <c r="AA89" i="42"/>
  <c r="Z89" i="42"/>
  <c r="Y89" i="42"/>
  <c r="X89" i="42"/>
  <c r="AA81" i="42"/>
  <c r="Z81" i="42"/>
  <c r="Y81" i="42"/>
  <c r="AA73" i="42"/>
  <c r="Z73" i="42"/>
  <c r="Y73" i="42"/>
  <c r="X73" i="42"/>
  <c r="AA65" i="42"/>
  <c r="Z65" i="42"/>
  <c r="Y65" i="42"/>
  <c r="X65" i="42"/>
  <c r="AA57" i="42"/>
  <c r="Z57" i="42"/>
  <c r="Y57" i="42"/>
  <c r="X57" i="42"/>
  <c r="X32" i="42"/>
  <c r="AA22" i="42"/>
  <c r="AA12" i="42"/>
  <c r="Y12" i="42"/>
  <c r="X12" i="42"/>
  <c r="X22" i="42"/>
  <c r="X41" i="42"/>
  <c r="X97" i="42"/>
  <c r="X147" i="42"/>
  <c r="X81" i="42"/>
  <c r="AA32" i="42"/>
  <c r="Z32" i="42"/>
  <c r="Y32" i="42"/>
  <c r="AA49" i="42"/>
  <c r="Z49" i="42"/>
  <c r="Z41" i="42"/>
  <c r="Z22" i="42"/>
  <c r="Z12" i="42"/>
  <c r="Y49" i="42"/>
  <c r="Y22" i="42"/>
  <c r="AA41" i="42"/>
  <c r="Y41" i="42"/>
  <c r="AG188" i="42" l="1"/>
  <c r="AL188" i="42"/>
  <c r="AO188" i="42"/>
  <c r="Z188" i="42"/>
  <c r="AA188" i="42"/>
  <c r="Y188" i="42"/>
  <c r="AE188" i="42"/>
  <c r="AK188" i="42"/>
  <c r="AQ188" i="42"/>
  <c r="AP188" i="42"/>
  <c r="AJ188" i="42"/>
  <c r="AF188" i="42"/>
  <c r="J6" i="42" l="1"/>
  <c r="V58" i="42" l="1"/>
  <c r="G6" i="36" l="1"/>
  <c r="F22" i="33"/>
  <c r="E22" i="33"/>
  <c r="F21" i="33"/>
  <c r="F20" i="33"/>
  <c r="F19" i="33"/>
  <c r="E19" i="33"/>
  <c r="D19" i="33"/>
  <c r="F17"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V109" i="42"/>
  <c r="D101" i="42"/>
  <c r="V100" i="42"/>
  <c r="V92" i="42"/>
  <c r="V66" i="42"/>
  <c r="V49" i="42"/>
  <c r="V37" i="42"/>
  <c r="V28" i="42"/>
  <c r="V19"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Q6" i="42"/>
  <c r="N6" i="42"/>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D49" i="42" l="1"/>
  <c r="AD188" i="42" s="1"/>
  <c r="AH188" i="42" s="1"/>
  <c r="X49" i="42"/>
  <c r="X188" i="42" s="1"/>
  <c r="AI49" i="42"/>
  <c r="AI188" i="42" s="1"/>
  <c r="AM188" i="42" s="1"/>
  <c r="AN49" i="42"/>
  <c r="AN188" i="42" s="1"/>
  <c r="AR188" i="42" s="1"/>
  <c r="B150" i="42"/>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V51" i="42"/>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AE195" i="42" l="1"/>
  <c r="A11" i="38"/>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alcChain>
</file>

<file path=xl/sharedStrings.xml><?xml version="1.0" encoding="utf-8"?>
<sst xmlns="http://schemas.openxmlformats.org/spreadsheetml/2006/main" count="12395" uniqueCount="1888">
  <si>
    <t>FDNEREERTINSSTR</t>
  </si>
  <si>
    <t>FDNWIPEREERTINSSTR</t>
  </si>
  <si>
    <t>FDNComEREERTINSSTR</t>
  </si>
  <si>
    <t>FDNComEREERTComINSSTR</t>
  </si>
  <si>
    <t>FDNComEREWIPERTINSSTR</t>
  </si>
  <si>
    <t>FDNComEREWIPERTCOMINSSTR</t>
  </si>
  <si>
    <t>FDNComEREComERTINSSTR</t>
  </si>
  <si>
    <t>FDNComEREComERTComINSSTR</t>
  </si>
  <si>
    <t>FDNComEREComERTINSComSTR</t>
  </si>
  <si>
    <t>FDNComEREComERTComINSComSTR</t>
  </si>
  <si>
    <t>FDNComEREComERTINSComSTRCom</t>
  </si>
  <si>
    <t>FDNComEREComERTComINSComSTRCom</t>
  </si>
  <si>
    <t>FDNComEREROWERTINSSTR</t>
  </si>
  <si>
    <t>FDNROWEREERTINSSTR</t>
  </si>
  <si>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</si>
  <si>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</si>
  <si>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</si>
  <si>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</si>
  <si>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</si>
  <si>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</si>
  <si>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</si>
  <si>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</si>
  <si>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</si>
  <si>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</si>
  <si>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</si>
  <si>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</si>
  <si>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</si>
  <si>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</si>
  <si>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</si>
  <si>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</si>
  <si>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</si>
  <si>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</si>
  <si>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</si>
  <si>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</si>
  <si>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</si>
  <si>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</si>
  <si>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</si>
  <si>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</si>
  <si>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</si>
  <si>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</si>
  <si>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</si>
  <si>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</si>
  <si>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</si>
  <si>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</si>
  <si>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</si>
  <si>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</si>
  <si>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</si>
  <si>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</si>
  <si>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</si>
  <si>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</si>
  <si>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</si>
  <si>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</si>
  <si>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</si>
  <si>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</si>
  <si>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</si>
  <si>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</si>
  <si>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</si>
  <si>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</si>
  <si>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</si>
  <si>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</si>
  <si>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</si>
  <si>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</si>
  <si>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</si>
  <si>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</si>
  <si>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</si>
  <si>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</si>
  <si>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</si>
  <si>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</si>
  <si>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</si>
  <si>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</si>
  <si>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</si>
  <si>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</si>
  <si>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</si>
  <si>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</si>
  <si>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</si>
  <si>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</si>
  <si>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</si>
  <si>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</si>
  <si>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</si>
  <si>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</si>
  <si>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</si>
  <si>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</si>
  <si>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</si>
  <si>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</si>
  <si>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</si>
  <si>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</si>
  <si>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</si>
  <si>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</si>
  <si>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</si>
  <si>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</si>
  <si>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</si>
  <si>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</si>
  <si>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</si>
  <si>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</si>
  <si>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</si>
  <si>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</si>
  <si>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</si>
  <si>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</si>
  <si>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</si>
  <si>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</si>
  <si>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</si>
  <si>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</si>
  <si>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</si>
  <si>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</si>
  <si>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</si>
  <si>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</si>
  <si>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</si>
  <si>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</si>
  <si>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</si>
  <si>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</si>
  <si>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</si>
  <si>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</si>
  <si>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</si>
  <si>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</si>
  <si>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</si>
  <si>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</si>
  <si>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</si>
  <si>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</si>
  <si>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</si>
  <si>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</si>
  <si>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</si>
  <si>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</si>
  <si>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</si>
  <si>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</si>
  <si>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</si>
  <si>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</si>
  <si>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</si>
  <si>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</si>
  <si>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</si>
  <si>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</si>
  <si>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</si>
  <si>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</si>
  <si>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</si>
  <si>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</si>
  <si>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</si>
  <si>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</si>
  <si>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</si>
  <si>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</si>
  <si>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</si>
  <si>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</si>
  <si>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</si>
  <si>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</si>
  <si>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</si>
  <si>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</si>
  <si>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</si>
  <si>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</si>
  <si>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</si>
  <si>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</si>
  <si>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</si>
  <si>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</si>
  <si>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</si>
  <si>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</si>
  <si>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</si>
  <si>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</si>
  <si>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</si>
  <si>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</si>
  <si>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</si>
  <si>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</si>
  <si>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</si>
  <si>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</si>
  <si>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</si>
  <si>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</si>
  <si>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</si>
  <si>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</si>
  <si>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</si>
  <si>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</si>
  <si>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</si>
  <si>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</si>
  <si>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</si>
  <si>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</si>
  <si>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</si>
  <si>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</si>
  <si>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</si>
  <si>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</si>
  <si>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</si>
  <si>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</si>
  <si>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</si>
  <si>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</si>
  <si>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</si>
  <si>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</si>
  <si>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</si>
  <si>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</si>
  <si>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</si>
  <si>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</si>
  <si>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</si>
  <si>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</si>
  <si>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</si>
  <si>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</si>
  <si>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</si>
  <si>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</si>
  <si>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</si>
  <si>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</si>
  <si>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</si>
  <si>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</si>
  <si>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</si>
  <si>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</si>
  <si>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</si>
  <si>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</si>
  <si>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</si>
  <si>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</si>
  <si>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</si>
  <si>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</si>
  <si>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</si>
  <si>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</si>
  <si>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</si>
  <si>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</si>
  <si>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</si>
  <si>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</si>
  <si>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</si>
  <si>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</si>
  <si>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</si>
  <si>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</si>
  <si>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</si>
  <si>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</si>
  <si>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</si>
  <si>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</si>
  <si>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</si>
  <si>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</si>
  <si>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</si>
  <si>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</si>
  <si>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</si>
  <si>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</si>
  <si>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</si>
  <si>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</si>
  <si>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</si>
  <si>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</si>
  <si>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</si>
  <si>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</si>
  <si>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</si>
  <si>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</si>
  <si>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</si>
  <si>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</si>
  <si>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</si>
  <si>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</si>
  <si>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</si>
  <si>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</si>
  <si>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</si>
  <si>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</si>
  <si>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</si>
  <si>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</si>
  <si>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</si>
  <si>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</si>
  <si>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</si>
  <si>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</si>
  <si>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</si>
  <si>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</si>
  <si>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</si>
  <si>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</si>
  <si>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</si>
  <si>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</si>
  <si>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</si>
  <si>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</si>
  <si>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</si>
  <si>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</si>
  <si>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</si>
  <si>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</si>
  <si>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</si>
  <si>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</si>
  <si>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</si>
  <si>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</si>
  <si>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</si>
  <si>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</si>
  <si>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</si>
  <si>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</si>
  <si>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</si>
  <si>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</si>
  <si>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</si>
  <si>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</si>
  <si>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</si>
  <si>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</si>
  <si>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</si>
  <si>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</si>
  <si>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</si>
  <si>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</si>
  <si>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</si>
  <si>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</si>
  <si>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</si>
  <si>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</si>
  <si>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</si>
  <si>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</si>
  <si>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</si>
  <si>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</si>
  <si>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</si>
  <si>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</si>
  <si>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</si>
  <si>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</si>
  <si>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</si>
  <si>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</si>
  <si>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</si>
  <si>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</si>
  <si>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</si>
  <si>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</si>
  <si>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</si>
  <si>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</si>
  <si>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</si>
  <si>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</si>
  <si>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</si>
  <si>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</si>
  <si>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</si>
  <si>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</si>
  <si>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</si>
  <si>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</si>
  <si>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</si>
  <si>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</si>
  <si>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</si>
  <si>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</si>
  <si>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</si>
  <si>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</si>
  <si>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</si>
  <si>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</si>
  <si>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</si>
  <si>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</si>
  <si>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</si>
  <si>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</si>
  <si>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</si>
  <si>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</si>
  <si>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</si>
  <si>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</si>
  <si>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</si>
  <si>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</si>
  <si>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</si>
  <si>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</si>
  <si>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</si>
  <si>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</si>
  <si>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</si>
  <si>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</si>
  <si>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</si>
  <si>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</si>
  <si>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</si>
  <si>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</si>
  <si>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</si>
  <si>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</si>
  <si>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</si>
  <si>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</si>
  <si>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</si>
  <si>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</si>
  <si>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</si>
  <si>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</si>
  <si>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</si>
  <si>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</si>
  <si>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</si>
  <si>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</si>
  <si>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</si>
  <si>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</si>
  <si>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</si>
  <si>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</si>
  <si>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</si>
  <si>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</si>
  <si>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</si>
  <si>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</si>
  <si>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</si>
  <si>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</si>
  <si>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</si>
  <si>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</si>
  <si>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</si>
  <si>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</si>
  <si>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</si>
  <si>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</si>
  <si>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</si>
  <si>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</si>
  <si>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</si>
  <si>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</si>
  <si>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</si>
  <si>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</si>
  <si>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</si>
  <si>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</si>
  <si>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</si>
  <si>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</si>
  <si>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</si>
  <si>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</si>
  <si>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</si>
  <si>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</si>
  <si>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</si>
  <si>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</si>
  <si>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</si>
  <si>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</si>
  <si>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</si>
  <si>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</si>
  <si>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</si>
  <si>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</si>
  <si>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</si>
  <si>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</si>
  <si>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</si>
  <si>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</si>
  <si>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</si>
  <si>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</si>
  <si>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</si>
  <si>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</si>
  <si>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</si>
  <si>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</si>
  <si>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</si>
  <si>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</si>
  <si>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</si>
  <si>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</si>
  <si>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</si>
  <si>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</si>
  <si>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</si>
  <si>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</si>
  <si>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</si>
  <si>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</si>
  <si>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</si>
  <si>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</si>
  <si>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</si>
  <si>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</si>
  <si>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</si>
  <si>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</si>
  <si>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</si>
  <si>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</si>
  <si>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</si>
  <si>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</si>
  <si>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</si>
  <si>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</si>
  <si>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</si>
  <si>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</si>
  <si>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</si>
  <si>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</si>
  <si>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</si>
  <si>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</si>
  <si>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</si>
  <si>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</si>
  <si>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</si>
  <si>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</si>
  <si>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</si>
  <si>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</si>
  <si>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</si>
  <si>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</si>
  <si>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</si>
  <si>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</si>
  <si>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</si>
  <si>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</si>
  <si>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</si>
  <si>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</si>
  <si>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</si>
  <si>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</si>
  <si>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</si>
  <si>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</si>
  <si>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</si>
  <si>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</si>
  <si>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</si>
  <si>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</si>
  <si>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</si>
  <si>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</si>
  <si>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</si>
  <si>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</si>
  <si>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</si>
  <si>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</si>
  <si>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</si>
  <si>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</si>
  <si>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</si>
  <si>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</si>
  <si>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</si>
  <si>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</si>
  <si>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</si>
  <si>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</si>
  <si>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</si>
  <si>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</si>
  <si>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</si>
  <si>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</si>
  <si>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</si>
  <si>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</si>
  <si>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</si>
  <si>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</si>
  <si>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</si>
  <si>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</si>
  <si>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</si>
  <si>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</si>
  <si>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</si>
  <si>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</si>
  <si>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</si>
  <si>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</si>
  <si>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</si>
  <si>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</si>
  <si>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</si>
  <si>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</si>
  <si>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</si>
  <si>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</si>
  <si>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</si>
  <si>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</si>
  <si>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</si>
  <si>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</si>
  <si>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</si>
  <si>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</si>
  <si>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</si>
  <si>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</si>
  <si>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</si>
  <si>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</si>
  <si>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</si>
  <si>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</si>
  <si>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</si>
  <si>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</si>
  <si>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</si>
  <si>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</si>
  <si>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</si>
  <si>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</si>
  <si>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</si>
  <si>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</si>
  <si>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</si>
  <si>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</si>
  <si>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</si>
  <si>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</si>
  <si>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</si>
  <si>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</si>
  <si>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</si>
  <si>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</si>
  <si>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</si>
  <si>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</si>
  <si>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</si>
  <si>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</si>
  <si>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</si>
  <si>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</si>
  <si>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</si>
  <si>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</si>
  <si>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</si>
  <si>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</si>
  <si>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</si>
  <si>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</si>
  <si>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</si>
  <si>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</si>
  <si>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</si>
  <si>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</si>
  <si>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</si>
  <si>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</si>
  <si>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</si>
  <si>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</si>
  <si>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</si>
  <si>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</si>
  <si>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</si>
  <si>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</si>
  <si>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</si>
  <si>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</si>
  <si>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</si>
  <si>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</si>
  <si>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</si>
  <si>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</si>
  <si>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</si>
  <si>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</si>
  <si>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</si>
  <si>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</si>
  <si>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</si>
  <si>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</si>
  <si>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</si>
  <si>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</si>
  <si>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</si>
  <si>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</si>
  <si>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</si>
  <si>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</si>
  <si>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</si>
  <si>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</si>
  <si>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</si>
  <si>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</si>
  <si>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</si>
  <si>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</si>
  <si>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</si>
  <si>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</si>
  <si>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</si>
  <si>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</si>
  <si>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</si>
  <si>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</si>
  <si>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</si>
  <si>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</si>
  <si>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</si>
  <si>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</si>
  <si>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</si>
  <si>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</si>
  <si>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</si>
  <si>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</si>
  <si>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</si>
  <si>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</si>
  <si>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</si>
  <si>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</si>
  <si>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</si>
  <si>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</si>
  <si>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</si>
  <si>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</si>
  <si>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</si>
  <si>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</si>
  <si>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</si>
  <si>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</si>
  <si>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</si>
  <si>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</si>
  <si>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</si>
  <si>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</si>
  <si>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</si>
  <si>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</si>
  <si>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</si>
  <si>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</si>
  <si>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</si>
  <si>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</si>
  <si>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</si>
  <si>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</si>
  <si>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</si>
  <si>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</si>
  <si>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</si>
  <si>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</si>
  <si>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</si>
  <si>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</si>
  <si>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</si>
  <si>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</si>
  <si>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</si>
  <si>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</si>
  <si>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</si>
  <si>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</si>
  <si>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</si>
  <si>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</si>
  <si>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</si>
  <si>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</si>
  <si>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</si>
  <si>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</si>
  <si>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</si>
  <si>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</si>
  <si>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</si>
  <si>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</si>
  <si>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</si>
  <si>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</si>
  <si>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</si>
  <si>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</si>
  <si>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</si>
  <si>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</si>
  <si>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</si>
  <si>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</si>
  <si>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</si>
  <si>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</si>
  <si>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</si>
  <si>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</si>
  <si>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</si>
  <si>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</si>
  <si>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</si>
  <si>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</si>
  <si>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</si>
  <si>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</si>
  <si>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</si>
  <si>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</si>
  <si>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</si>
  <si>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</si>
  <si>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</si>
  <si>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</si>
  <si>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</si>
  <si>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</si>
  <si>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</si>
  <si>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</si>
  <si>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</si>
  <si>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</si>
  <si>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</si>
  <si>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</si>
  <si>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</si>
  <si>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</si>
  <si>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</si>
  <si>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</si>
  <si>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</si>
  <si>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</si>
  <si>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</si>
  <si>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</si>
  <si>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</si>
  <si>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</si>
  <si>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</si>
  <si>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</si>
  <si>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</si>
  <si>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</si>
  <si>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</si>
  <si>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</si>
  <si>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</si>
  <si>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</si>
  <si>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</si>
  <si>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</si>
  <si>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</si>
  <si>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</si>
  <si>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</si>
  <si>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</si>
  <si>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</si>
  <si>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</si>
  <si>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</si>
  <si>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</si>
  <si>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</si>
  <si>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</si>
  <si>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</si>
  <si>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</si>
  <si>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</si>
  <si>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</si>
  <si>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</si>
  <si>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</si>
  <si>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</si>
  <si>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</si>
  <si>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</si>
  <si>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</si>
  <si>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</si>
  <si>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</si>
  <si>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</si>
  <si>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</si>
  <si>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</si>
  <si>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</si>
  <si>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</si>
  <si>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</si>
  <si>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</si>
  <si>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</si>
  <si>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</si>
  <si>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</si>
  <si>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</si>
  <si>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</si>
  <si>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</si>
  <si>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</si>
  <si>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</si>
  <si>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</si>
  <si>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</si>
  <si>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</si>
  <si>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</si>
  <si>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</si>
  <si>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</si>
  <si>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</si>
  <si>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</si>
  <si>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</si>
  <si>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</si>
  <si>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</si>
  <si>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</si>
  <si>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</si>
  <si>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</si>
  <si>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</si>
  <si>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</si>
  <si>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</si>
  <si>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</si>
  <si>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</si>
  <si>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</si>
  <si>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</si>
  <si>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</si>
  <si>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</si>
  <si>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</si>
  <si>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</si>
  <si>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</si>
  <si>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</si>
  <si>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</si>
  <si>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</si>
  <si>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</si>
  <si>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</si>
  <si>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</si>
  <si>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</si>
  <si>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</si>
  <si>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</si>
  <si>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</si>
  <si>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</si>
  <si>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</si>
  <si>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</si>
  <si>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</si>
  <si>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</si>
  <si>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</si>
  <si>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</si>
  <si>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</si>
  <si>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</si>
  <si>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</si>
  <si>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</si>
  <si>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</si>
  <si>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</si>
  <si>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</si>
  <si>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</si>
  <si>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</si>
  <si>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</si>
  <si>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</si>
  <si>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</si>
  <si>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</si>
  <si>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</si>
  <si>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</si>
  <si>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</si>
  <si>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</si>
  <si>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</si>
  <si>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</si>
  <si>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</si>
  <si>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</si>
  <si>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</si>
  <si>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</si>
  <si>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</si>
  <si>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</si>
  <si>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</si>
  <si>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</si>
  <si>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</si>
  <si>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</si>
  <si>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</si>
  <si>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</si>
  <si>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</si>
  <si>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</si>
  <si>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</si>
  <si>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</si>
  <si>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</si>
  <si>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</si>
  <si>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</si>
  <si>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</si>
  <si>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</si>
  <si>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</si>
  <si>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</si>
  <si>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</si>
  <si>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</si>
  <si>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</si>
  <si>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</si>
  <si>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</si>
  <si>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</si>
  <si>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</si>
  <si>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</si>
  <si>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</si>
  <si>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</si>
  <si>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</si>
  <si>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</si>
  <si>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</si>
  <si>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</si>
  <si>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</si>
  <si>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</si>
  <si>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</si>
  <si>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</si>
  <si>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</si>
  <si>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</si>
  <si>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</si>
  <si>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</si>
  <si>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</si>
  <si>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</si>
  <si>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</si>
  <si>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</si>
  <si>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</si>
  <si>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</si>
  <si>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</si>
  <si>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</si>
  <si>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</si>
  <si>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</si>
  <si>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</si>
  <si>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</si>
  <si>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</si>
  <si>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</si>
  <si>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</si>
  <si>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</si>
  <si>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</si>
  <si>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</si>
  <si>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</si>
  <si>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</si>
  <si>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</si>
  <si>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</si>
  <si>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</si>
  <si>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</si>
  <si>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</si>
  <si>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</si>
  <si>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</si>
  <si>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</si>
  <si>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</si>
  <si>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</si>
  <si>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</si>
  <si>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</si>
  <si>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</si>
  <si>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</si>
  <si>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</si>
  <si>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</si>
  <si>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</si>
  <si>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</si>
  <si>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</si>
  <si>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</si>
  <si>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</si>
  <si>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</si>
  <si>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</si>
  <si>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</si>
  <si>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</si>
  <si>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</si>
  <si>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</si>
  <si>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</si>
  <si>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</si>
  <si>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</si>
  <si>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</si>
  <si>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</si>
  <si>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</si>
  <si>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</si>
  <si>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</si>
  <si>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</si>
  <si>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</si>
  <si>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</si>
  <si>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</si>
  <si>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</si>
  <si>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</si>
  <si>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</si>
  <si>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</si>
  <si>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</si>
  <si>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</si>
  <si>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</si>
  <si>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</si>
  <si>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</si>
  <si>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</si>
  <si>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</si>
  <si>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</si>
  <si>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</si>
  <si>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</si>
  <si>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</si>
  <si>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</si>
  <si>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</si>
  <si>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</si>
  <si>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</si>
  <si>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</si>
  <si>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</si>
  <si>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</si>
  <si>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</si>
  <si>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</si>
  <si>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</si>
  <si>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</si>
  <si>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</si>
  <si>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</si>
  <si>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</si>
  <si>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</si>
  <si>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</si>
  <si>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</si>
  <si>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</si>
  <si>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</si>
  <si>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</si>
  <si>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</si>
  <si>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</si>
  <si>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</si>
  <si>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</si>
  <si>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</si>
  <si>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</si>
  <si>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</si>
  <si>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</si>
  <si>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</si>
  <si>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</si>
  <si>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</si>
  <si>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</si>
  <si>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</si>
  <si>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</si>
  <si>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</si>
  <si>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</si>
  <si>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</si>
  <si>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</si>
  <si>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</si>
  <si>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</si>
  <si>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</si>
  <si>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</si>
  <si>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</si>
  <si>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</si>
  <si>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</si>
  <si>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</si>
  <si>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</si>
  <si>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</si>
  <si>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</si>
  <si>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</si>
  <si>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</si>
  <si>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</si>
  <si>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</si>
  <si>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</si>
  <si>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</si>
  <si>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</si>
  <si>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</si>
  <si>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</si>
  <si>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</si>
  <si>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</si>
  <si>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</si>
  <si>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</si>
  <si>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</si>
  <si>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</si>
  <si>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</si>
  <si>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</si>
  <si>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</si>
  <si>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</si>
  <si>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</si>
  <si>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</si>
  <si>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</si>
  <si>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</si>
  <si>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</si>
  <si>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</si>
  <si>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</si>
  <si>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</si>
  <si>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</si>
  <si>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</si>
  <si>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</si>
  <si>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</si>
  <si>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</si>
  <si>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</si>
  <si>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</si>
  <si>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</si>
  <si>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</si>
  <si>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</si>
  <si>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</si>
  <si>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</si>
  <si>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</si>
  <si>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</si>
  <si>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</si>
  <si>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</si>
  <si>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</si>
  <si>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</si>
  <si>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</si>
  <si>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</si>
  <si>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</si>
  <si>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</si>
  <si>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</si>
  <si>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</si>
  <si>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</si>
  <si>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</si>
  <si>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</si>
  <si>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</si>
  <si>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</si>
  <si>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</si>
  <si>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</si>
  <si>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</si>
  <si>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</si>
  <si>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</si>
  <si>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</si>
  <si>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</si>
  <si>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</si>
  <si>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</si>
  <si>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</si>
  <si>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</si>
  <si>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</si>
  <si>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</si>
  <si>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</si>
  <si>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</si>
  <si>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</si>
  <si>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</si>
  <si>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</si>
  <si>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</si>
  <si>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</si>
  <si>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</si>
  <si>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</si>
  <si>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</si>
  <si>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</si>
  <si>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</si>
  <si>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</si>
  <si>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</si>
  <si>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</si>
  <si>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</si>
  <si>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</si>
  <si>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</si>
  <si>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</si>
  <si>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</si>
  <si>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</si>
  <si>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</si>
  <si>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</si>
  <si>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</si>
  <si>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</si>
  <si>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</si>
  <si>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</si>
  <si>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</si>
  <si>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</si>
  <si>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</si>
  <si>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</si>
  <si>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</si>
  <si>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</si>
  <si>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</si>
  <si>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</si>
  <si>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</si>
  <si>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</si>
  <si>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</si>
  <si>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</si>
  <si>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</si>
  <si>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</si>
  <si>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</si>
  <si>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</si>
  <si>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</si>
  <si>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</si>
  <si>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</si>
  <si>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</si>
  <si>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</si>
  <si>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</si>
  <si>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</si>
  <si>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</si>
  <si>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</si>
  <si>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</si>
  <si>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</si>
  <si>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</si>
  <si>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</si>
  <si>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</si>
  <si>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</si>
  <si>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</si>
  <si>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</si>
  <si>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</si>
  <si>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</si>
  <si>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</si>
  <si>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</si>
  <si>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</si>
  <si>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</si>
  <si>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</si>
  <si>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</si>
  <si>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</si>
  <si>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</si>
  <si>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</si>
  <si>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</si>
  <si>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</si>
  <si>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</si>
  <si>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</si>
  <si>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</si>
  <si>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</si>
  <si>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</si>
  <si>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</si>
  <si>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</si>
  <si>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</si>
  <si>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</si>
  <si>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</si>
  <si>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</si>
  <si>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</si>
  <si>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</si>
  <si>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</si>
  <si>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</si>
  <si>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</si>
  <si>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</si>
  <si>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</si>
  <si>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</si>
  <si>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</si>
  <si>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</si>
  <si>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</si>
  <si>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</si>
  <si>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</si>
  <si>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</si>
  <si>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</si>
  <si>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</si>
  <si>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</si>
  <si>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</si>
  <si>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</si>
  <si>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</si>
  <si>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</si>
  <si>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</si>
  <si>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</si>
  <si>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</si>
  <si>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</si>
  <si>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</si>
  <si>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</si>
  <si>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</si>
  <si>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</si>
  <si>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</si>
  <si>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</si>
  <si>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</si>
  <si>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</si>
  <si>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</si>
  <si>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</si>
  <si>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</si>
  <si>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</si>
  <si>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</si>
  <si>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</si>
  <si>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</si>
  <si>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</si>
  <si>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</si>
  <si>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</si>
  <si>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</si>
  <si>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</si>
  <si>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</si>
  <si>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</si>
  <si>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</si>
  <si>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</si>
  <si>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</si>
  <si>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</si>
  <si>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</si>
  <si>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</si>
  <si>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</si>
  <si>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</si>
  <si>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</si>
  <si>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</si>
  <si>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</si>
  <si>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</si>
  <si>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</si>
  <si>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</si>
  <si>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</si>
  <si>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</si>
  <si>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</si>
  <si>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</si>
  <si>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</si>
  <si>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</si>
  <si>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</si>
  <si>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</si>
  <si>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</si>
  <si>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</si>
  <si>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</si>
  <si>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</si>
  <si>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</si>
  <si>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</si>
  <si>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</si>
  <si>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</si>
  <si>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</si>
  <si>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</si>
  <si>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</si>
  <si>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</si>
  <si>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</si>
  <si>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</si>
  <si>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</si>
  <si>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</si>
  <si>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</si>
  <si>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</si>
  <si>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</si>
  <si>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</si>
  <si>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</si>
  <si>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</si>
  <si>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</si>
  <si>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</si>
  <si>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</si>
  <si>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</si>
  <si>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</si>
  <si>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</si>
  <si>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</si>
  <si>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</si>
  <si>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</si>
  <si>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</si>
  <si>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</si>
  <si>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</si>
  <si>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</si>
  <si>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</si>
  <si>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</si>
  <si>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</si>
  <si>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</si>
  <si>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</si>
  <si>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</si>
  <si>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</si>
  <si>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</si>
  <si>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</si>
  <si>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</si>
  <si>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</si>
  <si>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</si>
  <si>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</si>
  <si>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</si>
  <si>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</si>
  <si>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</si>
  <si>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</si>
  <si>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</si>
  <si>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</si>
  <si>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</si>
  <si>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</si>
  <si>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</si>
  <si>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</si>
  <si>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</si>
  <si>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</si>
  <si>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</si>
  <si>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</si>
  <si>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</si>
  <si>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</si>
  <si>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</si>
  <si>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</si>
  <si>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</si>
  <si>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</si>
  <si>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</si>
  <si>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</si>
  <si>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</si>
  <si>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</si>
  <si>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</si>
  <si>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</si>
  <si>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</si>
  <si>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</si>
  <si>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</si>
  <si>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</si>
  <si>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</si>
  <si>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</si>
  <si>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</si>
  <si>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</si>
  <si>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</si>
  <si>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</si>
  <si>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</si>
  <si>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</si>
  <si>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</si>
  <si>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</si>
  <si>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</si>
  <si>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</si>
  <si>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</si>
  <si>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</si>
  <si>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</si>
  <si>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</si>
  <si>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</si>
  <si>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</si>
  <si>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</si>
  <si>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</si>
  <si>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</si>
  <si>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</si>
  <si>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</si>
  <si>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</si>
  <si>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</si>
  <si>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</si>
  <si>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</si>
  <si>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</si>
  <si>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</si>
  <si>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</si>
  <si>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</si>
  <si>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</si>
  <si>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</si>
  <si>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</si>
  <si>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</si>
  <si>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</si>
  <si>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</si>
  <si>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</si>
  <si>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</si>
  <si>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</si>
  <si>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</si>
  <si>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</si>
  <si>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</si>
  <si>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</si>
  <si>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</si>
  <si>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</si>
  <si>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</si>
  <si>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</si>
  <si>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</si>
  <si>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</si>
  <si>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</si>
  <si>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</si>
  <si>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</si>
  <si>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</si>
  <si>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</si>
  <si>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</si>
  <si>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</si>
  <si>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</si>
  <si>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</si>
  <si>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</si>
  <si>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</si>
  <si>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</si>
  <si>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</si>
  <si>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</si>
  <si>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</si>
  <si>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</si>
  <si>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</si>
  <si>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</si>
  <si>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</si>
  <si>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</si>
  <si>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</si>
  <si>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</si>
  <si>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</si>
  <si>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</si>
  <si>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</si>
  <si>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</si>
  <si>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</si>
  <si>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</si>
  <si>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</si>
  <si>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</si>
  <si>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</si>
  <si>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</si>
  <si>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</si>
  <si>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</si>
  <si>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</si>
  <si>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</si>
  <si>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</si>
  <si>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</si>
  <si>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</si>
  <si>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</si>
  <si>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</si>
  <si>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</si>
  <si>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</si>
  <si>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</si>
  <si>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</si>
  <si>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</si>
  <si>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</si>
  <si>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</si>
  <si>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</si>
  <si>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</si>
  <si>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</si>
  <si>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</si>
  <si>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</si>
  <si>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</si>
  <si>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</si>
  <si>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</si>
  <si>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</si>
  <si>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</si>
  <si>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</si>
  <si>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</si>
  <si>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</si>
  <si>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</si>
  <si>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</si>
  <si>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</si>
  <si>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</si>
  <si>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</si>
  <si>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</si>
  <si>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</si>
  <si>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</si>
  <si>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</si>
  <si>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</si>
  <si>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</si>
  <si>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</si>
  <si>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</si>
  <si>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</si>
  <si>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</si>
  <si>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</si>
  <si>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</si>
  <si>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</si>
  <si>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</si>
  <si>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</si>
  <si>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</si>
  <si>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</si>
  <si>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</si>
  <si>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</si>
  <si>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</si>
  <si>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</si>
  <si>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</si>
  <si>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</si>
  <si>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</si>
  <si>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</si>
  <si>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</si>
  <si>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</si>
  <si>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</si>
  <si>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</si>
  <si>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</si>
  <si>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</si>
  <si>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</si>
  <si>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</si>
  <si>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</si>
  <si>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</si>
  <si>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</si>
  <si>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</si>
  <si>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</si>
  <si>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</si>
  <si>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</si>
  <si>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</si>
  <si>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</si>
  <si>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</si>
  <si>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</si>
  <si>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</si>
  <si>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</si>
  <si>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</si>
  <si>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</si>
  <si>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</si>
  <si>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</si>
  <si>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</si>
  <si>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</si>
  <si>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</si>
  <si>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</si>
  <si>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</si>
  <si>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</si>
  <si>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</si>
  <si>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</si>
  <si>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</si>
  <si>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</si>
  <si>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</si>
  <si>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</si>
  <si>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</si>
  <si>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</si>
  <si>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</si>
  <si>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</si>
  <si>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</si>
  <si>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</si>
  <si>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</si>
  <si>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</si>
  <si>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AR Patel-1</t>
  </si>
  <si>
    <t>AR Patel-2</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</si>
  <si>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</si>
  <si>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</si>
  <si>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</si>
  <si>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</si>
  <si>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</si>
  <si>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</si>
  <si>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</si>
  <si>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</si>
  <si>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</si>
  <si>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</si>
  <si>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</si>
  <si>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</si>
  <si>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</si>
  <si>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</si>
  <si>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</si>
  <si>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</si>
  <si>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</si>
  <si>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</si>
  <si>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</si>
  <si>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</si>
  <si>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</si>
  <si>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</si>
  <si>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</si>
  <si>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</si>
  <si>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</si>
  <si>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</si>
  <si>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</si>
  <si>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</si>
  <si>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</si>
  <si>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</si>
  <si>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</si>
  <si>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</si>
  <si>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</si>
  <si>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</si>
  <si>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</si>
  <si>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</si>
  <si>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</si>
  <si>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</si>
  <si>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</si>
  <si>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</si>
  <si>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</si>
  <si>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</si>
  <si>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</si>
  <si>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</si>
  <si>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</si>
  <si>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</si>
  <si>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</si>
  <si>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</si>
  <si>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</si>
  <si>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</si>
  <si>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</si>
  <si>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</si>
  <si>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</si>
  <si>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</si>
  <si>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</si>
  <si>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</si>
  <si>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</si>
  <si>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</si>
  <si>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</si>
  <si>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</si>
  <si>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</si>
  <si>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</si>
  <si>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</si>
  <si>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</si>
  <si>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</si>
  <si>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</si>
  <si>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</si>
  <si>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</si>
  <si>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</si>
  <si>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</si>
  <si>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</si>
  <si>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</si>
  <si>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</si>
  <si>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</si>
  <si>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</si>
  <si>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</si>
  <si>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</si>
  <si>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</si>
  <si>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</si>
  <si>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</si>
  <si>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</si>
  <si>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</si>
  <si>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</si>
  <si>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</si>
  <si>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</si>
  <si>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</si>
  <si>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</si>
  <si>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</si>
  <si>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</si>
  <si>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</si>
  <si>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</si>
  <si>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</si>
  <si>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</si>
  <si>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</si>
  <si>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</si>
  <si>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</si>
  <si>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</si>
  <si>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</si>
  <si>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</si>
  <si>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</si>
  <si>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</si>
  <si>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</si>
  <si>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</si>
  <si>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</si>
  <si>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</si>
  <si>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</si>
  <si>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</si>
  <si>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</si>
  <si>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</si>
  <si>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</si>
  <si>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</si>
  <si>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</si>
  <si>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</si>
  <si>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</si>
  <si>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</si>
  <si>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</si>
  <si>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</si>
  <si>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</si>
  <si>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</si>
  <si>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</si>
  <si>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</si>
  <si>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</si>
  <si>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</si>
  <si>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</si>
  <si>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</si>
  <si>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</si>
  <si>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</si>
  <si>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</si>
  <si>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</si>
  <si>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</si>
  <si>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</si>
  <si>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</si>
  <si>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</si>
  <si>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</si>
  <si>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</si>
  <si>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</si>
  <si>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</si>
  <si>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</si>
  <si>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</si>
  <si>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</si>
  <si>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</si>
  <si>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</si>
  <si>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</si>
  <si>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</si>
  <si>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</si>
  <si>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</si>
  <si>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</si>
  <si>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</si>
  <si>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</si>
  <si>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</si>
  <si>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</si>
  <si>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</si>
  <si>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</si>
  <si>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</si>
  <si>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</si>
  <si>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</si>
  <si>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</si>
  <si>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</si>
  <si>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</si>
  <si>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</si>
  <si>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</si>
  <si>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</si>
  <si>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</si>
  <si>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</si>
  <si>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</si>
  <si>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</si>
  <si>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</si>
  <si>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</si>
  <si>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</si>
  <si>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</si>
  <si>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</si>
  <si>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</si>
  <si>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</si>
  <si>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</si>
  <si>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</si>
  <si>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</si>
  <si>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</si>
  <si>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</si>
  <si>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</si>
  <si>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</si>
  <si>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</si>
  <si>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</si>
  <si>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</si>
  <si>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</si>
  <si>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</si>
  <si>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</si>
  <si>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</si>
  <si>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</si>
  <si>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</si>
  <si>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</si>
  <si>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</si>
  <si>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</si>
  <si>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</si>
  <si>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</si>
  <si>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</si>
  <si>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</si>
  <si>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</si>
  <si>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</si>
  <si>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</si>
  <si>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</si>
  <si>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</si>
  <si>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</si>
  <si>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</si>
  <si>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</si>
  <si>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</si>
  <si>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</si>
  <si>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</si>
  <si>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</si>
  <si>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</si>
  <si>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</si>
  <si>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</si>
  <si>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</si>
  <si>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</si>
  <si>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</si>
  <si>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</si>
  <si>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</si>
  <si>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</si>
  <si>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</si>
  <si>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</si>
  <si>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</si>
  <si>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</si>
  <si>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</si>
  <si>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</si>
  <si>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</si>
  <si>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</si>
  <si>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</si>
  <si>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</si>
  <si>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</si>
  <si>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</si>
  <si>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</si>
  <si>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</si>
  <si>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</si>
  <si>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</si>
  <si>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</si>
  <si>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</si>
  <si>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</si>
  <si>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</si>
  <si>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</si>
  <si>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</si>
  <si>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</si>
  <si>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</si>
  <si>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</si>
  <si>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</si>
  <si>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</si>
  <si>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</si>
  <si>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</si>
  <si>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</si>
  <si>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</si>
  <si>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</si>
  <si>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Harish Construction</t>
  </si>
  <si>
    <t>Baba Ramdev Construction</t>
  </si>
  <si>
    <t>DA+9,3MRC</t>
  </si>
  <si>
    <t>Ahmed Construction</t>
  </si>
  <si>
    <t>149B/0</t>
  </si>
  <si>
    <t>Intense Wave Pvt Ltd</t>
  </si>
  <si>
    <t>DA+3,Bench A &amp; B, C &amp;D 3M RC</t>
  </si>
  <si>
    <t>79/0</t>
  </si>
  <si>
    <t>Compnay Gang</t>
  </si>
  <si>
    <t xml:space="preserve">99/4 </t>
  </si>
  <si>
    <t>135/0</t>
  </si>
  <si>
    <t>149/0</t>
  </si>
  <si>
    <t>82/0</t>
  </si>
  <si>
    <t>A&amp;D 3MRC</t>
  </si>
  <si>
    <t xml:space="preserve">134A/0 </t>
  </si>
  <si>
    <t xml:space="preserve">134/0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</si>
  <si>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</si>
  <si>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</si>
  <si>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</si>
  <si>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</si>
  <si>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</si>
  <si>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</si>
  <si>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</si>
  <si>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</si>
  <si>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</si>
  <si>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</si>
  <si>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</si>
  <si>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</si>
  <si>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</si>
  <si>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</si>
  <si>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</si>
  <si>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</si>
  <si>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</si>
  <si>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</si>
  <si>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</si>
  <si>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</si>
  <si>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</si>
  <si>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</si>
  <si>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</si>
  <si>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</si>
  <si>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</si>
  <si>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</si>
  <si>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</si>
  <si>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</si>
  <si>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</si>
  <si>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</si>
  <si>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</si>
  <si>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</si>
  <si>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</si>
  <si>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</si>
  <si>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</si>
  <si>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</si>
  <si>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</si>
  <si>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</si>
  <si>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</si>
  <si>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</si>
  <si>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</si>
  <si>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17.09.2025</t>
  </si>
  <si>
    <t>18.09.2025</t>
  </si>
  <si>
    <t>48/0</t>
  </si>
  <si>
    <t>20.09.2025</t>
  </si>
  <si>
    <t>21.09.2026</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</si>
  <si>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</si>
  <si>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</si>
  <si>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</si>
  <si>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</si>
  <si>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</si>
  <si>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</si>
  <si>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</si>
  <si>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</si>
  <si>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</si>
  <si>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</si>
  <si>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</si>
  <si>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</si>
  <si>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Chandra Sekhar</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</si>
  <si>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</si>
  <si>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</si>
  <si>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</si>
  <si>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</si>
  <si>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</si>
  <si>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</si>
  <si>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</si>
  <si>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</si>
  <si>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</si>
  <si>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</si>
  <si>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</si>
  <si>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</si>
  <si>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</si>
  <si>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</si>
  <si>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</si>
  <si>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 xml:space="preserve">134A/3 </t>
  </si>
  <si>
    <t xml:space="preserve">148/0 </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</si>
  <si>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</si>
  <si>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</si>
  <si>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</si>
  <si>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</si>
  <si>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</si>
  <si>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</si>
  <si>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</si>
  <si>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</si>
  <si>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</si>
  <si>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</si>
  <si>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Rev-Detail Survey approved  and Rev CS data submitted by KEC Engg Dep</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</si>
  <si>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</si>
  <si>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</si>
  <si>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</si>
  <si>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</si>
  <si>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</si>
  <si>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</si>
  <si>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</si>
  <si>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</si>
  <si>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</si>
  <si>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</si>
  <si>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</si>
  <si>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</si>
  <si>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</si>
  <si>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</si>
  <si>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</si>
  <si>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</si>
  <si>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</si>
  <si>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</si>
  <si>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</si>
  <si>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</si>
  <si>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</si>
  <si>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</si>
  <si>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</si>
  <si>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</si>
  <si>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</si>
  <si>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 xml:space="preserve">Pit B,C,D RCC Done, Pit A  Excavation, Work Will resume after manpower strengthening .Next Program: RCC, Excavation and Stub Setting </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</si>
  <si>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</si>
  <si>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</si>
  <si>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</si>
  <si>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</si>
  <si>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</si>
  <si>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</si>
  <si>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</si>
  <si>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</si>
  <si>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</si>
  <si>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</si>
  <si>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</si>
  <si>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</si>
  <si>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</si>
  <si>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</si>
  <si>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</si>
  <si>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</si>
  <si>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</si>
  <si>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</si>
  <si>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31-10--2025</t>
  </si>
  <si>
    <t>113/0</t>
  </si>
  <si>
    <t>Pit marking done, ROW Cleararence  not confirmed</t>
  </si>
  <si>
    <t>89/0</t>
  </si>
  <si>
    <t>DATE</t>
  </si>
  <si>
    <t>Detail Survey</t>
  </si>
  <si>
    <t>kms</t>
  </si>
  <si>
    <t>ROUGH SAG</t>
  </si>
  <si>
    <t>FINAL SAG</t>
  </si>
  <si>
    <t>STRINGING</t>
  </si>
  <si>
    <t xml:space="preserve">Foundatioin </t>
  </si>
  <si>
    <t>TACK WELDING</t>
  </si>
  <si>
    <t>NH/SH CROSSING</t>
  </si>
  <si>
    <t>TOWER ERECTION</t>
  </si>
  <si>
    <t>RAILWAY X-ING</t>
  </si>
  <si>
    <t>FOUNDATION</t>
  </si>
  <si>
    <t>PLC</t>
  </si>
  <si>
    <t>Stringing P/O</t>
  </si>
  <si>
    <t>EARTHING</t>
  </si>
  <si>
    <t>Stringing F/S</t>
  </si>
  <si>
    <t>400 KV</t>
  </si>
  <si>
    <t>132 KV</t>
  </si>
  <si>
    <t>Pit A, B 1MRC</t>
  </si>
  <si>
    <t>B, C Benching</t>
  </si>
  <si>
    <t>27B/0</t>
  </si>
  <si>
    <t>220 KV</t>
  </si>
  <si>
    <t>28/0</t>
  </si>
  <si>
    <t>.28/1</t>
  </si>
  <si>
    <t>.29/1</t>
  </si>
  <si>
    <t>.29/3</t>
  </si>
  <si>
    <t>30/0</t>
  </si>
  <si>
    <t>.30/1</t>
  </si>
  <si>
    <t>.30/3</t>
  </si>
  <si>
    <t>AP 32</t>
  </si>
  <si>
    <t>OIL Line</t>
  </si>
  <si>
    <t>AP 33</t>
  </si>
  <si>
    <t>AP 34</t>
  </si>
  <si>
    <t>AP 35</t>
  </si>
  <si>
    <t>36/0</t>
  </si>
  <si>
    <t>AP36A/0</t>
  </si>
  <si>
    <t>37/0</t>
  </si>
  <si>
    <t>39/0</t>
  </si>
  <si>
    <t>Rly Xing</t>
  </si>
  <si>
    <t>SH-40</t>
  </si>
  <si>
    <t>RC 1M &amp;3M</t>
  </si>
  <si>
    <t>P</t>
  </si>
  <si>
    <t xml:space="preserve">132 KV </t>
  </si>
  <si>
    <t>NH 754</t>
  </si>
  <si>
    <t>SH 16</t>
  </si>
  <si>
    <t>AP134A</t>
  </si>
  <si>
    <t>SH 31</t>
  </si>
  <si>
    <t>AP149A</t>
  </si>
  <si>
    <t>AP149B</t>
  </si>
  <si>
    <t>AP149B/1</t>
  </si>
  <si>
    <t>RLY XING</t>
  </si>
  <si>
    <t>AP154/1</t>
  </si>
  <si>
    <t>AP154/2</t>
  </si>
  <si>
    <t>GANTRY UCS</t>
  </si>
  <si>
    <t>DD+0 (Aux)</t>
  </si>
  <si>
    <t>PGCIL GANTRY</t>
  </si>
  <si>
    <r>
      <t xml:space="preserve">DA+0 </t>
    </r>
    <r>
      <rPr>
        <b/>
        <sz val="16"/>
        <color rgb="FFFF0000"/>
        <rFont val="Calibri"/>
        <family val="2"/>
        <scheme val="minor"/>
      </rPr>
      <t>1MRC</t>
    </r>
  </si>
  <si>
    <t>P(ROW)</t>
  </si>
  <si>
    <t>Plan For NOV'25</t>
  </si>
  <si>
    <t>Progress in NOV'25</t>
  </si>
  <si>
    <t>Pit B,D RCC Done, Pit A,C RCC WIP.</t>
  </si>
  <si>
    <t>Pit A,B,C PCC, Rebar WIP, Next Program: RCC</t>
  </si>
  <si>
    <t>Excavation WIP. Next Program: PCC, Rebar.</t>
  </si>
  <si>
    <t>Amartya sarkar</t>
  </si>
  <si>
    <t>Sanjay Kr Gupta</t>
  </si>
  <si>
    <t>ALOK SINHA</t>
  </si>
  <si>
    <t>ALOK JANA,VARUN TYAGI</t>
  </si>
  <si>
    <t>Excavation WIP, Material Shifting, Next Program: Material Shifting, Stub Setting.</t>
  </si>
  <si>
    <t xml:space="preserve">Pit A,B,C RCC WIP, Pit D PCC Done, Next Program: Pit A,B,C RCC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</si>
</sst>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 numFmtId="175" formatCode="dd/mm/yyyy;@"/>
  </numFmts>
  <fonts count="28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75"/>
      <color theme="1"/>
      <name val="Calibri"/>
      <family val="2"/>
      <scheme val="minor"/>
    </font>
    <font>
      <sz val="10"/>
      <color theme="1"/>
      <name val="Arial Narrow"/>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i/>
      <sz val="15"/>
      <color theme="0"/>
      <name val="Swis721 Cn BT"/>
      <family val="2"/>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1"/>
      <color theme="1"/>
      <name val="Calibri"/>
      <family val="2"/>
      <charset val="134"/>
      <scheme val="minor"/>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sz val="16"/>
      <color theme="1"/>
      <name val="Calibri"/>
      <family val="2"/>
      <scheme val="minor"/>
    </font>
    <font>
      <sz val="16"/>
      <name val="Arial"/>
      <family val="2"/>
    </font>
    <font>
      <sz val="16"/>
      <color theme="0"/>
      <name val="Arial"/>
      <family val="2"/>
    </font>
    <font>
      <b/>
      <sz val="16"/>
      <color rgb="FFFF0000"/>
      <name val="Calibri"/>
      <family val="2"/>
      <scheme val="minor"/>
    </font>
    <font>
      <b/>
      <sz val="16"/>
      <name val="Arial"/>
      <family val="2"/>
    </font>
    <font>
      <b/>
      <sz val="16"/>
      <name val="Calibri"/>
      <family val="2"/>
      <scheme val="minor"/>
    </font>
    <font>
      <b/>
      <sz val="16"/>
      <color theme="0"/>
      <name val="Arial"/>
      <family val="2"/>
    </font>
    <font>
      <sz val="16"/>
      <color rgb="FFFF0000"/>
      <name val="Calibri"/>
      <family val="2"/>
      <scheme val="minor"/>
    </font>
    <font>
      <sz val="16"/>
      <name val="Calibri"/>
      <family val="2"/>
      <scheme val="minor"/>
    </font>
    <font>
      <sz val="16"/>
      <color theme="1"/>
      <name val="Arial"/>
      <family val="2"/>
    </font>
    <font>
      <b/>
      <sz val="16"/>
      <color theme="1"/>
      <name val="Arial"/>
      <family val="2"/>
    </font>
  </fonts>
  <fills count="36">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theme="9" tint="0.39997558519241921"/>
        <bgColor indexed="64"/>
      </patternFill>
    </fill>
  </fills>
  <borders count="7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theme="0"/>
      </right>
      <top style="thin">
        <color auto="1"/>
      </top>
      <bottom style="thin">
        <color theme="0"/>
      </bottom>
      <diagonal/>
    </border>
    <border>
      <left style="thin">
        <color theme="0"/>
      </left>
      <right style="thin">
        <color auto="1"/>
      </right>
      <top style="thin">
        <color auto="1"/>
      </top>
      <bottom style="thin">
        <color theme="0"/>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s>
  <cellStyleXfs count="52">
    <xf numFmtId="0" fontId="0" fillId="0" borderId="0"/>
    <xf numFmtId="43" fontId="185" fillId="0" borderId="0" applyFont="0" applyFill="0" applyBorder="0" applyAlignment="0" applyProtection="0"/>
    <xf numFmtId="44" fontId="185" fillId="0" borderId="0" applyFont="0" applyFill="0" applyBorder="0" applyAlignment="0" applyProtection="0"/>
    <xf numFmtId="9" fontId="185" fillId="0" borderId="0" applyFont="0" applyFill="0" applyBorder="0" applyAlignment="0" applyProtection="0"/>
    <xf numFmtId="0" fontId="186" fillId="26" borderId="56" applyNumberFormat="0" applyAlignment="0" applyProtection="0"/>
    <xf numFmtId="0" fontId="187" fillId="16" borderId="0" applyNumberFormat="0" applyBorder="0" applyAlignment="0" applyProtection="0"/>
    <xf numFmtId="0" fontId="185" fillId="17" borderId="0" applyNumberFormat="0" applyBorder="0" applyAlignment="0" applyProtection="0"/>
    <xf numFmtId="43" fontId="157" fillId="0" borderId="0" applyFont="0" applyFill="0" applyBorder="0" applyAlignment="0" applyProtection="0"/>
    <xf numFmtId="164" fontId="157" fillId="0" borderId="0" applyFont="0" applyFill="0" applyBorder="0" applyAlignment="0" applyProtection="0"/>
    <xf numFmtId="164" fontId="185" fillId="0" borderId="0" applyFont="0" applyFill="0" applyBorder="0" applyAlignment="0" applyProtection="0"/>
    <xf numFmtId="0" fontId="157" fillId="0" borderId="0"/>
    <xf numFmtId="0" fontId="157" fillId="0" borderId="0"/>
    <xf numFmtId="0" fontId="157" fillId="0" borderId="0"/>
    <xf numFmtId="0" fontId="157" fillId="0" borderId="0" applyNumberFormat="0" applyFont="0" applyFill="0" applyBorder="0" applyAlignment="0" applyProtection="0">
      <alignment vertical="top"/>
    </xf>
    <xf numFmtId="0" fontId="185" fillId="0" borderId="0"/>
    <xf numFmtId="0" fontId="188" fillId="0" borderId="0" applyNumberFormat="0" applyFill="0" applyBorder="0" applyProtection="0">
      <alignment vertical="top" wrapText="1"/>
    </xf>
    <xf numFmtId="0" fontId="157" fillId="0" borderId="0"/>
    <xf numFmtId="0" fontId="157" fillId="0" borderId="0"/>
    <xf numFmtId="0" fontId="157" fillId="0" borderId="0"/>
    <xf numFmtId="0" fontId="157" fillId="0" borderId="0"/>
    <xf numFmtId="0" fontId="185" fillId="0" borderId="0"/>
    <xf numFmtId="0" fontId="157" fillId="0" borderId="0"/>
    <xf numFmtId="0" fontId="185" fillId="0" borderId="0"/>
    <xf numFmtId="0" fontId="157" fillId="0" borderId="0"/>
    <xf numFmtId="0" fontId="157" fillId="0" borderId="0"/>
    <xf numFmtId="0" fontId="157" fillId="0" borderId="0"/>
    <xf numFmtId="0" fontId="157" fillId="0" borderId="0"/>
    <xf numFmtId="0" fontId="157" fillId="0" borderId="0"/>
    <xf numFmtId="0" fontId="157" fillId="0" borderId="0"/>
    <xf numFmtId="9" fontId="157" fillId="0" borderId="0" applyFont="0" applyFill="0" applyBorder="0" applyAlignment="0" applyProtection="0"/>
    <xf numFmtId="0" fontId="30" fillId="0" borderId="0"/>
    <xf numFmtId="0" fontId="30" fillId="0" borderId="0"/>
    <xf numFmtId="0" fontId="30" fillId="0" borderId="0"/>
    <xf numFmtId="0" fontId="30" fillId="0" borderId="0"/>
    <xf numFmtId="0" fontId="30" fillId="0" borderId="0"/>
    <xf numFmtId="0" fontId="157" fillId="0" borderId="0"/>
    <xf numFmtId="0" fontId="256" fillId="0" borderId="0"/>
    <xf numFmtId="0" fontId="30" fillId="0" borderId="0"/>
    <xf numFmtId="0" fontId="256" fillId="0" borderId="0"/>
    <xf numFmtId="0" fontId="30" fillId="0" borderId="0"/>
    <xf numFmtId="0" fontId="30" fillId="0" borderId="0"/>
    <xf numFmtId="0" fontId="30" fillId="0" borderId="0"/>
    <xf numFmtId="0" fontId="30" fillId="0" borderId="0"/>
    <xf numFmtId="0" fontId="30" fillId="0" borderId="0"/>
    <xf numFmtId="0" fontId="157" fillId="0" borderId="0"/>
    <xf numFmtId="0" fontId="157" fillId="0" borderId="0" applyNumberFormat="0" applyFill="0" applyBorder="0" applyAlignment="0" applyProtection="0"/>
    <xf numFmtId="0" fontId="257" fillId="32" borderId="75" applyNumberFormat="0" applyAlignment="0" applyProtection="0"/>
    <xf numFmtId="43" fontId="157" fillId="0" borderId="0" applyFont="0" applyFill="0" applyBorder="0" applyAlignment="0" applyProtection="0"/>
    <xf numFmtId="0" fontId="157" fillId="0" borderId="0"/>
    <xf numFmtId="0" fontId="157" fillId="0" borderId="0"/>
    <xf numFmtId="0" fontId="258" fillId="0" borderId="0" applyNumberFormat="0" applyFill="0" applyBorder="0" applyAlignment="0" applyProtection="0"/>
    <xf numFmtId="0" fontId="1" fillId="0" borderId="0"/>
  </cellStyleXfs>
  <cellXfs count="1763">
    <xf numFmtId="0" fontId="0" fillId="0" borderId="0" xfId="0"/>
    <xf numFmtId="0" fontId="126" fillId="2" borderId="1" xfId="0" applyFont="1" applyFill="1" applyBorder="1" applyAlignment="1" applyProtection="1">
      <alignment horizontal="center" vertical="center" wrapText="1"/>
      <protection hidden="1"/>
    </xf>
    <xf numFmtId="0" fontId="126" fillId="3" borderId="1" xfId="0" applyFont="1" applyFill="1" applyBorder="1" applyAlignment="1" applyProtection="1">
      <alignment horizontal="center" vertical="center" wrapText="1"/>
      <protection hidden="1"/>
    </xf>
    <xf numFmtId="165" fontId="127" fillId="4" borderId="2" xfId="0" applyNumberFormat="1" applyFont="1" applyFill="1" applyBorder="1" applyAlignment="1">
      <alignment horizontal="center" vertical="center"/>
    </xf>
    <xf numFmtId="0" fontId="128" fillId="0" borderId="2" xfId="0" applyFont="1" applyBorder="1" applyAlignment="1" applyProtection="1">
      <alignment vertical="center" wrapText="1"/>
      <protection hidden="1"/>
    </xf>
    <xf numFmtId="0" fontId="129" fillId="3" borderId="2" xfId="0" applyFont="1" applyFill="1" applyBorder="1" applyAlignment="1">
      <alignment horizontal="right" vertical="top" wrapText="1"/>
    </xf>
    <xf numFmtId="0" fontId="129" fillId="3" borderId="2" xfId="0" applyFont="1" applyFill="1" applyBorder="1" applyAlignment="1">
      <alignment horizontal="left" vertical="top" wrapText="1"/>
    </xf>
    <xf numFmtId="0" fontId="129" fillId="3" borderId="2" xfId="0" applyFont="1" applyFill="1" applyBorder="1" applyAlignment="1">
      <alignment horizontal="center" vertical="top" wrapText="1"/>
    </xf>
    <xf numFmtId="0" fontId="128" fillId="5" borderId="2" xfId="0" applyFont="1" applyFill="1" applyBorder="1" applyAlignment="1" applyProtection="1">
      <alignment vertical="center" wrapText="1"/>
      <protection hidden="1"/>
    </xf>
    <xf numFmtId="0" fontId="129" fillId="3" borderId="2" xfId="0" applyFont="1" applyFill="1" applyBorder="1" applyAlignment="1">
      <alignment horizontal="center" vertical="top"/>
    </xf>
    <xf numFmtId="0" fontId="130" fillId="0" borderId="0" xfId="0" applyFont="1"/>
    <xf numFmtId="1" fontId="127" fillId="4" borderId="3" xfId="0" applyNumberFormat="1" applyFont="1" applyFill="1" applyBorder="1" applyAlignment="1">
      <alignment horizontal="center" vertical="center" wrapText="1"/>
    </xf>
    <xf numFmtId="1" fontId="129" fillId="4" borderId="4" xfId="0" applyNumberFormat="1" applyFont="1" applyFill="1" applyBorder="1"/>
    <xf numFmtId="0" fontId="127" fillId="3" borderId="2" xfId="0" applyFont="1" applyFill="1" applyBorder="1" applyAlignment="1">
      <alignment horizontal="center" vertical="center" wrapText="1"/>
    </xf>
    <xf numFmtId="1" fontId="127" fillId="3" borderId="2" xfId="0" applyNumberFormat="1" applyFont="1" applyFill="1" applyBorder="1" applyAlignment="1">
      <alignment horizontal="left" vertical="center" wrapText="1"/>
    </xf>
    <xf numFmtId="1" fontId="130" fillId="3" borderId="2" xfId="0" applyNumberFormat="1" applyFont="1" applyFill="1" applyBorder="1" applyAlignment="1">
      <alignment horizontal="left" vertical="center" wrapText="1"/>
    </xf>
    <xf numFmtId="166" fontId="129" fillId="3" borderId="2" xfId="0" applyNumberFormat="1" applyFont="1" applyFill="1" applyBorder="1" applyAlignment="1">
      <alignment horizontal="center" vertical="center" wrapText="1"/>
    </xf>
    <xf numFmtId="1" fontId="129" fillId="3" borderId="2" xfId="0" applyNumberFormat="1" applyFont="1" applyFill="1" applyBorder="1" applyAlignment="1">
      <alignment horizontal="center" vertical="center" wrapText="1"/>
    </xf>
    <xf numFmtId="0" fontId="129" fillId="3" borderId="2" xfId="0" applyFont="1" applyFill="1" applyBorder="1" applyAlignment="1">
      <alignment horizontal="center" vertical="center" wrapText="1"/>
    </xf>
    <xf numFmtId="2" fontId="131" fillId="3" borderId="2" xfId="0" applyNumberFormat="1" applyFont="1" applyFill="1" applyBorder="1" applyAlignment="1">
      <alignment horizontal="center" vertical="center" wrapText="1"/>
    </xf>
    <xf numFmtId="0" fontId="131" fillId="3" borderId="2" xfId="0" applyFont="1" applyFill="1" applyBorder="1" applyAlignment="1">
      <alignment horizontal="left" vertical="center" wrapText="1"/>
    </xf>
    <xf numFmtId="0" fontId="130" fillId="3" borderId="2" xfId="0" applyFont="1" applyFill="1" applyBorder="1" applyAlignment="1">
      <alignment horizontal="left" vertical="center" wrapText="1"/>
    </xf>
    <xf numFmtId="2" fontId="130" fillId="3" borderId="2" xfId="0" applyNumberFormat="1" applyFont="1" applyFill="1" applyBorder="1" applyAlignment="1">
      <alignment horizontal="center" vertical="center" wrapText="1"/>
    </xf>
    <xf numFmtId="0" fontId="130" fillId="3" borderId="2" xfId="0" applyFont="1" applyFill="1" applyBorder="1" applyAlignment="1">
      <alignment horizontal="center" vertical="center" wrapText="1"/>
    </xf>
    <xf numFmtId="2" fontId="129" fillId="3" borderId="2" xfId="0" applyNumberFormat="1" applyFont="1" applyFill="1" applyBorder="1" applyAlignment="1">
      <alignment horizontal="left" vertical="center" wrapText="1"/>
    </xf>
    <xf numFmtId="166" fontId="129" fillId="3" borderId="2" xfId="16" applyNumberFormat="1" applyFont="1" applyFill="1" applyBorder="1" applyAlignment="1">
      <alignment horizontal="center" vertical="center" wrapText="1"/>
    </xf>
    <xf numFmtId="2" fontId="129" fillId="3" borderId="2" xfId="0" applyNumberFormat="1" applyFont="1" applyFill="1" applyBorder="1" applyAlignment="1">
      <alignment horizontal="center" vertical="top" wrapText="1"/>
    </xf>
    <xf numFmtId="2" fontId="129" fillId="3" borderId="2" xfId="16" applyNumberFormat="1" applyFont="1" applyFill="1" applyBorder="1" applyAlignment="1">
      <alignment horizontal="left" vertical="center" wrapText="1"/>
    </xf>
    <xf numFmtId="2" fontId="129" fillId="3" borderId="2" xfId="0" applyNumberFormat="1" applyFont="1" applyFill="1" applyBorder="1" applyAlignment="1">
      <alignment horizontal="center" vertical="center" wrapText="1"/>
    </xf>
    <xf numFmtId="2" fontId="129" fillId="3" borderId="2" xfId="16" applyNumberFormat="1" applyFont="1" applyFill="1" applyBorder="1" applyAlignment="1">
      <alignment horizontal="left" vertical="center"/>
    </xf>
    <xf numFmtId="0" fontId="130" fillId="3" borderId="0" xfId="0" applyFont="1" applyFill="1" applyAlignment="1">
      <alignment vertical="center"/>
    </xf>
    <xf numFmtId="1" fontId="130" fillId="3" borderId="0" xfId="0" applyNumberFormat="1" applyFont="1" applyFill="1" applyAlignment="1">
      <alignment vertical="center"/>
    </xf>
    <xf numFmtId="0" fontId="130" fillId="3" borderId="0" xfId="0" applyFont="1" applyFill="1" applyAlignment="1">
      <alignment horizontal="center" vertical="center"/>
    </xf>
    <xf numFmtId="0" fontId="132" fillId="0" borderId="0" xfId="0" applyFont="1" applyAlignment="1">
      <alignment horizontal="left" vertical="center" indent="1"/>
    </xf>
    <xf numFmtId="0" fontId="131" fillId="0" borderId="0" xfId="0" applyFont="1"/>
    <xf numFmtId="0" fontId="133" fillId="3" borderId="0" xfId="0" applyFont="1" applyFill="1" applyAlignment="1">
      <alignment horizontal="left" vertical="center"/>
    </xf>
    <xf numFmtId="0" fontId="129" fillId="3" borderId="2" xfId="0" applyFont="1" applyFill="1" applyBorder="1" applyAlignment="1">
      <alignment horizontal="left"/>
    </xf>
    <xf numFmtId="17" fontId="129" fillId="3" borderId="2" xfId="0" applyNumberFormat="1" applyFont="1" applyFill="1" applyBorder="1" applyAlignment="1">
      <alignment horizontal="center" vertical="center"/>
    </xf>
    <xf numFmtId="9" fontId="130" fillId="3" borderId="2" xfId="0" applyNumberFormat="1" applyFont="1" applyFill="1" applyBorder="1" applyAlignment="1">
      <alignment horizontal="center" vertical="center"/>
    </xf>
    <xf numFmtId="9" fontId="130" fillId="3" borderId="2" xfId="0" applyNumberFormat="1" applyFont="1" applyFill="1" applyBorder="1" applyAlignment="1">
      <alignment vertical="center" wrapText="1"/>
    </xf>
    <xf numFmtId="9" fontId="130" fillId="3" borderId="2" xfId="0" applyNumberFormat="1" applyFont="1" applyFill="1" applyBorder="1" applyAlignment="1">
      <alignment horizontal="center" vertical="center" wrapText="1"/>
    </xf>
    <xf numFmtId="0" fontId="130" fillId="3" borderId="2" xfId="0" applyFont="1" applyFill="1" applyBorder="1" applyAlignment="1">
      <alignment vertical="center" wrapText="1"/>
    </xf>
    <xf numFmtId="0" fontId="134" fillId="3" borderId="0" xfId="0" applyFont="1" applyFill="1" applyAlignment="1">
      <alignment horizontal="center" vertical="center"/>
    </xf>
    <xf numFmtId="0" fontId="134" fillId="3" borderId="0" xfId="0" applyFont="1" applyFill="1" applyAlignment="1">
      <alignment vertical="center"/>
    </xf>
    <xf numFmtId="9" fontId="129" fillId="3" borderId="2" xfId="0" applyNumberFormat="1" applyFont="1" applyFill="1" applyBorder="1" applyAlignment="1">
      <alignment horizontal="center" vertical="top" wrapText="1"/>
    </xf>
    <xf numFmtId="0" fontId="129" fillId="3" borderId="0" xfId="0" applyFont="1" applyFill="1" applyAlignment="1">
      <alignment vertical="center"/>
    </xf>
    <xf numFmtId="0" fontId="0" fillId="0" borderId="0" xfId="0" applyAlignment="1">
      <alignment horizontal="left" vertical="top"/>
    </xf>
    <xf numFmtId="1" fontId="139" fillId="9" borderId="6" xfId="0" applyNumberFormat="1" applyFont="1" applyFill="1" applyBorder="1" applyAlignment="1">
      <alignment horizontal="center" vertical="center" shrinkToFit="1"/>
    </xf>
    <xf numFmtId="0" fontId="140"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39"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41"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39" fillId="0" borderId="8" xfId="0" applyNumberFormat="1" applyFont="1" applyBorder="1" applyAlignment="1">
      <alignment horizontal="center" vertical="center" shrinkToFit="1"/>
    </xf>
    <xf numFmtId="0" fontId="140" fillId="0" borderId="2" xfId="0" applyFont="1" applyBorder="1" applyAlignment="1">
      <alignment horizontal="center" vertical="center" wrapText="1"/>
    </xf>
    <xf numFmtId="1" fontId="139" fillId="0" borderId="2" xfId="0" applyNumberFormat="1" applyFont="1" applyBorder="1" applyAlignment="1">
      <alignment horizontal="center" vertical="center" shrinkToFit="1"/>
    </xf>
    <xf numFmtId="1" fontId="139" fillId="9" borderId="8" xfId="0" applyNumberFormat="1" applyFont="1" applyFill="1" applyBorder="1" applyAlignment="1">
      <alignment horizontal="center" vertical="center" shrinkToFit="1"/>
    </xf>
    <xf numFmtId="0" fontId="140"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39" fillId="9" borderId="2" xfId="0" applyNumberFormat="1" applyFont="1" applyFill="1" applyBorder="1" applyAlignment="1">
      <alignment horizontal="center" vertical="center" shrinkToFit="1"/>
    </xf>
    <xf numFmtId="168" fontId="141" fillId="0" borderId="2" xfId="1" applyNumberFormat="1" applyFont="1" applyBorder="1" applyAlignment="1">
      <alignment horizontal="center" vertical="center" shrinkToFit="1"/>
    </xf>
    <xf numFmtId="168" fontId="141" fillId="9" borderId="2" xfId="1" applyNumberFormat="1" applyFont="1" applyFill="1" applyBorder="1" applyAlignment="1">
      <alignment horizontal="center" vertical="center" shrinkToFit="1"/>
    </xf>
    <xf numFmtId="1" fontId="138"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43" fillId="9" borderId="7" xfId="0" applyFont="1" applyFill="1" applyBorder="1" applyAlignment="1">
      <alignment horizontal="center" vertical="top" wrapText="1"/>
    </xf>
    <xf numFmtId="0" fontId="144" fillId="9" borderId="7" xfId="0" applyFont="1" applyFill="1" applyBorder="1" applyAlignment="1">
      <alignment horizontal="center" vertical="center" wrapText="1"/>
    </xf>
    <xf numFmtId="2" fontId="139"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43" fillId="0" borderId="2" xfId="0" applyFont="1" applyBorder="1" applyAlignment="1">
      <alignment horizontal="left" wrapText="1"/>
    </xf>
    <xf numFmtId="2" fontId="139"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39" fillId="9" borderId="2" xfId="0" applyNumberFormat="1" applyFont="1" applyFill="1" applyBorder="1" applyAlignment="1">
      <alignment horizontal="center" vertical="top" shrinkToFit="1"/>
    </xf>
    <xf numFmtId="0" fontId="143" fillId="3" borderId="2" xfId="0" applyFont="1" applyFill="1" applyBorder="1" applyAlignment="1">
      <alignment horizontal="center" vertical="top" wrapText="1"/>
    </xf>
    <xf numFmtId="167" fontId="141" fillId="9" borderId="7" xfId="0" applyNumberFormat="1" applyFont="1" applyFill="1" applyBorder="1" applyAlignment="1">
      <alignment horizontal="center" vertical="top" shrinkToFit="1"/>
    </xf>
    <xf numFmtId="1" fontId="141" fillId="9" borderId="7" xfId="0" applyNumberFormat="1" applyFont="1" applyFill="1" applyBorder="1" applyAlignment="1">
      <alignment horizontal="center" vertical="top" shrinkToFit="1"/>
    </xf>
    <xf numFmtId="1" fontId="139" fillId="9" borderId="7" xfId="0" applyNumberFormat="1" applyFont="1" applyFill="1" applyBorder="1" applyAlignment="1">
      <alignment horizontal="center" vertical="top" shrinkToFit="1"/>
    </xf>
    <xf numFmtId="167" fontId="141" fillId="0" borderId="2" xfId="0" applyNumberFormat="1" applyFont="1" applyBorder="1" applyAlignment="1">
      <alignment horizontal="center" vertical="top" shrinkToFit="1"/>
    </xf>
    <xf numFmtId="1" fontId="141" fillId="0" borderId="2" xfId="0" applyNumberFormat="1" applyFont="1" applyBorder="1" applyAlignment="1">
      <alignment horizontal="center" vertical="top" shrinkToFit="1"/>
    </xf>
    <xf numFmtId="1" fontId="139" fillId="0" borderId="2" xfId="0" applyNumberFormat="1" applyFont="1" applyBorder="1" applyAlignment="1">
      <alignment horizontal="center" vertical="top" shrinkToFit="1"/>
    </xf>
    <xf numFmtId="167" fontId="141" fillId="9" borderId="2" xfId="0" applyNumberFormat="1" applyFont="1" applyFill="1" applyBorder="1" applyAlignment="1">
      <alignment horizontal="center" vertical="top" shrinkToFit="1"/>
    </xf>
    <xf numFmtId="1" fontId="141" fillId="9" borderId="2" xfId="0" applyNumberFormat="1" applyFont="1" applyFill="1" applyBorder="1" applyAlignment="1">
      <alignment horizontal="center" vertical="top" shrinkToFit="1"/>
    </xf>
    <xf numFmtId="1" fontId="139"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38" fillId="8" borderId="11" xfId="0" applyNumberFormat="1" applyFont="1" applyFill="1" applyBorder="1" applyAlignment="1">
      <alignment horizontal="center" vertical="center"/>
    </xf>
    <xf numFmtId="169" fontId="138" fillId="8" borderId="16" xfId="0" applyNumberFormat="1" applyFont="1" applyFill="1" applyBorder="1" applyAlignment="1">
      <alignment horizontal="center" vertical="center"/>
    </xf>
    <xf numFmtId="0" fontId="143" fillId="9" borderId="7" xfId="0" applyFont="1" applyFill="1" applyBorder="1" applyAlignment="1">
      <alignment horizontal="left" wrapText="1"/>
    </xf>
    <xf numFmtId="169" fontId="145" fillId="9" borderId="7" xfId="0" applyNumberFormat="1" applyFont="1" applyFill="1" applyBorder="1" applyAlignment="1">
      <alignment horizontal="center" vertical="top" shrinkToFit="1"/>
    </xf>
    <xf numFmtId="169" fontId="141" fillId="9" borderId="13" xfId="0" applyNumberFormat="1" applyFont="1" applyFill="1" applyBorder="1" applyAlignment="1">
      <alignment horizontal="center" vertical="top" shrinkToFit="1"/>
    </xf>
    <xf numFmtId="0" fontId="140" fillId="0" borderId="2" xfId="0" applyFont="1" applyBorder="1" applyAlignment="1">
      <alignment horizontal="center" vertical="top" wrapText="1"/>
    </xf>
    <xf numFmtId="0" fontId="146" fillId="0" borderId="2" xfId="0" applyFont="1" applyBorder="1" applyAlignment="1">
      <alignment horizontal="left" wrapText="1"/>
    </xf>
    <xf numFmtId="0" fontId="143" fillId="0" borderId="14" xfId="0" applyFont="1" applyBorder="1" applyAlignment="1">
      <alignment horizontal="left" wrapText="1"/>
    </xf>
    <xf numFmtId="169" fontId="145" fillId="0" borderId="2" xfId="0" applyNumberFormat="1" applyFont="1" applyBorder="1" applyAlignment="1">
      <alignment horizontal="center" vertical="top" shrinkToFit="1"/>
    </xf>
    <xf numFmtId="169" fontId="141" fillId="0" borderId="14" xfId="0" applyNumberFormat="1" applyFont="1" applyBorder="1" applyAlignment="1">
      <alignment horizontal="center" vertical="top" shrinkToFit="1"/>
    </xf>
    <xf numFmtId="0" fontId="143" fillId="9" borderId="2" xfId="0" applyFont="1" applyFill="1" applyBorder="1" applyAlignment="1">
      <alignment horizontal="left" wrapText="1"/>
    </xf>
    <xf numFmtId="169" fontId="145" fillId="9" borderId="2" xfId="0" applyNumberFormat="1" applyFont="1" applyFill="1" applyBorder="1" applyAlignment="1">
      <alignment horizontal="center" vertical="top" shrinkToFit="1"/>
    </xf>
    <xf numFmtId="169" fontId="141"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39" fillId="9" borderId="10" xfId="0" applyNumberFormat="1" applyFont="1" applyFill="1" applyBorder="1" applyAlignment="1">
      <alignment horizontal="center" vertical="center" shrinkToFit="1"/>
    </xf>
    <xf numFmtId="0" fontId="140"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39" fillId="9" borderId="11" xfId="0" applyNumberFormat="1" applyFont="1" applyFill="1" applyBorder="1" applyAlignment="1">
      <alignment horizontal="center" vertical="center" shrinkToFit="1"/>
    </xf>
    <xf numFmtId="0" fontId="147" fillId="0" borderId="0" xfId="0" applyFont="1" applyAlignment="1">
      <alignment horizontal="left" vertical="top"/>
    </xf>
    <xf numFmtId="168" fontId="0" fillId="9" borderId="11" xfId="1" applyNumberFormat="1" applyFont="1" applyFill="1" applyBorder="1" applyAlignment="1">
      <alignment horizontal="center" vertical="center"/>
    </xf>
    <xf numFmtId="0" fontId="144" fillId="9" borderId="11" xfId="0" applyFont="1" applyFill="1" applyBorder="1" applyAlignment="1">
      <alignment horizontal="center" vertical="center" wrapText="1"/>
    </xf>
    <xf numFmtId="2" fontId="139" fillId="9" borderId="11" xfId="0" applyNumberFormat="1" applyFont="1" applyFill="1" applyBorder="1" applyAlignment="1">
      <alignment horizontal="center" vertical="top" shrinkToFit="1"/>
    </xf>
    <xf numFmtId="167" fontId="141" fillId="9" borderId="11" xfId="0" applyNumberFormat="1" applyFont="1" applyFill="1" applyBorder="1" applyAlignment="1">
      <alignment horizontal="center" vertical="top" shrinkToFit="1"/>
    </xf>
    <xf numFmtId="1" fontId="141" fillId="9" borderId="11" xfId="0" applyNumberFormat="1" applyFont="1" applyFill="1" applyBorder="1" applyAlignment="1">
      <alignment horizontal="center" vertical="top" shrinkToFit="1"/>
    </xf>
    <xf numFmtId="1" fontId="139" fillId="9" borderId="11" xfId="0" applyNumberFormat="1" applyFont="1" applyFill="1" applyBorder="1" applyAlignment="1">
      <alignment horizontal="center" vertical="top" shrinkToFit="1"/>
    </xf>
    <xf numFmtId="0" fontId="143" fillId="0" borderId="2" xfId="0" applyFont="1" applyBorder="1" applyAlignment="1">
      <alignment horizontal="center" vertical="top" wrapText="1"/>
    </xf>
    <xf numFmtId="0" fontId="143" fillId="9" borderId="11" xfId="0" applyFont="1" applyFill="1" applyBorder="1" applyAlignment="1">
      <alignment horizontal="left" wrapText="1"/>
    </xf>
    <xf numFmtId="169" fontId="145" fillId="9" borderId="11" xfId="0" applyNumberFormat="1" applyFont="1" applyFill="1" applyBorder="1" applyAlignment="1">
      <alignment horizontal="center" vertical="top" shrinkToFit="1"/>
    </xf>
    <xf numFmtId="169" fontId="141" fillId="9" borderId="16" xfId="0" applyNumberFormat="1" applyFont="1" applyFill="1" applyBorder="1" applyAlignment="1">
      <alignment horizontal="center" vertical="top" shrinkToFit="1"/>
    </xf>
    <xf numFmtId="0" fontId="151" fillId="0" borderId="21" xfId="0" applyFont="1" applyBorder="1" applyAlignment="1">
      <alignment horizontal="center" vertical="center"/>
    </xf>
    <xf numFmtId="0" fontId="151" fillId="0" borderId="22" xfId="0" applyFont="1" applyBorder="1" applyAlignment="1">
      <alignment horizontal="center" vertical="center"/>
    </xf>
    <xf numFmtId="0" fontId="151" fillId="0" borderId="0" xfId="0" applyFont="1" applyAlignment="1">
      <alignment horizontal="center" vertical="center"/>
    </xf>
    <xf numFmtId="0" fontId="151" fillId="11" borderId="2" xfId="0" applyFont="1" applyFill="1" applyBorder="1" applyAlignment="1">
      <alignment horizontal="center" vertical="center"/>
    </xf>
    <xf numFmtId="0" fontId="151" fillId="0" borderId="20" xfId="0" applyFont="1" applyBorder="1" applyAlignment="1">
      <alignment horizontal="center" vertical="center"/>
    </xf>
    <xf numFmtId="0" fontId="151" fillId="0" borderId="2" xfId="0" applyFont="1" applyBorder="1" applyAlignment="1">
      <alignment horizontal="center" vertical="center"/>
    </xf>
    <xf numFmtId="167" fontId="151" fillId="0" borderId="2" xfId="0" applyNumberFormat="1" applyFont="1" applyBorder="1" applyAlignment="1">
      <alignment horizontal="center" vertical="center"/>
    </xf>
    <xf numFmtId="0" fontId="153" fillId="0" borderId="20" xfId="0" applyFont="1" applyBorder="1" applyAlignment="1">
      <alignment horizontal="center" vertical="center"/>
    </xf>
    <xf numFmtId="0" fontId="153" fillId="0" borderId="0" xfId="0" applyFont="1" applyAlignment="1">
      <alignment horizontal="center" vertical="center"/>
    </xf>
    <xf numFmtId="2" fontId="153" fillId="0" borderId="20" xfId="0" applyNumberFormat="1" applyFont="1" applyBorder="1" applyAlignment="1">
      <alignment horizontal="center" vertical="center"/>
    </xf>
    <xf numFmtId="2" fontId="153" fillId="0" borderId="0" xfId="0" applyNumberFormat="1" applyFont="1" applyAlignment="1">
      <alignment horizontal="center" vertical="center"/>
    </xf>
    <xf numFmtId="0" fontId="154" fillId="0" borderId="20" xfId="0" applyFont="1" applyBorder="1" applyAlignment="1">
      <alignment horizontal="center" vertical="center"/>
    </xf>
    <xf numFmtId="0" fontId="153" fillId="0" borderId="29" xfId="0" applyFont="1" applyBorder="1" applyAlignment="1">
      <alignment horizontal="center" vertical="center"/>
    </xf>
    <xf numFmtId="0" fontId="155" fillId="0" borderId="30" xfId="0" applyFont="1" applyBorder="1" applyAlignment="1">
      <alignment horizontal="center" vertical="center"/>
    </xf>
    <xf numFmtId="0" fontId="153" fillId="0" borderId="31" xfId="0" applyFont="1" applyBorder="1" applyAlignment="1">
      <alignment horizontal="center" vertical="center"/>
    </xf>
    <xf numFmtId="0" fontId="154" fillId="0" borderId="30" xfId="0" applyFont="1" applyBorder="1" applyAlignment="1">
      <alignment horizontal="center" vertical="center"/>
    </xf>
    <xf numFmtId="0" fontId="153" fillId="0" borderId="30" xfId="0" applyFont="1" applyBorder="1" applyAlignment="1">
      <alignment horizontal="center" vertical="center"/>
    </xf>
    <xf numFmtId="0" fontId="155" fillId="0" borderId="20" xfId="0" applyFont="1" applyBorder="1" applyAlignment="1">
      <alignment horizontal="center" vertical="center"/>
    </xf>
    <xf numFmtId="0" fontId="156" fillId="0" borderId="0" xfId="0" applyFont="1"/>
    <xf numFmtId="0" fontId="155" fillId="0" borderId="0" xfId="0" applyFont="1" applyAlignment="1">
      <alignment horizontal="center" vertical="center"/>
    </xf>
    <xf numFmtId="44" fontId="153" fillId="0" borderId="0" xfId="2" applyFont="1" applyFill="1" applyBorder="1" applyAlignment="1">
      <alignment horizontal="center" vertical="center"/>
    </xf>
    <xf numFmtId="0" fontId="155" fillId="3" borderId="20" xfId="0" applyFont="1" applyFill="1" applyBorder="1" applyAlignment="1">
      <alignment horizontal="center" vertical="center"/>
    </xf>
    <xf numFmtId="0" fontId="155" fillId="3" borderId="0" xfId="0" applyFont="1" applyFill="1" applyAlignment="1">
      <alignment horizontal="center" vertical="center"/>
    </xf>
    <xf numFmtId="44" fontId="153" fillId="3" borderId="0" xfId="2" applyFont="1" applyFill="1" applyBorder="1" applyAlignment="1">
      <alignment horizontal="center" vertical="center"/>
    </xf>
    <xf numFmtId="0" fontId="153" fillId="3" borderId="0" xfId="0" applyFont="1" applyFill="1" applyAlignment="1">
      <alignment horizontal="center" vertical="center"/>
    </xf>
    <xf numFmtId="0" fontId="153" fillId="3" borderId="26" xfId="0" applyFont="1" applyFill="1" applyBorder="1" applyAlignment="1">
      <alignment horizontal="center" vertical="center"/>
    </xf>
    <xf numFmtId="0" fontId="153" fillId="3" borderId="32" xfId="0" applyFont="1" applyFill="1" applyBorder="1" applyAlignment="1">
      <alignment horizontal="center" vertical="center"/>
    </xf>
    <xf numFmtId="0" fontId="153" fillId="0" borderId="23" xfId="0" applyFont="1" applyBorder="1" applyAlignment="1">
      <alignment horizontal="center" vertical="center"/>
    </xf>
    <xf numFmtId="0" fontId="153" fillId="3" borderId="5" xfId="0" applyFont="1" applyFill="1" applyBorder="1" applyAlignment="1">
      <alignment horizontal="center" vertical="center"/>
    </xf>
    <xf numFmtId="0" fontId="155" fillId="0" borderId="0" xfId="0" applyFont="1" applyAlignment="1">
      <alignment vertical="center"/>
    </xf>
    <xf numFmtId="0" fontId="153" fillId="0" borderId="0" xfId="0" applyFont="1" applyAlignment="1">
      <alignment vertical="center"/>
    </xf>
    <xf numFmtId="2" fontId="153" fillId="3" borderId="0" xfId="0" applyNumberFormat="1" applyFont="1" applyFill="1" applyAlignment="1">
      <alignment horizontal="center" vertical="center"/>
    </xf>
    <xf numFmtId="0" fontId="157" fillId="12" borderId="30" xfId="0" applyFont="1" applyFill="1" applyBorder="1" applyAlignment="1">
      <alignment horizontal="center" vertical="center"/>
    </xf>
    <xf numFmtId="0" fontId="153" fillId="12" borderId="30" xfId="0" applyFont="1" applyFill="1" applyBorder="1" applyAlignment="1">
      <alignment horizontal="center" vertical="center"/>
    </xf>
    <xf numFmtId="0" fontId="155" fillId="0" borderId="32" xfId="0" applyFont="1" applyBorder="1" applyAlignment="1">
      <alignment horizontal="center" vertical="center"/>
    </xf>
    <xf numFmtId="0" fontId="158" fillId="0" borderId="0" xfId="0" applyFont="1" applyAlignment="1">
      <alignment horizontal="center" vertical="center"/>
    </xf>
    <xf numFmtId="0" fontId="153" fillId="0" borderId="0" xfId="0" applyFont="1" applyAlignment="1">
      <alignment horizontal="center" vertical="top"/>
    </xf>
    <xf numFmtId="0" fontId="153" fillId="0" borderId="34" xfId="0" applyFont="1" applyBorder="1" applyAlignment="1">
      <alignment horizontal="center" vertical="center"/>
    </xf>
    <xf numFmtId="0" fontId="159" fillId="3" borderId="22" xfId="0" applyFont="1" applyFill="1" applyBorder="1" applyAlignment="1">
      <alignment horizontal="center" vertical="center"/>
    </xf>
    <xf numFmtId="0" fontId="0" fillId="0" borderId="24" xfId="0" applyBorder="1"/>
    <xf numFmtId="0" fontId="151" fillId="3" borderId="0" xfId="0" applyFont="1" applyFill="1" applyAlignment="1">
      <alignment horizontal="center" vertical="center"/>
    </xf>
    <xf numFmtId="0" fontId="159" fillId="3" borderId="0" xfId="0" applyFont="1" applyFill="1" applyAlignment="1">
      <alignment horizontal="center" vertical="center"/>
    </xf>
    <xf numFmtId="0" fontId="0" fillId="0" borderId="35" xfId="0" applyBorder="1"/>
    <xf numFmtId="1" fontId="151" fillId="0" borderId="2" xfId="0" applyNumberFormat="1" applyFont="1" applyBorder="1" applyAlignment="1">
      <alignment horizontal="center" vertical="center"/>
    </xf>
    <xf numFmtId="1" fontId="151" fillId="3" borderId="0" xfId="0" applyNumberFormat="1" applyFont="1" applyFill="1" applyAlignment="1">
      <alignment horizontal="center" vertical="center"/>
    </xf>
    <xf numFmtId="0" fontId="160" fillId="3" borderId="0" xfId="0" applyFont="1" applyFill="1" applyAlignment="1">
      <alignment horizontal="center" vertical="center"/>
    </xf>
    <xf numFmtId="2" fontId="160" fillId="3" borderId="0" xfId="0" applyNumberFormat="1" applyFont="1" applyFill="1" applyAlignment="1">
      <alignment horizontal="center" vertical="center"/>
    </xf>
    <xf numFmtId="0" fontId="153" fillId="0" borderId="32" xfId="0" applyFont="1" applyBorder="1" applyAlignment="1">
      <alignment horizontal="center" vertical="center"/>
    </xf>
    <xf numFmtId="0" fontId="160" fillId="3" borderId="32" xfId="0" applyFont="1" applyFill="1" applyBorder="1" applyAlignment="1">
      <alignment horizontal="center" vertical="center"/>
    </xf>
    <xf numFmtId="0" fontId="0" fillId="0" borderId="27" xfId="0" applyBorder="1"/>
    <xf numFmtId="0" fontId="153" fillId="0" borderId="5" xfId="0" applyFont="1" applyBorder="1" applyAlignment="1">
      <alignment horizontal="center" vertical="center"/>
    </xf>
    <xf numFmtId="0" fontId="160" fillId="3" borderId="24" xfId="0" applyFont="1" applyFill="1" applyBorder="1" applyAlignment="1">
      <alignment horizontal="center" vertical="center"/>
    </xf>
    <xf numFmtId="0" fontId="160" fillId="3" borderId="35" xfId="0" applyFont="1" applyFill="1" applyBorder="1" applyAlignment="1">
      <alignment horizontal="center" vertical="center"/>
    </xf>
    <xf numFmtId="2" fontId="160" fillId="3" borderId="35" xfId="0" applyNumberFormat="1" applyFont="1" applyFill="1" applyBorder="1" applyAlignment="1">
      <alignment horizontal="center" vertical="center"/>
    </xf>
    <xf numFmtId="0" fontId="155" fillId="0" borderId="35" xfId="0" applyFont="1" applyBorder="1" applyAlignment="1">
      <alignment horizontal="center" vertical="center"/>
    </xf>
    <xf numFmtId="44" fontId="153" fillId="0" borderId="35" xfId="2" applyFont="1" applyFill="1" applyBorder="1" applyAlignment="1">
      <alignment horizontal="center" vertical="center"/>
    </xf>
    <xf numFmtId="0" fontId="154" fillId="0" borderId="36" xfId="0" applyFont="1" applyBorder="1" applyAlignment="1">
      <alignment horizontal="center" vertical="center"/>
    </xf>
    <xf numFmtId="0" fontId="153" fillId="0" borderId="37" xfId="0" applyFont="1" applyBorder="1" applyAlignment="1">
      <alignment horizontal="center" vertical="center"/>
    </xf>
    <xf numFmtId="0" fontId="155" fillId="3" borderId="35" xfId="0" applyFont="1" applyFill="1" applyBorder="1" applyAlignment="1">
      <alignment horizontal="center" vertical="center"/>
    </xf>
    <xf numFmtId="44" fontId="161" fillId="3" borderId="0" xfId="2" applyFont="1" applyFill="1" applyBorder="1" applyAlignment="1">
      <alignment horizontal="center" vertical="center"/>
    </xf>
    <xf numFmtId="0" fontId="153" fillId="12" borderId="38" xfId="0" applyFont="1" applyFill="1" applyBorder="1" applyAlignment="1">
      <alignment horizontal="center" vertical="center"/>
    </xf>
    <xf numFmtId="0" fontId="153"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53" fillId="0" borderId="39" xfId="0" applyFont="1" applyBorder="1" applyAlignment="1">
      <alignment horizontal="center" vertical="center"/>
    </xf>
    <xf numFmtId="0" fontId="155" fillId="9" borderId="30" xfId="0" applyFont="1" applyFill="1" applyBorder="1" applyAlignment="1">
      <alignment horizontal="center" vertical="center"/>
    </xf>
    <xf numFmtId="0" fontId="162" fillId="0" borderId="0" xfId="0" applyFont="1" applyAlignment="1">
      <alignment horizontal="center"/>
    </xf>
    <xf numFmtId="0" fontId="153" fillId="3" borderId="0" xfId="0" applyFont="1" applyFill="1" applyAlignment="1">
      <alignment vertical="center"/>
    </xf>
    <xf numFmtId="44" fontId="153" fillId="0" borderId="0" xfId="2" applyFont="1" applyFill="1" applyBorder="1" applyAlignment="1">
      <alignment vertical="center"/>
    </xf>
    <xf numFmtId="0" fontId="157" fillId="3" borderId="35" xfId="0" applyFont="1" applyFill="1" applyBorder="1" applyAlignment="1">
      <alignment horizontal="center" vertical="center"/>
    </xf>
    <xf numFmtId="0" fontId="153" fillId="0" borderId="35" xfId="0" applyFont="1" applyBorder="1" applyAlignment="1">
      <alignment horizontal="center" vertical="center"/>
    </xf>
    <xf numFmtId="2" fontId="153" fillId="0" borderId="35" xfId="0" applyNumberFormat="1" applyFont="1" applyBorder="1" applyAlignment="1">
      <alignment horizontal="center" vertical="center"/>
    </xf>
    <xf numFmtId="0" fontId="154" fillId="0" borderId="40" xfId="0" applyFont="1" applyBorder="1" applyAlignment="1">
      <alignment horizontal="center" vertical="center"/>
    </xf>
    <xf numFmtId="0" fontId="153" fillId="0" borderId="40" xfId="0" applyFont="1" applyBorder="1" applyAlignment="1">
      <alignment horizontal="center" vertical="center"/>
    </xf>
    <xf numFmtId="44" fontId="153" fillId="3" borderId="35" xfId="2" applyFont="1" applyFill="1" applyBorder="1" applyAlignment="1">
      <alignment horizontal="center" vertical="center"/>
    </xf>
    <xf numFmtId="0" fontId="153" fillId="0" borderId="35" xfId="0" applyFont="1" applyBorder="1" applyAlignment="1">
      <alignment horizontal="center" vertical="top"/>
    </xf>
    <xf numFmtId="44" fontId="155" fillId="3" borderId="0" xfId="2" applyFont="1" applyFill="1" applyBorder="1" applyAlignment="1">
      <alignment horizontal="center" vertical="center"/>
    </xf>
    <xf numFmtId="0" fontId="154" fillId="0" borderId="41" xfId="0" applyFont="1" applyBorder="1" applyAlignment="1">
      <alignment horizontal="center" vertical="center"/>
    </xf>
    <xf numFmtId="0" fontId="153" fillId="0" borderId="42" xfId="0" applyFont="1" applyBorder="1" applyAlignment="1">
      <alignment horizontal="center" vertical="center"/>
    </xf>
    <xf numFmtId="44" fontId="155" fillId="3" borderId="35" xfId="2" applyFont="1" applyFill="1" applyBorder="1" applyAlignment="1">
      <alignment horizontal="center" vertical="center"/>
    </xf>
    <xf numFmtId="0" fontId="161" fillId="0" borderId="2" xfId="0" applyFont="1" applyBorder="1" applyAlignment="1">
      <alignment horizontal="center" vertical="center"/>
    </xf>
    <xf numFmtId="0" fontId="153" fillId="0" borderId="2" xfId="0" applyFont="1" applyBorder="1" applyAlignment="1">
      <alignment horizontal="center" vertical="center"/>
    </xf>
    <xf numFmtId="0" fontId="162" fillId="13" borderId="26" xfId="0" applyFont="1" applyFill="1" applyBorder="1" applyAlignment="1">
      <alignment horizontal="center"/>
    </xf>
    <xf numFmtId="0" fontId="162" fillId="13" borderId="32" xfId="0" applyFont="1" applyFill="1" applyBorder="1" applyAlignment="1">
      <alignment horizontal="center"/>
    </xf>
    <xf numFmtId="0" fontId="153" fillId="0" borderId="43" xfId="0" applyFont="1" applyBorder="1" applyAlignment="1">
      <alignment horizontal="center" vertical="center"/>
    </xf>
    <xf numFmtId="0" fontId="153" fillId="0" borderId="0" xfId="0" applyFont="1"/>
    <xf numFmtId="0" fontId="153" fillId="0" borderId="0" xfId="0" applyFont="1" applyAlignment="1">
      <alignment horizontal="left" vertical="center"/>
    </xf>
    <xf numFmtId="0" fontId="153" fillId="9" borderId="30" xfId="0" applyFont="1" applyFill="1" applyBorder="1" applyAlignment="1">
      <alignment horizontal="center" vertical="center"/>
    </xf>
    <xf numFmtId="0" fontId="153" fillId="14" borderId="30" xfId="0" applyFont="1" applyFill="1" applyBorder="1" applyAlignment="1">
      <alignment horizontal="center" vertical="center"/>
    </xf>
    <xf numFmtId="0" fontId="157" fillId="3" borderId="30" xfId="0" applyFont="1" applyFill="1" applyBorder="1" applyAlignment="1">
      <alignment horizontal="center" vertical="center"/>
    </xf>
    <xf numFmtId="0" fontId="156" fillId="0" borderId="0" xfId="0" applyFont="1" applyAlignment="1">
      <alignment horizontal="center"/>
    </xf>
    <xf numFmtId="0" fontId="156" fillId="0" borderId="0" xfId="0" applyFont="1" applyAlignment="1">
      <alignment horizontal="left"/>
    </xf>
    <xf numFmtId="0" fontId="156" fillId="0" borderId="0" xfId="0" applyFont="1" applyAlignment="1">
      <alignment horizontal="center" vertical="center"/>
    </xf>
    <xf numFmtId="0" fontId="160" fillId="15" borderId="30" xfId="0" applyFont="1" applyFill="1" applyBorder="1" applyAlignment="1">
      <alignment horizontal="center" vertical="center"/>
    </xf>
    <xf numFmtId="0" fontId="156" fillId="0" borderId="0" xfId="0" applyFont="1" applyAlignment="1">
      <alignment horizontal="right"/>
    </xf>
    <xf numFmtId="49" fontId="156" fillId="0" borderId="0" xfId="0" applyNumberFormat="1" applyFont="1"/>
    <xf numFmtId="0" fontId="157" fillId="0" borderId="0" xfId="12"/>
    <xf numFmtId="0" fontId="157" fillId="0" borderId="0" xfId="27" applyAlignment="1">
      <alignment horizontal="left"/>
    </xf>
    <xf numFmtId="0" fontId="153" fillId="0" borderId="44" xfId="0" applyFont="1" applyBorder="1" applyAlignment="1">
      <alignment horizontal="center" vertical="center"/>
    </xf>
    <xf numFmtId="0" fontId="153" fillId="0" borderId="45" xfId="0" applyFont="1" applyBorder="1" applyAlignment="1">
      <alignment horizontal="center" vertical="center"/>
    </xf>
    <xf numFmtId="0" fontId="156" fillId="0" borderId="45" xfId="0" applyFont="1" applyBorder="1"/>
    <xf numFmtId="0" fontId="156" fillId="0" borderId="45" xfId="0" applyFont="1" applyBorder="1" applyAlignment="1">
      <alignment horizontal="left"/>
    </xf>
    <xf numFmtId="0" fontId="156" fillId="0" borderId="45" xfId="0" applyFont="1" applyBorder="1" applyAlignment="1">
      <alignment horizontal="center" vertical="center"/>
    </xf>
    <xf numFmtId="169" fontId="153" fillId="0" borderId="2" xfId="0" applyNumberFormat="1" applyFont="1" applyBorder="1" applyAlignment="1">
      <alignment horizontal="center" vertical="center"/>
    </xf>
    <xf numFmtId="169" fontId="153" fillId="0" borderId="0" xfId="0" applyNumberFormat="1" applyFont="1" applyAlignment="1">
      <alignment horizontal="center" vertical="center"/>
    </xf>
    <xf numFmtId="0" fontId="157" fillId="0" borderId="0" xfId="21" applyAlignment="1">
      <alignment horizontal="center"/>
    </xf>
    <xf numFmtId="0" fontId="163" fillId="16" borderId="0" xfId="5" applyFont="1" applyBorder="1"/>
    <xf numFmtId="0" fontId="157" fillId="0" borderId="0" xfId="10" applyAlignment="1">
      <alignment horizontal="left" vertical="center"/>
    </xf>
    <xf numFmtId="0" fontId="157" fillId="0" borderId="0" xfId="28" applyAlignment="1">
      <alignment horizontal="left"/>
    </xf>
    <xf numFmtId="0" fontId="156" fillId="0" borderId="45" xfId="0" applyFont="1" applyBorder="1" applyAlignment="1">
      <alignment horizontal="center"/>
    </xf>
    <xf numFmtId="0" fontId="162" fillId="13" borderId="27" xfId="0" applyFont="1" applyFill="1" applyBorder="1" applyAlignment="1">
      <alignment horizontal="center"/>
    </xf>
    <xf numFmtId="0" fontId="160" fillId="3" borderId="47" xfId="0" applyFont="1" applyFill="1" applyBorder="1" applyAlignment="1">
      <alignment horizontal="center" vertical="center"/>
    </xf>
    <xf numFmtId="0" fontId="161" fillId="0" borderId="0" xfId="0" applyFont="1" applyAlignment="1">
      <alignment horizontal="left" vertical="center"/>
    </xf>
    <xf numFmtId="0" fontId="157" fillId="0" borderId="0" xfId="26"/>
    <xf numFmtId="0" fontId="157" fillId="0" borderId="0" xfId="23" applyAlignment="1">
      <alignment horizontal="left"/>
    </xf>
    <xf numFmtId="0" fontId="157" fillId="0" borderId="0" xfId="24" applyAlignment="1">
      <alignment horizontal="left"/>
    </xf>
    <xf numFmtId="0" fontId="157" fillId="0" borderId="0" xfId="26" applyAlignment="1">
      <alignment horizontal="center"/>
    </xf>
    <xf numFmtId="0" fontId="156" fillId="17" borderId="0" xfId="6" applyFont="1" applyBorder="1" applyAlignment="1">
      <alignment horizontal="center"/>
    </xf>
    <xf numFmtId="0" fontId="157" fillId="0" borderId="0" xfId="11" applyAlignment="1">
      <alignment horizontal="left" vertical="center"/>
    </xf>
    <xf numFmtId="0" fontId="160" fillId="3" borderId="48" xfId="0" applyFont="1" applyFill="1" applyBorder="1" applyAlignment="1">
      <alignment horizontal="center" vertical="center"/>
    </xf>
    <xf numFmtId="0" fontId="162" fillId="0" borderId="49" xfId="0" applyFont="1" applyBorder="1" applyAlignment="1">
      <alignment horizontal="center" vertical="center"/>
    </xf>
    <xf numFmtId="0" fontId="162" fillId="0" borderId="22" xfId="0" applyFont="1" applyBorder="1" applyAlignment="1">
      <alignment horizontal="center" vertical="center"/>
    </xf>
    <xf numFmtId="0" fontId="162" fillId="0" borderId="43" xfId="0" applyFont="1" applyBorder="1" applyAlignment="1">
      <alignment horizontal="center" vertical="center"/>
    </xf>
    <xf numFmtId="0" fontId="164" fillId="0" borderId="0" xfId="0" applyFont="1" applyAlignment="1">
      <alignment horizontal="center" vertical="center"/>
    </xf>
    <xf numFmtId="0" fontId="154" fillId="3" borderId="30" xfId="0" applyFont="1" applyFill="1" applyBorder="1" applyAlignment="1">
      <alignment horizontal="center" vertical="center"/>
    </xf>
    <xf numFmtId="0" fontId="153" fillId="3" borderId="31" xfId="0" applyFont="1" applyFill="1" applyBorder="1" applyAlignment="1">
      <alignment horizontal="center" vertical="center"/>
    </xf>
    <xf numFmtId="0" fontId="153" fillId="3" borderId="30" xfId="0" applyFont="1" applyFill="1" applyBorder="1" applyAlignment="1">
      <alignment horizontal="center" vertical="center"/>
    </xf>
    <xf numFmtId="0" fontId="161" fillId="0" borderId="0" xfId="0" applyFont="1" applyAlignment="1">
      <alignment horizontal="center" vertical="center"/>
    </xf>
    <xf numFmtId="0" fontId="154" fillId="0" borderId="2" xfId="0" applyFont="1" applyBorder="1" applyAlignment="1">
      <alignment horizontal="center" vertical="center"/>
    </xf>
    <xf numFmtId="0" fontId="163" fillId="0" borderId="0" xfId="5" applyFont="1" applyFill="1" applyBorder="1"/>
    <xf numFmtId="0" fontId="153" fillId="3" borderId="45" xfId="0" applyFont="1" applyFill="1" applyBorder="1" applyAlignment="1">
      <alignment horizontal="center" vertical="center"/>
    </xf>
    <xf numFmtId="0" fontId="153" fillId="0" borderId="49" xfId="0" applyFont="1" applyBorder="1" applyAlignment="1">
      <alignment horizontal="center" vertical="center"/>
    </xf>
    <xf numFmtId="0" fontId="153" fillId="0" borderId="22" xfId="0" applyFont="1" applyBorder="1" applyAlignment="1">
      <alignment horizontal="center" vertical="center"/>
    </xf>
    <xf numFmtId="49" fontId="153" fillId="3" borderId="0" xfId="0" applyNumberFormat="1" applyFont="1" applyFill="1" applyAlignment="1">
      <alignment horizontal="center" vertical="center"/>
    </xf>
    <xf numFmtId="0" fontId="157" fillId="0" borderId="0" xfId="0" applyFont="1" applyAlignment="1">
      <alignment horizontal="center" vertical="center"/>
    </xf>
    <xf numFmtId="0" fontId="161" fillId="3" borderId="0" xfId="0" applyFont="1" applyFill="1" applyAlignment="1">
      <alignment horizontal="center" vertical="center"/>
    </xf>
    <xf numFmtId="0" fontId="165" fillId="0" borderId="31" xfId="0" applyFont="1" applyBorder="1" applyAlignment="1">
      <alignment horizontal="center" vertical="center"/>
    </xf>
    <xf numFmtId="0" fontId="159" fillId="3" borderId="50" xfId="0" applyFont="1" applyFill="1" applyBorder="1" applyAlignment="1">
      <alignment horizontal="center" vertical="center"/>
    </xf>
    <xf numFmtId="0" fontId="156" fillId="0" borderId="22" xfId="0" applyFont="1" applyBorder="1" applyAlignment="1">
      <alignment horizontal="center" vertical="center"/>
    </xf>
    <xf numFmtId="0" fontId="159" fillId="3" borderId="47" xfId="0" applyFont="1" applyFill="1" applyBorder="1" applyAlignment="1">
      <alignment horizontal="center" vertical="center"/>
    </xf>
    <xf numFmtId="2" fontId="160" fillId="3" borderId="47" xfId="0" applyNumberFormat="1" applyFont="1" applyFill="1" applyBorder="1" applyAlignment="1">
      <alignment horizontal="center" vertical="center"/>
    </xf>
    <xf numFmtId="0" fontId="153" fillId="0" borderId="22" xfId="0" applyFont="1" applyBorder="1" applyAlignment="1">
      <alignment horizontal="center" vertical="top"/>
    </xf>
    <xf numFmtId="0" fontId="160" fillId="3" borderId="50" xfId="0" applyFont="1" applyFill="1" applyBorder="1" applyAlignment="1">
      <alignment horizontal="center" vertical="center"/>
    </xf>
    <xf numFmtId="0" fontId="160" fillId="3" borderId="30" xfId="0" applyFont="1" applyFill="1" applyBorder="1" applyAlignment="1">
      <alignment horizontal="center" vertical="center"/>
    </xf>
    <xf numFmtId="0" fontId="153" fillId="3" borderId="34" xfId="0" applyFont="1" applyFill="1" applyBorder="1" applyAlignment="1">
      <alignment horizontal="center" vertical="center"/>
    </xf>
    <xf numFmtId="9" fontId="153" fillId="0" borderId="0" xfId="3" applyFont="1" applyAlignment="1">
      <alignment horizontal="center" vertical="center"/>
    </xf>
    <xf numFmtId="0" fontId="160" fillId="0" borderId="30" xfId="0" applyFont="1" applyBorder="1" applyAlignment="1">
      <alignment horizontal="center" vertical="center"/>
    </xf>
    <xf numFmtId="0" fontId="153" fillId="0" borderId="26" xfId="0" applyFont="1" applyBorder="1" applyAlignment="1">
      <alignment horizontal="center" vertical="center"/>
    </xf>
    <xf numFmtId="0" fontId="153" fillId="0" borderId="41" xfId="0" applyFont="1" applyBorder="1" applyAlignment="1">
      <alignment horizontal="center" vertical="center"/>
    </xf>
    <xf numFmtId="0" fontId="160" fillId="3" borderId="27" xfId="0" applyFont="1" applyFill="1" applyBorder="1" applyAlignment="1">
      <alignment horizontal="center" vertical="center"/>
    </xf>
    <xf numFmtId="0" fontId="155" fillId="18" borderId="0" xfId="0" applyFont="1" applyFill="1" applyAlignment="1">
      <alignment horizontal="center" vertical="center"/>
    </xf>
    <xf numFmtId="0" fontId="153" fillId="18" borderId="0" xfId="0" applyFont="1" applyFill="1" applyAlignment="1">
      <alignment horizontal="center" vertical="center"/>
    </xf>
    <xf numFmtId="44" fontId="153" fillId="18" borderId="0" xfId="2" applyFont="1" applyFill="1" applyBorder="1" applyAlignment="1">
      <alignment horizontal="center" vertical="center"/>
    </xf>
    <xf numFmtId="0" fontId="158" fillId="18" borderId="0" xfId="0" applyFont="1" applyFill="1" applyAlignment="1">
      <alignment horizontal="center" vertical="center"/>
    </xf>
    <xf numFmtId="0" fontId="153" fillId="0" borderId="5" xfId="0" applyFont="1" applyBorder="1" applyAlignment="1">
      <alignment horizontal="center" vertical="top"/>
    </xf>
    <xf numFmtId="0" fontId="160" fillId="0" borderId="35" xfId="0" applyFont="1" applyBorder="1" applyAlignment="1">
      <alignment horizontal="center" vertical="center"/>
    </xf>
    <xf numFmtId="2" fontId="160" fillId="0" borderId="35" xfId="0" applyNumberFormat="1" applyFont="1" applyBorder="1" applyAlignment="1">
      <alignment horizontal="center" vertical="center"/>
    </xf>
    <xf numFmtId="44" fontId="161" fillId="0" borderId="0" xfId="2" applyFont="1" applyFill="1" applyBorder="1" applyAlignment="1">
      <alignment horizontal="center" vertical="center"/>
    </xf>
    <xf numFmtId="44" fontId="153" fillId="3" borderId="0" xfId="2" applyFont="1" applyFill="1" applyAlignment="1">
      <alignment horizontal="center" vertical="center"/>
    </xf>
    <xf numFmtId="0" fontId="138" fillId="19" borderId="2" xfId="0" applyFont="1" applyFill="1" applyBorder="1" applyAlignment="1">
      <alignment horizontal="center" vertical="center" wrapText="1"/>
    </xf>
    <xf numFmtId="0" fontId="138" fillId="19" borderId="2" xfId="0" applyFont="1" applyFill="1" applyBorder="1" applyAlignment="1">
      <alignment horizontal="center" vertical="center"/>
    </xf>
    <xf numFmtId="0" fontId="166" fillId="0" borderId="2" xfId="0" applyFont="1" applyBorder="1" applyAlignment="1">
      <alignment horizontal="left" vertical="center" wrapText="1"/>
    </xf>
    <xf numFmtId="0" fontId="161" fillId="19" borderId="2" xfId="0" applyFont="1" applyFill="1" applyBorder="1" applyAlignment="1">
      <alignment horizontal="center" vertical="center"/>
    </xf>
    <xf numFmtId="0" fontId="162" fillId="13" borderId="43" xfId="0" applyFont="1" applyFill="1" applyBorder="1" applyAlignment="1">
      <alignment horizontal="center"/>
    </xf>
    <xf numFmtId="0" fontId="162" fillId="13" borderId="0" xfId="0" applyFont="1" applyFill="1" applyAlignment="1">
      <alignment horizontal="center"/>
    </xf>
    <xf numFmtId="0" fontId="154" fillId="0" borderId="0" xfId="0" applyFont="1" applyAlignment="1">
      <alignment horizontal="center" vertical="center"/>
    </xf>
    <xf numFmtId="0" fontId="153" fillId="9" borderId="28" xfId="0" applyFont="1" applyFill="1" applyBorder="1" applyAlignment="1">
      <alignment horizontal="center" vertical="center"/>
    </xf>
    <xf numFmtId="0" fontId="162" fillId="13" borderId="47" xfId="0" applyFont="1" applyFill="1" applyBorder="1" applyAlignment="1">
      <alignment horizontal="center"/>
    </xf>
    <xf numFmtId="1" fontId="153" fillId="0" borderId="0" xfId="0" applyNumberFormat="1" applyFont="1" applyAlignment="1">
      <alignment horizontal="center" vertical="center"/>
    </xf>
    <xf numFmtId="0" fontId="153" fillId="9" borderId="2" xfId="0" applyFont="1" applyFill="1" applyBorder="1" applyAlignment="1">
      <alignment horizontal="center" vertical="center"/>
    </xf>
    <xf numFmtId="0" fontId="153" fillId="0" borderId="2" xfId="0" applyFont="1" applyBorder="1" applyAlignment="1">
      <alignment vertical="center"/>
    </xf>
    <xf numFmtId="0" fontId="151" fillId="0" borderId="49" xfId="0" applyFont="1" applyBorder="1" applyAlignment="1">
      <alignment horizontal="center" vertical="center"/>
    </xf>
    <xf numFmtId="0" fontId="151" fillId="0" borderId="43" xfId="0" applyFont="1" applyBorder="1" applyAlignment="1">
      <alignment horizontal="center" vertical="center"/>
    </xf>
    <xf numFmtId="2" fontId="153" fillId="0" borderId="43" xfId="0" applyNumberFormat="1" applyFont="1" applyBorder="1" applyAlignment="1">
      <alignment horizontal="center" vertical="center"/>
    </xf>
    <xf numFmtId="0" fontId="154" fillId="0" borderId="43" xfId="0" applyFont="1" applyBorder="1" applyAlignment="1">
      <alignment horizontal="center" vertical="center"/>
    </xf>
    <xf numFmtId="0" fontId="155" fillId="0" borderId="43" xfId="0" applyFont="1" applyBorder="1" applyAlignment="1">
      <alignment horizontal="center" vertical="center"/>
    </xf>
    <xf numFmtId="0" fontId="155" fillId="3" borderId="43" xfId="0" applyFont="1" applyFill="1" applyBorder="1" applyAlignment="1">
      <alignment horizontal="center" vertical="center"/>
    </xf>
    <xf numFmtId="0" fontId="153" fillId="3" borderId="44" xfId="0" applyFont="1" applyFill="1" applyBorder="1" applyAlignment="1">
      <alignment horizontal="center" vertical="center"/>
    </xf>
    <xf numFmtId="0" fontId="153" fillId="0" borderId="21" xfId="0" applyFont="1" applyBorder="1" applyAlignment="1">
      <alignment horizontal="center" vertical="center"/>
    </xf>
    <xf numFmtId="44" fontId="153" fillId="0" borderId="0" xfId="2" applyFont="1" applyFill="1" applyAlignment="1">
      <alignment horizontal="center" vertical="center"/>
    </xf>
    <xf numFmtId="0" fontId="157" fillId="0" borderId="30" xfId="0" applyFont="1" applyBorder="1" applyAlignment="1">
      <alignment horizontal="center" vertical="center"/>
    </xf>
    <xf numFmtId="0" fontId="155" fillId="0" borderId="45" xfId="0" applyFont="1" applyBorder="1" applyAlignment="1">
      <alignment horizontal="center" vertical="center"/>
    </xf>
    <xf numFmtId="0" fontId="157" fillId="3" borderId="0" xfId="0" applyFont="1" applyFill="1" applyAlignment="1">
      <alignment horizontal="center" vertical="center"/>
    </xf>
    <xf numFmtId="12" fontId="153" fillId="3" borderId="0" xfId="2" applyNumberFormat="1" applyFont="1" applyFill="1" applyAlignment="1">
      <alignment horizontal="center" vertical="center"/>
    </xf>
    <xf numFmtId="0" fontId="168" fillId="0" borderId="2" xfId="0" applyFont="1" applyBorder="1" applyAlignment="1">
      <alignment horizontal="center" vertical="center" wrapText="1"/>
    </xf>
    <xf numFmtId="0" fontId="0" fillId="0" borderId="2" xfId="0" applyBorder="1"/>
    <xf numFmtId="0" fontId="168" fillId="0" borderId="3" xfId="0" applyFont="1" applyBorder="1" applyAlignment="1">
      <alignment horizontal="center" vertical="center" wrapText="1"/>
    </xf>
    <xf numFmtId="171" fontId="168" fillId="0" borderId="3" xfId="0" applyNumberFormat="1" applyFont="1" applyBorder="1" applyAlignment="1">
      <alignment horizontal="center" vertical="center" wrapText="1"/>
    </xf>
    <xf numFmtId="0" fontId="0" fillId="0" borderId="3" xfId="0" applyBorder="1"/>
    <xf numFmtId="14" fontId="0" fillId="0" borderId="2" xfId="0" applyNumberFormat="1" applyBorder="1" applyAlignment="1">
      <alignment horizontal="center" vertical="center"/>
    </xf>
    <xf numFmtId="0" fontId="0" fillId="0" borderId="2" xfId="0" applyBorder="1" applyAlignment="1">
      <alignment horizontal="center"/>
    </xf>
    <xf numFmtId="0" fontId="169" fillId="0" borderId="2" xfId="0" applyFont="1" applyBorder="1" applyAlignment="1">
      <alignment horizontal="center"/>
    </xf>
    <xf numFmtId="0" fontId="170" fillId="0" borderId="0" xfId="0" applyFont="1" applyAlignment="1">
      <alignment horizontal="justify" vertical="center" wrapText="1"/>
    </xf>
    <xf numFmtId="0" fontId="171" fillId="0" borderId="0" xfId="0" applyFont="1" applyAlignment="1">
      <alignment horizontal="justify" vertical="center" wrapText="1"/>
    </xf>
    <xf numFmtId="0" fontId="0" fillId="0" borderId="0" xfId="0" applyAlignment="1">
      <alignment vertical="center" wrapText="1"/>
    </xf>
    <xf numFmtId="3" fontId="171" fillId="0" borderId="0" xfId="0" applyNumberFormat="1" applyFont="1" applyAlignment="1">
      <alignment horizontal="justify" vertical="center" wrapText="1"/>
    </xf>
    <xf numFmtId="0" fontId="169" fillId="0" borderId="0" xfId="0" applyFont="1"/>
    <xf numFmtId="0" fontId="169" fillId="0" borderId="0" xfId="0" applyFont="1" applyAlignment="1">
      <alignment horizontal="center"/>
    </xf>
    <xf numFmtId="0" fontId="172"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69" fillId="0" borderId="2" xfId="0" applyFont="1" applyBorder="1" applyAlignment="1">
      <alignment horizontal="center" vertical="center"/>
    </xf>
    <xf numFmtId="0" fontId="167" fillId="0" borderId="2" xfId="0" applyFont="1" applyBorder="1" applyAlignment="1">
      <alignment horizontal="center" vertical="center"/>
    </xf>
    <xf numFmtId="0" fontId="169" fillId="0" borderId="2" xfId="0" applyFont="1" applyBorder="1"/>
    <xf numFmtId="0" fontId="167" fillId="9" borderId="3" xfId="0" applyFont="1" applyFill="1" applyBorder="1" applyAlignment="1">
      <alignment horizontal="center" vertical="center"/>
    </xf>
    <xf numFmtId="0" fontId="167" fillId="9" borderId="2" xfId="0" applyFont="1" applyFill="1" applyBorder="1" applyAlignment="1">
      <alignment horizontal="center" vertical="center"/>
    </xf>
    <xf numFmtId="0" fontId="167" fillId="3" borderId="2" xfId="0" applyFont="1" applyFill="1" applyBorder="1" applyAlignment="1">
      <alignment horizontal="center" vertical="center"/>
    </xf>
    <xf numFmtId="0" fontId="167" fillId="0" borderId="3" xfId="0" applyFont="1" applyBorder="1" applyAlignment="1">
      <alignment horizontal="center" vertical="center"/>
    </xf>
    <xf numFmtId="0" fontId="167" fillId="3" borderId="3" xfId="0" applyFont="1" applyFill="1" applyBorder="1" applyAlignment="1">
      <alignment horizontal="center" vertical="center"/>
    </xf>
    <xf numFmtId="14" fontId="168" fillId="0" borderId="2" xfId="0" applyNumberFormat="1" applyFont="1" applyBorder="1" applyAlignment="1">
      <alignment horizontal="center" vertical="center" wrapText="1"/>
    </xf>
    <xf numFmtId="0" fontId="135" fillId="3" borderId="0" xfId="0" applyFont="1" applyFill="1" applyAlignment="1">
      <alignment horizontal="left" vertical="center" wrapText="1"/>
    </xf>
    <xf numFmtId="0" fontId="173" fillId="0" borderId="0" xfId="0" applyFont="1" applyAlignment="1">
      <alignment horizontal="justify" vertical="center"/>
    </xf>
    <xf numFmtId="0" fontId="172" fillId="0" borderId="2" xfId="0" applyFont="1" applyBorder="1" applyAlignment="1">
      <alignment horizontal="left" vertical="center"/>
    </xf>
    <xf numFmtId="0" fontId="167" fillId="20" borderId="2" xfId="0" applyFont="1" applyFill="1" applyBorder="1" applyAlignment="1">
      <alignment horizontal="center" vertical="center"/>
    </xf>
    <xf numFmtId="0" fontId="169" fillId="20" borderId="2" xfId="0" applyFont="1" applyFill="1" applyBorder="1"/>
    <xf numFmtId="0" fontId="168" fillId="20" borderId="2" xfId="0" applyFont="1" applyFill="1" applyBorder="1" applyAlignment="1">
      <alignment horizontal="center" vertical="center" wrapText="1"/>
    </xf>
    <xf numFmtId="14" fontId="168" fillId="20" borderId="2" xfId="0" applyNumberFormat="1" applyFont="1" applyFill="1" applyBorder="1" applyAlignment="1">
      <alignment horizontal="center" vertical="center" wrapText="1"/>
    </xf>
    <xf numFmtId="0" fontId="169" fillId="20" borderId="2" xfId="0" applyFont="1" applyFill="1" applyBorder="1" applyAlignment="1">
      <alignment horizontal="center" vertical="center"/>
    </xf>
    <xf numFmtId="0" fontId="169" fillId="20" borderId="2" xfId="0" applyFont="1" applyFill="1" applyBorder="1" applyAlignment="1">
      <alignment horizontal="center"/>
    </xf>
    <xf numFmtId="171" fontId="168" fillId="0" borderId="2" xfId="0" applyNumberFormat="1" applyFont="1" applyBorder="1" applyAlignment="1">
      <alignment horizontal="center" vertical="center" wrapText="1"/>
    </xf>
    <xf numFmtId="0" fontId="169" fillId="12" borderId="2" xfId="0" applyFont="1" applyFill="1" applyBorder="1"/>
    <xf numFmtId="171" fontId="172" fillId="0" borderId="2" xfId="0" applyNumberFormat="1" applyFont="1" applyBorder="1" applyAlignment="1">
      <alignment vertical="center"/>
    </xf>
    <xf numFmtId="0" fontId="172" fillId="0" borderId="2" xfId="0" applyFont="1" applyBorder="1" applyAlignment="1">
      <alignment vertical="center"/>
    </xf>
    <xf numFmtId="0" fontId="169" fillId="9" borderId="2" xfId="0" applyFont="1" applyFill="1" applyBorder="1"/>
    <xf numFmtId="0" fontId="0" fillId="20" borderId="2" xfId="0" applyFill="1" applyBorder="1"/>
    <xf numFmtId="0" fontId="0" fillId="20" borderId="0" xfId="0" applyFill="1"/>
    <xf numFmtId="15" fontId="174" fillId="22" borderId="2" xfId="0" applyNumberFormat="1" applyFont="1" applyFill="1" applyBorder="1" applyAlignment="1">
      <alignment vertical="center"/>
    </xf>
    <xf numFmtId="0" fontId="142" fillId="23" borderId="2" xfId="0" applyFont="1" applyFill="1" applyBorder="1" applyAlignment="1">
      <alignment horizontal="center" vertical="center"/>
    </xf>
    <xf numFmtId="0" fontId="138" fillId="24" borderId="2" xfId="0" applyFont="1" applyFill="1" applyBorder="1" applyAlignment="1">
      <alignment horizontal="center" vertical="center" wrapText="1"/>
    </xf>
    <xf numFmtId="0" fontId="142" fillId="0" borderId="2" xfId="0" applyFont="1" applyBorder="1" applyAlignment="1">
      <alignment horizontal="center" vertical="center"/>
    </xf>
    <xf numFmtId="0" fontId="175" fillId="25" borderId="2" xfId="0" applyFont="1" applyFill="1" applyBorder="1" applyAlignment="1">
      <alignment vertical="center" wrapText="1"/>
    </xf>
    <xf numFmtId="14" fontId="167" fillId="0" borderId="28" xfId="0" applyNumberFormat="1" applyFont="1" applyBorder="1" applyAlignment="1">
      <alignment horizontal="center" vertical="center" wrapText="1"/>
    </xf>
    <xf numFmtId="0" fontId="138" fillId="0" borderId="2" xfId="0" applyFont="1" applyBorder="1" applyAlignment="1">
      <alignment horizontal="center" vertical="center" wrapText="1"/>
    </xf>
    <xf numFmtId="14" fontId="0" fillId="0" borderId="28" xfId="0" applyNumberFormat="1" applyBorder="1" applyAlignment="1">
      <alignment horizontal="center" vertical="center"/>
    </xf>
    <xf numFmtId="0" fontId="175" fillId="25" borderId="48" xfId="0" applyFont="1" applyFill="1" applyBorder="1" applyAlignment="1">
      <alignment vertical="center" wrapText="1"/>
    </xf>
    <xf numFmtId="0" fontId="175" fillId="0" borderId="48" xfId="0" applyFont="1" applyBorder="1" applyAlignment="1">
      <alignment vertical="center" wrapText="1"/>
    </xf>
    <xf numFmtId="0" fontId="142" fillId="0" borderId="2" xfId="0" applyFont="1" applyBorder="1" applyAlignment="1">
      <alignment horizontal="center"/>
    </xf>
    <xf numFmtId="0" fontId="142" fillId="0" borderId="0" xfId="0" applyFont="1" applyAlignment="1">
      <alignment horizontal="left" vertical="top"/>
    </xf>
    <xf numFmtId="0" fontId="142" fillId="0" borderId="2" xfId="0" applyFont="1" applyBorder="1" applyAlignment="1">
      <alignment horizontal="left" vertical="top"/>
    </xf>
    <xf numFmtId="0" fontId="172" fillId="0" borderId="0" xfId="0" applyFont="1" applyAlignment="1">
      <alignment wrapText="1"/>
    </xf>
    <xf numFmtId="167" fontId="176" fillId="2" borderId="2" xfId="4" applyNumberFormat="1" applyFont="1" applyFill="1" applyBorder="1" applyAlignment="1" applyProtection="1">
      <alignment vertical="center"/>
      <protection hidden="1"/>
    </xf>
    <xf numFmtId="167" fontId="176" fillId="2" borderId="2" xfId="4" applyNumberFormat="1" applyFont="1" applyFill="1" applyBorder="1" applyAlignment="1" applyProtection="1">
      <alignment horizontal="left" vertical="center"/>
      <protection hidden="1"/>
    </xf>
    <xf numFmtId="15" fontId="176" fillId="2" borderId="2" xfId="4" applyNumberFormat="1" applyFont="1" applyFill="1" applyBorder="1" applyAlignment="1" applyProtection="1">
      <alignment horizontal="center" vertical="center"/>
      <protection hidden="1"/>
    </xf>
    <xf numFmtId="0" fontId="179" fillId="2" borderId="0" xfId="0" applyFont="1" applyFill="1" applyAlignment="1" applyProtection="1">
      <alignment horizontal="left" indent="3"/>
      <protection hidden="1"/>
    </xf>
    <xf numFmtId="0" fontId="179" fillId="2" borderId="0" xfId="0" applyFont="1" applyFill="1" applyProtection="1">
      <protection hidden="1"/>
    </xf>
    <xf numFmtId="0" fontId="180" fillId="2" borderId="0" xfId="0" applyFont="1" applyFill="1" applyProtection="1">
      <protection hidden="1"/>
    </xf>
    <xf numFmtId="1" fontId="176" fillId="2" borderId="2" xfId="4" applyNumberFormat="1" applyFont="1" applyFill="1" applyBorder="1" applyAlignment="1" applyProtection="1">
      <alignment horizontal="center" vertical="center"/>
      <protection hidden="1"/>
    </xf>
    <xf numFmtId="0" fontId="126" fillId="2" borderId="54" xfId="0" applyFont="1" applyFill="1" applyBorder="1" applyAlignment="1" applyProtection="1">
      <alignment horizontal="center" vertical="center" wrapText="1"/>
      <protection hidden="1"/>
    </xf>
    <xf numFmtId="49" fontId="126" fillId="2" borderId="1" xfId="0" applyNumberFormat="1" applyFont="1" applyFill="1" applyBorder="1" applyAlignment="1" applyProtection="1">
      <alignment horizontal="center" vertical="center" wrapText="1"/>
      <protection hidden="1"/>
    </xf>
    <xf numFmtId="0" fontId="172" fillId="0" borderId="2" xfId="0" applyFont="1" applyBorder="1"/>
    <xf numFmtId="15" fontId="182" fillId="2" borderId="2" xfId="0" applyNumberFormat="1" applyFont="1" applyFill="1" applyBorder="1" applyAlignment="1" applyProtection="1">
      <alignment horizontal="center" vertical="center"/>
      <protection hidden="1"/>
    </xf>
    <xf numFmtId="0" fontId="180" fillId="2" borderId="35" xfId="0" applyFont="1" applyFill="1" applyBorder="1" applyProtection="1">
      <protection hidden="1"/>
    </xf>
    <xf numFmtId="15" fontId="181" fillId="5" borderId="2" xfId="0" applyNumberFormat="1" applyFont="1" applyFill="1" applyBorder="1" applyAlignment="1" applyProtection="1">
      <alignment horizontal="center" vertical="center" wrapText="1"/>
      <protection hidden="1"/>
    </xf>
    <xf numFmtId="0" fontId="126" fillId="2" borderId="1" xfId="0" applyFont="1" applyFill="1" applyBorder="1" applyAlignment="1" applyProtection="1">
      <alignment horizontal="center" vertical="center"/>
      <protection hidden="1"/>
    </xf>
    <xf numFmtId="0" fontId="126" fillId="2" borderId="55" xfId="0" applyFont="1" applyFill="1" applyBorder="1" applyAlignment="1" applyProtection="1">
      <alignment horizontal="center" vertical="center" wrapText="1"/>
      <protection hidden="1"/>
    </xf>
    <xf numFmtId="0" fontId="167" fillId="0" borderId="0" xfId="0" applyFont="1" applyAlignment="1">
      <alignment horizontal="center" vertical="center"/>
    </xf>
    <xf numFmtId="0" fontId="183" fillId="0" borderId="0" xfId="0" applyFont="1" applyAlignment="1">
      <alignment vertical="center"/>
    </xf>
    <xf numFmtId="0" fontId="184" fillId="0" borderId="0" xfId="0" applyFont="1" applyAlignment="1">
      <alignment vertical="center" wrapText="1"/>
    </xf>
    <xf numFmtId="0" fontId="172" fillId="0" borderId="0" xfId="0" applyFont="1" applyAlignment="1">
      <alignment vertical="center"/>
    </xf>
    <xf numFmtId="0" fontId="0" fillId="0" borderId="2" xfId="0" quotePrefix="1" applyBorder="1" applyAlignment="1">
      <alignment horizontal="center" vertical="center"/>
    </xf>
    <xf numFmtId="44" fontId="153" fillId="0" borderId="0" xfId="2" quotePrefix="1" applyFont="1" applyFill="1" applyBorder="1" applyAlignment="1">
      <alignment horizontal="center" vertical="center"/>
    </xf>
    <xf numFmtId="44" fontId="153" fillId="0" borderId="0" xfId="2" quotePrefix="1" applyFont="1" applyFill="1" applyAlignment="1">
      <alignment horizontal="center" vertical="center"/>
    </xf>
    <xf numFmtId="44" fontId="153" fillId="3" borderId="0" xfId="2" quotePrefix="1" applyFont="1" applyFill="1" applyAlignment="1">
      <alignment horizontal="center" vertical="center"/>
    </xf>
    <xf numFmtId="12" fontId="153" fillId="3" borderId="0" xfId="2" quotePrefix="1" applyNumberFormat="1" applyFont="1" applyFill="1" applyAlignment="1">
      <alignment horizontal="center" vertical="center"/>
    </xf>
    <xf numFmtId="16" fontId="157" fillId="0" borderId="0" xfId="0" quotePrefix="1" applyNumberFormat="1" applyFont="1" applyAlignment="1">
      <alignment horizontal="center" vertical="center"/>
    </xf>
    <xf numFmtId="0" fontId="157" fillId="0" borderId="0" xfId="0" quotePrefix="1" applyFont="1" applyAlignment="1">
      <alignment horizontal="center" vertical="center"/>
    </xf>
    <xf numFmtId="16" fontId="153" fillId="0" borderId="0" xfId="0" quotePrefix="1" applyNumberFormat="1" applyFont="1" applyAlignment="1">
      <alignment horizontal="center" vertical="center"/>
    </xf>
    <xf numFmtId="16" fontId="155" fillId="3" borderId="0" xfId="0" quotePrefix="1" applyNumberFormat="1" applyFont="1" applyFill="1" applyAlignment="1">
      <alignment horizontal="center" vertical="center"/>
    </xf>
    <xf numFmtId="0" fontId="153" fillId="3" borderId="0" xfId="0" quotePrefix="1" applyFont="1" applyFill="1" applyAlignment="1">
      <alignment horizontal="center" vertical="center"/>
    </xf>
    <xf numFmtId="16" fontId="153" fillId="3" borderId="0" xfId="0" quotePrefix="1" applyNumberFormat="1" applyFont="1" applyFill="1" applyAlignment="1">
      <alignment horizontal="center" vertical="center"/>
    </xf>
    <xf numFmtId="0" fontId="153" fillId="0" borderId="0" xfId="0" quotePrefix="1" applyFont="1" applyAlignment="1">
      <alignment horizontal="center" vertical="center"/>
    </xf>
    <xf numFmtId="44" fontId="153" fillId="3" borderId="0" xfId="2" quotePrefix="1" applyFont="1" applyFill="1" applyBorder="1" applyAlignment="1">
      <alignment horizontal="center" vertical="center"/>
    </xf>
    <xf numFmtId="44" fontId="153" fillId="3" borderId="35" xfId="2" quotePrefix="1" applyFont="1" applyFill="1" applyBorder="1" applyAlignment="1">
      <alignment horizontal="center" vertical="center"/>
    </xf>
    <xf numFmtId="12" fontId="153" fillId="3" borderId="0" xfId="2" quotePrefix="1" applyNumberFormat="1" applyFont="1" applyFill="1" applyBorder="1" applyAlignment="1">
      <alignment horizontal="center" vertical="center"/>
    </xf>
    <xf numFmtId="12" fontId="153" fillId="3" borderId="35" xfId="2" quotePrefix="1" applyNumberFormat="1" applyFont="1" applyFill="1" applyBorder="1" applyAlignment="1">
      <alignment horizontal="center" vertical="center"/>
    </xf>
    <xf numFmtId="0" fontId="127" fillId="6" borderId="2" xfId="0" quotePrefix="1" applyFont="1" applyFill="1" applyBorder="1" applyAlignment="1">
      <alignment horizontal="center" vertical="center"/>
    </xf>
    <xf numFmtId="0" fontId="191" fillId="2" borderId="0" xfId="0" applyFont="1" applyFill="1" applyAlignment="1" applyProtection="1">
      <alignment horizontal="left" indent="3"/>
      <protection hidden="1"/>
    </xf>
    <xf numFmtId="44" fontId="192" fillId="0" borderId="0" xfId="2" quotePrefix="1" applyFont="1" applyFill="1" applyBorder="1" applyAlignment="1">
      <alignment horizontal="center" vertical="center"/>
    </xf>
    <xf numFmtId="44" fontId="192" fillId="0" borderId="0" xfId="2" applyFont="1" applyFill="1" applyBorder="1" applyAlignment="1">
      <alignment horizontal="center" vertical="center"/>
    </xf>
    <xf numFmtId="0" fontId="125" fillId="0" borderId="0" xfId="0" applyFont="1"/>
    <xf numFmtId="0" fontId="160" fillId="0" borderId="0" xfId="0" applyFont="1" applyAlignment="1">
      <alignment horizontal="center" vertical="center"/>
    </xf>
    <xf numFmtId="2" fontId="160" fillId="0" borderId="0" xfId="0" applyNumberFormat="1" applyFont="1" applyAlignment="1">
      <alignment horizontal="center" vertical="center"/>
    </xf>
    <xf numFmtId="0" fontId="160" fillId="0" borderId="32" xfId="0" applyFont="1" applyBorder="1" applyAlignment="1">
      <alignment horizontal="center" vertical="center"/>
    </xf>
    <xf numFmtId="0" fontId="160" fillId="0" borderId="24" xfId="0" applyFont="1" applyBorder="1" applyAlignment="1">
      <alignment horizontal="center" vertical="center"/>
    </xf>
    <xf numFmtId="0" fontId="157" fillId="0" borderId="35" xfId="0" applyFont="1" applyBorder="1" applyAlignment="1">
      <alignment horizontal="center" vertical="center"/>
    </xf>
    <xf numFmtId="44" fontId="153" fillId="0" borderId="35" xfId="2" quotePrefix="1" applyFont="1" applyFill="1" applyBorder="1" applyAlignment="1">
      <alignment horizontal="center" vertical="center"/>
    </xf>
    <xf numFmtId="44" fontId="155" fillId="0" borderId="0" xfId="2" applyFont="1" applyFill="1" applyBorder="1" applyAlignment="1">
      <alignment horizontal="center" vertical="center"/>
    </xf>
    <xf numFmtId="12" fontId="153" fillId="0" borderId="0" xfId="2" quotePrefix="1" applyNumberFormat="1" applyFont="1" applyFill="1" applyBorder="1" applyAlignment="1">
      <alignment horizontal="center" vertical="center"/>
    </xf>
    <xf numFmtId="44" fontId="155" fillId="0" borderId="35" xfId="2" applyFont="1" applyFill="1" applyBorder="1" applyAlignment="1">
      <alignment horizontal="center" vertical="center"/>
    </xf>
    <xf numFmtId="12" fontId="153" fillId="0" borderId="35" xfId="2" quotePrefix="1" applyNumberFormat="1" applyFont="1" applyFill="1" applyBorder="1" applyAlignment="1">
      <alignment horizontal="center" vertical="center"/>
    </xf>
    <xf numFmtId="0" fontId="125" fillId="0" borderId="2" xfId="0" applyFont="1" applyBorder="1"/>
    <xf numFmtId="0" fontId="125" fillId="27" borderId="2" xfId="0" applyFont="1" applyFill="1" applyBorder="1"/>
    <xf numFmtId="0" fontId="125" fillId="27" borderId="25" xfId="0" applyFont="1" applyFill="1" applyBorder="1"/>
    <xf numFmtId="0" fontId="0" fillId="9" borderId="2" xfId="0" applyFill="1" applyBorder="1"/>
    <xf numFmtId="0" fontId="0" fillId="28" borderId="0" xfId="0" applyFill="1"/>
    <xf numFmtId="0" fontId="0" fillId="12" borderId="0" xfId="0" applyFill="1"/>
    <xf numFmtId="0" fontId="125" fillId="0" borderId="2" xfId="0" quotePrefix="1" applyFont="1" applyBorder="1"/>
    <xf numFmtId="0" fontId="142" fillId="0" borderId="2" xfId="0" applyFont="1" applyBorder="1" applyAlignment="1">
      <alignment horizontal="left" vertical="center"/>
    </xf>
    <xf numFmtId="0" fontId="0" fillId="0" borderId="2" xfId="0" applyBorder="1" applyAlignment="1">
      <alignment horizontal="left" vertical="center"/>
    </xf>
    <xf numFmtId="0" fontId="194" fillId="0" borderId="2" xfId="0" applyFont="1" applyBorder="1" applyAlignment="1">
      <alignment horizontal="center" vertical="center"/>
    </xf>
    <xf numFmtId="0" fontId="194" fillId="0" borderId="2" xfId="0" applyFont="1" applyBorder="1" applyAlignment="1">
      <alignment horizontal="left" vertical="center"/>
    </xf>
    <xf numFmtId="0" fontId="194" fillId="0" borderId="2" xfId="0" quotePrefix="1" applyFont="1" applyBorder="1" applyAlignment="1">
      <alignment horizontal="center" vertical="center"/>
    </xf>
    <xf numFmtId="0" fontId="125" fillId="27" borderId="0" xfId="0" applyFont="1" applyFill="1"/>
    <xf numFmtId="0" fontId="0" fillId="0" borderId="46" xfId="0" applyBorder="1"/>
    <xf numFmtId="0" fontId="122" fillId="0" borderId="2" xfId="0" applyFont="1" applyBorder="1" applyAlignment="1">
      <alignment horizontal="center"/>
    </xf>
    <xf numFmtId="0" fontId="122" fillId="0" borderId="0" xfId="0" applyFont="1" applyAlignment="1">
      <alignment horizontal="left" vertical="top"/>
    </xf>
    <xf numFmtId="0" fontId="121"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69" fillId="0" borderId="25" xfId="0" applyFont="1" applyBorder="1" applyAlignment="1">
      <alignment horizontal="center"/>
    </xf>
    <xf numFmtId="0" fontId="121" fillId="0" borderId="2" xfId="0" applyFont="1" applyBorder="1"/>
    <xf numFmtId="0" fontId="0" fillId="28" borderId="2" xfId="0" applyFill="1" applyBorder="1"/>
    <xf numFmtId="0" fontId="142"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18" fillId="0" borderId="2" xfId="0" applyFont="1" applyBorder="1" applyAlignment="1">
      <alignment horizontal="center"/>
    </xf>
    <xf numFmtId="0" fontId="196" fillId="3" borderId="0" xfId="24" applyFont="1" applyFill="1"/>
    <xf numFmtId="0" fontId="196" fillId="3" borderId="0" xfId="24" applyFont="1" applyFill="1" applyAlignment="1">
      <alignment vertical="center"/>
    </xf>
    <xf numFmtId="49" fontId="197" fillId="0" borderId="0" xfId="0" applyNumberFormat="1" applyFont="1" applyAlignment="1">
      <alignment horizontal="center" vertical="center" wrapText="1"/>
    </xf>
    <xf numFmtId="43" fontId="197" fillId="0" borderId="0" xfId="1" applyFont="1" applyFill="1" applyBorder="1" applyAlignment="1">
      <alignment horizontal="center" vertical="center"/>
    </xf>
    <xf numFmtId="1" fontId="197" fillId="15" borderId="42" xfId="1" applyNumberFormat="1" applyFont="1" applyFill="1" applyBorder="1" applyAlignment="1">
      <alignment horizontal="center" vertical="center"/>
    </xf>
    <xf numFmtId="1" fontId="197" fillId="0" borderId="42" xfId="1" applyNumberFormat="1" applyFont="1" applyFill="1" applyBorder="1" applyAlignment="1">
      <alignment horizontal="center" vertical="center"/>
    </xf>
    <xf numFmtId="1" fontId="197" fillId="21" borderId="42" xfId="1" applyNumberFormat="1" applyFont="1" applyFill="1" applyBorder="1" applyAlignment="1">
      <alignment horizontal="center" vertical="center"/>
    </xf>
    <xf numFmtId="49" fontId="197" fillId="0" borderId="22" xfId="0" applyNumberFormat="1" applyFont="1" applyBorder="1" applyAlignment="1">
      <alignment horizontal="center" vertical="center" wrapText="1"/>
    </xf>
    <xf numFmtId="49" fontId="197" fillId="0" borderId="0" xfId="0" applyNumberFormat="1" applyFont="1" applyAlignment="1">
      <alignment horizontal="center" vertical="center"/>
    </xf>
    <xf numFmtId="0" fontId="196" fillId="0" borderId="0" xfId="0" applyFont="1"/>
    <xf numFmtId="1" fontId="197" fillId="20" borderId="42" xfId="1" applyNumberFormat="1" applyFont="1" applyFill="1" applyBorder="1" applyAlignment="1">
      <alignment horizontal="center" vertical="center"/>
    </xf>
    <xf numFmtId="1" fontId="197" fillId="0" borderId="0" xfId="1" applyNumberFormat="1" applyFont="1" applyFill="1" applyBorder="1" applyAlignment="1">
      <alignment horizontal="center" vertical="center"/>
    </xf>
    <xf numFmtId="0" fontId="198" fillId="0" borderId="22" xfId="0" applyFont="1" applyBorder="1"/>
    <xf numFmtId="0" fontId="198" fillId="0" borderId="50" xfId="0" applyFont="1" applyBorder="1"/>
    <xf numFmtId="0" fontId="198" fillId="0" borderId="0" xfId="0" applyFont="1"/>
    <xf numFmtId="0" fontId="196" fillId="3" borderId="58" xfId="0" applyFont="1" applyFill="1" applyBorder="1" applyAlignment="1">
      <alignment horizontal="left" vertical="center"/>
    </xf>
    <xf numFmtId="0" fontId="198" fillId="0" borderId="47" xfId="0" applyFont="1" applyBorder="1"/>
    <xf numFmtId="0" fontId="196" fillId="3" borderId="0" xfId="24" applyFont="1" applyFill="1" applyAlignment="1">
      <alignment vertical="center" wrapText="1"/>
    </xf>
    <xf numFmtId="0" fontId="197" fillId="3" borderId="0" xfId="0" applyFont="1" applyFill="1"/>
    <xf numFmtId="0" fontId="197" fillId="3" borderId="0" xfId="0" applyFont="1" applyFill="1" applyAlignment="1">
      <alignment horizontal="center"/>
    </xf>
    <xf numFmtId="0" fontId="197" fillId="3" borderId="35" xfId="0" applyFont="1" applyFill="1" applyBorder="1" applyAlignment="1">
      <alignment horizontal="center"/>
    </xf>
    <xf numFmtId="0" fontId="197" fillId="3" borderId="0" xfId="0" applyFont="1" applyFill="1" applyAlignment="1">
      <alignment horizontal="center" vertical="center"/>
    </xf>
    <xf numFmtId="0" fontId="197" fillId="3" borderId="35" xfId="0" applyFont="1" applyFill="1" applyBorder="1" applyAlignment="1">
      <alignment horizontal="left"/>
    </xf>
    <xf numFmtId="0" fontId="196" fillId="3" borderId="0" xfId="24" applyFont="1" applyFill="1" applyAlignment="1">
      <alignment horizontal="left" vertical="center"/>
    </xf>
    <xf numFmtId="0" fontId="196" fillId="3" borderId="32" xfId="24" applyFont="1" applyFill="1" applyBorder="1" applyAlignment="1">
      <alignment vertical="center" wrapText="1"/>
    </xf>
    <xf numFmtId="0" fontId="197" fillId="3" borderId="32" xfId="0" applyFont="1" applyFill="1" applyBorder="1" applyAlignment="1">
      <alignment horizontal="center"/>
    </xf>
    <xf numFmtId="0" fontId="198" fillId="0" borderId="43" xfId="0" applyFont="1" applyBorder="1"/>
    <xf numFmtId="49" fontId="196" fillId="0" borderId="0" xfId="0" applyNumberFormat="1" applyFont="1" applyAlignment="1">
      <alignment horizontal="center" vertical="center" wrapText="1"/>
    </xf>
    <xf numFmtId="49" fontId="196" fillId="0" borderId="0" xfId="0" quotePrefix="1" applyNumberFormat="1" applyFont="1" applyAlignment="1">
      <alignment horizontal="center" vertical="center" wrapText="1"/>
    </xf>
    <xf numFmtId="0" fontId="199" fillId="0" borderId="2" xfId="0" applyFont="1" applyBorder="1" applyAlignment="1">
      <alignment horizontal="center" vertical="center"/>
    </xf>
    <xf numFmtId="0" fontId="199" fillId="0" borderId="14" xfId="0" applyFont="1" applyBorder="1" applyAlignment="1">
      <alignment horizontal="center" vertical="center"/>
    </xf>
    <xf numFmtId="0" fontId="197" fillId="0" borderId="0" xfId="0" applyFont="1" applyAlignment="1">
      <alignment horizontal="center" vertical="center"/>
    </xf>
    <xf numFmtId="0" fontId="197" fillId="0" borderId="0" xfId="0" applyFont="1"/>
    <xf numFmtId="0" fontId="199" fillId="0" borderId="20" xfId="0" applyFont="1" applyBorder="1" applyAlignment="1">
      <alignment horizontal="center" vertical="center"/>
    </xf>
    <xf numFmtId="0" fontId="199" fillId="0" borderId="0" xfId="0" applyFont="1" applyAlignment="1">
      <alignment horizontal="center" vertical="center"/>
    </xf>
    <xf numFmtId="0" fontId="199" fillId="0" borderId="47" xfId="0" applyFont="1" applyBorder="1" applyAlignment="1">
      <alignment horizontal="center" vertical="center"/>
    </xf>
    <xf numFmtId="0" fontId="196" fillId="0" borderId="0" xfId="0" applyFont="1" applyAlignment="1">
      <alignment horizontal="center"/>
    </xf>
    <xf numFmtId="0" fontId="197" fillId="15" borderId="42" xfId="0" applyFont="1" applyFill="1" applyBorder="1" applyAlignment="1">
      <alignment horizontal="center" vertical="center"/>
    </xf>
    <xf numFmtId="0" fontId="197" fillId="0" borderId="42" xfId="0" applyFont="1" applyBorder="1" applyAlignment="1">
      <alignment horizontal="center" vertical="center"/>
    </xf>
    <xf numFmtId="1" fontId="196" fillId="0" borderId="0" xfId="0" quotePrefix="1" applyNumberFormat="1" applyFont="1" applyAlignment="1">
      <alignment horizontal="center" vertical="center" wrapText="1"/>
    </xf>
    <xf numFmtId="0" fontId="196" fillId="0" borderId="0" xfId="0" applyFont="1" applyAlignment="1">
      <alignment vertical="center"/>
    </xf>
    <xf numFmtId="1" fontId="196" fillId="0" borderId="0" xfId="0" applyNumberFormat="1" applyFont="1" applyAlignment="1">
      <alignment horizontal="center"/>
    </xf>
    <xf numFmtId="0" fontId="199" fillId="0" borderId="0" xfId="0" applyFont="1"/>
    <xf numFmtId="0" fontId="197" fillId="0" borderId="0" xfId="0" applyFont="1" applyAlignment="1">
      <alignment horizontal="center"/>
    </xf>
    <xf numFmtId="0" fontId="198" fillId="0" borderId="44" xfId="0" applyFont="1" applyBorder="1"/>
    <xf numFmtId="0" fontId="199" fillId="0" borderId="45" xfId="0" applyFont="1" applyBorder="1"/>
    <xf numFmtId="0" fontId="197" fillId="0" borderId="45" xfId="0" applyFont="1" applyBorder="1"/>
    <xf numFmtId="0" fontId="198" fillId="0" borderId="45" xfId="0" applyFont="1" applyBorder="1"/>
    <xf numFmtId="0" fontId="199" fillId="0" borderId="64" xfId="0" applyFont="1" applyBorder="1" applyAlignment="1">
      <alignment horizontal="center" vertical="center"/>
    </xf>
    <xf numFmtId="0" fontId="199" fillId="0" borderId="45" xfId="0" applyFont="1" applyBorder="1" applyAlignment="1">
      <alignment horizontal="center" vertical="center"/>
    </xf>
    <xf numFmtId="0" fontId="199" fillId="0" borderId="48" xfId="0" applyFont="1" applyBorder="1" applyAlignment="1">
      <alignment horizontal="center" vertical="center"/>
    </xf>
    <xf numFmtId="0" fontId="198" fillId="0" borderId="49" xfId="0" applyFont="1" applyBorder="1"/>
    <xf numFmtId="49" fontId="196" fillId="0" borderId="22" xfId="0" applyNumberFormat="1" applyFont="1" applyBorder="1" applyAlignment="1">
      <alignment horizontal="center" vertical="center" wrapText="1"/>
    </xf>
    <xf numFmtId="0" fontId="197" fillId="0" borderId="22" xfId="0" applyFont="1" applyBorder="1"/>
    <xf numFmtId="0" fontId="199" fillId="0" borderId="21" xfId="0" applyFont="1" applyBorder="1" applyAlignment="1">
      <alignment horizontal="center" vertical="center"/>
    </xf>
    <xf numFmtId="0" fontId="199" fillId="0" borderId="22" xfId="0" applyFont="1" applyBorder="1" applyAlignment="1">
      <alignment horizontal="center" vertical="center"/>
    </xf>
    <xf numFmtId="0" fontId="199" fillId="0" borderId="50" xfId="0" applyFont="1" applyBorder="1" applyAlignment="1">
      <alignment horizontal="center" vertical="center"/>
    </xf>
    <xf numFmtId="0" fontId="196" fillId="0" borderId="0" xfId="0" applyFont="1" applyAlignment="1">
      <alignment horizontal="center" vertical="center"/>
    </xf>
    <xf numFmtId="0" fontId="196" fillId="0" borderId="0" xfId="0" applyFont="1" applyAlignment="1">
      <alignment horizontal="right"/>
    </xf>
    <xf numFmtId="1" fontId="196" fillId="0" borderId="0" xfId="0" applyNumberFormat="1" applyFont="1" applyAlignment="1">
      <alignment horizontal="left"/>
    </xf>
    <xf numFmtId="49" fontId="196" fillId="0" borderId="0" xfId="0" applyNumberFormat="1" applyFont="1" applyAlignment="1">
      <alignment horizontal="center" vertical="center"/>
    </xf>
    <xf numFmtId="0" fontId="196" fillId="0" borderId="0" xfId="0" applyFont="1" applyAlignment="1">
      <alignment horizontal="left"/>
    </xf>
    <xf numFmtId="0" fontId="199" fillId="0" borderId="0" xfId="0" applyFont="1" applyAlignment="1">
      <alignment horizontal="center"/>
    </xf>
    <xf numFmtId="0" fontId="196" fillId="0" borderId="0" xfId="16" applyFont="1" applyAlignment="1">
      <alignment horizontal="center" vertical="center"/>
    </xf>
    <xf numFmtId="0" fontId="200" fillId="0" borderId="0" xfId="0" applyFont="1"/>
    <xf numFmtId="0" fontId="199" fillId="0" borderId="23" xfId="0" applyFont="1" applyBorder="1" applyAlignment="1">
      <alignment horizontal="center" vertical="center"/>
    </xf>
    <xf numFmtId="0" fontId="198" fillId="0" borderId="20" xfId="0" applyFont="1" applyBorder="1"/>
    <xf numFmtId="0" fontId="199"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19" fillId="0" borderId="0" xfId="0" applyFont="1" applyAlignment="1">
      <alignment horizontal="left" vertical="top"/>
    </xf>
    <xf numFmtId="0" fontId="125" fillId="0" borderId="2" xfId="0" applyFont="1" applyBorder="1" applyAlignment="1">
      <alignment horizontal="left" vertical="top"/>
    </xf>
    <xf numFmtId="0" fontId="120" fillId="0" borderId="2" xfId="0" applyFont="1" applyBorder="1" applyAlignment="1">
      <alignment horizontal="left" vertical="top"/>
    </xf>
    <xf numFmtId="0" fontId="124" fillId="0" borderId="2" xfId="0" applyFont="1" applyBorder="1" applyAlignment="1">
      <alignment horizontal="left" vertical="top"/>
    </xf>
    <xf numFmtId="0" fontId="123" fillId="0" borderId="2" xfId="0" applyFont="1" applyBorder="1" applyAlignment="1">
      <alignment horizontal="left" vertical="top"/>
    </xf>
    <xf numFmtId="14" fontId="169" fillId="20" borderId="2" xfId="0" applyNumberFormat="1" applyFont="1" applyFill="1" applyBorder="1" applyAlignment="1">
      <alignment horizontal="center" vertical="center"/>
    </xf>
    <xf numFmtId="0" fontId="117" fillId="0" borderId="2" xfId="0" applyFont="1" applyBorder="1" applyAlignment="1">
      <alignment horizontal="center" vertical="center"/>
    </xf>
    <xf numFmtId="0" fontId="116" fillId="0" borderId="2" xfId="0" applyFont="1" applyBorder="1" applyAlignment="1">
      <alignment horizontal="center"/>
    </xf>
    <xf numFmtId="0" fontId="115" fillId="0" borderId="2" xfId="0" applyFont="1" applyBorder="1" applyAlignment="1">
      <alignment horizontal="left" vertical="top"/>
    </xf>
    <xf numFmtId="0" fontId="114" fillId="0" borderId="2" xfId="0" applyFont="1" applyBorder="1" applyAlignment="1">
      <alignment horizontal="center"/>
    </xf>
    <xf numFmtId="0" fontId="135" fillId="0" borderId="0" xfId="0" applyFont="1" applyAlignment="1">
      <alignment horizontal="left" vertical="center" wrapText="1"/>
    </xf>
    <xf numFmtId="0" fontId="113" fillId="0" borderId="2" xfId="0" applyFont="1" applyBorder="1" applyAlignment="1">
      <alignment horizontal="center" vertical="center"/>
    </xf>
    <xf numFmtId="0" fontId="112" fillId="0" borderId="2" xfId="0" applyFont="1" applyBorder="1" applyAlignment="1">
      <alignment horizontal="center"/>
    </xf>
    <xf numFmtId="173" fontId="0" fillId="0" borderId="2" xfId="0" applyNumberFormat="1" applyBorder="1" applyAlignment="1">
      <alignment horizontal="left" vertical="top"/>
    </xf>
    <xf numFmtId="14" fontId="111" fillId="0" borderId="2" xfId="0" applyNumberFormat="1" applyFont="1" applyBorder="1"/>
    <xf numFmtId="0" fontId="142"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10" fillId="20" borderId="2" xfId="0" applyFont="1" applyFill="1" applyBorder="1" applyAlignment="1">
      <alignment horizontal="left" vertical="top"/>
    </xf>
    <xf numFmtId="14" fontId="108" fillId="0" borderId="2" xfId="0" applyNumberFormat="1" applyFont="1" applyBorder="1" applyAlignment="1">
      <alignment wrapText="1"/>
    </xf>
    <xf numFmtId="0" fontId="108" fillId="0" borderId="2" xfId="0" applyFont="1" applyBorder="1" applyAlignment="1">
      <alignment horizontal="left" vertical="top"/>
    </xf>
    <xf numFmtId="14" fontId="108" fillId="0" borderId="2" xfId="0" applyNumberFormat="1" applyFont="1" applyBorder="1"/>
    <xf numFmtId="0" fontId="107" fillId="0" borderId="2" xfId="0" applyFont="1" applyBorder="1" applyAlignment="1">
      <alignment horizontal="left" vertical="top"/>
    </xf>
    <xf numFmtId="0" fontId="106"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169" fillId="0" borderId="2" xfId="0" applyFont="1" applyBorder="1" applyAlignment="1">
      <alignment vertical="center"/>
    </xf>
    <xf numFmtId="0" fontId="167" fillId="0" borderId="2" xfId="0" applyFont="1" applyBorder="1" applyAlignment="1">
      <alignment vertical="center"/>
    </xf>
    <xf numFmtId="0" fontId="167" fillId="0" borderId="3" xfId="0" applyFont="1" applyBorder="1" applyAlignment="1">
      <alignment vertical="center"/>
    </xf>
    <xf numFmtId="14" fontId="169" fillId="0" borderId="2" xfId="0" applyNumberFormat="1" applyFont="1" applyBorder="1"/>
    <xf numFmtId="0" fontId="122" fillId="9" borderId="2" xfId="0" applyFont="1" applyFill="1" applyBorder="1" applyAlignment="1">
      <alignment horizontal="left" vertical="top"/>
    </xf>
    <xf numFmtId="0" fontId="105" fillId="0" borderId="2" xfId="0" applyFont="1" applyBorder="1"/>
    <xf numFmtId="0" fontId="105" fillId="0" borderId="2" xfId="0" applyFont="1" applyBorder="1" applyAlignment="1">
      <alignment horizontal="center"/>
    </xf>
    <xf numFmtId="0" fontId="169" fillId="0" borderId="2" xfId="0" applyFont="1" applyBorder="1" applyAlignment="1">
      <alignment horizontal="left"/>
    </xf>
    <xf numFmtId="0" fontId="105" fillId="9" borderId="2" xfId="0" applyFont="1" applyFill="1" applyBorder="1" applyAlignment="1">
      <alignment horizontal="left" vertical="top"/>
    </xf>
    <xf numFmtId="0" fontId="105" fillId="0" borderId="2" xfId="0" applyFont="1" applyBorder="1" applyAlignment="1">
      <alignment horizontal="left" vertical="top"/>
    </xf>
    <xf numFmtId="14" fontId="105" fillId="0" borderId="2" xfId="0" applyNumberFormat="1" applyFont="1" applyBorder="1" applyAlignment="1">
      <alignment horizontal="left" vertical="top" wrapText="1"/>
    </xf>
    <xf numFmtId="0" fontId="104" fillId="20" borderId="2" xfId="0" applyFont="1" applyFill="1" applyBorder="1" applyAlignment="1">
      <alignment horizontal="left" vertical="top"/>
    </xf>
    <xf numFmtId="0" fontId="104" fillId="0" borderId="2" xfId="0" applyFont="1" applyBorder="1" applyAlignment="1">
      <alignment horizontal="left" vertical="top"/>
    </xf>
    <xf numFmtId="0" fontId="173" fillId="0" borderId="2" xfId="0" applyFont="1" applyBorder="1" applyAlignment="1">
      <alignment horizontal="left" vertical="center"/>
    </xf>
    <xf numFmtId="0" fontId="172" fillId="0" borderId="2" xfId="0" applyFont="1" applyBorder="1" applyAlignment="1">
      <alignment horizontal="center" vertical="center"/>
    </xf>
    <xf numFmtId="0" fontId="196" fillId="20" borderId="0" xfId="0" applyFont="1" applyFill="1"/>
    <xf numFmtId="0" fontId="103" fillId="0" borderId="2" xfId="0" applyFont="1" applyBorder="1"/>
    <xf numFmtId="0" fontId="199" fillId="9" borderId="0" xfId="0" applyFont="1" applyFill="1"/>
    <xf numFmtId="0" fontId="199" fillId="20" borderId="0" xfId="0" applyFont="1" applyFill="1"/>
    <xf numFmtId="1" fontId="204" fillId="0" borderId="42" xfId="1" applyNumberFormat="1" applyFont="1" applyFill="1" applyBorder="1" applyAlignment="1">
      <alignment horizontal="center" vertical="center"/>
    </xf>
    <xf numFmtId="0" fontId="102" fillId="0" borderId="2" xfId="0" applyFont="1" applyBorder="1" applyAlignment="1">
      <alignment horizontal="center"/>
    </xf>
    <xf numFmtId="1" fontId="205" fillId="0" borderId="42" xfId="1" applyNumberFormat="1" applyFont="1" applyFill="1" applyBorder="1" applyAlignment="1">
      <alignment horizontal="center" vertical="center"/>
    </xf>
    <xf numFmtId="0" fontId="101" fillId="0" borderId="2" xfId="0" applyFont="1" applyBorder="1" applyAlignment="1">
      <alignment horizontal="center"/>
    </xf>
    <xf numFmtId="0" fontId="100" fillId="0" borderId="2" xfId="0" applyFont="1" applyBorder="1" applyAlignment="1">
      <alignment horizontal="center"/>
    </xf>
    <xf numFmtId="0" fontId="172" fillId="20" borderId="2" xfId="0" applyFont="1" applyFill="1" applyBorder="1"/>
    <xf numFmtId="0" fontId="99" fillId="0" borderId="2" xfId="0" applyFont="1" applyBorder="1" applyAlignment="1">
      <alignment horizontal="center"/>
    </xf>
    <xf numFmtId="0" fontId="98" fillId="0" borderId="2" xfId="0" applyFont="1" applyBorder="1" applyAlignment="1">
      <alignment horizontal="center"/>
    </xf>
    <xf numFmtId="0" fontId="206" fillId="0" borderId="42" xfId="0" applyFont="1" applyBorder="1" applyAlignment="1">
      <alignment horizontal="center" vertical="center"/>
    </xf>
    <xf numFmtId="0" fontId="172" fillId="20" borderId="2" xfId="0" applyFont="1" applyFill="1" applyBorder="1" applyAlignment="1">
      <alignment horizontal="center" vertical="center"/>
    </xf>
    <xf numFmtId="14" fontId="172" fillId="0" borderId="2" xfId="0" applyNumberFormat="1" applyFont="1" applyBorder="1" applyAlignment="1">
      <alignment horizontal="center" vertical="center"/>
    </xf>
    <xf numFmtId="0" fontId="172" fillId="20" borderId="2" xfId="0" applyFont="1" applyFill="1" applyBorder="1" applyAlignment="1">
      <alignment horizontal="left" vertical="center" wrapText="1"/>
    </xf>
    <xf numFmtId="0" fontId="172" fillId="9" borderId="2" xfId="0" applyFont="1" applyFill="1" applyBorder="1" applyAlignment="1">
      <alignment horizontal="left" vertical="center" wrapText="1"/>
    </xf>
    <xf numFmtId="0" fontId="0" fillId="0" borderId="2" xfId="0" applyBorder="1" applyAlignment="1">
      <alignment horizontal="left" wrapText="1"/>
    </xf>
    <xf numFmtId="0" fontId="172" fillId="20" borderId="46" xfId="0" applyFont="1" applyFill="1" applyBorder="1" applyAlignment="1">
      <alignment horizontal="left" vertical="center" wrapText="1"/>
    </xf>
    <xf numFmtId="0" fontId="130"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68" fillId="0" borderId="2" xfId="0" applyFont="1" applyBorder="1" applyAlignment="1">
      <alignment horizontal="center" vertical="center"/>
    </xf>
    <xf numFmtId="0" fontId="196" fillId="9" borderId="0" xfId="0" applyFont="1" applyFill="1"/>
    <xf numFmtId="0" fontId="198" fillId="9" borderId="0" xfId="0" applyFont="1" applyFill="1"/>
    <xf numFmtId="0" fontId="197" fillId="9" borderId="0" xfId="0" applyFont="1" applyFill="1"/>
    <xf numFmtId="0" fontId="97" fillId="0" borderId="2" xfId="0" applyFont="1" applyBorder="1" applyAlignment="1">
      <alignment horizontal="center"/>
    </xf>
    <xf numFmtId="0" fontId="168" fillId="9" borderId="2" xfId="0" applyFont="1" applyFill="1" applyBorder="1" applyAlignment="1">
      <alignment horizontal="center" vertical="center"/>
    </xf>
    <xf numFmtId="0" fontId="0" fillId="0" borderId="0" xfId="0" applyAlignment="1">
      <alignment horizontal="left"/>
    </xf>
    <xf numFmtId="0" fontId="172" fillId="12" borderId="2" xfId="0" applyFont="1" applyFill="1" applyBorder="1" applyAlignment="1">
      <alignment horizontal="center" vertical="center"/>
    </xf>
    <xf numFmtId="0" fontId="130" fillId="12" borderId="2" xfId="0" applyFont="1" applyFill="1" applyBorder="1" applyAlignment="1">
      <alignment horizontal="center" vertical="center"/>
    </xf>
    <xf numFmtId="0" fontId="168" fillId="0" borderId="28" xfId="0" applyFont="1" applyBorder="1" applyAlignment="1">
      <alignment horizontal="left" vertical="center"/>
    </xf>
    <xf numFmtId="0" fontId="142" fillId="0" borderId="2" xfId="0" applyFont="1" applyBorder="1" applyAlignment="1">
      <alignment horizontal="center" vertical="top"/>
    </xf>
    <xf numFmtId="0" fontId="209" fillId="25" borderId="42" xfId="0" applyFont="1" applyFill="1" applyBorder="1" applyAlignment="1">
      <alignment horizontal="center" vertical="center" wrapText="1"/>
    </xf>
    <xf numFmtId="0" fontId="209" fillId="25" borderId="53" xfId="0" applyFont="1" applyFill="1" applyBorder="1" applyAlignment="1">
      <alignment horizontal="center" vertical="center" wrapText="1"/>
    </xf>
    <xf numFmtId="0" fontId="210" fillId="25" borderId="65" xfId="0" applyFont="1" applyFill="1" applyBorder="1" applyAlignment="1">
      <alignment horizontal="center" vertical="center" wrapText="1"/>
    </xf>
    <xf numFmtId="0" fontId="210" fillId="25" borderId="48" xfId="0" applyFont="1" applyFill="1" applyBorder="1" applyAlignment="1">
      <alignment vertical="center" wrapText="1"/>
    </xf>
    <xf numFmtId="0" fontId="210" fillId="25" borderId="48" xfId="0" applyFont="1" applyFill="1" applyBorder="1" applyAlignment="1">
      <alignment horizontal="center" vertical="center" wrapText="1"/>
    </xf>
    <xf numFmtId="0" fontId="211" fillId="25" borderId="48" xfId="0" applyFont="1" applyFill="1" applyBorder="1" applyAlignment="1">
      <alignment horizontal="center" vertical="center" wrapText="1"/>
    </xf>
    <xf numFmtId="0" fontId="203" fillId="25" borderId="48" xfId="0" applyFont="1" applyFill="1" applyBorder="1" applyAlignment="1">
      <alignment vertical="center" wrapText="1"/>
    </xf>
    <xf numFmtId="14" fontId="210" fillId="25" borderId="48" xfId="0" applyNumberFormat="1" applyFont="1" applyFill="1" applyBorder="1" applyAlignment="1">
      <alignment horizontal="center" vertical="center" wrapText="1"/>
    </xf>
    <xf numFmtId="0" fontId="208" fillId="25" borderId="0" xfId="0" applyFont="1" applyFill="1" applyAlignment="1">
      <alignment wrapText="1"/>
    </xf>
    <xf numFmtId="0" fontId="210" fillId="25" borderId="67" xfId="0" applyFont="1" applyFill="1" applyBorder="1" applyAlignment="1">
      <alignment vertical="center" wrapText="1"/>
    </xf>
    <xf numFmtId="0" fontId="203" fillId="9" borderId="0" xfId="0" applyFont="1" applyFill="1" applyAlignment="1">
      <alignment horizontal="right" vertical="center" wrapText="1"/>
    </xf>
    <xf numFmtId="0" fontId="213" fillId="25" borderId="42" xfId="0" applyFont="1" applyFill="1" applyBorder="1" applyAlignment="1">
      <alignment horizontal="center" vertical="center" wrapText="1"/>
    </xf>
    <xf numFmtId="0" fontId="213" fillId="25" borderId="53" xfId="0" applyFont="1" applyFill="1" applyBorder="1" applyAlignment="1">
      <alignment horizontal="center" vertical="center" wrapText="1"/>
    </xf>
    <xf numFmtId="0" fontId="213" fillId="9" borderId="53" xfId="0" applyFont="1" applyFill="1" applyBorder="1" applyAlignment="1">
      <alignment horizontal="center" vertical="center" wrapText="1"/>
    </xf>
    <xf numFmtId="0" fontId="203" fillId="25" borderId="65" xfId="0" applyFont="1" applyFill="1" applyBorder="1" applyAlignment="1">
      <alignment horizontal="center" vertical="center" wrapText="1"/>
    </xf>
    <xf numFmtId="0" fontId="209" fillId="25" borderId="48" xfId="0" applyFont="1" applyFill="1" applyBorder="1" applyAlignment="1">
      <alignment vertical="center" wrapText="1"/>
    </xf>
    <xf numFmtId="0" fontId="203" fillId="25" borderId="48" xfId="0" applyFont="1" applyFill="1" applyBorder="1" applyAlignment="1">
      <alignment horizontal="center" vertical="center" wrapText="1"/>
    </xf>
    <xf numFmtId="15" fontId="203" fillId="25" borderId="48" xfId="0" applyNumberFormat="1" applyFont="1" applyFill="1" applyBorder="1" applyAlignment="1">
      <alignment horizontal="center" vertical="center" wrapText="1"/>
    </xf>
    <xf numFmtId="0" fontId="203" fillId="20" borderId="65" xfId="0" applyFont="1" applyFill="1" applyBorder="1" applyAlignment="1">
      <alignment horizontal="center" vertical="center" wrapText="1"/>
    </xf>
    <xf numFmtId="0" fontId="203" fillId="20" borderId="48" xfId="0" applyFont="1" applyFill="1" applyBorder="1" applyAlignment="1">
      <alignment vertical="center" wrapText="1"/>
    </xf>
    <xf numFmtId="15" fontId="203" fillId="20" borderId="48" xfId="0" applyNumberFormat="1" applyFont="1" applyFill="1" applyBorder="1" applyAlignment="1">
      <alignment horizontal="center" vertical="center" wrapText="1"/>
    </xf>
    <xf numFmtId="0" fontId="203" fillId="20" borderId="48" xfId="0" applyFont="1" applyFill="1" applyBorder="1" applyAlignment="1">
      <alignment horizontal="center" vertical="center" wrapText="1"/>
    </xf>
    <xf numFmtId="0" fontId="172" fillId="28" borderId="2" xfId="0" applyFont="1" applyFill="1" applyBorder="1" applyAlignment="1">
      <alignment horizontal="center" vertical="center"/>
    </xf>
    <xf numFmtId="0" fontId="0" fillId="20" borderId="2" xfId="0" applyFill="1" applyBorder="1" applyAlignment="1">
      <alignment horizontal="center"/>
    </xf>
    <xf numFmtId="0" fontId="103" fillId="20" borderId="2" xfId="0" applyFont="1" applyFill="1" applyBorder="1" applyAlignment="1">
      <alignment horizontal="center"/>
    </xf>
    <xf numFmtId="0" fontId="105" fillId="20" borderId="2" xfId="0" applyFont="1" applyFill="1" applyBorder="1" applyAlignment="1">
      <alignment horizontal="center"/>
    </xf>
    <xf numFmtId="0" fontId="96" fillId="0" borderId="2" xfId="0" applyFont="1" applyBorder="1" applyAlignment="1">
      <alignment horizontal="center"/>
    </xf>
    <xf numFmtId="0" fontId="169" fillId="0" borderId="2" xfId="0" applyFont="1" applyBorder="1" applyAlignment="1">
      <alignment horizontal="left" vertical="center"/>
    </xf>
    <xf numFmtId="0" fontId="172" fillId="20" borderId="2" xfId="0" applyFont="1" applyFill="1" applyBorder="1" applyAlignment="1">
      <alignment horizontal="left" vertical="center"/>
    </xf>
    <xf numFmtId="1" fontId="129" fillId="3" borderId="5" xfId="0" applyNumberFormat="1" applyFont="1" applyFill="1" applyBorder="1" applyAlignment="1">
      <alignment horizontal="center" vertical="center" wrapText="1"/>
    </xf>
    <xf numFmtId="2" fontId="129" fillId="3" borderId="0" xfId="0" applyNumberFormat="1" applyFont="1" applyFill="1" applyAlignment="1">
      <alignment horizontal="left" vertical="center" wrapText="1"/>
    </xf>
    <xf numFmtId="166" fontId="129" fillId="3" borderId="0" xfId="0" applyNumberFormat="1" applyFont="1" applyFill="1" applyAlignment="1">
      <alignment horizontal="center" vertical="center" wrapText="1"/>
    </xf>
    <xf numFmtId="1" fontId="129" fillId="3" borderId="0" xfId="0" applyNumberFormat="1" applyFont="1" applyFill="1" applyAlignment="1">
      <alignment horizontal="center" vertical="center" wrapText="1"/>
    </xf>
    <xf numFmtId="2" fontId="129" fillId="3" borderId="0" xfId="0" applyNumberFormat="1" applyFont="1" applyFill="1" applyAlignment="1">
      <alignment horizontal="center" vertical="center" wrapText="1"/>
    </xf>
    <xf numFmtId="0" fontId="129" fillId="3" borderId="0" xfId="0" applyFont="1" applyFill="1" applyAlignment="1">
      <alignment horizontal="center" vertical="center" wrapText="1"/>
    </xf>
    <xf numFmtId="0" fontId="129" fillId="3" borderId="0" xfId="0" applyFont="1" applyFill="1" applyAlignment="1">
      <alignment horizontal="right" vertical="top" wrapText="1"/>
    </xf>
    <xf numFmtId="0" fontId="129" fillId="3" borderId="0" xfId="0" applyFont="1" applyFill="1" applyAlignment="1">
      <alignment horizontal="center" vertical="top" wrapText="1"/>
    </xf>
    <xf numFmtId="0" fontId="129" fillId="3" borderId="0" xfId="0" applyFont="1" applyFill="1" applyAlignment="1">
      <alignment horizontal="center" vertical="top"/>
    </xf>
    <xf numFmtId="0" fontId="169" fillId="0" borderId="2" xfId="0" applyFont="1" applyBorder="1" applyAlignment="1">
      <alignment horizontal="left" vertical="top"/>
    </xf>
    <xf numFmtId="0" fontId="95" fillId="0" borderId="2" xfId="0" applyFont="1" applyBorder="1" applyAlignment="1">
      <alignment horizontal="center"/>
    </xf>
    <xf numFmtId="0" fontId="169" fillId="3" borderId="2" xfId="0" applyFont="1" applyFill="1" applyBorder="1" applyAlignment="1">
      <alignment vertical="center"/>
    </xf>
    <xf numFmtId="0" fontId="169" fillId="3" borderId="2" xfId="0" applyFont="1" applyFill="1" applyBorder="1"/>
    <xf numFmtId="0" fontId="169" fillId="3" borderId="2" xfId="0" applyFont="1" applyFill="1" applyBorder="1" applyAlignment="1">
      <alignment horizontal="left"/>
    </xf>
    <xf numFmtId="0" fontId="169" fillId="3" borderId="2" xfId="0" applyFont="1" applyFill="1" applyBorder="1" applyAlignment="1">
      <alignment horizontal="left" vertical="center"/>
    </xf>
    <xf numFmtId="14" fontId="169" fillId="3" borderId="2" xfId="0" applyNumberFormat="1" applyFont="1" applyFill="1" applyBorder="1"/>
    <xf numFmtId="14" fontId="169" fillId="3" borderId="2" xfId="0" applyNumberFormat="1" applyFont="1" applyFill="1" applyBorder="1" applyAlignment="1">
      <alignment horizontal="right"/>
    </xf>
    <xf numFmtId="0" fontId="169" fillId="3" borderId="2" xfId="0" applyFont="1" applyFill="1" applyBorder="1" applyAlignment="1">
      <alignment horizontal="center"/>
    </xf>
    <xf numFmtId="0" fontId="169" fillId="3" borderId="2" xfId="0" applyFont="1" applyFill="1" applyBorder="1" applyAlignment="1">
      <alignment horizontal="center" vertical="center"/>
    </xf>
    <xf numFmtId="14" fontId="169" fillId="3" borderId="2" xfId="0" applyNumberFormat="1" applyFont="1" applyFill="1" applyBorder="1" applyAlignment="1">
      <alignment vertical="center"/>
    </xf>
    <xf numFmtId="0" fontId="172" fillId="0" borderId="2" xfId="0" applyFont="1" applyBorder="1" applyAlignment="1">
      <alignment horizontal="left" vertical="center" wrapText="1"/>
    </xf>
    <xf numFmtId="0" fontId="169" fillId="9" borderId="2" xfId="0" applyFont="1" applyFill="1" applyBorder="1" applyAlignment="1">
      <alignment horizontal="left" vertical="top"/>
    </xf>
    <xf numFmtId="0" fontId="169" fillId="9" borderId="2" xfId="0" applyFont="1" applyFill="1" applyBorder="1" applyAlignment="1">
      <alignment horizontal="left"/>
    </xf>
    <xf numFmtId="14" fontId="169" fillId="0" borderId="2" xfId="0" applyNumberFormat="1" applyFont="1" applyBorder="1" applyAlignment="1">
      <alignment vertical="center"/>
    </xf>
    <xf numFmtId="14" fontId="169" fillId="0" borderId="2" xfId="0" applyNumberFormat="1" applyFont="1" applyBorder="1" applyAlignment="1">
      <alignment vertical="top"/>
    </xf>
    <xf numFmtId="0" fontId="169" fillId="0" borderId="2" xfId="0" applyFont="1" applyBorder="1" applyAlignment="1">
      <alignment vertical="top"/>
    </xf>
    <xf numFmtId="14" fontId="169" fillId="0" borderId="2" xfId="0" applyNumberFormat="1" applyFont="1" applyBorder="1" applyAlignment="1">
      <alignment horizontal="right" vertical="center"/>
    </xf>
    <xf numFmtId="0" fontId="169" fillId="0" borderId="3" xfId="0" applyFont="1" applyBorder="1" applyAlignment="1">
      <alignment horizontal="left" vertical="center"/>
    </xf>
    <xf numFmtId="14" fontId="169" fillId="0" borderId="3" xfId="0" applyNumberFormat="1" applyFont="1" applyBorder="1" applyAlignment="1">
      <alignment horizontal="right" vertical="center"/>
    </xf>
    <xf numFmtId="14" fontId="169" fillId="0" borderId="2" xfId="0" applyNumberFormat="1" applyFont="1" applyBorder="1" applyAlignment="1">
      <alignment horizontal="right"/>
    </xf>
    <xf numFmtId="0" fontId="215" fillId="3" borderId="0" xfId="24" applyFont="1" applyFill="1" applyAlignment="1">
      <alignment vertical="center" wrapText="1"/>
    </xf>
    <xf numFmtId="0" fontId="215" fillId="3" borderId="0" xfId="0" applyFont="1" applyFill="1"/>
    <xf numFmtId="0" fontId="215" fillId="3" borderId="0" xfId="0" applyFont="1" applyFill="1" applyAlignment="1">
      <alignment horizontal="center"/>
    </xf>
    <xf numFmtId="0" fontId="217" fillId="3" borderId="0" xfId="0" applyFont="1" applyFill="1" applyAlignment="1">
      <alignment horizontal="center"/>
    </xf>
    <xf numFmtId="0" fontId="216" fillId="3" borderId="0" xfId="0" applyFont="1" applyFill="1" applyAlignment="1">
      <alignment horizontal="center"/>
    </xf>
    <xf numFmtId="0" fontId="217" fillId="3" borderId="0" xfId="24" applyFont="1" applyFill="1" applyAlignment="1">
      <alignment vertical="center" wrapText="1"/>
    </xf>
    <xf numFmtId="0" fontId="219" fillId="3" borderId="0" xfId="0" applyFont="1" applyFill="1" applyAlignment="1">
      <alignment horizontal="center"/>
    </xf>
    <xf numFmtId="0" fontId="217" fillId="3" borderId="0" xfId="24" applyFont="1" applyFill="1"/>
    <xf numFmtId="0" fontId="215" fillId="3" borderId="0" xfId="24" applyFont="1" applyFill="1"/>
    <xf numFmtId="0" fontId="218" fillId="3" borderId="0" xfId="24" applyFont="1" applyFill="1" applyAlignment="1">
      <alignment vertical="center"/>
    </xf>
    <xf numFmtId="0" fontId="218" fillId="3" borderId="0" xfId="24" applyFont="1" applyFill="1"/>
    <xf numFmtId="0" fontId="216" fillId="3" borderId="0" xfId="24" applyFont="1" applyFill="1" applyAlignment="1">
      <alignment vertical="center" wrapText="1"/>
    </xf>
    <xf numFmtId="0" fontId="216" fillId="3" borderId="0" xfId="0" applyFont="1" applyFill="1" applyAlignment="1">
      <alignment horizontal="center" vertical="center"/>
    </xf>
    <xf numFmtId="0" fontId="215" fillId="3" borderId="0" xfId="24" applyFont="1" applyFill="1" applyAlignment="1">
      <alignment vertical="center"/>
    </xf>
    <xf numFmtId="0" fontId="215" fillId="3" borderId="0" xfId="24" applyFont="1" applyFill="1" applyAlignment="1">
      <alignment horizontal="left" vertical="center"/>
    </xf>
    <xf numFmtId="169" fontId="222" fillId="0" borderId="0" xfId="0" applyNumberFormat="1" applyFont="1"/>
    <xf numFmtId="0" fontId="215" fillId="3" borderId="32" xfId="24" applyFont="1" applyFill="1" applyBorder="1" applyAlignment="1">
      <alignment vertical="center" wrapText="1"/>
    </xf>
    <xf numFmtId="0" fontId="215" fillId="3" borderId="32" xfId="0" applyFont="1" applyFill="1" applyBorder="1" applyAlignment="1">
      <alignment horizontal="center"/>
    </xf>
    <xf numFmtId="0" fontId="217" fillId="3" borderId="32" xfId="0" applyFont="1" applyFill="1" applyBorder="1" applyAlignment="1">
      <alignment horizontal="center"/>
    </xf>
    <xf numFmtId="0" fontId="223" fillId="3" borderId="32" xfId="0" applyFont="1" applyFill="1" applyBorder="1" applyAlignment="1">
      <alignment horizontal="left" vertical="center"/>
    </xf>
    <xf numFmtId="0" fontId="223" fillId="3" borderId="32" xfId="0" applyFont="1" applyFill="1" applyBorder="1" applyAlignment="1">
      <alignment horizontal="center" vertical="center"/>
    </xf>
    <xf numFmtId="49" fontId="224" fillId="0" borderId="0" xfId="0" quotePrefix="1" applyNumberFormat="1" applyFont="1" applyAlignment="1">
      <alignment horizontal="center" vertical="center" wrapText="1"/>
    </xf>
    <xf numFmtId="49" fontId="225" fillId="0" borderId="0" xfId="0" applyNumberFormat="1" applyFont="1" applyAlignment="1">
      <alignment horizontal="center" vertical="center" wrapText="1"/>
    </xf>
    <xf numFmtId="49" fontId="224" fillId="0" borderId="0" xfId="0" applyNumberFormat="1" applyFont="1" applyAlignment="1">
      <alignment horizontal="center" vertical="center" wrapText="1"/>
    </xf>
    <xf numFmtId="0" fontId="226" fillId="0" borderId="0" xfId="0" applyFont="1" applyAlignment="1">
      <alignment horizontal="center" vertical="center"/>
    </xf>
    <xf numFmtId="0" fontId="94" fillId="0" borderId="0" xfId="0" applyFont="1"/>
    <xf numFmtId="0" fontId="167" fillId="0" borderId="0" xfId="0" applyFont="1"/>
    <xf numFmtId="43" fontId="167" fillId="0" borderId="0" xfId="1" applyFont="1" applyFill="1" applyBorder="1" applyAlignment="1">
      <alignment horizontal="center" vertical="center"/>
    </xf>
    <xf numFmtId="1" fontId="167" fillId="29" borderId="42" xfId="1" applyNumberFormat="1" applyFont="1" applyFill="1" applyBorder="1" applyAlignment="1">
      <alignment horizontal="center" vertical="center"/>
    </xf>
    <xf numFmtId="1" fontId="224" fillId="0" borderId="0" xfId="0" applyNumberFormat="1" applyFont="1" applyAlignment="1">
      <alignment horizontal="center"/>
    </xf>
    <xf numFmtId="1" fontId="225" fillId="0" borderId="42" xfId="1" applyNumberFormat="1" applyFont="1" applyFill="1" applyBorder="1" applyAlignment="1">
      <alignment horizontal="center" vertical="center"/>
    </xf>
    <xf numFmtId="1" fontId="227" fillId="0" borderId="0" xfId="0" applyNumberFormat="1" applyFont="1" applyAlignment="1">
      <alignment horizontal="center"/>
    </xf>
    <xf numFmtId="0" fontId="167" fillId="29" borderId="42" xfId="0" applyFont="1" applyFill="1" applyBorder="1" applyAlignment="1">
      <alignment horizontal="center" vertical="center"/>
    </xf>
    <xf numFmtId="0" fontId="167" fillId="0" borderId="42" xfId="0" applyFont="1" applyBorder="1" applyAlignment="1">
      <alignment horizontal="center" vertical="center"/>
    </xf>
    <xf numFmtId="0" fontId="142" fillId="0" borderId="20" xfId="0" applyFont="1" applyBorder="1" applyAlignment="1">
      <alignment horizontal="center" vertical="center"/>
    </xf>
    <xf numFmtId="0" fontId="142" fillId="0" borderId="0" xfId="0" applyFont="1" applyAlignment="1">
      <alignment horizontal="center" vertical="center"/>
    </xf>
    <xf numFmtId="0" fontId="228" fillId="0" borderId="43" xfId="0" applyFont="1" applyBorder="1"/>
    <xf numFmtId="0" fontId="224" fillId="0" borderId="0" xfId="0" applyFont="1"/>
    <xf numFmtId="0" fontId="226" fillId="9" borderId="0" xfId="0" applyFont="1" applyFill="1" applyAlignment="1">
      <alignment horizontal="center" vertical="center"/>
    </xf>
    <xf numFmtId="0" fontId="226" fillId="3" borderId="0" xfId="0" applyFont="1" applyFill="1" applyAlignment="1">
      <alignment horizontal="center" vertical="center"/>
    </xf>
    <xf numFmtId="0" fontId="229" fillId="3" borderId="0" xfId="0" applyFont="1" applyFill="1" applyAlignment="1">
      <alignment horizontal="center" vertical="center"/>
    </xf>
    <xf numFmtId="0" fontId="225" fillId="0" borderId="0" xfId="0" applyFont="1"/>
    <xf numFmtId="0" fontId="231" fillId="0" borderId="0" xfId="0" applyFont="1"/>
    <xf numFmtId="0" fontId="204" fillId="0" borderId="0" xfId="0" applyFont="1" applyAlignment="1">
      <alignment horizontal="center" vertical="center"/>
    </xf>
    <xf numFmtId="0" fontId="204" fillId="0" borderId="0" xfId="0" applyFont="1"/>
    <xf numFmtId="43" fontId="204" fillId="0" borderId="0" xfId="1" applyFont="1" applyFill="1" applyBorder="1" applyAlignment="1">
      <alignment horizontal="center" vertical="center"/>
    </xf>
    <xf numFmtId="0" fontId="224" fillId="0" borderId="0" xfId="0" applyFont="1" applyAlignment="1">
      <alignment horizontal="center"/>
    </xf>
    <xf numFmtId="0" fontId="227" fillId="0" borderId="0" xfId="0" applyFont="1" applyAlignment="1">
      <alignment horizontal="center"/>
    </xf>
    <xf numFmtId="0" fontId="204" fillId="0" borderId="42" xfId="0" applyFont="1" applyBorder="1" applyAlignment="1">
      <alignment horizontal="center" vertical="center"/>
    </xf>
    <xf numFmtId="0" fontId="225" fillId="0" borderId="42" xfId="0" applyFont="1" applyBorder="1" applyAlignment="1">
      <alignment horizontal="center" vertical="center"/>
    </xf>
    <xf numFmtId="1" fontId="224" fillId="0" borderId="0" xfId="0" quotePrefix="1" applyNumberFormat="1" applyFont="1" applyAlignment="1">
      <alignment horizontal="center" vertical="center" wrapText="1"/>
    </xf>
    <xf numFmtId="0" fontId="225" fillId="0" borderId="0" xfId="0" applyFont="1" applyAlignment="1">
      <alignment horizontal="center" vertical="center"/>
    </xf>
    <xf numFmtId="0" fontId="224" fillId="0" borderId="0" xfId="0" applyFont="1" applyAlignment="1">
      <alignment vertical="center"/>
    </xf>
    <xf numFmtId="43" fontId="225" fillId="0" borderId="0" xfId="1" applyFont="1" applyFill="1" applyBorder="1" applyAlignment="1">
      <alignment horizontal="center" vertical="center"/>
    </xf>
    <xf numFmtId="0" fontId="229" fillId="0" borderId="0" xfId="0" applyFont="1"/>
    <xf numFmtId="0" fontId="227" fillId="0" borderId="0" xfId="0" applyFont="1"/>
    <xf numFmtId="0" fontId="232" fillId="23" borderId="0" xfId="0" applyFont="1" applyFill="1"/>
    <xf numFmtId="0" fontId="233" fillId="3" borderId="43" xfId="0" applyFont="1" applyFill="1" applyBorder="1" applyAlignment="1">
      <alignment horizontal="center" vertical="center"/>
    </xf>
    <xf numFmtId="0" fontId="233" fillId="3" borderId="0" xfId="0" applyFont="1" applyFill="1" applyAlignment="1">
      <alignment horizontal="center" vertical="center"/>
    </xf>
    <xf numFmtId="0" fontId="228" fillId="0" borderId="0" xfId="0" applyFont="1"/>
    <xf numFmtId="0" fontId="225" fillId="0" borderId="0" xfId="0" applyFont="1" applyAlignment="1">
      <alignment horizontal="center"/>
    </xf>
    <xf numFmtId="0" fontId="229" fillId="0" borderId="20" xfId="0" applyFont="1" applyBorder="1" applyAlignment="1">
      <alignment horizontal="center" vertical="center"/>
    </xf>
    <xf numFmtId="0" fontId="229" fillId="0" borderId="0" xfId="0" applyFont="1" applyAlignment="1">
      <alignment horizontal="center" vertical="center"/>
    </xf>
    <xf numFmtId="0" fontId="229" fillId="0" borderId="2" xfId="0" applyFont="1" applyBorder="1" applyAlignment="1">
      <alignment horizontal="center" vertical="center"/>
    </xf>
    <xf numFmtId="0" fontId="198" fillId="3" borderId="43" xfId="0" applyFont="1" applyFill="1" applyBorder="1"/>
    <xf numFmtId="0" fontId="227" fillId="3" borderId="0" xfId="0" applyFont="1" applyFill="1"/>
    <xf numFmtId="0" fontId="234" fillId="3" borderId="0" xfId="0" applyFont="1" applyFill="1" applyAlignment="1">
      <alignment horizontal="center" vertical="center"/>
    </xf>
    <xf numFmtId="0" fontId="226" fillId="20" borderId="0" xfId="0" applyFont="1" applyFill="1" applyAlignment="1">
      <alignment horizontal="center" vertical="center"/>
    </xf>
    <xf numFmtId="0" fontId="226" fillId="0" borderId="0" xfId="0" applyFont="1"/>
    <xf numFmtId="0" fontId="235" fillId="0" borderId="0" xfId="0" applyFont="1"/>
    <xf numFmtId="49" fontId="226" fillId="0" borderId="0" xfId="0" applyNumberFormat="1" applyFont="1" applyAlignment="1">
      <alignment horizontal="center" vertical="center" wrapText="1"/>
    </xf>
    <xf numFmtId="1" fontId="224" fillId="0" borderId="42" xfId="1" applyNumberFormat="1" applyFont="1" applyFill="1" applyBorder="1" applyAlignment="1">
      <alignment horizontal="center" vertical="center"/>
    </xf>
    <xf numFmtId="1" fontId="225" fillId="21" borderId="42" xfId="1" applyNumberFormat="1" applyFont="1" applyFill="1" applyBorder="1" applyAlignment="1">
      <alignment horizontal="center" vertical="center"/>
    </xf>
    <xf numFmtId="0" fontId="226" fillId="23" borderId="0" xfId="0" applyFont="1" applyFill="1"/>
    <xf numFmtId="0" fontId="236" fillId="3" borderId="0" xfId="0" applyFont="1" applyFill="1" applyAlignment="1">
      <alignment vertical="center"/>
    </xf>
    <xf numFmtId="0" fontId="237" fillId="0" borderId="0" xfId="0" applyFont="1"/>
    <xf numFmtId="0" fontId="224" fillId="0" borderId="0" xfId="0" applyFont="1" applyAlignment="1">
      <alignment horizontal="center" vertical="center"/>
    </xf>
    <xf numFmtId="0" fontId="224" fillId="0" borderId="0" xfId="0" applyFont="1" applyAlignment="1">
      <alignment horizontal="right"/>
    </xf>
    <xf numFmtId="1" fontId="224" fillId="0" borderId="0" xfId="0" applyNumberFormat="1" applyFont="1" applyAlignment="1">
      <alignment horizontal="left"/>
    </xf>
    <xf numFmtId="49" fontId="225" fillId="0" borderId="0" xfId="0" applyNumberFormat="1" applyFont="1" applyAlignment="1">
      <alignment horizontal="center" vertical="center"/>
    </xf>
    <xf numFmtId="49" fontId="224" fillId="0" borderId="0" xfId="0" applyNumberFormat="1" applyFont="1" applyAlignment="1">
      <alignment horizontal="center" vertical="center"/>
    </xf>
    <xf numFmtId="0" fontId="224" fillId="0" borderId="0" xfId="0" applyFont="1" applyAlignment="1">
      <alignment horizontal="left"/>
    </xf>
    <xf numFmtId="0" fontId="225" fillId="0" borderId="65" xfId="0" applyFont="1" applyBorder="1" applyAlignment="1">
      <alignment horizontal="center" vertical="center"/>
    </xf>
    <xf numFmtId="0" fontId="229" fillId="0" borderId="0" xfId="0" applyFont="1" applyAlignment="1">
      <alignment horizontal="center"/>
    </xf>
    <xf numFmtId="0" fontId="226" fillId="0" borderId="0" xfId="0" applyFont="1" applyAlignment="1">
      <alignment horizontal="center"/>
    </xf>
    <xf numFmtId="0" fontId="237" fillId="0" borderId="0" xfId="0" applyFont="1" applyAlignment="1">
      <alignment horizontal="center"/>
    </xf>
    <xf numFmtId="0" fontId="236" fillId="3" borderId="43" xfId="0" applyFont="1" applyFill="1" applyBorder="1" applyAlignment="1">
      <alignment vertical="center"/>
    </xf>
    <xf numFmtId="0" fontId="236" fillId="30" borderId="0" xfId="0" applyFont="1" applyFill="1" applyAlignment="1">
      <alignment vertical="center"/>
    </xf>
    <xf numFmtId="0" fontId="224" fillId="0" borderId="0" xfId="16" applyFont="1" applyAlignment="1">
      <alignment horizontal="center" vertical="center"/>
    </xf>
    <xf numFmtId="0" fontId="238" fillId="0" borderId="0" xfId="0" applyFont="1"/>
    <xf numFmtId="0" fontId="239" fillId="0" borderId="0" xfId="0" applyFont="1"/>
    <xf numFmtId="0" fontId="226" fillId="0" borderId="0" xfId="0" applyFont="1" applyAlignment="1">
      <alignment vertical="center"/>
    </xf>
    <xf numFmtId="0" fontId="227" fillId="0" borderId="0" xfId="0" applyFont="1" applyAlignment="1">
      <alignment vertical="center"/>
    </xf>
    <xf numFmtId="0" fontId="227" fillId="3" borderId="0" xfId="0" applyFont="1" applyFill="1" applyAlignment="1">
      <alignment vertical="center"/>
    </xf>
    <xf numFmtId="0" fontId="204" fillId="3" borderId="0" xfId="0" applyFont="1" applyFill="1" applyAlignment="1">
      <alignment vertical="center"/>
    </xf>
    <xf numFmtId="0" fontId="231" fillId="3" borderId="0" xfId="0" applyFont="1" applyFill="1" applyAlignment="1">
      <alignment vertical="center"/>
    </xf>
    <xf numFmtId="0" fontId="198" fillId="0" borderId="0" xfId="0" applyFont="1" applyAlignment="1">
      <alignment vertical="center"/>
    </xf>
    <xf numFmtId="0" fontId="234" fillId="0" borderId="0" xfId="0" applyFont="1" applyAlignment="1">
      <alignment wrapText="1"/>
    </xf>
    <xf numFmtId="0" fontId="234" fillId="0" borderId="0" xfId="0" applyFont="1" applyAlignment="1">
      <alignment vertical="center"/>
    </xf>
    <xf numFmtId="0" fontId="230" fillId="3" borderId="43" xfId="0" applyFont="1" applyFill="1" applyBorder="1" applyAlignment="1">
      <alignment vertical="center"/>
    </xf>
    <xf numFmtId="0" fontId="230" fillId="30" borderId="0" xfId="0" applyFont="1" applyFill="1" applyAlignment="1">
      <alignment vertical="center"/>
    </xf>
    <xf numFmtId="0" fontId="230" fillId="3" borderId="0" xfId="0" applyFont="1" applyFill="1" applyAlignment="1">
      <alignment vertical="center"/>
    </xf>
    <xf numFmtId="1" fontId="225" fillId="20" borderId="42" xfId="1" applyNumberFormat="1" applyFont="1" applyFill="1" applyBorder="1" applyAlignment="1">
      <alignment horizontal="center" vertical="center"/>
    </xf>
    <xf numFmtId="0" fontId="234" fillId="9" borderId="0" xfId="0" applyFont="1" applyFill="1" applyAlignment="1">
      <alignment horizontal="center" vertical="center"/>
    </xf>
    <xf numFmtId="0" fontId="232" fillId="30" borderId="0" xfId="0" applyFont="1" applyFill="1"/>
    <xf numFmtId="0" fontId="234" fillId="30" borderId="0" xfId="0" applyFont="1" applyFill="1"/>
    <xf numFmtId="1" fontId="238" fillId="0" borderId="42" xfId="1" applyNumberFormat="1" applyFont="1" applyFill="1" applyBorder="1" applyAlignment="1">
      <alignment horizontal="center" vertical="center"/>
    </xf>
    <xf numFmtId="0" fontId="226" fillId="30" borderId="0" xfId="0" applyFont="1" applyFill="1" applyAlignment="1">
      <alignment vertical="center"/>
    </xf>
    <xf numFmtId="1" fontId="224" fillId="0" borderId="0" xfId="0" applyNumberFormat="1" applyFont="1" applyAlignment="1">
      <alignment horizontal="center" vertical="top"/>
    </xf>
    <xf numFmtId="0" fontId="224" fillId="0" borderId="0" xfId="0" applyFont="1" applyAlignment="1">
      <alignment horizontal="center" vertical="top"/>
    </xf>
    <xf numFmtId="0" fontId="205" fillId="9" borderId="0" xfId="0" applyFont="1" applyFill="1" applyAlignment="1">
      <alignment horizontal="center" vertical="center"/>
    </xf>
    <xf numFmtId="0" fontId="205" fillId="0" borderId="43" xfId="0" applyFont="1" applyBorder="1" applyAlignment="1">
      <alignment horizontal="center" vertical="center"/>
    </xf>
    <xf numFmtId="0" fontId="226" fillId="9" borderId="0" xfId="0" applyFont="1" applyFill="1" applyAlignment="1">
      <alignment horizontal="center"/>
    </xf>
    <xf numFmtId="49" fontId="224" fillId="0" borderId="0" xfId="0" applyNumberFormat="1" applyFont="1" applyAlignment="1">
      <alignment horizontal="center"/>
    </xf>
    <xf numFmtId="0" fontId="226" fillId="3" borderId="42" xfId="0" applyFont="1" applyFill="1" applyBorder="1" applyAlignment="1">
      <alignment horizontal="center" vertical="center"/>
    </xf>
    <xf numFmtId="0" fontId="234" fillId="30" borderId="0" xfId="0" applyFont="1" applyFill="1" applyAlignment="1">
      <alignment horizontal="center" vertical="center"/>
    </xf>
    <xf numFmtId="1" fontId="228" fillId="0" borderId="42" xfId="1" applyNumberFormat="1" applyFont="1" applyFill="1" applyBorder="1" applyAlignment="1">
      <alignment horizontal="center" vertical="center"/>
    </xf>
    <xf numFmtId="0" fontId="228" fillId="0" borderId="0" xfId="0" applyFont="1" applyAlignment="1">
      <alignment vertical="center"/>
    </xf>
    <xf numFmtId="49" fontId="240" fillId="0" borderId="0" xfId="0" applyNumberFormat="1" applyFont="1" applyAlignment="1">
      <alignment horizontal="center" vertical="center" wrapText="1"/>
    </xf>
    <xf numFmtId="0" fontId="226" fillId="30" borderId="0" xfId="0" applyFont="1" applyFill="1"/>
    <xf numFmtId="0" fontId="94" fillId="0" borderId="20" xfId="0" applyFont="1" applyBorder="1"/>
    <xf numFmtId="0" fontId="226" fillId="30" borderId="0" xfId="0" applyFont="1" applyFill="1" applyAlignment="1">
      <alignment horizontal="center" vertical="center"/>
    </xf>
    <xf numFmtId="0" fontId="228" fillId="0" borderId="0" xfId="0" applyFont="1" applyAlignment="1">
      <alignment horizontal="left"/>
    </xf>
    <xf numFmtId="0" fontId="226" fillId="0" borderId="42" xfId="0" applyFont="1" applyBorder="1" applyAlignment="1">
      <alignment horizontal="center" vertical="center"/>
    </xf>
    <xf numFmtId="0" fontId="228" fillId="0" borderId="42" xfId="0" applyFont="1" applyBorder="1" applyAlignment="1">
      <alignment horizontal="center" vertical="center"/>
    </xf>
    <xf numFmtId="0" fontId="229" fillId="0" borderId="0" xfId="0" applyFont="1" applyAlignment="1">
      <alignment vertical="center"/>
    </xf>
    <xf numFmtId="0" fontId="229" fillId="0" borderId="0" xfId="0" applyFont="1" applyAlignment="1">
      <alignment horizontal="left"/>
    </xf>
    <xf numFmtId="0" fontId="224" fillId="0" borderId="42" xfId="0" applyFont="1" applyBorder="1" applyAlignment="1">
      <alignment horizontal="center" vertical="center"/>
    </xf>
    <xf numFmtId="0" fontId="226" fillId="9" borderId="0" xfId="0" applyFont="1" applyFill="1"/>
    <xf numFmtId="0" fontId="225" fillId="3" borderId="0" xfId="0" applyFont="1" applyFill="1" applyAlignment="1">
      <alignment horizontal="center" vertical="center"/>
    </xf>
    <xf numFmtId="0" fontId="94" fillId="0" borderId="2" xfId="0" applyFont="1" applyBorder="1"/>
    <xf numFmtId="0" fontId="224" fillId="0" borderId="2" xfId="0" applyFont="1" applyBorder="1" applyAlignment="1">
      <alignment horizontal="center" vertical="center"/>
    </xf>
    <xf numFmtId="1" fontId="224" fillId="0" borderId="2" xfId="1" applyNumberFormat="1" applyFont="1" applyFill="1" applyBorder="1" applyAlignment="1">
      <alignment horizontal="center" vertical="center"/>
    </xf>
    <xf numFmtId="1" fontId="225" fillId="29" borderId="42" xfId="1" applyNumberFormat="1" applyFont="1" applyFill="1" applyBorder="1" applyAlignment="1">
      <alignment horizontal="center" vertical="center"/>
    </xf>
    <xf numFmtId="1" fontId="225" fillId="0" borderId="0" xfId="1" applyNumberFormat="1" applyFont="1" applyFill="1" applyBorder="1" applyAlignment="1">
      <alignment horizontal="center" vertical="center"/>
    </xf>
    <xf numFmtId="0" fontId="225" fillId="29" borderId="42" xfId="0" applyFont="1" applyFill="1" applyBorder="1" applyAlignment="1">
      <alignment horizontal="center" vertical="center"/>
    </xf>
    <xf numFmtId="0" fontId="229" fillId="3" borderId="2" xfId="0" applyFont="1" applyFill="1" applyBorder="1" applyAlignment="1">
      <alignment horizontal="center" vertical="center"/>
    </xf>
    <xf numFmtId="0" fontId="94" fillId="0" borderId="0" xfId="0" applyFont="1" applyAlignment="1">
      <alignment horizontal="left" vertical="top"/>
    </xf>
    <xf numFmtId="0" fontId="94" fillId="0" borderId="2" xfId="0" applyFont="1" applyBorder="1" applyAlignment="1">
      <alignment horizontal="left" vertical="top"/>
    </xf>
    <xf numFmtId="0" fontId="94" fillId="9" borderId="2" xfId="0" applyFont="1" applyFill="1" applyBorder="1" applyAlignment="1">
      <alignment horizontal="left" vertical="top"/>
    </xf>
    <xf numFmtId="14" fontId="94" fillId="0" borderId="2" xfId="0" applyNumberFormat="1" applyFont="1" applyBorder="1" applyAlignment="1">
      <alignment horizontal="left" vertical="top" wrapText="1"/>
    </xf>
    <xf numFmtId="0" fontId="94" fillId="20" borderId="2" xfId="0" applyFont="1" applyFill="1" applyBorder="1" applyAlignment="1">
      <alignment horizontal="left" vertical="top"/>
    </xf>
    <xf numFmtId="14" fontId="94" fillId="0" borderId="2" xfId="0" applyNumberFormat="1" applyFont="1" applyBorder="1"/>
    <xf numFmtId="14" fontId="94" fillId="0" borderId="2" xfId="0" applyNumberFormat="1" applyFont="1" applyBorder="1" applyAlignment="1">
      <alignment wrapText="1"/>
    </xf>
    <xf numFmtId="0" fontId="94" fillId="20" borderId="2" xfId="0" applyFont="1" applyFill="1" applyBorder="1" applyAlignment="1">
      <alignment horizontal="center"/>
    </xf>
    <xf numFmtId="0" fontId="94" fillId="0" borderId="2" xfId="0" applyFont="1" applyBorder="1" applyAlignment="1">
      <alignment horizontal="center"/>
    </xf>
    <xf numFmtId="0" fontId="0" fillId="3" borderId="2" xfId="0" applyFill="1" applyBorder="1"/>
    <xf numFmtId="0" fontId="142" fillId="3" borderId="2" xfId="0" applyFont="1" applyFill="1" applyBorder="1" applyAlignment="1">
      <alignment horizontal="center" vertical="center"/>
    </xf>
    <xf numFmtId="0" fontId="142" fillId="3" borderId="2" xfId="0" applyFont="1" applyFill="1" applyBorder="1" applyAlignment="1">
      <alignment horizontal="center" vertical="center" wrapText="1"/>
    </xf>
    <xf numFmtId="0" fontId="172" fillId="3" borderId="2" xfId="0" applyFont="1" applyFill="1" applyBorder="1" applyAlignment="1">
      <alignment horizontal="center" vertical="center"/>
    </xf>
    <xf numFmtId="0" fontId="168" fillId="3" borderId="2" xfId="0" applyFont="1" applyFill="1" applyBorder="1" applyAlignment="1">
      <alignment horizontal="left" vertical="center"/>
    </xf>
    <xf numFmtId="169" fontId="168" fillId="3" borderId="2" xfId="0" applyNumberFormat="1" applyFont="1" applyFill="1" applyBorder="1" applyAlignment="1">
      <alignment horizontal="center" vertical="center" wrapText="1"/>
    </xf>
    <xf numFmtId="0" fontId="168" fillId="3" borderId="2" xfId="0" applyFont="1" applyFill="1" applyBorder="1" applyAlignment="1">
      <alignment horizontal="center" vertical="center" wrapText="1"/>
    </xf>
    <xf numFmtId="0" fontId="168" fillId="3" borderId="2" xfId="0" applyFont="1" applyFill="1" applyBorder="1" applyAlignment="1">
      <alignment horizontal="left" vertical="center" wrapText="1"/>
    </xf>
    <xf numFmtId="0" fontId="172" fillId="3" borderId="2" xfId="0" applyFont="1" applyFill="1" applyBorder="1" applyAlignment="1">
      <alignment horizontal="left" vertical="center"/>
    </xf>
    <xf numFmtId="0" fontId="172" fillId="3" borderId="2" xfId="0" applyFont="1" applyFill="1" applyBorder="1" applyAlignment="1">
      <alignment horizontal="center" vertical="center" wrapText="1"/>
    </xf>
    <xf numFmtId="0" fontId="172" fillId="3" borderId="2" xfId="0" applyFont="1" applyFill="1" applyBorder="1" applyAlignment="1">
      <alignment horizontal="left" vertical="center" wrapText="1"/>
    </xf>
    <xf numFmtId="169" fontId="172" fillId="3" borderId="2" xfId="0" applyNumberFormat="1" applyFont="1" applyFill="1" applyBorder="1" applyAlignment="1">
      <alignment horizontal="center" vertical="center"/>
    </xf>
    <xf numFmtId="14" fontId="172"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68" fillId="3" borderId="2" xfId="0" applyFont="1" applyFill="1" applyBorder="1" applyAlignment="1">
      <alignment horizontal="center" vertical="center"/>
    </xf>
    <xf numFmtId="14" fontId="168" fillId="3" borderId="2" xfId="0" applyNumberFormat="1" applyFont="1" applyFill="1" applyBorder="1" applyAlignment="1">
      <alignment horizontal="center" vertical="center"/>
    </xf>
    <xf numFmtId="0" fontId="172" fillId="3" borderId="46" xfId="0" applyFont="1" applyFill="1" applyBorder="1" applyAlignment="1">
      <alignment horizontal="left" vertical="center" wrapText="1"/>
    </xf>
    <xf numFmtId="169" fontId="131" fillId="3" borderId="2" xfId="0" applyNumberFormat="1" applyFont="1" applyFill="1" applyBorder="1" applyAlignment="1">
      <alignment horizontal="center" vertical="center"/>
    </xf>
    <xf numFmtId="0" fontId="130"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68" fillId="0" borderId="2" xfId="0" applyNumberFormat="1" applyFont="1" applyBorder="1" applyAlignment="1">
      <alignment horizontal="center" vertical="center"/>
    </xf>
    <xf numFmtId="14" fontId="142"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72"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68" fillId="3" borderId="3" xfId="0" applyFont="1" applyFill="1" applyBorder="1" applyAlignment="1">
      <alignment horizontal="left" vertical="center"/>
    </xf>
    <xf numFmtId="0" fontId="168" fillId="3" borderId="3" xfId="0" applyFont="1" applyFill="1" applyBorder="1" applyAlignment="1">
      <alignment horizontal="center" vertical="center"/>
    </xf>
    <xf numFmtId="0" fontId="168" fillId="3" borderId="28" xfId="0" applyFont="1" applyFill="1" applyBorder="1" applyAlignment="1">
      <alignment horizontal="left" vertical="center"/>
    </xf>
    <xf numFmtId="0" fontId="136" fillId="3" borderId="2" xfId="0" applyFont="1" applyFill="1" applyBorder="1" applyAlignment="1">
      <alignment horizontal="center"/>
    </xf>
    <xf numFmtId="173" fontId="136" fillId="3" borderId="2" xfId="0" applyNumberFormat="1" applyFont="1" applyFill="1" applyBorder="1" applyAlignment="1">
      <alignment horizontal="center" vertical="center"/>
    </xf>
    <xf numFmtId="173" fontId="136" fillId="3" borderId="2" xfId="0" applyNumberFormat="1" applyFont="1" applyFill="1" applyBorder="1" applyAlignment="1">
      <alignment horizontal="center"/>
    </xf>
    <xf numFmtId="0" fontId="136" fillId="3" borderId="2" xfId="0" applyFont="1" applyFill="1" applyBorder="1" applyAlignment="1">
      <alignment horizontal="center" vertical="center"/>
    </xf>
    <xf numFmtId="0" fontId="230" fillId="30" borderId="2" xfId="0" applyFont="1" applyFill="1" applyBorder="1" applyAlignment="1">
      <alignment vertical="center"/>
    </xf>
    <xf numFmtId="0" fontId="230" fillId="0" borderId="0" xfId="0" applyFont="1" applyAlignment="1">
      <alignment vertical="center"/>
    </xf>
    <xf numFmtId="0" fontId="226" fillId="0" borderId="0" xfId="0" applyFont="1" applyAlignment="1">
      <alignment vertical="center" wrapText="1"/>
    </xf>
    <xf numFmtId="0" fontId="93" fillId="0" borderId="2" xfId="0" applyFont="1" applyBorder="1" applyAlignment="1">
      <alignment horizontal="center"/>
    </xf>
    <xf numFmtId="0" fontId="92" fillId="0" borderId="2" xfId="0" applyFont="1" applyBorder="1" applyAlignment="1">
      <alignment horizontal="center"/>
    </xf>
    <xf numFmtId="14" fontId="92" fillId="0" borderId="2" xfId="0" applyNumberFormat="1" applyFont="1" applyBorder="1" applyAlignment="1">
      <alignment horizontal="center" vertical="center"/>
    </xf>
    <xf numFmtId="14" fontId="169" fillId="0" borderId="2" xfId="0" applyNumberFormat="1" applyFont="1" applyBorder="1" applyAlignment="1">
      <alignment horizontal="right" vertical="top"/>
    </xf>
    <xf numFmtId="0" fontId="91" fillId="0" borderId="2" xfId="0" applyFont="1" applyBorder="1" applyAlignment="1">
      <alignment horizontal="center"/>
    </xf>
    <xf numFmtId="0" fontId="169" fillId="0" borderId="3" xfId="0" applyFont="1" applyBorder="1" applyAlignment="1">
      <alignment horizontal="left" vertical="top"/>
    </xf>
    <xf numFmtId="0" fontId="169" fillId="0" borderId="3" xfId="0" applyFont="1" applyBorder="1" applyAlignment="1">
      <alignment horizontal="left"/>
    </xf>
    <xf numFmtId="14" fontId="169" fillId="0" borderId="3" xfId="0" applyNumberFormat="1" applyFont="1" applyBorder="1"/>
    <xf numFmtId="0" fontId="90" fillId="0" borderId="2" xfId="0" applyFont="1" applyBorder="1" applyAlignment="1">
      <alignment horizontal="center"/>
    </xf>
    <xf numFmtId="14" fontId="90" fillId="0" borderId="2" xfId="0" applyNumberFormat="1" applyFont="1" applyBorder="1" applyAlignment="1">
      <alignment horizontal="center" vertical="center"/>
    </xf>
    <xf numFmtId="169" fontId="243" fillId="0" borderId="2" xfId="14" applyNumberFormat="1" applyFont="1" applyBorder="1" applyAlignment="1">
      <alignment horizontal="center" vertical="center" wrapText="1"/>
    </xf>
    <xf numFmtId="0" fontId="90" fillId="0" borderId="0" xfId="0" applyFont="1" applyAlignment="1">
      <alignment horizontal="center"/>
    </xf>
    <xf numFmtId="0" fontId="169" fillId="0" borderId="2" xfId="0" applyFont="1" applyBorder="1" applyAlignment="1">
      <alignment horizontal="center" vertical="top"/>
    </xf>
    <xf numFmtId="0" fontId="169" fillId="0" borderId="3" xfId="0" applyFont="1" applyBorder="1" applyAlignment="1">
      <alignment horizontal="center" vertical="center"/>
    </xf>
    <xf numFmtId="0" fontId="169" fillId="0" borderId="3" xfId="0" applyFont="1" applyBorder="1" applyAlignment="1">
      <alignment horizontal="center"/>
    </xf>
    <xf numFmtId="0" fontId="89" fillId="0" borderId="2" xfId="0" applyFont="1" applyBorder="1" applyAlignment="1">
      <alignment horizontal="left" vertical="top"/>
    </xf>
    <xf numFmtId="0" fontId="89" fillId="9" borderId="2" xfId="0" applyFont="1" applyFill="1" applyBorder="1" applyAlignment="1">
      <alignment horizontal="left" vertical="top"/>
    </xf>
    <xf numFmtId="14" fontId="89" fillId="0" borderId="2" xfId="0" applyNumberFormat="1" applyFont="1" applyBorder="1" applyAlignment="1">
      <alignment horizontal="left" vertical="top" wrapText="1"/>
    </xf>
    <xf numFmtId="0" fontId="89" fillId="20" borderId="2" xfId="0" applyFont="1" applyFill="1" applyBorder="1" applyAlignment="1">
      <alignment horizontal="left" vertical="top"/>
    </xf>
    <xf numFmtId="14" fontId="89" fillId="0" borderId="2" xfId="0" applyNumberFormat="1" applyFont="1" applyBorder="1"/>
    <xf numFmtId="14" fontId="89" fillId="0" borderId="2" xfId="0" applyNumberFormat="1" applyFont="1" applyBorder="1" applyAlignment="1">
      <alignment wrapText="1"/>
    </xf>
    <xf numFmtId="0" fontId="89" fillId="20" borderId="2" xfId="0" applyFont="1" applyFill="1" applyBorder="1" applyAlignment="1">
      <alignment horizontal="center"/>
    </xf>
    <xf numFmtId="0" fontId="89" fillId="0" borderId="2" xfId="0" applyFont="1" applyBorder="1"/>
    <xf numFmtId="0" fontId="89" fillId="0" borderId="2" xfId="0" applyFont="1" applyBorder="1" applyAlignment="1">
      <alignment horizontal="center"/>
    </xf>
    <xf numFmtId="0" fontId="91" fillId="0" borderId="3" xfId="0" applyFont="1" applyBorder="1" applyAlignment="1">
      <alignment horizontal="center"/>
    </xf>
    <xf numFmtId="0" fontId="169" fillId="3" borderId="0" xfId="0" applyFont="1" applyFill="1" applyAlignment="1">
      <alignment horizontal="center" vertical="center"/>
    </xf>
    <xf numFmtId="14" fontId="88" fillId="0" borderId="2" xfId="0" applyNumberFormat="1" applyFont="1" applyBorder="1" applyAlignment="1">
      <alignment horizontal="center" vertical="center"/>
    </xf>
    <xf numFmtId="0" fontId="172" fillId="0" borderId="2" xfId="0" applyFont="1" applyBorder="1" applyAlignment="1">
      <alignment vertical="top"/>
    </xf>
    <xf numFmtId="0" fontId="172" fillId="0" borderId="2" xfId="0" applyFont="1" applyBorder="1" applyAlignment="1">
      <alignment horizontal="left" vertical="top"/>
    </xf>
    <xf numFmtId="0" fontId="244" fillId="3" borderId="2" xfId="0" applyFont="1" applyFill="1" applyBorder="1" applyAlignment="1">
      <alignment horizontal="center" vertical="center"/>
    </xf>
    <xf numFmtId="0" fontId="87"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86" fillId="0" borderId="2" xfId="0" applyFont="1" applyBorder="1" applyAlignment="1">
      <alignment horizontal="center"/>
    </xf>
    <xf numFmtId="0" fontId="85" fillId="0" borderId="0" xfId="0" applyFont="1"/>
    <xf numFmtId="0" fontId="169" fillId="3" borderId="3" xfId="0" applyFont="1" applyFill="1" applyBorder="1" applyAlignment="1">
      <alignment horizontal="left"/>
    </xf>
    <xf numFmtId="0" fontId="85" fillId="0" borderId="2" xfId="0" applyFont="1" applyBorder="1"/>
    <xf numFmtId="0" fontId="83" fillId="0" borderId="0" xfId="0" applyFont="1"/>
    <xf numFmtId="0" fontId="83" fillId="0" borderId="2" xfId="0" applyFont="1" applyBorder="1"/>
    <xf numFmtId="0" fontId="230" fillId="30" borderId="25" xfId="0" applyFont="1" applyFill="1" applyBorder="1" applyAlignment="1">
      <alignment vertical="center"/>
    </xf>
    <xf numFmtId="0" fontId="220" fillId="0" borderId="0" xfId="0" applyFont="1" applyAlignment="1">
      <alignment vertical="center"/>
    </xf>
    <xf numFmtId="0" fontId="82" fillId="0" borderId="2" xfId="0" applyFont="1" applyBorder="1" applyAlignment="1">
      <alignment horizontal="center"/>
    </xf>
    <xf numFmtId="0" fontId="245" fillId="0" borderId="0" xfId="0" applyFont="1"/>
    <xf numFmtId="0" fontId="82" fillId="0" borderId="0" xfId="0" applyFont="1"/>
    <xf numFmtId="14" fontId="81" fillId="0" borderId="2" xfId="0" applyNumberFormat="1" applyFont="1" applyBorder="1" applyAlignment="1">
      <alignment horizontal="center" vertical="center"/>
    </xf>
    <xf numFmtId="1" fontId="224" fillId="20" borderId="42" xfId="1" applyNumberFormat="1" applyFont="1" applyFill="1" applyBorder="1" applyAlignment="1">
      <alignment horizontal="center" vertical="center"/>
    </xf>
    <xf numFmtId="0" fontId="81" fillId="0" borderId="0" xfId="0" applyFont="1"/>
    <xf numFmtId="0" fontId="238" fillId="0" borderId="42" xfId="0" applyFont="1" applyBorder="1" applyAlignment="1">
      <alignment horizontal="center" vertical="center"/>
    </xf>
    <xf numFmtId="168" fontId="214" fillId="0" borderId="0" xfId="0" applyNumberFormat="1" applyFont="1" applyAlignment="1">
      <alignment horizontal="center" vertical="center"/>
    </xf>
    <xf numFmtId="168" fontId="214" fillId="20" borderId="0" xfId="0" applyNumberFormat="1" applyFont="1" applyFill="1" applyAlignment="1">
      <alignment horizontal="center" vertical="center"/>
    </xf>
    <xf numFmtId="0" fontId="230" fillId="30" borderId="0" xfId="0" applyFont="1" applyFill="1" applyAlignment="1">
      <alignment horizontal="center" vertical="center"/>
    </xf>
    <xf numFmtId="0" fontId="230" fillId="3" borderId="0" xfId="0" applyFont="1" applyFill="1" applyAlignment="1">
      <alignment horizontal="center" vertical="center"/>
    </xf>
    <xf numFmtId="0" fontId="234" fillId="0" borderId="0" xfId="0" applyFont="1" applyAlignment="1">
      <alignment horizontal="left" vertical="center" wrapText="1"/>
    </xf>
    <xf numFmtId="0" fontId="230" fillId="18" borderId="0" xfId="0" applyFont="1" applyFill="1" applyAlignment="1">
      <alignment horizontal="center" vertical="center"/>
    </xf>
    <xf numFmtId="0" fontId="80" fillId="0" borderId="2" xfId="0" applyFont="1" applyBorder="1" applyAlignment="1">
      <alignment horizontal="center"/>
    </xf>
    <xf numFmtId="14" fontId="80" fillId="0" borderId="2" xfId="0" applyNumberFormat="1" applyFont="1" applyBorder="1" applyAlignment="1">
      <alignment horizontal="center" vertical="center"/>
    </xf>
    <xf numFmtId="0" fontId="79" fillId="0" borderId="2" xfId="0" applyFont="1" applyBorder="1"/>
    <xf numFmtId="0" fontId="231" fillId="0" borderId="0" xfId="0" applyFont="1" applyAlignment="1">
      <alignment horizontal="center"/>
    </xf>
    <xf numFmtId="14" fontId="169" fillId="9" borderId="2" xfId="0" applyNumberFormat="1" applyFont="1" applyFill="1" applyBorder="1"/>
    <xf numFmtId="14" fontId="169" fillId="9" borderId="2" xfId="0" applyNumberFormat="1" applyFont="1" applyFill="1" applyBorder="1" applyAlignment="1">
      <alignment horizontal="right"/>
    </xf>
    <xf numFmtId="14" fontId="169" fillId="9" borderId="3" xfId="0" applyNumberFormat="1" applyFont="1" applyFill="1" applyBorder="1" applyAlignment="1">
      <alignment vertical="center"/>
    </xf>
    <xf numFmtId="14" fontId="169" fillId="9" borderId="2" xfId="0" applyNumberFormat="1" applyFont="1" applyFill="1" applyBorder="1" applyAlignment="1">
      <alignment horizontal="right" vertical="top"/>
    </xf>
    <xf numFmtId="0" fontId="78" fillId="0" borderId="2" xfId="0" applyFont="1" applyBorder="1" applyAlignment="1">
      <alignment horizontal="center"/>
    </xf>
    <xf numFmtId="0" fontId="172" fillId="0" borderId="2" xfId="0" applyFont="1" applyBorder="1" applyAlignment="1">
      <alignment horizontal="left"/>
    </xf>
    <xf numFmtId="0" fontId="77" fillId="0" borderId="0" xfId="0" applyFont="1"/>
    <xf numFmtId="0" fontId="77" fillId="0" borderId="2" xfId="0" applyFont="1" applyBorder="1" applyAlignment="1">
      <alignment horizontal="center"/>
    </xf>
    <xf numFmtId="0" fontId="76" fillId="0" borderId="2" xfId="0" applyFont="1" applyBorder="1" applyAlignment="1">
      <alignment horizontal="center"/>
    </xf>
    <xf numFmtId="0" fontId="90" fillId="9" borderId="2" xfId="0" applyFont="1" applyFill="1" applyBorder="1" applyAlignment="1">
      <alignment horizontal="center"/>
    </xf>
    <xf numFmtId="169" fontId="243" fillId="9" borderId="2" xfId="14" applyNumberFormat="1" applyFont="1" applyFill="1" applyBorder="1" applyAlignment="1">
      <alignment horizontal="center" vertical="center" wrapText="1"/>
    </xf>
    <xf numFmtId="0" fontId="90" fillId="9" borderId="0" xfId="0" applyFont="1" applyFill="1" applyAlignment="1">
      <alignment horizontal="center"/>
    </xf>
    <xf numFmtId="0" fontId="169" fillId="9" borderId="2" xfId="0" applyFont="1" applyFill="1" applyBorder="1" applyAlignment="1">
      <alignment horizontal="center"/>
    </xf>
    <xf numFmtId="0" fontId="75" fillId="0" borderId="2" xfId="0" applyFont="1" applyBorder="1" applyAlignment="1">
      <alignment horizontal="center"/>
    </xf>
    <xf numFmtId="14" fontId="75" fillId="0" borderId="2" xfId="0" applyNumberFormat="1" applyFont="1" applyBorder="1" applyAlignment="1">
      <alignment horizontal="center" vertical="center"/>
    </xf>
    <xf numFmtId="0" fontId="169" fillId="0" borderId="2" xfId="0" applyFont="1" applyBorder="1" applyAlignment="1">
      <alignment horizontal="center" wrapText="1"/>
    </xf>
    <xf numFmtId="14" fontId="169" fillId="0" borderId="3" xfId="0" applyNumberFormat="1" applyFont="1" applyBorder="1" applyAlignment="1">
      <alignment horizontal="right" vertical="top"/>
    </xf>
    <xf numFmtId="0" fontId="172" fillId="0" borderId="3" xfId="0" applyFont="1" applyBorder="1" applyAlignment="1">
      <alignment horizontal="left" vertical="top"/>
    </xf>
    <xf numFmtId="0" fontId="169" fillId="0" borderId="2" xfId="0" applyFont="1" applyBorder="1" applyAlignment="1">
      <alignment horizontal="left" vertical="top" wrapText="1"/>
    </xf>
    <xf numFmtId="0" fontId="246" fillId="0" borderId="0" xfId="0" applyFont="1" applyAlignment="1">
      <alignment horizontal="center" vertical="center" wrapText="1"/>
    </xf>
    <xf numFmtId="0" fontId="247" fillId="0" borderId="0" xfId="0" applyFont="1" applyAlignment="1">
      <alignment vertical="center" wrapText="1"/>
    </xf>
    <xf numFmtId="0" fontId="247" fillId="0" borderId="0" xfId="0" applyFont="1" applyAlignment="1">
      <alignment horizontal="center" vertical="center" wrapText="1"/>
    </xf>
    <xf numFmtId="0" fontId="248" fillId="0" borderId="0" xfId="0" applyFont="1" applyAlignment="1">
      <alignment vertical="center" wrapText="1"/>
    </xf>
    <xf numFmtId="0" fontId="248" fillId="0" borderId="0" xfId="0" applyFont="1" applyAlignment="1">
      <alignment horizontal="center" vertical="center" wrapText="1"/>
    </xf>
    <xf numFmtId="0" fontId="74" fillId="0" borderId="2" xfId="0" applyFont="1" applyBorder="1" applyAlignment="1">
      <alignment horizontal="center"/>
    </xf>
    <xf numFmtId="14" fontId="74" fillId="0" borderId="2" xfId="0" applyNumberFormat="1" applyFont="1" applyBorder="1" applyAlignment="1">
      <alignment horizontal="center" vertical="center"/>
    </xf>
    <xf numFmtId="0" fontId="73" fillId="0" borderId="2" xfId="0" applyFont="1" applyBorder="1" applyAlignment="1">
      <alignment horizontal="center"/>
    </xf>
    <xf numFmtId="0" fontId="148" fillId="9" borderId="71" xfId="0" applyFont="1" applyFill="1" applyBorder="1" applyAlignment="1">
      <alignment horizontal="center" vertical="center"/>
    </xf>
    <xf numFmtId="0" fontId="148" fillId="9" borderId="72" xfId="0" applyFont="1" applyFill="1" applyBorder="1" applyAlignment="1">
      <alignment horizontal="center" vertical="center" wrapText="1"/>
    </xf>
    <xf numFmtId="0" fontId="148" fillId="9" borderId="73" xfId="0" applyFont="1" applyFill="1" applyBorder="1" applyAlignment="1">
      <alignment horizontal="center" vertical="center"/>
    </xf>
    <xf numFmtId="0" fontId="172" fillId="3" borderId="6" xfId="0" applyFont="1" applyFill="1" applyBorder="1" applyAlignment="1">
      <alignment horizontal="center" vertical="center"/>
    </xf>
    <xf numFmtId="0" fontId="172" fillId="3" borderId="7" xfId="0" applyFont="1" applyFill="1" applyBorder="1" applyAlignment="1">
      <alignment horizontal="left" vertical="center"/>
    </xf>
    <xf numFmtId="169" fontId="172" fillId="3" borderId="7" xfId="0" applyNumberFormat="1" applyFont="1" applyFill="1" applyBorder="1" applyAlignment="1">
      <alignment horizontal="center" vertical="center" wrapText="1"/>
    </xf>
    <xf numFmtId="14" fontId="172" fillId="3" borderId="7" xfId="0" applyNumberFormat="1" applyFont="1" applyFill="1" applyBorder="1" applyAlignment="1">
      <alignment horizontal="center" vertical="center"/>
    </xf>
    <xf numFmtId="0" fontId="172" fillId="3" borderId="13" xfId="0" applyFont="1" applyFill="1" applyBorder="1" applyAlignment="1">
      <alignment horizontal="left" vertical="center" wrapText="1"/>
    </xf>
    <xf numFmtId="0" fontId="172" fillId="3" borderId="8" xfId="0" applyFont="1" applyFill="1" applyBorder="1" applyAlignment="1">
      <alignment horizontal="center" vertical="center"/>
    </xf>
    <xf numFmtId="0" fontId="172" fillId="3" borderId="14" xfId="0" applyFont="1" applyFill="1" applyBorder="1" applyAlignment="1">
      <alignment horizontal="left" vertical="center" wrapText="1"/>
    </xf>
    <xf numFmtId="14" fontId="172" fillId="3" borderId="2" xfId="0" applyNumberFormat="1" applyFont="1" applyFill="1" applyBorder="1" applyAlignment="1">
      <alignment horizontal="left" vertical="center"/>
    </xf>
    <xf numFmtId="0" fontId="0" fillId="0" borderId="0" xfId="0" applyAlignment="1">
      <alignment horizontal="left" vertical="center"/>
    </xf>
    <xf numFmtId="14" fontId="168" fillId="3" borderId="2" xfId="0" applyNumberFormat="1" applyFont="1" applyFill="1" applyBorder="1" applyAlignment="1">
      <alignment horizontal="left" vertical="center"/>
    </xf>
    <xf numFmtId="169" fontId="130" fillId="3" borderId="2" xfId="0" applyNumberFormat="1" applyFont="1" applyFill="1" applyBorder="1" applyAlignment="1">
      <alignment horizontal="center" vertical="center"/>
    </xf>
    <xf numFmtId="0" fontId="172" fillId="3" borderId="10" xfId="0" applyFont="1" applyFill="1" applyBorder="1" applyAlignment="1">
      <alignment horizontal="center" vertical="center"/>
    </xf>
    <xf numFmtId="0" fontId="172" fillId="3" borderId="11" xfId="0" applyFont="1" applyFill="1" applyBorder="1" applyAlignment="1">
      <alignment horizontal="left" vertical="center"/>
    </xf>
    <xf numFmtId="169" fontId="172" fillId="0" borderId="11" xfId="0" applyNumberFormat="1" applyFont="1" applyBorder="1" applyAlignment="1">
      <alignment horizontal="center" vertical="center"/>
    </xf>
    <xf numFmtId="14" fontId="172"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72" fillId="3" borderId="16" xfId="0" applyFont="1" applyFill="1" applyBorder="1" applyAlignment="1">
      <alignment horizontal="left" vertical="center" wrapText="1"/>
    </xf>
    <xf numFmtId="0" fontId="0" fillId="3" borderId="51" xfId="0" applyFill="1" applyBorder="1" applyAlignment="1">
      <alignment horizontal="center" vertical="top"/>
    </xf>
    <xf numFmtId="0" fontId="142" fillId="3" borderId="72" xfId="0" applyFont="1" applyFill="1" applyBorder="1" applyAlignment="1">
      <alignment horizontal="center" vertical="center"/>
    </xf>
    <xf numFmtId="0" fontId="72" fillId="0" borderId="2" xfId="0" applyFont="1" applyBorder="1" applyAlignment="1">
      <alignment horizontal="center"/>
    </xf>
    <xf numFmtId="14" fontId="72" fillId="0" borderId="2" xfId="0" applyNumberFormat="1" applyFont="1" applyBorder="1" applyAlignment="1">
      <alignment horizontal="center" vertical="center"/>
    </xf>
    <xf numFmtId="14" fontId="169" fillId="0" borderId="3" xfId="0" applyNumberFormat="1" applyFont="1" applyBorder="1" applyAlignment="1">
      <alignment horizontal="right"/>
    </xf>
    <xf numFmtId="0" fontId="172" fillId="0" borderId="3" xfId="0" applyFont="1" applyBorder="1" applyAlignment="1">
      <alignment horizontal="left"/>
    </xf>
    <xf numFmtId="0" fontId="71" fillId="0" borderId="2" xfId="0" applyFont="1" applyBorder="1" applyAlignment="1">
      <alignment horizontal="center"/>
    </xf>
    <xf numFmtId="0" fontId="172" fillId="0" borderId="46" xfId="0" applyFont="1" applyBorder="1" applyAlignment="1">
      <alignment horizontal="left" vertical="center" wrapText="1"/>
    </xf>
    <xf numFmtId="0" fontId="70" fillId="0" borderId="0" xfId="0" applyFont="1"/>
    <xf numFmtId="0" fontId="168" fillId="0" borderId="2" xfId="0" applyFont="1" applyBorder="1" applyAlignment="1">
      <alignment horizontal="left" vertical="center"/>
    </xf>
    <xf numFmtId="169" fontId="168" fillId="0" borderId="2" xfId="0" applyNumberFormat="1" applyFont="1" applyBorder="1" applyAlignment="1">
      <alignment horizontal="center" vertical="center" wrapText="1"/>
    </xf>
    <xf numFmtId="0" fontId="168" fillId="0" borderId="2" xfId="0" applyFont="1" applyBorder="1" applyAlignment="1">
      <alignment horizontal="left" vertical="center" wrapText="1"/>
    </xf>
    <xf numFmtId="14" fontId="168" fillId="0" borderId="2" xfId="0" applyNumberFormat="1" applyFont="1" applyBorder="1" applyAlignment="1">
      <alignment horizontal="center" vertical="center"/>
    </xf>
    <xf numFmtId="169" fontId="131" fillId="0" borderId="2" xfId="0" applyNumberFormat="1" applyFont="1" applyBorder="1" applyAlignment="1">
      <alignment horizontal="center" vertical="center"/>
    </xf>
    <xf numFmtId="14" fontId="142" fillId="0" borderId="2" xfId="0" applyNumberFormat="1" applyFont="1" applyBorder="1" applyAlignment="1">
      <alignment horizontal="center" vertical="center"/>
    </xf>
    <xf numFmtId="169" fontId="142" fillId="0" borderId="2" xfId="0" applyNumberFormat="1" applyFont="1" applyBorder="1" applyAlignment="1">
      <alignment horizontal="center" vertical="center"/>
    </xf>
    <xf numFmtId="0" fontId="168" fillId="0" borderId="3" xfId="0" applyFont="1" applyBorder="1" applyAlignment="1">
      <alignment horizontal="left" vertical="center"/>
    </xf>
    <xf numFmtId="0" fontId="168" fillId="0" borderId="3" xfId="0" applyFont="1" applyBorder="1" applyAlignment="1">
      <alignment horizontal="center" vertical="center"/>
    </xf>
    <xf numFmtId="0" fontId="136" fillId="0" borderId="2" xfId="0" applyFont="1" applyBorder="1" applyAlignment="1">
      <alignment horizontal="center"/>
    </xf>
    <xf numFmtId="173" fontId="136" fillId="0" borderId="2" xfId="0" applyNumberFormat="1" applyFont="1" applyBorder="1" applyAlignment="1">
      <alignment horizontal="center" vertical="center"/>
    </xf>
    <xf numFmtId="173" fontId="136" fillId="0" borderId="2" xfId="0" applyNumberFormat="1" applyFont="1" applyBorder="1" applyAlignment="1">
      <alignment horizontal="center"/>
    </xf>
    <xf numFmtId="0" fontId="70" fillId="0" borderId="2" xfId="0" applyFont="1" applyBorder="1" applyAlignment="1">
      <alignment horizontal="left" vertical="center"/>
    </xf>
    <xf numFmtId="0" fontId="70" fillId="0" borderId="0" xfId="0" applyFont="1" applyAlignment="1">
      <alignment horizontal="left" vertical="top"/>
    </xf>
    <xf numFmtId="0" fontId="172" fillId="9" borderId="2" xfId="0" applyFont="1" applyFill="1" applyBorder="1" applyAlignment="1">
      <alignment horizontal="left" vertical="top"/>
    </xf>
    <xf numFmtId="0" fontId="169" fillId="9" borderId="3" xfId="0" applyFont="1" applyFill="1" applyBorder="1" applyAlignment="1">
      <alignment horizontal="left"/>
    </xf>
    <xf numFmtId="0" fontId="69" fillId="0" borderId="2" xfId="0" applyFont="1" applyBorder="1" applyAlignment="1">
      <alignment horizontal="center"/>
    </xf>
    <xf numFmtId="0" fontId="0" fillId="31" borderId="0" xfId="0" applyFill="1"/>
    <xf numFmtId="0" fontId="249" fillId="0" borderId="4" xfId="0" applyFont="1" applyBorder="1" applyAlignment="1" applyProtection="1">
      <alignment horizontal="center" vertical="center" wrapText="1"/>
      <protection hidden="1"/>
    </xf>
    <xf numFmtId="0" fontId="249" fillId="0" borderId="4" xfId="0" applyFont="1" applyBorder="1" applyAlignment="1" applyProtection="1">
      <alignment vertical="center" wrapText="1"/>
      <protection hidden="1"/>
    </xf>
    <xf numFmtId="169" fontId="249" fillId="0" borderId="4" xfId="0" applyNumberFormat="1" applyFont="1" applyBorder="1" applyAlignment="1" applyProtection="1">
      <alignment horizontal="center" vertical="center"/>
      <protection hidden="1"/>
    </xf>
    <xf numFmtId="169" fontId="249" fillId="0" borderId="4" xfId="0" applyNumberFormat="1" applyFont="1" applyBorder="1" applyAlignment="1" applyProtection="1">
      <alignment horizontal="left" vertical="center" wrapText="1"/>
      <protection hidden="1"/>
    </xf>
    <xf numFmtId="0" fontId="249" fillId="0" borderId="2" xfId="0" applyFont="1" applyBorder="1" applyAlignment="1" applyProtection="1">
      <alignment horizontal="center" vertical="center" wrapText="1"/>
      <protection hidden="1"/>
    </xf>
    <xf numFmtId="0" fontId="249" fillId="0" borderId="2" xfId="0" applyFont="1" applyBorder="1" applyAlignment="1" applyProtection="1">
      <alignment vertical="center" wrapText="1"/>
      <protection hidden="1"/>
    </xf>
    <xf numFmtId="169" fontId="249" fillId="0" borderId="2" xfId="0" applyNumberFormat="1" applyFont="1" applyBorder="1" applyAlignment="1" applyProtection="1">
      <alignment horizontal="center" vertical="center"/>
      <protection hidden="1"/>
    </xf>
    <xf numFmtId="169" fontId="249" fillId="0" borderId="2" xfId="0" applyNumberFormat="1" applyFont="1" applyBorder="1" applyAlignment="1" applyProtection="1">
      <alignment vertical="center"/>
      <protection hidden="1"/>
    </xf>
    <xf numFmtId="169" fontId="249" fillId="0" borderId="2" xfId="0" applyNumberFormat="1" applyFont="1" applyBorder="1" applyAlignment="1" applyProtection="1">
      <alignment horizontal="center" vertical="center" wrapText="1"/>
      <protection hidden="1"/>
    </xf>
    <xf numFmtId="1" fontId="249" fillId="0" borderId="2" xfId="0" applyNumberFormat="1" applyFont="1" applyBorder="1" applyAlignment="1" applyProtection="1">
      <alignment horizontal="center" vertical="center"/>
      <protection hidden="1"/>
    </xf>
    <xf numFmtId="1" fontId="249" fillId="0" borderId="2" xfId="0" applyNumberFormat="1" applyFont="1" applyBorder="1" applyAlignment="1" applyProtection="1">
      <alignment horizontal="left" vertical="center" wrapText="1"/>
      <protection hidden="1"/>
    </xf>
    <xf numFmtId="0" fontId="249" fillId="5" borderId="2" xfId="0" applyFont="1" applyFill="1" applyBorder="1" applyAlignment="1" applyProtection="1">
      <alignment horizontal="center" vertical="center" wrapText="1"/>
      <protection hidden="1"/>
    </xf>
    <xf numFmtId="0" fontId="249" fillId="5" borderId="2" xfId="0" applyFont="1" applyFill="1" applyBorder="1" applyAlignment="1" applyProtection="1">
      <alignment vertical="center" wrapText="1"/>
      <protection hidden="1"/>
    </xf>
    <xf numFmtId="1" fontId="249" fillId="5" borderId="2" xfId="0" applyNumberFormat="1" applyFont="1" applyFill="1" applyBorder="1" applyAlignment="1" applyProtection="1">
      <alignment horizontal="center" vertical="center"/>
      <protection hidden="1"/>
    </xf>
    <xf numFmtId="1" fontId="249" fillId="5" borderId="2" xfId="0" applyNumberFormat="1" applyFont="1" applyFill="1" applyBorder="1" applyAlignment="1" applyProtection="1">
      <alignment horizontal="center" vertical="center" wrapText="1"/>
      <protection hidden="1"/>
    </xf>
    <xf numFmtId="1" fontId="249" fillId="3" borderId="2" xfId="0" applyNumberFormat="1" applyFont="1" applyFill="1" applyBorder="1" applyAlignment="1" applyProtection="1">
      <alignment horizontal="center" vertical="center"/>
      <protection hidden="1"/>
    </xf>
    <xf numFmtId="0" fontId="250" fillId="0" borderId="2" xfId="0" applyFont="1" applyBorder="1" applyAlignment="1" applyProtection="1">
      <alignment horizontal="center" vertical="center"/>
      <protection hidden="1"/>
    </xf>
    <xf numFmtId="169" fontId="249" fillId="5" borderId="2" xfId="0" applyNumberFormat="1" applyFont="1" applyFill="1" applyBorder="1" applyAlignment="1" applyProtection="1">
      <alignment horizontal="center" vertical="center"/>
      <protection hidden="1"/>
    </xf>
    <xf numFmtId="169" fontId="249" fillId="5" borderId="2" xfId="0" applyNumberFormat="1" applyFont="1" applyFill="1" applyBorder="1" applyAlignment="1" applyProtection="1">
      <alignment horizontal="center" vertical="center" wrapText="1"/>
      <protection hidden="1"/>
    </xf>
    <xf numFmtId="169" fontId="249" fillId="3" borderId="2" xfId="0" applyNumberFormat="1" applyFont="1" applyFill="1" applyBorder="1" applyAlignment="1" applyProtection="1">
      <alignment horizontal="center" vertical="center"/>
      <protection hidden="1"/>
    </xf>
    <xf numFmtId="0" fontId="250" fillId="3" borderId="33" xfId="0" applyFont="1" applyFill="1" applyBorder="1" applyProtection="1">
      <protection hidden="1"/>
    </xf>
    <xf numFmtId="1" fontId="251" fillId="3" borderId="33" xfId="0" applyNumberFormat="1" applyFont="1" applyFill="1" applyBorder="1" applyAlignment="1" applyProtection="1">
      <alignment horizontal="center" vertical="center"/>
      <protection hidden="1"/>
    </xf>
    <xf numFmtId="0" fontId="250" fillId="10" borderId="2" xfId="0" applyFont="1" applyFill="1" applyBorder="1" applyAlignment="1" applyProtection="1">
      <alignment horizontal="center" vertical="center" wrapText="1"/>
      <protection hidden="1"/>
    </xf>
    <xf numFmtId="0" fontId="252" fillId="10" borderId="25" xfId="0" applyFont="1" applyFill="1" applyBorder="1" applyAlignment="1" applyProtection="1">
      <alignment horizontal="center" vertical="center"/>
      <protection hidden="1"/>
    </xf>
    <xf numFmtId="0" fontId="252" fillId="10" borderId="33" xfId="0" applyFont="1" applyFill="1" applyBorder="1" applyAlignment="1" applyProtection="1">
      <alignment vertical="center" wrapText="1"/>
      <protection hidden="1"/>
    </xf>
    <xf numFmtId="0" fontId="252" fillId="10" borderId="33" xfId="0" applyFont="1" applyFill="1" applyBorder="1" applyAlignment="1" applyProtection="1">
      <alignment horizontal="left" vertical="center" wrapText="1"/>
      <protection hidden="1"/>
    </xf>
    <xf numFmtId="0" fontId="252" fillId="10" borderId="2" xfId="0" applyFont="1" applyFill="1" applyBorder="1" applyAlignment="1" applyProtection="1">
      <alignment horizontal="center" vertical="center"/>
      <protection hidden="1"/>
    </xf>
    <xf numFmtId="0" fontId="252" fillId="10" borderId="33" xfId="0" applyFont="1" applyFill="1" applyBorder="1" applyAlignment="1" applyProtection="1">
      <alignment horizontal="center" vertical="center"/>
      <protection hidden="1"/>
    </xf>
    <xf numFmtId="0" fontId="252" fillId="10" borderId="28" xfId="0" applyFont="1" applyFill="1" applyBorder="1" applyAlignment="1" applyProtection="1">
      <alignment horizontal="center" vertical="center"/>
      <protection hidden="1"/>
    </xf>
    <xf numFmtId="0" fontId="252" fillId="10" borderId="33" xfId="0" applyFont="1" applyFill="1" applyBorder="1" applyAlignment="1" applyProtection="1">
      <alignment vertical="center"/>
      <protection hidden="1"/>
    </xf>
    <xf numFmtId="0" fontId="142" fillId="0" borderId="2" xfId="0" applyFont="1" applyBorder="1" applyAlignment="1">
      <alignment horizontal="left" vertical="center" wrapText="1"/>
    </xf>
    <xf numFmtId="0" fontId="68" fillId="0" borderId="2" xfId="0" applyFont="1" applyBorder="1" applyAlignment="1">
      <alignment horizontal="center"/>
    </xf>
    <xf numFmtId="0" fontId="67" fillId="0" borderId="2" xfId="0" applyFont="1" applyBorder="1" applyAlignment="1">
      <alignment horizontal="center"/>
    </xf>
    <xf numFmtId="0" fontId="66" fillId="0" borderId="2" xfId="0" applyFont="1" applyBorder="1" applyAlignment="1">
      <alignment horizontal="center"/>
    </xf>
    <xf numFmtId="0" fontId="64" fillId="0" borderId="2" xfId="0" applyFont="1" applyBorder="1" applyAlignment="1">
      <alignment horizontal="center"/>
    </xf>
    <xf numFmtId="169" fontId="250" fillId="0" borderId="2" xfId="0" applyNumberFormat="1" applyFont="1" applyBorder="1" applyAlignment="1" applyProtection="1">
      <alignment horizontal="left" vertical="center" wrapText="1"/>
      <protection hidden="1"/>
    </xf>
    <xf numFmtId="0" fontId="63" fillId="0" borderId="2" xfId="0" applyFont="1" applyBorder="1"/>
    <xf numFmtId="0" fontId="63" fillId="0" borderId="2" xfId="0" applyFont="1" applyBorder="1" applyAlignment="1">
      <alignment horizontal="center"/>
    </xf>
    <xf numFmtId="0" fontId="62" fillId="0" borderId="2" xfId="0" applyFont="1" applyBorder="1" applyAlignment="1">
      <alignment horizontal="center"/>
    </xf>
    <xf numFmtId="0" fontId="172" fillId="0" borderId="0" xfId="0" applyFont="1"/>
    <xf numFmtId="0" fontId="61" fillId="0" borderId="2" xfId="0" applyFont="1" applyBorder="1" applyAlignment="1">
      <alignment horizontal="center"/>
    </xf>
    <xf numFmtId="0" fontId="59" fillId="0" borderId="2" xfId="0" applyFont="1" applyBorder="1" applyAlignment="1">
      <alignment horizontal="center"/>
    </xf>
    <xf numFmtId="14" fontId="59" fillId="0" borderId="2" xfId="0" applyNumberFormat="1" applyFont="1" applyBorder="1" applyAlignment="1">
      <alignment horizontal="center" vertical="center"/>
    </xf>
    <xf numFmtId="0" fontId="60" fillId="0" borderId="2" xfId="0" applyFont="1" applyBorder="1" applyAlignment="1">
      <alignment horizontal="center"/>
    </xf>
    <xf numFmtId="14" fontId="169" fillId="0" borderId="2" xfId="0" applyNumberFormat="1" applyFont="1" applyBorder="1" applyAlignment="1">
      <alignment horizontal="center" vertical="center"/>
    </xf>
    <xf numFmtId="14" fontId="169" fillId="0" borderId="2" xfId="0" applyNumberFormat="1" applyFont="1" applyBorder="1" applyAlignment="1">
      <alignment horizontal="center"/>
    </xf>
    <xf numFmtId="0" fontId="58" fillId="0" borderId="2" xfId="0" applyFont="1" applyBorder="1" applyAlignment="1">
      <alignment horizontal="center"/>
    </xf>
    <xf numFmtId="0" fontId="57" fillId="0" borderId="2" xfId="0" applyFont="1" applyBorder="1" applyAlignment="1">
      <alignment horizontal="center"/>
    </xf>
    <xf numFmtId="0" fontId="56" fillId="0" borderId="2" xfId="0" applyFont="1" applyBorder="1" applyAlignment="1">
      <alignment horizontal="center" vertical="center"/>
    </xf>
    <xf numFmtId="0" fontId="57" fillId="0" borderId="2" xfId="0" applyFont="1" applyBorder="1" applyAlignment="1">
      <alignment horizontal="center" vertical="center"/>
    </xf>
    <xf numFmtId="0" fontId="226" fillId="23" borderId="0" xfId="0" applyFont="1" applyFill="1" applyAlignment="1">
      <alignment wrapText="1"/>
    </xf>
    <xf numFmtId="1" fontId="225" fillId="15" borderId="42" xfId="1" applyNumberFormat="1" applyFont="1" applyFill="1" applyBorder="1" applyAlignment="1">
      <alignment horizontal="center" vertical="center"/>
    </xf>
    <xf numFmtId="1" fontId="228" fillId="15" borderId="42" xfId="1" applyNumberFormat="1" applyFont="1" applyFill="1" applyBorder="1" applyAlignment="1">
      <alignment horizontal="center" vertical="center"/>
    </xf>
    <xf numFmtId="0" fontId="54" fillId="0" borderId="2" xfId="0" applyFont="1" applyBorder="1" applyAlignment="1">
      <alignment horizontal="center"/>
    </xf>
    <xf numFmtId="14" fontId="169" fillId="0" borderId="3" xfId="0" applyNumberFormat="1" applyFont="1" applyBorder="1" applyAlignment="1">
      <alignment horizontal="center"/>
    </xf>
    <xf numFmtId="0" fontId="169" fillId="0" borderId="28" xfId="0" applyFont="1" applyBorder="1" applyAlignment="1">
      <alignment horizontal="center"/>
    </xf>
    <xf numFmtId="0" fontId="130" fillId="0" borderId="2" xfId="0" applyFont="1" applyBorder="1"/>
    <xf numFmtId="0" fontId="50" fillId="0" borderId="2" xfId="0" applyFont="1" applyBorder="1" applyAlignment="1">
      <alignment horizontal="center"/>
    </xf>
    <xf numFmtId="0" fontId="172" fillId="0" borderId="2" xfId="0" applyFont="1" applyBorder="1" applyAlignment="1">
      <alignment horizontal="center" vertical="top"/>
    </xf>
    <xf numFmtId="0" fontId="230" fillId="30" borderId="33" xfId="0" applyFont="1" applyFill="1" applyBorder="1" applyAlignment="1">
      <alignment horizontal="center" vertical="center"/>
    </xf>
    <xf numFmtId="1" fontId="228" fillId="0" borderId="2" xfId="1" applyNumberFormat="1" applyFont="1" applyFill="1" applyBorder="1" applyAlignment="1">
      <alignment horizontal="center" vertical="center"/>
    </xf>
    <xf numFmtId="0" fontId="225" fillId="0" borderId="2" xfId="0" applyFont="1" applyBorder="1" applyAlignment="1">
      <alignment horizontal="center" vertical="center"/>
    </xf>
    <xf numFmtId="0" fontId="230" fillId="18" borderId="0" xfId="0" applyFont="1" applyFill="1" applyAlignment="1">
      <alignment vertical="center"/>
    </xf>
    <xf numFmtId="0" fontId="236" fillId="0" borderId="0" xfId="0" applyFont="1" applyAlignment="1">
      <alignment vertical="center"/>
    </xf>
    <xf numFmtId="0" fontId="230" fillId="30" borderId="33" xfId="0" applyFont="1" applyFill="1" applyBorder="1" applyAlignment="1">
      <alignment vertical="center"/>
    </xf>
    <xf numFmtId="0" fontId="230" fillId="0" borderId="43" xfId="0" applyFont="1" applyBorder="1" applyAlignment="1">
      <alignment vertical="center"/>
    </xf>
    <xf numFmtId="0" fontId="230" fillId="30" borderId="46" xfId="0" applyFont="1" applyFill="1" applyBorder="1" applyAlignment="1">
      <alignment vertical="center"/>
    </xf>
    <xf numFmtId="0" fontId="230" fillId="3" borderId="46" xfId="0" applyFont="1" applyFill="1" applyBorder="1" applyAlignment="1">
      <alignment vertical="center"/>
    </xf>
    <xf numFmtId="0" fontId="230" fillId="3" borderId="35" xfId="0" applyFont="1" applyFill="1" applyBorder="1" applyAlignment="1">
      <alignment vertical="center"/>
    </xf>
    <xf numFmtId="0" fontId="230" fillId="30" borderId="35" xfId="0" applyFont="1" applyFill="1" applyBorder="1" applyAlignment="1">
      <alignment vertical="center"/>
    </xf>
    <xf numFmtId="0" fontId="230" fillId="3" borderId="20" xfId="0" applyFont="1" applyFill="1" applyBorder="1" applyAlignment="1">
      <alignment vertical="center"/>
    </xf>
    <xf numFmtId="0" fontId="229" fillId="0" borderId="4" xfId="0" applyFont="1" applyBorder="1" applyAlignment="1">
      <alignment horizontal="center" vertical="center"/>
    </xf>
    <xf numFmtId="0" fontId="49" fillId="0" borderId="2" xfId="0" applyFont="1" applyBorder="1" applyAlignment="1">
      <alignment horizontal="center" vertical="center"/>
    </xf>
    <xf numFmtId="0" fontId="48" fillId="0" borderId="2" xfId="0" applyFont="1" applyBorder="1" applyAlignment="1">
      <alignment horizontal="center"/>
    </xf>
    <xf numFmtId="0" fontId="169" fillId="0" borderId="24" xfId="0" applyFont="1" applyBorder="1" applyAlignment="1">
      <alignment horizontal="center"/>
    </xf>
    <xf numFmtId="0" fontId="42" fillId="0" borderId="2" xfId="0" applyFont="1" applyBorder="1" applyAlignment="1">
      <alignment horizontal="center"/>
    </xf>
    <xf numFmtId="0" fontId="41" fillId="0" borderId="2" xfId="0" applyFont="1" applyBorder="1" applyAlignment="1">
      <alignment horizontal="center"/>
    </xf>
    <xf numFmtId="0" fontId="40" fillId="0" borderId="2" xfId="0" applyFont="1" applyBorder="1" applyAlignment="1">
      <alignment horizontal="center"/>
    </xf>
    <xf numFmtId="0" fontId="38" fillId="0" borderId="2" xfId="0" applyFont="1" applyBorder="1" applyAlignment="1">
      <alignment horizontal="center"/>
    </xf>
    <xf numFmtId="1" fontId="225" fillId="0" borderId="42" xfId="1" applyNumberFormat="1" applyFont="1" applyFill="1" applyBorder="1" applyAlignment="1">
      <alignment horizontal="center" vertical="center" wrapText="1"/>
    </xf>
    <xf numFmtId="0" fontId="230" fillId="0" borderId="2" xfId="0" applyFont="1" applyBorder="1" applyAlignment="1">
      <alignment vertical="center"/>
    </xf>
    <xf numFmtId="0" fontId="30" fillId="0" borderId="2" xfId="0" applyFont="1" applyBorder="1" applyAlignment="1">
      <alignment horizontal="center"/>
    </xf>
    <xf numFmtId="0" fontId="30" fillId="0" borderId="0" xfId="0" applyFont="1"/>
    <xf numFmtId="0" fontId="29" fillId="0" borderId="0" xfId="0" applyFont="1"/>
    <xf numFmtId="0" fontId="29" fillId="0" borderId="2" xfId="0" applyFont="1" applyBorder="1"/>
    <xf numFmtId="0" fontId="77" fillId="0" borderId="2" xfId="0" applyFont="1" applyBorder="1"/>
    <xf numFmtId="0" fontId="142" fillId="0" borderId="0" xfId="0" applyFont="1"/>
    <xf numFmtId="0" fontId="142" fillId="0" borderId="2" xfId="0" applyFont="1" applyBorder="1"/>
    <xf numFmtId="169" fontId="130" fillId="0" borderId="2" xfId="0" applyNumberFormat="1" applyFont="1" applyBorder="1" applyAlignment="1">
      <alignment horizontal="center" vertical="center"/>
    </xf>
    <xf numFmtId="0" fontId="29" fillId="0" borderId="0" xfId="0" applyFont="1" applyAlignment="1">
      <alignment horizontal="center"/>
    </xf>
    <xf numFmtId="0" fontId="142" fillId="0" borderId="2" xfId="0" applyFont="1" applyBorder="1" applyAlignment="1">
      <alignment vertical="center"/>
    </xf>
    <xf numFmtId="2" fontId="142" fillId="0" borderId="2" xfId="0" applyNumberFormat="1" applyFont="1" applyBorder="1" applyAlignment="1">
      <alignment horizontal="center" vertical="center"/>
    </xf>
    <xf numFmtId="0" fontId="23" fillId="0" borderId="2" xfId="0" applyFont="1" applyBorder="1" applyAlignment="1">
      <alignment horizontal="center"/>
    </xf>
    <xf numFmtId="0" fontId="230" fillId="30" borderId="28" xfId="0" applyFont="1" applyFill="1" applyBorder="1" applyAlignment="1">
      <alignment vertical="center"/>
    </xf>
    <xf numFmtId="1" fontId="261" fillId="0" borderId="2" xfId="0" applyNumberFormat="1" applyFont="1" applyBorder="1" applyAlignment="1" applyProtection="1">
      <alignment horizontal="left" vertical="center" wrapText="1"/>
      <protection hidden="1"/>
    </xf>
    <xf numFmtId="0" fontId="21" fillId="0" borderId="2" xfId="0" applyFont="1" applyBorder="1" applyAlignment="1">
      <alignment horizontal="center"/>
    </xf>
    <xf numFmtId="14" fontId="169" fillId="9" borderId="2" xfId="0" applyNumberFormat="1" applyFont="1" applyFill="1" applyBorder="1" applyAlignment="1">
      <alignment horizontal="center"/>
    </xf>
    <xf numFmtId="0" fontId="169" fillId="9" borderId="3" xfId="0" applyFont="1" applyFill="1" applyBorder="1" applyAlignment="1">
      <alignment horizontal="center"/>
    </xf>
    <xf numFmtId="1" fontId="239" fillId="0" borderId="42" xfId="1" applyNumberFormat="1" applyFont="1" applyFill="1" applyBorder="1" applyAlignment="1">
      <alignment horizontal="center" vertical="center"/>
    </xf>
    <xf numFmtId="0" fontId="169" fillId="3" borderId="2" xfId="0" applyFont="1" applyFill="1" applyBorder="1" applyAlignment="1">
      <alignment horizontal="center" vertical="top"/>
    </xf>
    <xf numFmtId="0" fontId="109" fillId="0" borderId="2" xfId="0" applyFont="1" applyBorder="1" applyAlignment="1">
      <alignment horizontal="center"/>
    </xf>
    <xf numFmtId="0" fontId="172" fillId="0" borderId="2" xfId="0" applyFont="1" applyBorder="1" applyAlignment="1">
      <alignment horizontal="center"/>
    </xf>
    <xf numFmtId="16" fontId="21" fillId="0" borderId="2" xfId="0" quotePrefix="1" applyNumberFormat="1" applyFont="1" applyBorder="1" applyAlignment="1">
      <alignment horizontal="center"/>
    </xf>
    <xf numFmtId="174" fontId="0" fillId="0" borderId="2" xfId="0" applyNumberFormat="1" applyBorder="1" applyAlignment="1">
      <alignment horizontal="center" vertical="center"/>
    </xf>
    <xf numFmtId="174" fontId="0" fillId="0" borderId="2" xfId="0" applyNumberFormat="1" applyBorder="1" applyAlignment="1">
      <alignment horizontal="center"/>
    </xf>
    <xf numFmtId="174" fontId="0" fillId="0" borderId="2" xfId="0" applyNumberFormat="1" applyBorder="1"/>
    <xf numFmtId="174" fontId="0" fillId="0" borderId="3" xfId="0" applyNumberFormat="1" applyBorder="1" applyAlignment="1">
      <alignment horizontal="center"/>
    </xf>
    <xf numFmtId="174" fontId="0" fillId="0" borderId="2" xfId="0" applyNumberFormat="1" applyBorder="1" applyAlignment="1">
      <alignment horizontal="right"/>
    </xf>
    <xf numFmtId="174" fontId="50" fillId="0" borderId="2" xfId="0" applyNumberFormat="1" applyFont="1" applyBorder="1"/>
    <xf numFmtId="174" fontId="0" fillId="30" borderId="2" xfId="0" applyNumberFormat="1" applyFill="1" applyBorder="1" applyAlignment="1">
      <alignment horizontal="center" vertical="center"/>
    </xf>
    <xf numFmtId="0" fontId="241" fillId="0" borderId="2" xfId="0" applyFont="1" applyBorder="1" applyAlignment="1">
      <alignment horizontal="center" vertical="center" wrapText="1" readingOrder="1"/>
    </xf>
    <xf numFmtId="0" fontId="241" fillId="0" borderId="2" xfId="0" applyFont="1" applyBorder="1" applyAlignment="1">
      <alignment horizontal="left" vertical="center" readingOrder="1"/>
    </xf>
    <xf numFmtId="0" fontId="148" fillId="0" borderId="2" xfId="0" applyFont="1" applyBorder="1" applyAlignment="1">
      <alignment horizontal="left" vertical="center" wrapText="1"/>
    </xf>
    <xf numFmtId="0" fontId="148" fillId="0" borderId="3" xfId="0" applyFont="1" applyBorder="1" applyAlignment="1">
      <alignment horizontal="left" vertical="center" wrapText="1"/>
    </xf>
    <xf numFmtId="0" fontId="265" fillId="0" borderId="2" xfId="0" applyFont="1" applyBorder="1" applyAlignment="1">
      <alignment horizontal="center" vertical="center" wrapText="1" readingOrder="1"/>
    </xf>
    <xf numFmtId="0" fontId="265" fillId="0" borderId="2" xfId="0" applyFont="1" applyBorder="1" applyAlignment="1">
      <alignment horizontal="left" vertical="center" readingOrder="1"/>
    </xf>
    <xf numFmtId="0" fontId="266" fillId="0" borderId="2" xfId="0" applyFont="1" applyBorder="1" applyAlignment="1">
      <alignment horizontal="center" vertical="center" wrapText="1" readingOrder="1"/>
    </xf>
    <xf numFmtId="0" fontId="266" fillId="0" borderId="2" xfId="0" applyFont="1" applyBorder="1" applyAlignment="1">
      <alignment horizontal="left" vertical="center" readingOrder="1"/>
    </xf>
    <xf numFmtId="0" fontId="267" fillId="0" borderId="2" xfId="0" applyFont="1" applyBorder="1" applyAlignment="1">
      <alignment horizontal="center" vertical="center" wrapText="1" readingOrder="1"/>
    </xf>
    <xf numFmtId="0" fontId="267" fillId="0" borderId="2" xfId="0" applyFont="1" applyBorder="1" applyAlignment="1">
      <alignment horizontal="left" vertical="center" readingOrder="1"/>
    </xf>
    <xf numFmtId="0" fontId="169" fillId="0" borderId="2" xfId="0" applyFont="1" applyBorder="1" applyAlignment="1">
      <alignment horizontal="center" vertical="center" wrapText="1"/>
    </xf>
    <xf numFmtId="0" fontId="268" fillId="33" borderId="2" xfId="0" applyFont="1" applyFill="1" applyBorder="1" applyAlignment="1">
      <alignment horizontal="center" vertical="center"/>
    </xf>
    <xf numFmtId="0" fontId="268" fillId="0" borderId="0" xfId="0" applyFont="1" applyAlignment="1">
      <alignment vertical="top"/>
    </xf>
    <xf numFmtId="0" fontId="268" fillId="0" borderId="0" xfId="0" applyFont="1" applyAlignment="1">
      <alignment horizontal="left" vertical="top"/>
    </xf>
    <xf numFmtId="14" fontId="268" fillId="0" borderId="0" xfId="0" applyNumberFormat="1" applyFont="1" applyAlignment="1">
      <alignment vertical="top"/>
    </xf>
    <xf numFmtId="14" fontId="19" fillId="0" borderId="2" xfId="0" applyNumberFormat="1" applyFont="1" applyBorder="1" applyAlignment="1">
      <alignment horizontal="center" vertical="center"/>
    </xf>
    <xf numFmtId="14" fontId="0" fillId="20" borderId="2" xfId="0" applyNumberFormat="1" applyFill="1" applyBorder="1" applyAlignment="1">
      <alignment horizontal="center" vertical="center"/>
    </xf>
    <xf numFmtId="0" fontId="173" fillId="0" borderId="0" xfId="0" applyFont="1" applyAlignment="1">
      <alignment horizontal="center"/>
    </xf>
    <xf numFmtId="14" fontId="169" fillId="3" borderId="2" xfId="0" applyNumberFormat="1" applyFont="1" applyFill="1" applyBorder="1" applyAlignment="1">
      <alignment horizontal="center"/>
    </xf>
    <xf numFmtId="14" fontId="169" fillId="3" borderId="2" xfId="0" applyNumberFormat="1" applyFont="1" applyFill="1" applyBorder="1" applyAlignment="1">
      <alignment horizontal="center" vertical="center"/>
    </xf>
    <xf numFmtId="14" fontId="169" fillId="0" borderId="2" xfId="0" applyNumberFormat="1" applyFont="1" applyBorder="1" applyAlignment="1">
      <alignment horizontal="center" vertical="top"/>
    </xf>
    <xf numFmtId="0" fontId="169" fillId="9" borderId="2" xfId="0" applyFont="1" applyFill="1" applyBorder="1" applyAlignment="1">
      <alignment horizontal="center" vertical="top"/>
    </xf>
    <xf numFmtId="14" fontId="169" fillId="0" borderId="3" xfId="0" applyNumberFormat="1" applyFont="1" applyBorder="1" applyAlignment="1">
      <alignment horizontal="center" vertical="center"/>
    </xf>
    <xf numFmtId="14" fontId="169" fillId="9" borderId="3" xfId="0" applyNumberFormat="1" applyFont="1" applyFill="1" applyBorder="1" applyAlignment="1">
      <alignment horizontal="center" vertical="center"/>
    </xf>
    <xf numFmtId="14" fontId="29" fillId="0" borderId="2" xfId="0" applyNumberFormat="1" applyFont="1" applyBorder="1" applyAlignment="1">
      <alignment horizontal="center" vertical="center"/>
    </xf>
    <xf numFmtId="14" fontId="169" fillId="9" borderId="2" xfId="0" applyNumberFormat="1" applyFont="1" applyFill="1" applyBorder="1" applyAlignment="1">
      <alignment horizontal="center" vertical="top"/>
    </xf>
    <xf numFmtId="0" fontId="172" fillId="0" borderId="3" xfId="0" applyFont="1" applyBorder="1" applyAlignment="1">
      <alignment horizontal="center"/>
    </xf>
    <xf numFmtId="0" fontId="90" fillId="0" borderId="2" xfId="0" applyFont="1" applyBorder="1" applyAlignment="1">
      <alignment horizontal="center" vertical="center"/>
    </xf>
    <xf numFmtId="0" fontId="90" fillId="0" borderId="0" xfId="0" applyFont="1" applyAlignment="1">
      <alignment horizontal="center" vertical="center"/>
    </xf>
    <xf numFmtId="0" fontId="169" fillId="0" borderId="3" xfId="0" applyFont="1" applyBorder="1" applyAlignment="1">
      <alignment horizontal="center" vertical="top"/>
    </xf>
    <xf numFmtId="169" fontId="243" fillId="0" borderId="2" xfId="14" applyNumberFormat="1" applyFont="1" applyBorder="1" applyAlignment="1">
      <alignment horizontal="center" wrapText="1"/>
    </xf>
    <xf numFmtId="0" fontId="169" fillId="0" borderId="0" xfId="0" applyFont="1" applyAlignment="1">
      <alignment horizontal="center" vertical="top"/>
    </xf>
    <xf numFmtId="14" fontId="169" fillId="0" borderId="3" xfId="0" applyNumberFormat="1" applyFont="1" applyBorder="1" applyAlignment="1">
      <alignment horizontal="center" vertical="top"/>
    </xf>
    <xf numFmtId="0" fontId="172" fillId="0" borderId="3" xfId="0" applyFont="1" applyBorder="1" applyAlignment="1">
      <alignment horizontal="center" vertical="top"/>
    </xf>
    <xf numFmtId="0" fontId="172" fillId="9" borderId="2" xfId="0" applyFont="1" applyFill="1" applyBorder="1" applyAlignment="1">
      <alignment horizontal="center" vertical="top"/>
    </xf>
    <xf numFmtId="0" fontId="169" fillId="0" borderId="25" xfId="0" applyFont="1" applyBorder="1" applyAlignment="1">
      <alignment horizontal="center" vertical="top"/>
    </xf>
    <xf numFmtId="0" fontId="169" fillId="0" borderId="23" xfId="0" applyFont="1" applyBorder="1" applyAlignment="1">
      <alignment horizontal="center"/>
    </xf>
    <xf numFmtId="0" fontId="169" fillId="0" borderId="25" xfId="0" applyFont="1" applyBorder="1" applyAlignment="1">
      <alignment horizontal="center" vertical="center"/>
    </xf>
    <xf numFmtId="0" fontId="172" fillId="0" borderId="0" xfId="0" applyFont="1" applyAlignment="1">
      <alignment horizontal="center"/>
    </xf>
    <xf numFmtId="0" fontId="169" fillId="9" borderId="2" xfId="0" applyFont="1" applyFill="1" applyBorder="1" applyAlignment="1">
      <alignment horizontal="center" vertical="center"/>
    </xf>
    <xf numFmtId="0" fontId="169" fillId="9" borderId="0" xfId="0" applyFont="1" applyFill="1" applyAlignment="1">
      <alignment horizontal="center"/>
    </xf>
    <xf numFmtId="0" fontId="172" fillId="9" borderId="2" xfId="0" applyFont="1" applyFill="1" applyBorder="1" applyAlignment="1">
      <alignment horizontal="center"/>
    </xf>
    <xf numFmtId="14" fontId="0" fillId="20" borderId="3" xfId="0" applyNumberFormat="1" applyFill="1" applyBorder="1" applyAlignment="1">
      <alignment horizontal="center" vertical="center"/>
    </xf>
    <xf numFmtId="0" fontId="51" fillId="0" borderId="2" xfId="0" applyFont="1" applyBorder="1" applyAlignment="1">
      <alignment horizontal="center"/>
    </xf>
    <xf numFmtId="0" fontId="46" fillId="0" borderId="3" xfId="0" applyFont="1" applyBorder="1" applyAlignment="1">
      <alignment horizontal="center"/>
    </xf>
    <xf numFmtId="14" fontId="0" fillId="9" borderId="3" xfId="0" applyNumberFormat="1" applyFill="1" applyBorder="1" applyAlignment="1">
      <alignment horizontal="center" vertical="center"/>
    </xf>
    <xf numFmtId="0" fontId="36" fillId="0" borderId="3" xfId="0" applyFont="1" applyBorder="1" applyAlignment="1">
      <alignment horizontal="center"/>
    </xf>
    <xf numFmtId="0" fontId="172" fillId="0" borderId="2" xfId="0" applyFont="1" applyBorder="1" applyAlignment="1">
      <alignment horizontal="center" wrapText="1"/>
    </xf>
    <xf numFmtId="0" fontId="135" fillId="0" borderId="0" xfId="0" applyFont="1" applyAlignment="1">
      <alignment horizontal="center" vertical="center"/>
    </xf>
    <xf numFmtId="0" fontId="135" fillId="3" borderId="0" xfId="0" applyFont="1" applyFill="1" applyAlignment="1">
      <alignment horizontal="center" vertical="center" wrapText="1"/>
    </xf>
    <xf numFmtId="14" fontId="87" fillId="0" borderId="2" xfId="0" applyNumberFormat="1" applyFont="1" applyBorder="1" applyAlignment="1">
      <alignment horizontal="center" vertical="center"/>
    </xf>
    <xf numFmtId="3" fontId="171" fillId="0" borderId="0" xfId="0" applyNumberFormat="1" applyFont="1" applyAlignment="1">
      <alignment horizontal="center" vertical="center" wrapText="1"/>
    </xf>
    <xf numFmtId="0" fontId="0" fillId="0" borderId="0" xfId="0" applyAlignment="1">
      <alignment horizontal="center" vertical="center" wrapText="1"/>
    </xf>
    <xf numFmtId="0" fontId="48" fillId="0" borderId="2" xfId="0" applyFont="1" applyBorder="1" applyAlignment="1">
      <alignment horizontal="center" vertical="center"/>
    </xf>
    <xf numFmtId="43" fontId="0" fillId="0" borderId="0" xfId="0" applyNumberFormat="1" applyAlignment="1">
      <alignment horizontal="center" vertical="center"/>
    </xf>
    <xf numFmtId="0" fontId="242" fillId="0" borderId="2" xfId="0" applyFont="1" applyBorder="1" applyAlignment="1">
      <alignment horizontal="center" vertical="center"/>
    </xf>
    <xf numFmtId="0" fontId="92" fillId="0" borderId="2" xfId="0" applyFont="1" applyBorder="1" applyAlignment="1">
      <alignment horizontal="center" vertical="center"/>
    </xf>
    <xf numFmtId="0" fontId="88" fillId="0" borderId="2" xfId="0" applyFont="1" applyBorder="1" applyAlignment="1">
      <alignment horizontal="center" vertical="center"/>
    </xf>
    <xf numFmtId="0" fontId="84" fillId="0" borderId="2" xfId="0" applyFont="1" applyBorder="1" applyAlignment="1">
      <alignment horizontal="center" vertical="center"/>
    </xf>
    <xf numFmtId="0" fontId="81" fillId="0" borderId="2" xfId="0" applyFont="1" applyBorder="1" applyAlignment="1">
      <alignment horizontal="center" vertical="center"/>
    </xf>
    <xf numFmtId="0" fontId="80" fillId="0" borderId="2" xfId="0" applyFont="1" applyBorder="1" applyAlignment="1">
      <alignment horizontal="center" vertical="center"/>
    </xf>
    <xf numFmtId="0" fontId="75" fillId="0" borderId="2" xfId="0" applyFont="1" applyBorder="1" applyAlignment="1">
      <alignment horizontal="center" vertical="center"/>
    </xf>
    <xf numFmtId="0" fontId="74" fillId="0" borderId="2" xfId="0" applyFont="1" applyBorder="1" applyAlignment="1">
      <alignment horizontal="center" vertical="center"/>
    </xf>
    <xf numFmtId="0" fontId="72" fillId="0" borderId="2" xfId="0" applyFont="1" applyBorder="1" applyAlignment="1">
      <alignment horizontal="center" vertical="center"/>
    </xf>
    <xf numFmtId="0" fontId="69" fillId="0" borderId="2" xfId="0" applyFont="1" applyBorder="1" applyAlignment="1">
      <alignment horizontal="center" vertical="center"/>
    </xf>
    <xf numFmtId="0" fontId="65" fillId="0" borderId="2" xfId="0" applyFont="1" applyBorder="1" applyAlignment="1">
      <alignment horizontal="center" vertical="center"/>
    </xf>
    <xf numFmtId="0" fontId="63" fillId="0" borderId="2" xfId="0" applyFont="1" applyBorder="1" applyAlignment="1">
      <alignment horizontal="center" vertical="center"/>
    </xf>
    <xf numFmtId="0" fontId="59" fillId="0" borderId="2" xfId="0" applyFont="1" applyBorder="1" applyAlignment="1">
      <alignment horizontal="center" vertical="center"/>
    </xf>
    <xf numFmtId="0" fontId="61" fillId="0" borderId="2" xfId="0" applyFont="1" applyBorder="1" applyAlignment="1">
      <alignment horizontal="center" vertical="center"/>
    </xf>
    <xf numFmtId="0" fontId="55" fillId="0" borderId="2" xfId="0" applyFont="1" applyBorder="1" applyAlignment="1">
      <alignment horizontal="center" vertical="center"/>
    </xf>
    <xf numFmtId="0" fontId="52" fillId="0" borderId="0" xfId="0" applyFont="1" applyAlignment="1">
      <alignment horizontal="center" vertical="center"/>
    </xf>
    <xf numFmtId="0" fontId="53" fillId="0" borderId="2" xfId="0" applyFont="1" applyBorder="1" applyAlignment="1">
      <alignment horizontal="center" vertical="center"/>
    </xf>
    <xf numFmtId="0" fontId="50" fillId="0" borderId="2" xfId="0" applyFont="1" applyBorder="1" applyAlignment="1">
      <alignment horizontal="center" vertical="center"/>
    </xf>
    <xf numFmtId="0" fontId="47" fillId="0" borderId="2" xfId="0" applyFont="1" applyBorder="1" applyAlignment="1">
      <alignment horizontal="center" vertical="center"/>
    </xf>
    <xf numFmtId="0" fontId="44" fillId="20" borderId="0" xfId="0" applyFont="1" applyFill="1" applyAlignment="1">
      <alignment horizontal="center" vertical="center"/>
    </xf>
    <xf numFmtId="0" fontId="43" fillId="0" borderId="2" xfId="0" applyFont="1" applyBorder="1" applyAlignment="1">
      <alignment horizontal="center" vertical="center"/>
    </xf>
    <xf numFmtId="0" fontId="54" fillId="0" borderId="2" xfId="0" applyFont="1" applyBorder="1" applyAlignment="1">
      <alignment horizontal="center" vertical="center"/>
    </xf>
    <xf numFmtId="0" fontId="42" fillId="0" borderId="2" xfId="0" applyFont="1" applyBorder="1" applyAlignment="1">
      <alignment horizontal="center" vertical="center"/>
    </xf>
    <xf numFmtId="0" fontId="40" fillId="0" borderId="0" xfId="0" applyFont="1" applyAlignment="1">
      <alignment horizontal="center" vertical="center"/>
    </xf>
    <xf numFmtId="0" fontId="44" fillId="0" borderId="2" xfId="0" applyFont="1" applyBorder="1" applyAlignment="1">
      <alignment horizontal="center" vertical="center"/>
    </xf>
    <xf numFmtId="14" fontId="39" fillId="0" borderId="0" xfId="0" applyNumberFormat="1" applyFont="1" applyAlignment="1">
      <alignment horizontal="center" vertical="center"/>
    </xf>
    <xf numFmtId="0" fontId="45" fillId="0" borderId="2" xfId="0" applyFont="1" applyBorder="1" applyAlignment="1">
      <alignment horizontal="center" vertical="center"/>
    </xf>
    <xf numFmtId="0" fontId="41" fillId="0" borderId="2" xfId="0" applyFont="1" applyBorder="1" applyAlignment="1">
      <alignment horizontal="center" vertical="center"/>
    </xf>
    <xf numFmtId="0" fontId="38" fillId="0" borderId="2" xfId="0" applyFont="1" applyBorder="1" applyAlignment="1">
      <alignment horizontal="center" vertical="center"/>
    </xf>
    <xf numFmtId="0" fontId="39" fillId="0" borderId="0" xfId="0" applyFont="1" applyAlignment="1">
      <alignment horizontal="center" vertical="center"/>
    </xf>
    <xf numFmtId="0" fontId="52" fillId="0" borderId="2" xfId="0" applyFont="1" applyBorder="1" applyAlignment="1">
      <alignment horizontal="center" vertical="center"/>
    </xf>
    <xf numFmtId="0" fontId="39" fillId="0" borderId="2" xfId="0" applyFont="1" applyBorder="1" applyAlignment="1">
      <alignment horizontal="center" vertical="center"/>
    </xf>
    <xf numFmtId="0" fontId="37" fillId="20" borderId="0" xfId="0" applyFont="1" applyFill="1" applyAlignment="1">
      <alignment horizontal="center" vertical="center"/>
    </xf>
    <xf numFmtId="14" fontId="39" fillId="0" borderId="2" xfId="0" applyNumberFormat="1" applyFont="1" applyBorder="1" applyAlignment="1">
      <alignment horizontal="center" vertical="center"/>
    </xf>
    <xf numFmtId="0" fontId="35" fillId="0" borderId="2" xfId="0" applyFont="1" applyBorder="1" applyAlignment="1">
      <alignment horizontal="center" vertical="center"/>
    </xf>
    <xf numFmtId="14" fontId="34" fillId="0" borderId="2" xfId="0" applyNumberFormat="1" applyFont="1" applyBorder="1" applyAlignment="1">
      <alignment horizontal="center" vertical="center"/>
    </xf>
    <xf numFmtId="0" fontId="35" fillId="9" borderId="0" xfId="0" applyFont="1" applyFill="1" applyAlignment="1">
      <alignment horizontal="center" vertical="center"/>
    </xf>
    <xf numFmtId="0" fontId="35" fillId="0" borderId="0" xfId="0" applyFont="1" applyAlignment="1">
      <alignment horizontal="center" vertical="center"/>
    </xf>
    <xf numFmtId="0" fontId="35" fillId="20" borderId="0" xfId="0" applyFont="1" applyFill="1" applyAlignment="1">
      <alignment horizontal="center" vertical="center"/>
    </xf>
    <xf numFmtId="0" fontId="40" fillId="0" borderId="2" xfId="0" applyFont="1" applyBorder="1" applyAlignment="1">
      <alignment horizontal="center" vertical="center"/>
    </xf>
    <xf numFmtId="14" fontId="0" fillId="0" borderId="0" xfId="0" applyNumberFormat="1" applyAlignment="1">
      <alignment horizontal="center" vertical="center"/>
    </xf>
    <xf numFmtId="0" fontId="37" fillId="9" borderId="0" xfId="0" applyFont="1" applyFill="1" applyAlignment="1">
      <alignment horizontal="center" vertical="center"/>
    </xf>
    <xf numFmtId="0" fontId="33" fillId="0" borderId="2" xfId="0" applyFont="1" applyBorder="1" applyAlignment="1">
      <alignment horizontal="center" vertical="center"/>
    </xf>
    <xf numFmtId="14" fontId="37" fillId="0" borderId="0" xfId="0" applyNumberFormat="1" applyFont="1" applyAlignment="1">
      <alignment horizontal="center" vertical="center"/>
    </xf>
    <xf numFmtId="0" fontId="32" fillId="0" borderId="2" xfId="0" applyFont="1" applyBorder="1" applyAlignment="1">
      <alignment horizontal="center" vertical="center"/>
    </xf>
    <xf numFmtId="0" fontId="32"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28" fillId="0" borderId="2" xfId="0" applyFont="1" applyBorder="1" applyAlignment="1">
      <alignment horizontal="center" vertical="center"/>
    </xf>
    <xf numFmtId="0" fontId="27" fillId="0" borderId="2" xfId="0" applyFont="1" applyBorder="1" applyAlignment="1">
      <alignment horizontal="center" vertical="center"/>
    </xf>
    <xf numFmtId="0" fontId="31" fillId="0" borderId="2" xfId="0" applyFont="1" applyBorder="1" applyAlignment="1">
      <alignment horizontal="center" vertical="center"/>
    </xf>
    <xf numFmtId="0" fontId="25" fillId="0" borderId="2" xfId="0" applyFont="1" applyBorder="1" applyAlignment="1">
      <alignment horizontal="center" vertical="center"/>
    </xf>
    <xf numFmtId="14" fontId="25" fillId="0" borderId="2" xfId="0" applyNumberFormat="1" applyFont="1" applyBorder="1" applyAlignment="1">
      <alignment horizontal="center" vertical="center"/>
    </xf>
    <xf numFmtId="0" fontId="28" fillId="20" borderId="2" xfId="0" applyFont="1" applyFill="1" applyBorder="1" applyAlignment="1">
      <alignment horizontal="center" vertical="center"/>
    </xf>
    <xf numFmtId="0" fontId="29" fillId="0" borderId="2" xfId="0" applyFont="1" applyBorder="1" applyAlignment="1">
      <alignment horizontal="center" vertical="center"/>
    </xf>
    <xf numFmtId="0" fontId="25" fillId="0" borderId="0" xfId="0" applyFont="1" applyAlignment="1">
      <alignment horizontal="center" vertical="center"/>
    </xf>
    <xf numFmtId="0" fontId="26" fillId="0" borderId="2" xfId="0" applyFont="1" applyBorder="1" applyAlignment="1">
      <alignment horizontal="center" vertical="center"/>
    </xf>
    <xf numFmtId="14" fontId="24" fillId="0" borderId="2" xfId="0" applyNumberFormat="1" applyFont="1" applyBorder="1" applyAlignment="1">
      <alignment horizontal="center" vertical="center"/>
    </xf>
    <xf numFmtId="0" fontId="25" fillId="9" borderId="0" xfId="0" applyFont="1" applyFill="1" applyAlignment="1">
      <alignment horizontal="center" vertical="center"/>
    </xf>
    <xf numFmtId="14" fontId="25" fillId="0" borderId="0" xfId="0" applyNumberFormat="1" applyFont="1" applyAlignment="1">
      <alignment horizontal="center" vertical="center"/>
    </xf>
    <xf numFmtId="0" fontId="27" fillId="20" borderId="2" xfId="0" applyFont="1" applyFill="1" applyBorder="1" applyAlignment="1">
      <alignment horizontal="center" vertical="center"/>
    </xf>
    <xf numFmtId="0" fontId="39" fillId="20" borderId="2" xfId="0" applyFont="1" applyFill="1" applyBorder="1" applyAlignment="1">
      <alignment horizontal="center" vertical="center"/>
    </xf>
    <xf numFmtId="0" fontId="24" fillId="0" borderId="2" xfId="0" applyFont="1" applyBorder="1" applyAlignment="1">
      <alignment horizontal="center" vertical="center"/>
    </xf>
    <xf numFmtId="0" fontId="22" fillId="0" borderId="2" xfId="0" applyFont="1" applyBorder="1" applyAlignment="1">
      <alignment horizontal="center" vertical="center"/>
    </xf>
    <xf numFmtId="0" fontId="258" fillId="0" borderId="0" xfId="50" applyAlignment="1">
      <alignment horizontal="center" vertical="center"/>
    </xf>
    <xf numFmtId="0" fontId="194" fillId="0" borderId="2" xfId="0" applyFont="1" applyBorder="1" applyAlignment="1">
      <alignment horizontal="center" vertical="center" wrapText="1"/>
    </xf>
    <xf numFmtId="0" fontId="20" fillId="0" borderId="2" xfId="0" applyFont="1" applyBorder="1" applyAlignment="1">
      <alignment horizontal="center" vertical="center"/>
    </xf>
    <xf numFmtId="0" fontId="17" fillId="0" borderId="2" xfId="0" applyFont="1" applyBorder="1" applyAlignment="1">
      <alignment horizontal="center" vertical="center"/>
    </xf>
    <xf numFmtId="0" fontId="18" fillId="0" borderId="2" xfId="0" applyFont="1" applyBorder="1" applyAlignment="1">
      <alignment horizontal="center" vertical="center"/>
    </xf>
    <xf numFmtId="0" fontId="63" fillId="0" borderId="0" xfId="0" applyFont="1" applyAlignment="1">
      <alignment horizontal="center" vertical="center"/>
    </xf>
    <xf numFmtId="0" fontId="69" fillId="0" borderId="0" xfId="0" applyFont="1" applyAlignment="1">
      <alignment horizontal="center" vertical="center"/>
    </xf>
    <xf numFmtId="0" fontId="23" fillId="0" borderId="2" xfId="0" applyFont="1" applyBorder="1" applyAlignment="1">
      <alignment horizontal="center" vertical="center"/>
    </xf>
    <xf numFmtId="0" fontId="259" fillId="0" borderId="0" xfId="0" applyFont="1" applyAlignment="1">
      <alignment horizontal="center" vertical="center"/>
    </xf>
    <xf numFmtId="43" fontId="259" fillId="0" borderId="0" xfId="0" applyNumberFormat="1" applyFont="1" applyAlignment="1">
      <alignment horizontal="center" vertical="center"/>
    </xf>
    <xf numFmtId="0" fontId="16" fillId="0" borderId="0" xfId="0" applyFont="1" applyAlignment="1">
      <alignment horizontal="center" vertical="center"/>
    </xf>
    <xf numFmtId="0" fontId="13" fillId="0" borderId="2" xfId="0" applyFont="1" applyBorder="1" applyAlignment="1">
      <alignment horizontal="center" vertical="center"/>
    </xf>
    <xf numFmtId="0" fontId="25" fillId="0" borderId="0" xfId="0" applyFont="1" applyAlignment="1">
      <alignment horizontal="center" vertical="center" wrapText="1"/>
    </xf>
    <xf numFmtId="0" fontId="260" fillId="0" borderId="0" xfId="0" applyFont="1" applyAlignment="1">
      <alignment horizontal="center" vertical="center"/>
    </xf>
    <xf numFmtId="43" fontId="260" fillId="0" borderId="0" xfId="0" applyNumberFormat="1" applyFont="1" applyAlignment="1">
      <alignment horizontal="center" vertical="center"/>
    </xf>
    <xf numFmtId="0" fontId="16" fillId="0" borderId="2" xfId="0" applyFont="1" applyBorder="1" applyAlignment="1">
      <alignment horizontal="center" vertical="center"/>
    </xf>
    <xf numFmtId="0" fontId="15" fillId="0" borderId="2" xfId="0" applyFont="1" applyBorder="1" applyAlignment="1">
      <alignment horizontal="center" vertical="center"/>
    </xf>
    <xf numFmtId="14" fontId="15" fillId="0" borderId="2" xfId="0" applyNumberFormat="1" applyFont="1" applyBorder="1" applyAlignment="1">
      <alignment horizontal="center" vertical="center"/>
    </xf>
    <xf numFmtId="0" fontId="14" fillId="0" borderId="2" xfId="0" applyFont="1" applyBorder="1" applyAlignment="1">
      <alignment horizontal="center" vertical="center"/>
    </xf>
    <xf numFmtId="14" fontId="12" fillId="0" borderId="2" xfId="0" applyNumberFormat="1" applyFont="1" applyBorder="1" applyAlignment="1">
      <alignment horizontal="center" vertical="center"/>
    </xf>
    <xf numFmtId="0" fontId="13" fillId="9" borderId="2" xfId="0" applyFont="1" applyFill="1" applyBorder="1" applyAlignment="1">
      <alignment horizontal="center" vertical="center"/>
    </xf>
    <xf numFmtId="14" fontId="11" fillId="0" borderId="2" xfId="0" applyNumberFormat="1" applyFont="1" applyBorder="1" applyAlignment="1">
      <alignment horizontal="center" vertical="center"/>
    </xf>
    <xf numFmtId="0" fontId="11" fillId="0" borderId="2" xfId="0" applyFont="1" applyBorder="1" applyAlignment="1">
      <alignment horizontal="center" vertical="center"/>
    </xf>
    <xf numFmtId="0" fontId="17" fillId="9" borderId="2" xfId="0" applyFont="1" applyFill="1" applyBorder="1" applyAlignment="1">
      <alignment horizontal="center" vertical="center"/>
    </xf>
    <xf numFmtId="0" fontId="9" fillId="0" borderId="0" xfId="0" applyFont="1" applyAlignment="1">
      <alignment horizontal="center" vertical="center"/>
    </xf>
    <xf numFmtId="0" fontId="12" fillId="0" borderId="2" xfId="0" applyFont="1" applyBorder="1" applyAlignment="1">
      <alignment horizontal="center" vertical="center"/>
    </xf>
    <xf numFmtId="14" fontId="7" fillId="0" borderId="2" xfId="0" applyNumberFormat="1" applyFont="1" applyBorder="1" applyAlignment="1">
      <alignment horizontal="center" vertical="center"/>
    </xf>
    <xf numFmtId="0" fontId="10" fillId="0" borderId="0" xfId="0" applyFont="1" applyAlignment="1">
      <alignment horizontal="center" vertical="center"/>
    </xf>
    <xf numFmtId="0" fontId="8" fillId="0" borderId="0" xfId="0" applyFont="1" applyAlignment="1">
      <alignment horizontal="center" vertical="center"/>
    </xf>
    <xf numFmtId="0" fontId="9" fillId="0" borderId="2" xfId="0" applyFont="1" applyBorder="1" applyAlignment="1">
      <alignment horizontal="center" vertical="center"/>
    </xf>
    <xf numFmtId="14" fontId="6" fillId="0" borderId="2" xfId="0" applyNumberFormat="1" applyFont="1" applyBorder="1" applyAlignment="1">
      <alignment horizontal="center" vertical="center"/>
    </xf>
    <xf numFmtId="0" fontId="5" fillId="0" borderId="0" xfId="0" applyFont="1" applyAlignment="1">
      <alignment horizontal="center" vertical="center"/>
    </xf>
    <xf numFmtId="14" fontId="4" fillId="0" borderId="2" xfId="0" applyNumberFormat="1" applyFont="1" applyBorder="1" applyAlignment="1">
      <alignment horizontal="center" vertical="center"/>
    </xf>
    <xf numFmtId="0" fontId="4" fillId="0" borderId="2" xfId="0" applyFont="1" applyBorder="1" applyAlignment="1">
      <alignment horizontal="center" vertical="center"/>
    </xf>
    <xf numFmtId="0" fontId="4" fillId="0" borderId="0" xfId="0" applyFont="1" applyAlignment="1">
      <alignment horizontal="center" vertical="center"/>
    </xf>
    <xf numFmtId="0" fontId="3" fillId="0" borderId="2" xfId="0" applyFont="1" applyBorder="1" applyAlignment="1">
      <alignment horizontal="center" vertical="center"/>
    </xf>
    <xf numFmtId="14" fontId="1" fillId="0" borderId="2" xfId="0" applyNumberFormat="1" applyFont="1" applyBorder="1" applyAlignment="1">
      <alignment horizontal="center" vertical="center"/>
    </xf>
    <xf numFmtId="0" fontId="2" fillId="0" borderId="0" xfId="0" applyFont="1" applyAlignment="1">
      <alignment horizontal="center" vertical="center"/>
    </xf>
    <xf numFmtId="0" fontId="7" fillId="0" borderId="2" xfId="0" applyFont="1" applyBorder="1" applyAlignment="1">
      <alignment horizontal="center" vertical="center"/>
    </xf>
    <xf numFmtId="0" fontId="1" fillId="0" borderId="2" xfId="0" applyFont="1" applyBorder="1" applyAlignment="1">
      <alignment horizontal="center" vertical="center"/>
    </xf>
    <xf numFmtId="0" fontId="259" fillId="0" borderId="2" xfId="0" applyFont="1" applyBorder="1" applyAlignment="1">
      <alignment horizontal="center" vertical="center" wrapText="1"/>
    </xf>
    <xf numFmtId="0" fontId="0" fillId="0" borderId="33" xfId="0" applyBorder="1" applyAlignment="1">
      <alignment horizontal="center" vertical="center"/>
    </xf>
    <xf numFmtId="14" fontId="0" fillId="0" borderId="33" xfId="0" applyNumberFormat="1" applyBorder="1" applyAlignment="1">
      <alignment horizontal="center" vertical="center"/>
    </xf>
    <xf numFmtId="14" fontId="0" fillId="30" borderId="2" xfId="0" applyNumberFormat="1" applyFill="1" applyBorder="1" applyAlignment="1">
      <alignment horizontal="center" vertical="center"/>
    </xf>
    <xf numFmtId="0" fontId="137" fillId="0" borderId="2" xfId="51" applyFont="1" applyBorder="1" applyAlignment="1">
      <alignment horizontal="center" vertical="center" wrapText="1"/>
    </xf>
    <xf numFmtId="0" fontId="137" fillId="0" borderId="0" xfId="51" applyFont="1" applyAlignment="1">
      <alignment vertical="center" wrapText="1"/>
    </xf>
    <xf numFmtId="0" fontId="269" fillId="0" borderId="0" xfId="51" applyFont="1" applyAlignment="1">
      <alignment horizontal="center" vertical="center"/>
    </xf>
    <xf numFmtId="0" fontId="137" fillId="0" borderId="2" xfId="51" applyFont="1" applyBorder="1" applyAlignment="1">
      <alignment horizontal="center" vertical="center"/>
    </xf>
    <xf numFmtId="169" fontId="269" fillId="0" borderId="0" xfId="51" applyNumberFormat="1" applyFont="1" applyAlignment="1">
      <alignment horizontal="center" vertical="center"/>
    </xf>
    <xf numFmtId="0" fontId="137" fillId="0" borderId="0" xfId="51" applyFont="1" applyAlignment="1">
      <alignment horizontal="center" vertical="center"/>
    </xf>
    <xf numFmtId="169" fontId="137" fillId="0" borderId="2" xfId="51" applyNumberFormat="1" applyFont="1" applyBorder="1" applyAlignment="1">
      <alignment horizontal="center" vertical="center" wrapText="1"/>
    </xf>
    <xf numFmtId="1" fontId="269" fillId="0" borderId="0" xfId="51" applyNumberFormat="1" applyFont="1" applyAlignment="1">
      <alignment vertical="center"/>
    </xf>
    <xf numFmtId="0" fontId="137" fillId="0" borderId="0" xfId="51" applyFont="1" applyAlignment="1">
      <alignment vertical="center"/>
    </xf>
    <xf numFmtId="0" fontId="137" fillId="0" borderId="4" xfId="51" applyFont="1" applyBorder="1" applyAlignment="1">
      <alignment horizontal="center" vertical="center"/>
    </xf>
    <xf numFmtId="0" fontId="137" fillId="0" borderId="0" xfId="51" applyFont="1" applyAlignment="1">
      <alignment horizontal="center"/>
    </xf>
    <xf numFmtId="0" fontId="137" fillId="0" borderId="0" xfId="51" applyFont="1" applyAlignment="1">
      <alignment horizontal="left" vertical="center"/>
    </xf>
    <xf numFmtId="0" fontId="269" fillId="0" borderId="0" xfId="51" applyFont="1"/>
    <xf numFmtId="0" fontId="270" fillId="0" borderId="0" xfId="21" applyFont="1" applyAlignment="1">
      <alignment horizontal="center" vertical="center"/>
    </xf>
    <xf numFmtId="0" fontId="269" fillId="0" borderId="0" xfId="51" applyFont="1" applyAlignment="1">
      <alignment vertical="center"/>
    </xf>
    <xf numFmtId="0" fontId="137" fillId="0" borderId="0" xfId="51" applyFont="1" applyAlignment="1">
      <alignment horizontal="left"/>
    </xf>
    <xf numFmtId="0" fontId="137" fillId="0" borderId="0" xfId="51" applyFont="1" applyAlignment="1">
      <alignment horizontal="right" vertical="center"/>
    </xf>
    <xf numFmtId="169" fontId="269" fillId="0" borderId="0" xfId="51" applyNumberFormat="1" applyFont="1" applyAlignment="1">
      <alignment vertical="center"/>
    </xf>
    <xf numFmtId="0" fontId="137" fillId="0" borderId="0" xfId="51" applyFont="1"/>
    <xf numFmtId="0" fontId="137" fillId="0" borderId="43" xfId="51" applyFont="1" applyBorder="1" applyAlignment="1">
      <alignment horizontal="center" vertical="center"/>
    </xf>
    <xf numFmtId="0" fontId="272" fillId="9" borderId="0" xfId="51" applyFont="1" applyFill="1" applyAlignment="1">
      <alignment horizontal="center" vertical="center"/>
    </xf>
    <xf numFmtId="0" fontId="272" fillId="20" borderId="0" xfId="51" applyFont="1" applyFill="1" applyAlignment="1">
      <alignment horizontal="center" vertical="center"/>
    </xf>
    <xf numFmtId="0" fontId="137" fillId="0" borderId="0" xfId="51" quotePrefix="1" applyFont="1" applyAlignment="1">
      <alignment horizontal="center" vertical="center"/>
    </xf>
    <xf numFmtId="0" fontId="269" fillId="0" borderId="47" xfId="51" applyFont="1" applyBorder="1" applyAlignment="1">
      <alignment horizontal="center" vertical="center"/>
    </xf>
    <xf numFmtId="0" fontId="269" fillId="0" borderId="43" xfId="51" applyFont="1" applyBorder="1" applyAlignment="1">
      <alignment horizontal="center" vertical="center"/>
    </xf>
    <xf numFmtId="0" fontId="273" fillId="0" borderId="0" xfId="21" applyFont="1" applyAlignment="1">
      <alignment horizontal="center" vertical="center"/>
    </xf>
    <xf numFmtId="0" fontId="137" fillId="0" borderId="47" xfId="51" applyFont="1" applyBorder="1" applyAlignment="1">
      <alignment horizontal="center" vertical="center"/>
    </xf>
    <xf numFmtId="0" fontId="270" fillId="3" borderId="2" xfId="21" applyFont="1" applyFill="1" applyBorder="1" applyAlignment="1">
      <alignment horizontal="center" vertical="center"/>
    </xf>
    <xf numFmtId="0" fontId="270" fillId="3" borderId="0" xfId="21" applyFont="1" applyFill="1" applyAlignment="1">
      <alignment horizontal="center" vertical="center"/>
    </xf>
    <xf numFmtId="0" fontId="271" fillId="3" borderId="2" xfId="21" applyFont="1" applyFill="1" applyBorder="1" applyAlignment="1">
      <alignment horizontal="center" vertical="center"/>
    </xf>
    <xf numFmtId="0" fontId="272" fillId="9" borderId="0" xfId="0" applyFont="1" applyFill="1" applyAlignment="1">
      <alignment horizontal="center" vertical="center"/>
    </xf>
    <xf numFmtId="0" fontId="272" fillId="3" borderId="0" xfId="0" applyFont="1" applyFill="1" applyAlignment="1">
      <alignment horizontal="center" vertical="center"/>
    </xf>
    <xf numFmtId="0" fontId="137" fillId="3" borderId="0" xfId="0" applyFont="1" applyFill="1" applyAlignment="1">
      <alignment horizontal="center" vertical="center"/>
    </xf>
    <xf numFmtId="0" fontId="274" fillId="0" borderId="0" xfId="0" applyFont="1" applyAlignment="1">
      <alignment horizontal="center" vertical="center"/>
    </xf>
    <xf numFmtId="0" fontId="269" fillId="0" borderId="44" xfId="51" applyFont="1" applyBorder="1" applyAlignment="1">
      <alignment horizontal="center" vertical="center"/>
    </xf>
    <xf numFmtId="0" fontId="269" fillId="0" borderId="45" xfId="51" applyFont="1" applyBorder="1" applyAlignment="1">
      <alignment horizontal="center" vertical="center"/>
    </xf>
    <xf numFmtId="0" fontId="269" fillId="0" borderId="48" xfId="51" applyFont="1" applyBorder="1" applyAlignment="1">
      <alignment horizontal="center" vertical="center"/>
    </xf>
    <xf numFmtId="0" fontId="269" fillId="0" borderId="49" xfId="51" applyFont="1" applyBorder="1" applyAlignment="1">
      <alignment horizontal="center" vertical="center"/>
    </xf>
    <xf numFmtId="0" fontId="269" fillId="0" borderId="22" xfId="51" applyFont="1" applyBorder="1" applyAlignment="1">
      <alignment horizontal="center" vertical="center"/>
    </xf>
    <xf numFmtId="0" fontId="269" fillId="0" borderId="50" xfId="51" applyFont="1" applyBorder="1" applyAlignment="1">
      <alignment horizontal="center" vertical="center"/>
    </xf>
    <xf numFmtId="0" fontId="273" fillId="0" borderId="43" xfId="21" applyFont="1" applyBorder="1" applyAlignment="1">
      <alignment horizontal="center" vertical="center"/>
    </xf>
    <xf numFmtId="0" fontId="270" fillId="0" borderId="43" xfId="21" applyFont="1" applyBorder="1" applyAlignment="1">
      <alignment horizontal="center" vertical="center"/>
    </xf>
    <xf numFmtId="0" fontId="269" fillId="0" borderId="2" xfId="51" applyFont="1" applyBorder="1" applyAlignment="1">
      <alignment horizontal="center" vertical="center"/>
    </xf>
    <xf numFmtId="0" fontId="274" fillId="0" borderId="20" xfId="0" applyFont="1" applyBorder="1" applyAlignment="1">
      <alignment horizontal="center" vertical="center"/>
    </xf>
    <xf numFmtId="0" fontId="270" fillId="3" borderId="8" xfId="21" applyFont="1" applyFill="1" applyBorder="1" applyAlignment="1">
      <alignment horizontal="center" vertical="center"/>
    </xf>
    <xf numFmtId="0" fontId="270" fillId="3" borderId="42" xfId="21" applyFont="1" applyFill="1" applyBorder="1" applyAlignment="1">
      <alignment horizontal="center" vertical="center"/>
    </xf>
    <xf numFmtId="0" fontId="137" fillId="0" borderId="0" xfId="0" applyFont="1" applyAlignment="1">
      <alignment horizontal="center" vertical="center"/>
    </xf>
    <xf numFmtId="0" fontId="272" fillId="23" borderId="0" xfId="0" applyFont="1" applyFill="1" applyAlignment="1">
      <alignment horizontal="center" vertical="center"/>
    </xf>
    <xf numFmtId="0" fontId="273" fillId="3" borderId="8" xfId="21" applyFont="1" applyFill="1" applyBorder="1" applyAlignment="1">
      <alignment horizontal="center" vertical="center"/>
    </xf>
    <xf numFmtId="0" fontId="273" fillId="3" borderId="2" xfId="21" applyFont="1" applyFill="1" applyBorder="1" applyAlignment="1">
      <alignment horizontal="center" vertical="center"/>
    </xf>
    <xf numFmtId="0" fontId="273" fillId="3" borderId="0" xfId="21" applyFont="1" applyFill="1" applyAlignment="1">
      <alignment horizontal="center" vertical="center"/>
    </xf>
    <xf numFmtId="0" fontId="275" fillId="3" borderId="2" xfId="21" applyFont="1" applyFill="1" applyBorder="1" applyAlignment="1">
      <alignment horizontal="center" vertical="center"/>
    </xf>
    <xf numFmtId="0" fontId="272" fillId="0" borderId="0" xfId="0" applyFont="1" applyAlignment="1">
      <alignment horizontal="center" vertical="center"/>
    </xf>
    <xf numFmtId="0" fontId="276" fillId="3" borderId="0" xfId="51" applyFont="1" applyFill="1" applyAlignment="1">
      <alignment horizontal="center" vertical="center"/>
    </xf>
    <xf numFmtId="0" fontId="276" fillId="0" borderId="0" xfId="51" applyFont="1" applyAlignment="1">
      <alignment horizontal="center" vertical="center"/>
    </xf>
    <xf numFmtId="0" fontId="269" fillId="3" borderId="0" xfId="51" applyFont="1" applyFill="1" applyAlignment="1">
      <alignment horizontal="center" vertical="center"/>
    </xf>
    <xf numFmtId="16" fontId="137" fillId="0" borderId="0" xfId="51" applyNumberFormat="1" applyFont="1" applyAlignment="1">
      <alignment horizontal="center" vertical="center"/>
    </xf>
    <xf numFmtId="0" fontId="272" fillId="3" borderId="0" xfId="51" applyFont="1" applyFill="1" applyAlignment="1">
      <alignment horizontal="center" vertical="center"/>
    </xf>
    <xf numFmtId="0" fontId="272" fillId="0" borderId="0" xfId="51" applyFont="1" applyAlignment="1">
      <alignment horizontal="center" vertical="center"/>
    </xf>
    <xf numFmtId="0" fontId="272" fillId="34" borderId="43" xfId="51" applyFont="1" applyFill="1" applyBorder="1" applyAlignment="1">
      <alignment horizontal="center" vertical="center" wrapText="1"/>
    </xf>
    <xf numFmtId="0" fontId="270" fillId="34" borderId="2" xfId="21" applyFont="1" applyFill="1" applyBorder="1" applyAlignment="1">
      <alignment horizontal="center" vertical="center"/>
    </xf>
    <xf numFmtId="0" fontId="273" fillId="0" borderId="0" xfId="0" applyFont="1" applyAlignment="1">
      <alignment horizontal="center" vertical="center"/>
    </xf>
    <xf numFmtId="0" fontId="272" fillId="20" borderId="0" xfId="0" applyFont="1" applyFill="1" applyAlignment="1">
      <alignment horizontal="center" vertical="center"/>
    </xf>
    <xf numFmtId="0" fontId="272" fillId="3" borderId="45" xfId="51" applyFont="1" applyFill="1" applyBorder="1" applyAlignment="1">
      <alignment horizontal="center" vertical="center"/>
    </xf>
    <xf numFmtId="0" fontId="272" fillId="20" borderId="45" xfId="51" applyFont="1" applyFill="1" applyBorder="1" applyAlignment="1">
      <alignment horizontal="center" vertical="center"/>
    </xf>
    <xf numFmtId="0" fontId="272" fillId="9" borderId="33" xfId="51" applyFont="1" applyFill="1" applyBorder="1" applyAlignment="1">
      <alignment horizontal="left" vertical="center"/>
    </xf>
    <xf numFmtId="0" fontId="272" fillId="3" borderId="70" xfId="51" applyFont="1" applyFill="1" applyBorder="1" applyAlignment="1">
      <alignment horizontal="left" vertical="center"/>
    </xf>
    <xf numFmtId="0" fontId="277" fillId="0" borderId="0" xfId="0" applyFont="1" applyAlignment="1">
      <alignment horizontal="center" vertical="center"/>
    </xf>
    <xf numFmtId="0" fontId="269" fillId="0" borderId="0" xfId="0" applyFont="1" applyAlignment="1">
      <alignment horizontal="center" vertical="center"/>
    </xf>
    <xf numFmtId="0" fontId="278" fillId="34" borderId="2" xfId="21" applyFont="1" applyFill="1" applyBorder="1" applyAlignment="1">
      <alignment horizontal="center" vertical="center"/>
    </xf>
    <xf numFmtId="0" fontId="271" fillId="20" borderId="2" xfId="21" applyFont="1" applyFill="1" applyBorder="1" applyAlignment="1">
      <alignment horizontal="center" vertical="center"/>
    </xf>
    <xf numFmtId="14" fontId="273" fillId="20" borderId="2" xfId="21" applyNumberFormat="1" applyFont="1" applyFill="1" applyBorder="1" applyAlignment="1">
      <alignment horizontal="center" vertical="center"/>
    </xf>
    <xf numFmtId="14" fontId="279" fillId="20" borderId="2" xfId="21" applyNumberFormat="1" applyFont="1" applyFill="1" applyBorder="1" applyAlignment="1">
      <alignment horizontal="center" vertical="center"/>
    </xf>
    <xf numFmtId="0" fontId="137" fillId="3" borderId="69" xfId="51" applyFont="1" applyFill="1" applyBorder="1" applyAlignment="1">
      <alignment horizontal="center" vertical="center"/>
    </xf>
    <xf numFmtId="0" fontId="137" fillId="3" borderId="20" xfId="51" applyFont="1" applyFill="1" applyBorder="1" applyAlignment="1">
      <alignment horizontal="center" vertical="center"/>
    </xf>
    <xf numFmtId="0" fontId="272" fillId="3" borderId="0" xfId="51" applyFont="1" applyFill="1" applyAlignment="1">
      <alignment vertical="center"/>
    </xf>
    <xf numFmtId="0" fontId="272" fillId="9" borderId="0" xfId="51" applyFont="1" applyFill="1" applyAlignment="1">
      <alignment vertical="center"/>
    </xf>
    <xf numFmtId="0" fontId="269" fillId="3" borderId="47" xfId="51" applyFont="1" applyFill="1" applyBorder="1" applyAlignment="1">
      <alignment horizontal="center" vertical="center"/>
    </xf>
    <xf numFmtId="0" fontId="272" fillId="3" borderId="0" xfId="0" applyFont="1" applyFill="1" applyAlignment="1">
      <alignment horizontal="center" vertical="center" wrapText="1"/>
    </xf>
    <xf numFmtId="0" fontId="137" fillId="0" borderId="49" xfId="51" applyFont="1" applyBorder="1" applyAlignment="1">
      <alignment horizontal="center" vertical="center"/>
    </xf>
    <xf numFmtId="0" fontId="137" fillId="0" borderId="22" xfId="51" applyFont="1" applyBorder="1" applyAlignment="1">
      <alignment horizontal="center" vertical="center"/>
    </xf>
    <xf numFmtId="0" fontId="137" fillId="0" borderId="50" xfId="51" applyFont="1" applyBorder="1" applyAlignment="1">
      <alignment horizontal="center" vertical="center"/>
    </xf>
    <xf numFmtId="14" fontId="273" fillId="0" borderId="2" xfId="21" applyNumberFormat="1" applyFont="1" applyBorder="1" applyAlignment="1">
      <alignment horizontal="center" vertical="center"/>
    </xf>
    <xf numFmtId="43" fontId="277" fillId="0" borderId="0" xfId="1" applyFont="1" applyFill="1" applyBorder="1" applyAlignment="1">
      <alignment horizontal="center" vertical="center"/>
    </xf>
    <xf numFmtId="0" fontId="276" fillId="0" borderId="0" xfId="0" applyFont="1" applyAlignment="1">
      <alignment horizontal="center" vertical="center"/>
    </xf>
    <xf numFmtId="14" fontId="273" fillId="20" borderId="8" xfId="21" applyNumberFormat="1" applyFont="1" applyFill="1" applyBorder="1" applyAlignment="1">
      <alignment horizontal="center" vertical="center"/>
    </xf>
    <xf numFmtId="0" fontId="273" fillId="35" borderId="2" xfId="21" applyFont="1" applyFill="1" applyBorder="1" applyAlignment="1">
      <alignment horizontal="center" vertical="center"/>
    </xf>
    <xf numFmtId="0" fontId="272" fillId="0" borderId="47" xfId="51" applyFont="1" applyBorder="1" applyAlignment="1">
      <alignment horizontal="center" vertical="center"/>
    </xf>
    <xf numFmtId="0" fontId="273" fillId="20" borderId="2" xfId="21" applyFont="1" applyFill="1" applyBorder="1" applyAlignment="1">
      <alignment horizontal="center" vertical="center"/>
    </xf>
    <xf numFmtId="0" fontId="273" fillId="34" borderId="2" xfId="21" applyFont="1" applyFill="1" applyBorder="1" applyAlignment="1">
      <alignment horizontal="center" vertical="center"/>
    </xf>
    <xf numFmtId="0" fontId="272" fillId="0" borderId="43" xfId="51" applyFont="1" applyBorder="1" applyAlignment="1">
      <alignment horizontal="center" vertical="center"/>
    </xf>
    <xf numFmtId="0" fontId="137" fillId="0" borderId="44" xfId="51" applyFont="1" applyBorder="1" applyAlignment="1">
      <alignment horizontal="center" vertical="center"/>
    </xf>
    <xf numFmtId="0" fontId="137" fillId="0" borderId="45" xfId="51" applyFont="1" applyBorder="1" applyAlignment="1">
      <alignment horizontal="center" vertical="center"/>
    </xf>
    <xf numFmtId="0" fontId="137" fillId="0" borderId="48" xfId="51" applyFont="1" applyBorder="1" applyAlignment="1">
      <alignment horizontal="center" vertical="center"/>
    </xf>
    <xf numFmtId="0" fontId="273" fillId="3" borderId="9" xfId="21" applyFont="1" applyFill="1" applyBorder="1" applyAlignment="1">
      <alignment horizontal="center" vertical="center"/>
    </xf>
    <xf numFmtId="14" fontId="273" fillId="20" borderId="3" xfId="21" applyNumberFormat="1" applyFont="1" applyFill="1" applyBorder="1" applyAlignment="1">
      <alignment horizontal="center" vertical="center"/>
    </xf>
    <xf numFmtId="0" fontId="137" fillId="3" borderId="0" xfId="51" applyFont="1" applyFill="1" applyAlignment="1">
      <alignment horizontal="center" vertical="center"/>
    </xf>
    <xf numFmtId="1" fontId="277" fillId="15" borderId="2" xfId="1" applyNumberFormat="1" applyFont="1" applyFill="1" applyBorder="1" applyAlignment="1">
      <alignment horizontal="center" vertical="center"/>
    </xf>
    <xf numFmtId="0" fontId="137" fillId="20" borderId="2" xfId="51" applyFont="1" applyFill="1" applyBorder="1" applyAlignment="1">
      <alignment horizontal="center" vertical="center"/>
    </xf>
    <xf numFmtId="0" fontId="137" fillId="20" borderId="25" xfId="51" applyFont="1" applyFill="1" applyBorder="1" applyAlignment="1">
      <alignment horizontal="center" vertical="center"/>
    </xf>
    <xf numFmtId="0" fontId="137" fillId="34" borderId="2" xfId="51" applyFont="1" applyFill="1" applyBorder="1" applyAlignment="1">
      <alignment horizontal="center" vertical="center"/>
    </xf>
    <xf numFmtId="0" fontId="137" fillId="0" borderId="20" xfId="51" applyFont="1" applyBorder="1" applyAlignment="1">
      <alignment horizontal="center" vertical="center"/>
    </xf>
    <xf numFmtId="0" fontId="273" fillId="3" borderId="4" xfId="21" applyFont="1" applyFill="1" applyBorder="1" applyAlignment="1">
      <alignment horizontal="center" vertical="center"/>
    </xf>
    <xf numFmtId="0" fontId="137" fillId="15" borderId="2" xfId="51" applyFont="1" applyFill="1" applyBorder="1" applyAlignment="1">
      <alignment horizontal="center" vertical="center"/>
    </xf>
    <xf numFmtId="1" fontId="277" fillId="20" borderId="2" xfId="1" applyNumberFormat="1" applyFont="1" applyFill="1" applyBorder="1" applyAlignment="1">
      <alignment horizontal="center" vertical="center"/>
    </xf>
    <xf numFmtId="0" fontId="137" fillId="34" borderId="0" xfId="51" applyFont="1" applyFill="1" applyAlignment="1">
      <alignment horizontal="center" vertical="center"/>
    </xf>
    <xf numFmtId="1" fontId="274" fillId="3" borderId="2" xfId="1" applyNumberFormat="1" applyFont="1" applyFill="1" applyBorder="1" applyAlignment="1">
      <alignment horizontal="center" vertical="center"/>
    </xf>
    <xf numFmtId="0" fontId="279" fillId="3" borderId="2" xfId="21" applyFont="1" applyFill="1" applyBorder="1" applyAlignment="1">
      <alignment horizontal="center" vertical="center"/>
    </xf>
    <xf numFmtId="0" fontId="137" fillId="3" borderId="43" xfId="51" applyFont="1" applyFill="1" applyBorder="1" applyAlignment="1">
      <alignment horizontal="center" vertical="center"/>
    </xf>
    <xf numFmtId="0" fontId="272" fillId="9" borderId="43" xfId="51" applyFont="1" applyFill="1" applyBorder="1" applyAlignment="1">
      <alignment horizontal="left" vertical="center"/>
    </xf>
    <xf numFmtId="0" fontId="272" fillId="3" borderId="0" xfId="51" applyFont="1" applyFill="1" applyAlignment="1">
      <alignment horizontal="left" vertical="center"/>
    </xf>
    <xf numFmtId="0" fontId="272" fillId="9" borderId="45" xfId="51" applyFont="1" applyFill="1" applyBorder="1" applyAlignment="1">
      <alignment horizontal="center" vertical="center"/>
    </xf>
    <xf numFmtId="0" fontId="275" fillId="20" borderId="2" xfId="21" applyFont="1" applyFill="1" applyBorder="1" applyAlignment="1">
      <alignment horizontal="center" vertical="center"/>
    </xf>
    <xf numFmtId="0" fontId="273" fillId="21" borderId="2" xfId="21" applyFont="1" applyFill="1" applyBorder="1" applyAlignment="1">
      <alignment horizontal="center" vertical="center"/>
    </xf>
    <xf numFmtId="0" fontId="277" fillId="3" borderId="0" xfId="0" applyFont="1" applyFill="1" applyAlignment="1">
      <alignment horizontal="center" vertical="center"/>
    </xf>
    <xf numFmtId="0" fontId="137" fillId="3" borderId="76" xfId="51" applyFont="1" applyFill="1" applyBorder="1" applyAlignment="1">
      <alignment horizontal="center" vertical="center"/>
    </xf>
    <xf numFmtId="0" fontId="137" fillId="3" borderId="32" xfId="51" applyFont="1" applyFill="1" applyBorder="1" applyAlignment="1">
      <alignment horizontal="center" vertical="center"/>
    </xf>
    <xf numFmtId="0" fontId="272" fillId="9" borderId="32" xfId="51" applyFont="1" applyFill="1" applyBorder="1" applyAlignment="1">
      <alignment horizontal="center" vertical="center"/>
    </xf>
    <xf numFmtId="0" fontId="137" fillId="3" borderId="32" xfId="51" applyFont="1" applyFill="1" applyBorder="1" applyAlignment="1">
      <alignment horizontal="right" vertical="center"/>
    </xf>
    <xf numFmtId="0" fontId="272" fillId="9" borderId="32" xfId="51" applyFont="1" applyFill="1" applyBorder="1" applyAlignment="1">
      <alignment horizontal="right" vertical="center"/>
    </xf>
    <xf numFmtId="0" fontId="137" fillId="15" borderId="0" xfId="51" applyFont="1" applyFill="1" applyAlignment="1">
      <alignment horizontal="center" vertical="center"/>
    </xf>
    <xf numFmtId="0" fontId="275" fillId="3" borderId="0" xfId="21" applyFont="1" applyFill="1" applyAlignment="1">
      <alignment horizontal="center" vertical="center"/>
    </xf>
    <xf numFmtId="0" fontId="272" fillId="9" borderId="0" xfId="0" applyFont="1" applyFill="1" applyAlignment="1">
      <alignment horizontal="center" vertical="center" wrapText="1"/>
    </xf>
    <xf numFmtId="0" fontId="272" fillId="9" borderId="0" xfId="51" applyFont="1" applyFill="1" applyAlignment="1">
      <alignment horizontal="center" vertical="center" wrapText="1"/>
    </xf>
    <xf numFmtId="0" fontId="274" fillId="3" borderId="0" xfId="51" applyFont="1" applyFill="1" applyAlignment="1">
      <alignment horizontal="center" vertical="center" wrapText="1"/>
    </xf>
    <xf numFmtId="0" fontId="172" fillId="0" borderId="2" xfId="0" applyFont="1" applyBorder="1" applyAlignment="1">
      <alignment wrapText="1"/>
    </xf>
    <xf numFmtId="0" fontId="268" fillId="0" borderId="0" xfId="0" applyFont="1" applyAlignment="1">
      <alignment horizontal="left" vertical="top" wrapText="1"/>
    </xf>
    <xf numFmtId="0" fontId="183" fillId="0" borderId="0" xfId="0" applyFont="1" applyAlignment="1">
      <alignment horizontal="center" vertical="center"/>
    </xf>
    <xf numFmtId="0" fontId="241" fillId="0" borderId="25" xfId="0" applyFont="1" applyBorder="1" applyAlignment="1">
      <alignment horizontal="center" vertical="center" wrapText="1" readingOrder="1"/>
    </xf>
    <xf numFmtId="0" fontId="241" fillId="0" borderId="33" xfId="0" applyFont="1" applyBorder="1" applyAlignment="1">
      <alignment horizontal="center" vertical="center" wrapText="1" readingOrder="1"/>
    </xf>
    <xf numFmtId="0" fontId="241" fillId="0" borderId="28" xfId="0" applyFont="1" applyBorder="1" applyAlignment="1">
      <alignment horizontal="center" vertical="center" wrapText="1" readingOrder="1"/>
    </xf>
    <xf numFmtId="0" fontId="180" fillId="2" borderId="0" xfId="0" applyFont="1" applyFill="1" applyAlignment="1" applyProtection="1">
      <alignment horizontal="center"/>
      <protection hidden="1"/>
    </xf>
    <xf numFmtId="0" fontId="180" fillId="2" borderId="35" xfId="0" applyFont="1" applyFill="1" applyBorder="1" applyAlignment="1" applyProtection="1">
      <alignment horizontal="center"/>
      <protection hidden="1"/>
    </xf>
    <xf numFmtId="0" fontId="180" fillId="2" borderId="32" xfId="0" applyFont="1" applyFill="1" applyBorder="1" applyAlignment="1" applyProtection="1">
      <alignment horizontal="center"/>
      <protection hidden="1"/>
    </xf>
    <xf numFmtId="0" fontId="180" fillId="2" borderId="27" xfId="0" applyFont="1" applyFill="1" applyBorder="1" applyAlignment="1" applyProtection="1">
      <alignment horizontal="center"/>
      <protection hidden="1"/>
    </xf>
    <xf numFmtId="167" fontId="126" fillId="2" borderId="2" xfId="4" applyNumberFormat="1" applyFont="1" applyFill="1" applyBorder="1" applyAlignment="1" applyProtection="1">
      <alignment horizontal="center" vertical="center"/>
      <protection hidden="1"/>
    </xf>
    <xf numFmtId="0" fontId="177" fillId="2" borderId="33" xfId="0" applyFont="1" applyFill="1" applyBorder="1" applyAlignment="1" applyProtection="1">
      <alignment horizontal="center" vertical="center"/>
      <protection hidden="1"/>
    </xf>
    <xf numFmtId="0" fontId="177" fillId="2" borderId="28" xfId="0" applyFont="1" applyFill="1" applyBorder="1" applyAlignment="1" applyProtection="1">
      <alignment horizontal="center" vertical="center"/>
      <protection hidden="1"/>
    </xf>
    <xf numFmtId="167" fontId="178" fillId="2" borderId="23" xfId="17" applyNumberFormat="1" applyFont="1" applyFill="1" applyBorder="1" applyAlignment="1" applyProtection="1">
      <alignment horizontal="left" vertical="center" indent="3"/>
      <protection hidden="1"/>
    </xf>
    <xf numFmtId="167" fontId="178" fillId="2" borderId="5" xfId="17" applyNumberFormat="1" applyFont="1" applyFill="1" applyBorder="1" applyAlignment="1" applyProtection="1">
      <alignment horizontal="left" vertical="center" indent="3"/>
      <protection hidden="1"/>
    </xf>
    <xf numFmtId="167" fontId="178" fillId="2" borderId="24" xfId="17" applyNumberFormat="1" applyFont="1" applyFill="1" applyBorder="1" applyAlignment="1" applyProtection="1">
      <alignment horizontal="left" vertical="center" indent="3"/>
      <protection hidden="1"/>
    </xf>
    <xf numFmtId="167" fontId="178" fillId="2" borderId="20" xfId="17" applyNumberFormat="1" applyFont="1" applyFill="1" applyBorder="1" applyAlignment="1" applyProtection="1">
      <alignment horizontal="left" vertical="center" indent="3"/>
      <protection hidden="1"/>
    </xf>
    <xf numFmtId="167" fontId="178" fillId="2" borderId="0" xfId="17" applyNumberFormat="1" applyFont="1" applyFill="1" applyAlignment="1" applyProtection="1">
      <alignment horizontal="left" vertical="center" indent="3"/>
      <protection hidden="1"/>
    </xf>
    <xf numFmtId="167" fontId="178" fillId="2" borderId="35" xfId="17" applyNumberFormat="1" applyFont="1" applyFill="1" applyBorder="1" applyAlignment="1" applyProtection="1">
      <alignment horizontal="left" vertical="center" indent="3"/>
      <protection hidden="1"/>
    </xf>
    <xf numFmtId="0" fontId="181" fillId="5" borderId="2" xfId="0" applyFont="1" applyFill="1" applyBorder="1" applyAlignment="1" applyProtection="1">
      <alignment horizontal="center" vertical="center" wrapText="1"/>
      <protection hidden="1"/>
    </xf>
    <xf numFmtId="0" fontId="250" fillId="10" borderId="25" xfId="0" applyFont="1" applyFill="1" applyBorder="1" applyAlignment="1" applyProtection="1">
      <alignment horizontal="center" vertical="center" wrapText="1"/>
      <protection hidden="1"/>
    </xf>
    <xf numFmtId="0" fontId="250" fillId="10" borderId="33" xfId="0" applyFont="1" applyFill="1" applyBorder="1" applyAlignment="1" applyProtection="1">
      <alignment horizontal="center" vertical="center" wrapText="1"/>
      <protection hidden="1"/>
    </xf>
    <xf numFmtId="0" fontId="250" fillId="10" borderId="28" xfId="0" applyFont="1" applyFill="1" applyBorder="1" applyAlignment="1" applyProtection="1">
      <alignment horizontal="center" vertical="center" wrapText="1"/>
      <protection hidden="1"/>
    </xf>
    <xf numFmtId="0" fontId="252" fillId="10" borderId="33" xfId="0" applyFont="1" applyFill="1" applyBorder="1" applyAlignment="1" applyProtection="1">
      <alignment horizontal="left" vertical="center" wrapText="1"/>
      <protection hidden="1"/>
    </xf>
    <xf numFmtId="0" fontId="252" fillId="10" borderId="25" xfId="0" applyFont="1" applyFill="1" applyBorder="1" applyAlignment="1" applyProtection="1">
      <alignment horizontal="center" vertical="center"/>
      <protection hidden="1"/>
    </xf>
    <xf numFmtId="0" fontId="252" fillId="10" borderId="33" xfId="0" applyFont="1" applyFill="1" applyBorder="1" applyAlignment="1" applyProtection="1">
      <alignment horizontal="center" vertical="center"/>
      <protection hidden="1"/>
    </xf>
    <xf numFmtId="0" fontId="252" fillId="10" borderId="28" xfId="0" applyFont="1" applyFill="1" applyBorder="1" applyAlignment="1" applyProtection="1">
      <alignment horizontal="center" vertical="center"/>
      <protection hidden="1"/>
    </xf>
    <xf numFmtId="0" fontId="241" fillId="0" borderId="25" xfId="0" applyFont="1" applyBorder="1" applyAlignment="1">
      <alignment horizontal="center" vertical="center" readingOrder="1"/>
    </xf>
    <xf numFmtId="0" fontId="241" fillId="0" borderId="33" xfId="0" applyFont="1" applyBorder="1" applyAlignment="1">
      <alignment horizontal="center" vertical="center" readingOrder="1"/>
    </xf>
    <xf numFmtId="0" fontId="241" fillId="0" borderId="28" xfId="0" applyFont="1" applyBorder="1" applyAlignment="1">
      <alignment horizontal="center" vertical="center" readingOrder="1"/>
    </xf>
    <xf numFmtId="0" fontId="241" fillId="0" borderId="23" xfId="0" applyFont="1" applyBorder="1" applyAlignment="1">
      <alignment horizontal="center" vertical="center" wrapText="1" readingOrder="1"/>
    </xf>
    <xf numFmtId="0" fontId="241" fillId="0" borderId="5" xfId="0" applyFont="1" applyBorder="1" applyAlignment="1">
      <alignment horizontal="center" vertical="center" wrapText="1" readingOrder="1"/>
    </xf>
    <xf numFmtId="0" fontId="241" fillId="0" borderId="24" xfId="0" applyFont="1" applyBorder="1" applyAlignment="1">
      <alignment horizontal="center" vertical="center" wrapText="1" readingOrder="1"/>
    </xf>
    <xf numFmtId="0" fontId="241" fillId="0" borderId="20" xfId="0" applyFont="1" applyBorder="1" applyAlignment="1">
      <alignment horizontal="center" vertical="center" wrapText="1" readingOrder="1"/>
    </xf>
    <xf numFmtId="0" fontId="241" fillId="0" borderId="0" xfId="0" applyFont="1" applyAlignment="1">
      <alignment horizontal="center" vertical="center" wrapText="1" readingOrder="1"/>
    </xf>
    <xf numFmtId="0" fontId="241" fillId="0" borderId="35" xfId="0" applyFont="1" applyBorder="1" applyAlignment="1">
      <alignment horizontal="center" vertical="center" wrapText="1" readingOrder="1"/>
    </xf>
    <xf numFmtId="0" fontId="241" fillId="0" borderId="26" xfId="0" applyFont="1" applyBorder="1" applyAlignment="1">
      <alignment horizontal="center" vertical="center" wrapText="1" readingOrder="1"/>
    </xf>
    <xf numFmtId="0" fontId="241" fillId="0" borderId="32" xfId="0" applyFont="1" applyBorder="1" applyAlignment="1">
      <alignment horizontal="center" vertical="center" wrapText="1" readingOrder="1"/>
    </xf>
    <xf numFmtId="0" fontId="241" fillId="0" borderId="27" xfId="0" applyFont="1" applyBorder="1" applyAlignment="1">
      <alignment horizontal="center" vertical="center" wrapText="1" readingOrder="1"/>
    </xf>
    <xf numFmtId="0" fontId="172" fillId="0" borderId="0" xfId="0" applyFont="1" applyAlignment="1">
      <alignment horizontal="center" vertical="center"/>
    </xf>
    <xf numFmtId="0" fontId="148" fillId="0" borderId="25" xfId="0" applyFont="1" applyBorder="1" applyAlignment="1">
      <alignment horizontal="center" vertical="center" wrapText="1"/>
    </xf>
    <xf numFmtId="0" fontId="148" fillId="0" borderId="33" xfId="0" applyFont="1" applyBorder="1" applyAlignment="1">
      <alignment horizontal="center" vertical="center" wrapText="1"/>
    </xf>
    <xf numFmtId="0" fontId="148" fillId="0" borderId="28" xfId="0" applyFont="1" applyBorder="1" applyAlignment="1">
      <alignment horizontal="center" vertical="center" wrapText="1"/>
    </xf>
    <xf numFmtId="0" fontId="148" fillId="0" borderId="23" xfId="0" applyFont="1" applyBorder="1" applyAlignment="1">
      <alignment horizontal="center" vertical="center" wrapText="1"/>
    </xf>
    <xf numFmtId="0" fontId="148" fillId="0" borderId="5" xfId="0" applyFont="1" applyBorder="1" applyAlignment="1">
      <alignment horizontal="center" vertical="center" wrapText="1"/>
    </xf>
    <xf numFmtId="0" fontId="148" fillId="0" borderId="24" xfId="0" applyFont="1" applyBorder="1" applyAlignment="1">
      <alignment horizontal="center" vertical="center" wrapText="1"/>
    </xf>
    <xf numFmtId="0" fontId="136" fillId="0" borderId="2" xfId="0" applyFont="1" applyBorder="1" applyAlignment="1">
      <alignment horizontal="left" vertical="center"/>
    </xf>
    <xf numFmtId="0" fontId="136" fillId="0" borderId="2" xfId="0" applyFont="1" applyBorder="1" applyAlignment="1">
      <alignment horizontal="left" vertical="center" wrapText="1"/>
    </xf>
    <xf numFmtId="0" fontId="148" fillId="3" borderId="25" xfId="0" applyFont="1" applyFill="1" applyBorder="1" applyAlignment="1">
      <alignment horizontal="center" vertical="center"/>
    </xf>
    <xf numFmtId="0" fontId="148" fillId="3" borderId="33" xfId="0" applyFont="1" applyFill="1" applyBorder="1" applyAlignment="1">
      <alignment horizontal="center" vertical="center"/>
    </xf>
    <xf numFmtId="0" fontId="148" fillId="3" borderId="28" xfId="0" applyFont="1" applyFill="1" applyBorder="1" applyAlignment="1">
      <alignment horizontal="center" vertical="center"/>
    </xf>
    <xf numFmtId="0" fontId="0" fillId="3" borderId="74"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70" fillId="3" borderId="0" xfId="0" applyFont="1" applyFill="1" applyAlignment="1">
      <alignment horizontal="center" vertical="top"/>
    </xf>
    <xf numFmtId="0" fontId="135" fillId="0" borderId="2" xfId="0" applyFont="1" applyBorder="1" applyAlignment="1">
      <alignment horizontal="center" vertical="center"/>
    </xf>
    <xf numFmtId="0" fontId="135" fillId="3" borderId="2" xfId="0" applyFont="1" applyFill="1" applyBorder="1" applyAlignment="1">
      <alignment horizontal="center" vertical="center" wrapText="1"/>
    </xf>
    <xf numFmtId="0" fontId="136" fillId="0" borderId="2" xfId="0" applyFont="1" applyBorder="1" applyAlignment="1">
      <alignment horizontal="center" wrapText="1"/>
    </xf>
    <xf numFmtId="14" fontId="0" fillId="0" borderId="2" xfId="0" applyNumberFormat="1" applyBorder="1" applyAlignment="1">
      <alignment horizontal="left" vertical="center"/>
    </xf>
    <xf numFmtId="0" fontId="0" fillId="0" borderId="2" xfId="0" applyBorder="1" applyAlignment="1">
      <alignment horizontal="left" vertical="center"/>
    </xf>
    <xf numFmtId="0" fontId="142" fillId="0" borderId="2" xfId="0" applyFont="1" applyBorder="1" applyAlignment="1">
      <alignment horizontal="center" vertical="center" wrapText="1"/>
    </xf>
    <xf numFmtId="0" fontId="172" fillId="0" borderId="3" xfId="0" applyFont="1" applyBorder="1" applyAlignment="1">
      <alignment horizontal="left" vertical="center" wrapText="1"/>
    </xf>
    <xf numFmtId="0" fontId="172" fillId="0" borderId="46" xfId="0" applyFont="1" applyBorder="1" applyAlignment="1">
      <alignment horizontal="left" vertical="center" wrapText="1"/>
    </xf>
    <xf numFmtId="0" fontId="172" fillId="0" borderId="4" xfId="0" applyFont="1" applyBorder="1" applyAlignment="1">
      <alignment horizontal="left" vertical="center" wrapText="1"/>
    </xf>
    <xf numFmtId="0" fontId="70" fillId="0" borderId="25" xfId="0" applyFont="1" applyBorder="1" applyAlignment="1">
      <alignment horizontal="center" vertical="top"/>
    </xf>
    <xf numFmtId="0" fontId="70" fillId="0" borderId="28" xfId="0" applyFont="1" applyBorder="1" applyAlignment="1">
      <alignment horizontal="center" vertical="top"/>
    </xf>
    <xf numFmtId="0" fontId="70" fillId="0" borderId="25" xfId="0" applyFont="1" applyBorder="1" applyAlignment="1">
      <alignment horizontal="center"/>
    </xf>
    <xf numFmtId="0" fontId="70" fillId="0" borderId="33" xfId="0" applyFont="1" applyBorder="1" applyAlignment="1">
      <alignment horizontal="center"/>
    </xf>
    <xf numFmtId="0" fontId="70" fillId="0" borderId="28" xfId="0" applyFont="1" applyBorder="1" applyAlignment="1">
      <alignment horizontal="center"/>
    </xf>
    <xf numFmtId="0" fontId="70" fillId="0" borderId="5" xfId="0" applyFont="1" applyBorder="1" applyAlignment="1">
      <alignment horizontal="center" vertical="top"/>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35" fillId="0" borderId="6" xfId="0" applyFont="1" applyBorder="1" applyAlignment="1">
      <alignment horizontal="left" vertical="center"/>
    </xf>
    <xf numFmtId="0" fontId="135" fillId="0" borderId="7" xfId="0" applyFont="1" applyBorder="1" applyAlignment="1">
      <alignment horizontal="left" vertical="center"/>
    </xf>
    <xf numFmtId="0" fontId="135" fillId="0" borderId="13" xfId="0" applyFont="1" applyBorder="1" applyAlignment="1">
      <alignment horizontal="left" vertical="center"/>
    </xf>
    <xf numFmtId="0" fontId="135" fillId="3" borderId="8" xfId="0" applyFont="1" applyFill="1" applyBorder="1" applyAlignment="1">
      <alignment horizontal="left" vertical="center" wrapText="1"/>
    </xf>
    <xf numFmtId="0" fontId="135" fillId="3" borderId="2" xfId="0" applyFont="1" applyFill="1" applyBorder="1" applyAlignment="1">
      <alignment horizontal="left" vertical="center" wrapText="1"/>
    </xf>
    <xf numFmtId="0" fontId="135" fillId="3" borderId="14" xfId="0" applyFont="1" applyFill="1" applyBorder="1" applyAlignment="1">
      <alignment horizontal="left" vertical="center" wrapText="1"/>
    </xf>
    <xf numFmtId="0" fontId="136" fillId="0" borderId="8" xfId="0" applyFont="1" applyBorder="1" applyAlignment="1">
      <alignment horizontal="left" wrapText="1"/>
    </xf>
    <xf numFmtId="0" fontId="136" fillId="0" borderId="2" xfId="0" applyFont="1" applyBorder="1" applyAlignment="1">
      <alignment horizontal="left" wrapText="1"/>
    </xf>
    <xf numFmtId="0" fontId="136"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42" fillId="0" borderId="25" xfId="0" applyFont="1" applyBorder="1" applyAlignment="1">
      <alignment horizontal="center" vertical="center" wrapText="1"/>
    </xf>
    <xf numFmtId="0" fontId="142" fillId="0" borderId="33" xfId="0" applyFont="1" applyBorder="1" applyAlignment="1">
      <alignment horizontal="center" vertical="center" wrapText="1"/>
    </xf>
    <xf numFmtId="0" fontId="142" fillId="0" borderId="28" xfId="0" applyFont="1" applyBorder="1" applyAlignment="1">
      <alignment horizontal="center" vertical="center" wrapText="1"/>
    </xf>
    <xf numFmtId="0" fontId="148" fillId="3" borderId="2" xfId="0" applyFont="1" applyFill="1" applyBorder="1" applyAlignment="1">
      <alignment horizontal="center" vertical="center"/>
    </xf>
    <xf numFmtId="0" fontId="172" fillId="3" borderId="3" xfId="0" applyFont="1" applyFill="1" applyBorder="1" applyAlignment="1">
      <alignment horizontal="left" vertical="center" wrapText="1"/>
    </xf>
    <xf numFmtId="0" fontId="172" fillId="3" borderId="46" xfId="0" applyFont="1" applyFill="1" applyBorder="1" applyAlignment="1">
      <alignment horizontal="left" vertical="center" wrapText="1"/>
    </xf>
    <xf numFmtId="0" fontId="172" fillId="3" borderId="4" xfId="0" applyFont="1" applyFill="1" applyBorder="1" applyAlignment="1">
      <alignment horizontal="left" vertical="center" wrapText="1"/>
    </xf>
    <xf numFmtId="0" fontId="209" fillId="9" borderId="44" xfId="0" applyFont="1" applyFill="1" applyBorder="1" applyAlignment="1">
      <alignment horizontal="center" vertical="center" wrapText="1"/>
    </xf>
    <xf numFmtId="0" fontId="209" fillId="9" borderId="45" xfId="0" applyFont="1" applyFill="1" applyBorder="1" applyAlignment="1">
      <alignment horizontal="center" vertical="center" wrapText="1"/>
    </xf>
    <xf numFmtId="0" fontId="210" fillId="25" borderId="68" xfId="0" applyFont="1" applyFill="1" applyBorder="1" applyAlignment="1">
      <alignment horizontal="center" vertical="center" wrapText="1"/>
    </xf>
    <xf numFmtId="0" fontId="210" fillId="25" borderId="66" xfId="0" applyFont="1" applyFill="1" applyBorder="1" applyAlignment="1">
      <alignment horizontal="center" vertical="center" wrapText="1"/>
    </xf>
    <xf numFmtId="0" fontId="212" fillId="25" borderId="68" xfId="0" applyFont="1" applyFill="1" applyBorder="1" applyAlignment="1">
      <alignment horizontal="center" vertical="center" wrapText="1"/>
    </xf>
    <xf numFmtId="0" fontId="212" fillId="25" borderId="65" xfId="0" applyFont="1" applyFill="1" applyBorder="1" applyAlignment="1">
      <alignment horizontal="center" vertical="center" wrapText="1"/>
    </xf>
    <xf numFmtId="0" fontId="0" fillId="3" borderId="5" xfId="0" applyFill="1" applyBorder="1" applyAlignment="1">
      <alignment horizontal="center" vertical="top"/>
    </xf>
    <xf numFmtId="0" fontId="136" fillId="3" borderId="2" xfId="0" applyFont="1" applyFill="1" applyBorder="1" applyAlignment="1">
      <alignment horizontal="left" vertical="center"/>
    </xf>
    <xf numFmtId="0" fontId="136" fillId="3" borderId="2" xfId="0" applyFont="1" applyFill="1" applyBorder="1" applyAlignment="1">
      <alignment horizontal="left" vertical="center" wrapText="1"/>
    </xf>
    <xf numFmtId="0" fontId="142" fillId="9" borderId="25" xfId="0" applyFont="1" applyFill="1" applyBorder="1" applyAlignment="1">
      <alignment horizontal="center"/>
    </xf>
    <xf numFmtId="0" fontId="142" fillId="9" borderId="33" xfId="0" applyFont="1" applyFill="1" applyBorder="1" applyAlignment="1">
      <alignment horizontal="center"/>
    </xf>
    <xf numFmtId="0" fontId="142" fillId="9" borderId="28" xfId="0" applyFont="1" applyFill="1" applyBorder="1" applyAlignment="1">
      <alignment horizontal="center"/>
    </xf>
    <xf numFmtId="0" fontId="135" fillId="0" borderId="17" xfId="0" applyFont="1" applyBorder="1" applyAlignment="1">
      <alignment horizontal="left" vertical="center"/>
    </xf>
    <xf numFmtId="0" fontId="135" fillId="0" borderId="18" xfId="0" applyFont="1" applyBorder="1" applyAlignment="1">
      <alignment horizontal="left" vertical="center"/>
    </xf>
    <xf numFmtId="0" fontId="135" fillId="0" borderId="19" xfId="0" applyFont="1" applyBorder="1" applyAlignment="1">
      <alignment horizontal="left" vertical="center"/>
    </xf>
    <xf numFmtId="0" fontId="190" fillId="3" borderId="69" xfId="0" applyFont="1" applyFill="1" applyBorder="1" applyAlignment="1">
      <alignment horizontal="left" vertical="center" wrapText="1"/>
    </xf>
    <xf numFmtId="0" fontId="190" fillId="3" borderId="33" xfId="0" applyFont="1" applyFill="1" applyBorder="1" applyAlignment="1">
      <alignment horizontal="left" vertical="center" wrapText="1"/>
    </xf>
    <xf numFmtId="0" fontId="190" fillId="3" borderId="70" xfId="0" applyFont="1" applyFill="1" applyBorder="1" applyAlignment="1">
      <alignment horizontal="left" vertical="center" wrapText="1"/>
    </xf>
    <xf numFmtId="0" fontId="135" fillId="3" borderId="69" xfId="0" applyFont="1" applyFill="1" applyBorder="1" applyAlignment="1">
      <alignment horizontal="left" vertical="center" wrapText="1"/>
    </xf>
    <xf numFmtId="0" fontId="135" fillId="3" borderId="33" xfId="0" applyFont="1" applyFill="1" applyBorder="1" applyAlignment="1">
      <alignment horizontal="left" vertical="center" wrapText="1"/>
    </xf>
    <xf numFmtId="0" fontId="135" fillId="3" borderId="70" xfId="0" applyFont="1" applyFill="1" applyBorder="1" applyAlignment="1">
      <alignment horizontal="left" vertical="center" wrapText="1"/>
    </xf>
    <xf numFmtId="0" fontId="136" fillId="0" borderId="69" xfId="0" applyFont="1" applyBorder="1" applyAlignment="1">
      <alignment horizontal="left" wrapText="1"/>
    </xf>
    <xf numFmtId="0" fontId="136" fillId="0" borderId="33" xfId="0" applyFont="1" applyBorder="1" applyAlignment="1">
      <alignment horizontal="left" wrapText="1"/>
    </xf>
    <xf numFmtId="0" fontId="136" fillId="0" borderId="70" xfId="0" applyFont="1" applyBorder="1" applyAlignment="1">
      <alignment horizontal="left" wrapText="1"/>
    </xf>
    <xf numFmtId="0" fontId="142" fillId="0" borderId="0" xfId="0" applyFont="1" applyAlignment="1">
      <alignment horizontal="center" vertical="top"/>
    </xf>
    <xf numFmtId="0" fontId="142" fillId="0" borderId="2" xfId="0" applyFont="1" applyBorder="1" applyAlignment="1">
      <alignment horizontal="center" wrapText="1"/>
    </xf>
    <xf numFmtId="0" fontId="168" fillId="0" borderId="2" xfId="0" applyFont="1" applyBorder="1" applyAlignment="1">
      <alignment horizontal="center" vertical="center" wrapText="1"/>
    </xf>
    <xf numFmtId="0" fontId="168" fillId="0" borderId="3" xfId="0" applyFont="1" applyBorder="1" applyAlignment="1">
      <alignment horizontal="center" vertical="center" wrapText="1"/>
    </xf>
    <xf numFmtId="0" fontId="168" fillId="0" borderId="33" xfId="0" applyFont="1" applyBorder="1" applyAlignment="1">
      <alignment horizontal="center" vertical="center" wrapText="1"/>
    </xf>
    <xf numFmtId="0" fontId="168" fillId="0" borderId="4" xfId="0" applyFont="1" applyBorder="1" applyAlignment="1">
      <alignment horizontal="center" vertical="center" wrapText="1"/>
    </xf>
    <xf numFmtId="0" fontId="149" fillId="0" borderId="49" xfId="18" applyFont="1" applyBorder="1" applyAlignment="1">
      <alignment horizontal="center" vertical="center"/>
    </xf>
    <xf numFmtId="0" fontId="149" fillId="0" borderId="22" xfId="18" applyFont="1" applyBorder="1" applyAlignment="1">
      <alignment horizontal="center" vertical="center"/>
    </xf>
    <xf numFmtId="0" fontId="149" fillId="0" borderId="50" xfId="18" applyFont="1" applyBorder="1" applyAlignment="1">
      <alignment horizontal="center" vertical="center"/>
    </xf>
    <xf numFmtId="0" fontId="150" fillId="0" borderId="43" xfId="0" applyFont="1" applyBorder="1" applyAlignment="1">
      <alignment horizontal="center" vertical="center"/>
    </xf>
    <xf numFmtId="0" fontId="150" fillId="0" borderId="0" xfId="0" applyFont="1" applyAlignment="1">
      <alignment horizontal="center" vertical="center"/>
    </xf>
    <xf numFmtId="0" fontId="150" fillId="0" borderId="47" xfId="0" applyFont="1" applyBorder="1" applyAlignment="1">
      <alignment horizontal="center" vertical="center"/>
    </xf>
    <xf numFmtId="0" fontId="151" fillId="11" borderId="2" xfId="0" applyFont="1" applyFill="1" applyBorder="1" applyAlignment="1">
      <alignment horizontal="center" vertical="center"/>
    </xf>
    <xf numFmtId="0" fontId="151" fillId="11" borderId="25" xfId="0" applyFont="1" applyFill="1" applyBorder="1" applyAlignment="1">
      <alignment horizontal="center" vertical="center"/>
    </xf>
    <xf numFmtId="0" fontId="151" fillId="11" borderId="33" xfId="0" applyFont="1" applyFill="1" applyBorder="1" applyAlignment="1">
      <alignment horizontal="center" vertical="center"/>
    </xf>
    <xf numFmtId="0" fontId="151" fillId="11" borderId="28" xfId="0" applyFont="1" applyFill="1" applyBorder="1" applyAlignment="1">
      <alignment horizontal="center" vertical="center"/>
    </xf>
    <xf numFmtId="0" fontId="151" fillId="3" borderId="0" xfId="0" applyFont="1" applyFill="1" applyAlignment="1">
      <alignment horizontal="center" vertical="center"/>
    </xf>
    <xf numFmtId="0" fontId="151" fillId="0" borderId="25" xfId="0" applyFont="1" applyBorder="1" applyAlignment="1">
      <alignment horizontal="center" vertical="center"/>
    </xf>
    <xf numFmtId="0" fontId="151" fillId="0" borderId="28" xfId="0" applyFont="1" applyBorder="1" applyAlignment="1">
      <alignment horizontal="center" vertical="center"/>
    </xf>
    <xf numFmtId="0" fontId="151" fillId="11" borderId="2" xfId="0" applyFont="1" applyFill="1" applyBorder="1" applyAlignment="1">
      <alignment horizontal="center" vertical="center" wrapText="1"/>
    </xf>
    <xf numFmtId="0" fontId="153" fillId="0" borderId="3" xfId="0" applyFont="1" applyBorder="1" applyAlignment="1">
      <alignment horizontal="center" vertical="center"/>
    </xf>
    <xf numFmtId="0" fontId="153" fillId="0" borderId="46" xfId="0" applyFont="1" applyBorder="1" applyAlignment="1">
      <alignment horizontal="center" vertical="center"/>
    </xf>
    <xf numFmtId="0" fontId="153" fillId="0" borderId="4" xfId="0" applyFont="1" applyBorder="1" applyAlignment="1">
      <alignment horizontal="center" vertical="center"/>
    </xf>
    <xf numFmtId="170" fontId="152" fillId="11" borderId="43" xfId="0" applyNumberFormat="1" applyFont="1" applyFill="1" applyBorder="1" applyAlignment="1">
      <alignment horizontal="center" vertical="center"/>
    </xf>
    <xf numFmtId="170" fontId="152" fillId="11" borderId="0" xfId="0" applyNumberFormat="1" applyFont="1" applyFill="1" applyAlignment="1">
      <alignment horizontal="center" vertical="center"/>
    </xf>
    <xf numFmtId="0" fontId="151" fillId="11" borderId="23" xfId="0" applyFont="1" applyFill="1" applyBorder="1" applyAlignment="1">
      <alignment horizontal="center" vertical="center"/>
    </xf>
    <xf numFmtId="0" fontId="151" fillId="11" borderId="24" xfId="0" applyFont="1" applyFill="1" applyBorder="1" applyAlignment="1">
      <alignment horizontal="center" vertical="center"/>
    </xf>
    <xf numFmtId="0" fontId="151" fillId="11" borderId="26" xfId="0" applyFont="1" applyFill="1" applyBorder="1" applyAlignment="1">
      <alignment horizontal="center" vertical="center"/>
    </xf>
    <xf numFmtId="0" fontId="151" fillId="11" borderId="27" xfId="0" applyFont="1" applyFill="1" applyBorder="1" applyAlignment="1">
      <alignment horizontal="center" vertical="center"/>
    </xf>
    <xf numFmtId="0" fontId="150" fillId="0" borderId="44" xfId="0" applyFont="1" applyBorder="1" applyAlignment="1">
      <alignment horizontal="center" vertical="center"/>
    </xf>
    <xf numFmtId="0" fontId="150" fillId="0" borderId="45" xfId="0" applyFont="1" applyBorder="1" applyAlignment="1">
      <alignment horizontal="center" vertical="center"/>
    </xf>
    <xf numFmtId="0" fontId="150" fillId="0" borderId="48" xfId="0" applyFont="1" applyBorder="1" applyAlignment="1">
      <alignment horizontal="center" vertical="center"/>
    </xf>
    <xf numFmtId="0" fontId="153" fillId="0" borderId="17" xfId="0" applyFont="1" applyBorder="1" applyAlignment="1">
      <alignment horizontal="center" vertical="center"/>
    </xf>
    <xf numFmtId="0" fontId="153" fillId="0" borderId="18" xfId="0" applyFont="1" applyBorder="1" applyAlignment="1">
      <alignment horizontal="center" vertical="center"/>
    </xf>
    <xf numFmtId="0" fontId="153" fillId="0" borderId="19" xfId="0" applyFont="1" applyBorder="1" applyAlignment="1">
      <alignment horizontal="center" vertical="center"/>
    </xf>
    <xf numFmtId="0" fontId="153" fillId="0" borderId="51" xfId="0" applyFont="1" applyBorder="1" applyAlignment="1">
      <alignment horizontal="center" vertical="center"/>
    </xf>
    <xf numFmtId="0" fontId="153" fillId="0" borderId="52" xfId="0" applyFont="1" applyBorder="1" applyAlignment="1">
      <alignment horizontal="center" vertical="center"/>
    </xf>
    <xf numFmtId="44" fontId="153" fillId="0" borderId="51" xfId="2" applyFont="1" applyFill="1" applyBorder="1" applyAlignment="1">
      <alignment horizontal="center" vertical="center"/>
    </xf>
    <xf numFmtId="44" fontId="153" fillId="0" borderId="52" xfId="2" applyFont="1" applyFill="1" applyBorder="1" applyAlignment="1">
      <alignment horizontal="center" vertical="center"/>
    </xf>
    <xf numFmtId="44" fontId="153" fillId="0" borderId="53" xfId="2" applyFont="1" applyFill="1" applyBorder="1" applyAlignment="1">
      <alignment horizontal="center" vertical="center"/>
    </xf>
    <xf numFmtId="0" fontId="162" fillId="13" borderId="43" xfId="0" applyFont="1" applyFill="1" applyBorder="1" applyAlignment="1">
      <alignment horizontal="center"/>
    </xf>
    <xf numFmtId="0" fontId="162" fillId="13" borderId="0" xfId="0" applyFont="1" applyFill="1" applyAlignment="1">
      <alignment horizontal="center"/>
    </xf>
    <xf numFmtId="0" fontId="162" fillId="13" borderId="47" xfId="0" applyFont="1" applyFill="1" applyBorder="1" applyAlignment="1">
      <alignment horizontal="center"/>
    </xf>
    <xf numFmtId="0" fontId="167" fillId="0" borderId="2" xfId="0" applyFont="1" applyBorder="1" applyAlignment="1">
      <alignment horizontal="left" vertical="center" wrapText="1"/>
    </xf>
    <xf numFmtId="0" fontId="167" fillId="0" borderId="2" xfId="0" applyFont="1" applyBorder="1" applyAlignment="1">
      <alignment horizontal="left" vertical="center"/>
    </xf>
    <xf numFmtId="0" fontId="153" fillId="0" borderId="53" xfId="0" applyFont="1" applyBorder="1" applyAlignment="1">
      <alignment horizontal="center" vertical="center"/>
    </xf>
    <xf numFmtId="0" fontId="135" fillId="0" borderId="6" xfId="0" applyFont="1" applyBorder="1" applyAlignment="1">
      <alignment horizontal="center" vertical="center"/>
    </xf>
    <xf numFmtId="0" fontId="135" fillId="0" borderId="7" xfId="0" applyFont="1" applyBorder="1" applyAlignment="1">
      <alignment horizontal="center" vertical="center"/>
    </xf>
    <xf numFmtId="0" fontId="135" fillId="0" borderId="13" xfId="0" applyFont="1" applyBorder="1" applyAlignment="1">
      <alignment horizontal="center" vertical="center"/>
    </xf>
    <xf numFmtId="0" fontId="135" fillId="3" borderId="8" xfId="0" applyFont="1" applyFill="1" applyBorder="1" applyAlignment="1">
      <alignment horizontal="center" vertical="center" wrapText="1"/>
    </xf>
    <xf numFmtId="0" fontId="135" fillId="3" borderId="14" xfId="0" applyFont="1" applyFill="1" applyBorder="1" applyAlignment="1">
      <alignment horizontal="center" vertical="center" wrapText="1"/>
    </xf>
    <xf numFmtId="0" fontId="174" fillId="22" borderId="25" xfId="0" applyFont="1" applyFill="1" applyBorder="1" applyAlignment="1">
      <alignment horizontal="center" vertical="center"/>
    </xf>
    <xf numFmtId="0" fontId="174" fillId="22" borderId="33" xfId="0" applyFont="1" applyFill="1" applyBorder="1" applyAlignment="1">
      <alignment horizontal="center" vertical="center"/>
    </xf>
    <xf numFmtId="0" fontId="142" fillId="0" borderId="2" xfId="0" applyFont="1" applyBorder="1" applyAlignment="1">
      <alignment horizontal="center"/>
    </xf>
    <xf numFmtId="0" fontId="229" fillId="0" borderId="2" xfId="0" applyFont="1" applyBorder="1" applyAlignment="1">
      <alignment horizontal="left" vertical="center"/>
    </xf>
    <xf numFmtId="0" fontId="224" fillId="0" borderId="2" xfId="0" applyFont="1" applyBorder="1" applyAlignment="1">
      <alignment horizontal="center" vertical="center"/>
    </xf>
    <xf numFmtId="168" fontId="214" fillId="0" borderId="2" xfId="0" applyNumberFormat="1" applyFont="1" applyBorder="1" applyAlignment="1">
      <alignment horizontal="center" vertical="center"/>
    </xf>
    <xf numFmtId="0" fontId="229" fillId="0" borderId="2" xfId="0" applyFont="1" applyBorder="1" applyAlignment="1">
      <alignment horizontal="center" vertical="center"/>
    </xf>
    <xf numFmtId="0" fontId="244" fillId="0" borderId="2" xfId="0" applyFont="1" applyBorder="1" applyAlignment="1">
      <alignment horizontal="left" vertical="center"/>
    </xf>
    <xf numFmtId="0" fontId="244" fillId="0" borderId="2" xfId="0" applyFont="1" applyBorder="1" applyAlignment="1">
      <alignment horizontal="center" vertical="center"/>
    </xf>
    <xf numFmtId="0" fontId="229" fillId="0" borderId="0" xfId="0" applyFont="1" applyAlignment="1">
      <alignment horizontal="center"/>
    </xf>
    <xf numFmtId="0" fontId="229" fillId="0" borderId="4" xfId="0" applyFont="1" applyBorder="1" applyAlignment="1">
      <alignment horizontal="left" vertical="center"/>
    </xf>
    <xf numFmtId="0" fontId="231" fillId="0" borderId="25" xfId="0" applyFont="1" applyBorder="1" applyAlignment="1">
      <alignment horizontal="center"/>
    </xf>
    <xf numFmtId="0" fontId="231" fillId="0" borderId="33" xfId="0" applyFont="1" applyBorder="1" applyAlignment="1">
      <alignment horizontal="center"/>
    </xf>
    <xf numFmtId="168" fontId="214" fillId="20" borderId="2" xfId="0" applyNumberFormat="1" applyFont="1" applyFill="1" applyBorder="1" applyAlignment="1">
      <alignment horizontal="center" vertical="center"/>
    </xf>
    <xf numFmtId="43" fontId="224" fillId="0" borderId="25" xfId="1" applyFont="1" applyFill="1" applyBorder="1" applyAlignment="1">
      <alignment horizontal="left" vertical="center"/>
    </xf>
    <xf numFmtId="43" fontId="224" fillId="0" borderId="33" xfId="1" applyFont="1" applyFill="1" applyBorder="1" applyAlignment="1">
      <alignment horizontal="left" vertical="center"/>
    </xf>
    <xf numFmtId="43" fontId="224" fillId="0" borderId="28" xfId="1" applyFont="1" applyFill="1" applyBorder="1" applyAlignment="1">
      <alignment horizontal="left" vertical="center"/>
    </xf>
    <xf numFmtId="0" fontId="224" fillId="0" borderId="25" xfId="0" applyFont="1" applyBorder="1" applyAlignment="1">
      <alignment horizontal="center" vertical="center"/>
    </xf>
    <xf numFmtId="0" fontId="224" fillId="0" borderId="28" xfId="0" applyFont="1" applyBorder="1" applyAlignment="1">
      <alignment horizontal="center" vertical="center"/>
    </xf>
    <xf numFmtId="49" fontId="224" fillId="0" borderId="0" xfId="0" applyNumberFormat="1" applyFont="1" applyAlignment="1">
      <alignment horizontal="left" vertical="center" wrapText="1"/>
    </xf>
    <xf numFmtId="0" fontId="230" fillId="30" borderId="0" xfId="0" applyFont="1" applyFill="1" applyAlignment="1">
      <alignment horizontal="center" vertical="center"/>
    </xf>
    <xf numFmtId="0" fontId="230" fillId="30" borderId="0" xfId="0" applyFont="1" applyFill="1" applyAlignment="1">
      <alignment horizontal="center"/>
    </xf>
    <xf numFmtId="0" fontId="230" fillId="3" borderId="0" xfId="0" applyFont="1" applyFill="1" applyAlignment="1">
      <alignment horizontal="center" vertical="center"/>
    </xf>
    <xf numFmtId="0" fontId="230" fillId="30" borderId="33" xfId="0" applyFont="1" applyFill="1" applyBorder="1" applyAlignment="1">
      <alignment horizontal="center" vertical="center"/>
    </xf>
    <xf numFmtId="0" fontId="230" fillId="30" borderId="28" xfId="0" applyFont="1" applyFill="1" applyBorder="1" applyAlignment="1">
      <alignment horizontal="center" vertical="center"/>
    </xf>
    <xf numFmtId="0" fontId="230" fillId="30" borderId="25" xfId="0" applyFont="1" applyFill="1" applyBorder="1" applyAlignment="1">
      <alignment horizontal="center" vertical="center" wrapText="1"/>
    </xf>
    <xf numFmtId="0" fontId="230" fillId="30" borderId="33" xfId="0" applyFont="1" applyFill="1" applyBorder="1" applyAlignment="1">
      <alignment horizontal="center" vertical="center" wrapText="1"/>
    </xf>
    <xf numFmtId="0" fontId="230" fillId="30" borderId="28" xfId="0" applyFont="1" applyFill="1" applyBorder="1" applyAlignment="1">
      <alignment horizontal="center" vertical="center" wrapText="1"/>
    </xf>
    <xf numFmtId="0" fontId="230" fillId="3" borderId="20" xfId="0" applyFont="1" applyFill="1" applyBorder="1" applyAlignment="1">
      <alignment horizontal="center" vertical="center"/>
    </xf>
    <xf numFmtId="49" fontId="224" fillId="0" borderId="0" xfId="0" applyNumberFormat="1" applyFont="1" applyAlignment="1">
      <alignment horizontal="right" vertical="center" wrapText="1"/>
    </xf>
    <xf numFmtId="0" fontId="230" fillId="30" borderId="43" xfId="0" applyFont="1" applyFill="1" applyBorder="1" applyAlignment="1">
      <alignment horizontal="center" vertical="center"/>
    </xf>
    <xf numFmtId="0" fontId="236" fillId="3" borderId="0" xfId="0" applyFont="1" applyFill="1" applyAlignment="1">
      <alignment horizontal="center" vertical="center"/>
    </xf>
    <xf numFmtId="0" fontId="236" fillId="3" borderId="35" xfId="0" applyFont="1" applyFill="1" applyBorder="1" applyAlignment="1">
      <alignment horizontal="center" vertical="center"/>
    </xf>
    <xf numFmtId="0" fontId="230" fillId="30" borderId="25" xfId="0" applyFont="1" applyFill="1" applyBorder="1" applyAlignment="1">
      <alignment horizontal="center" vertical="center"/>
    </xf>
    <xf numFmtId="0" fontId="232" fillId="30" borderId="0" xfId="0" applyFont="1" applyFill="1" applyAlignment="1">
      <alignment horizontal="left" vertical="center"/>
    </xf>
    <xf numFmtId="49" fontId="224" fillId="0" borderId="43" xfId="0" applyNumberFormat="1" applyFont="1" applyBorder="1" applyAlignment="1">
      <alignment horizontal="right" vertical="center" wrapText="1"/>
    </xf>
    <xf numFmtId="49" fontId="224" fillId="0" borderId="0" xfId="0" applyNumberFormat="1" applyFont="1" applyAlignment="1">
      <alignment vertical="center" wrapText="1"/>
    </xf>
    <xf numFmtId="0" fontId="230" fillId="0" borderId="0" xfId="0" applyFont="1" applyAlignment="1">
      <alignment horizontal="center" vertical="center"/>
    </xf>
    <xf numFmtId="49" fontId="224" fillId="0" borderId="0" xfId="0" applyNumberFormat="1" applyFont="1" applyAlignment="1">
      <alignment horizontal="center" vertical="center" wrapText="1"/>
    </xf>
    <xf numFmtId="0" fontId="234" fillId="0" borderId="0" xfId="0" applyFont="1" applyAlignment="1">
      <alignment horizontal="left" vertical="center" wrapText="1"/>
    </xf>
    <xf numFmtId="0" fontId="230" fillId="30" borderId="2" xfId="0" applyFont="1" applyFill="1" applyBorder="1" applyAlignment="1">
      <alignment horizontal="center" vertical="center"/>
    </xf>
    <xf numFmtId="0" fontId="226" fillId="0" borderId="0" xfId="0" applyFont="1" applyAlignment="1">
      <alignment horizontal="center" vertical="center" wrapText="1"/>
    </xf>
    <xf numFmtId="0" fontId="226" fillId="30" borderId="43" xfId="0" applyFont="1" applyFill="1" applyBorder="1" applyAlignment="1">
      <alignment horizontal="center" wrapText="1"/>
    </xf>
    <xf numFmtId="0" fontId="226" fillId="30" borderId="0" xfId="0" applyFont="1" applyFill="1" applyAlignment="1">
      <alignment horizontal="center" wrapText="1"/>
    </xf>
    <xf numFmtId="0" fontId="236" fillId="30" borderId="0" xfId="0" applyFont="1" applyFill="1" applyAlignment="1">
      <alignment horizontal="center" vertical="center"/>
    </xf>
    <xf numFmtId="0" fontId="230" fillId="18" borderId="0" xfId="0" applyFont="1" applyFill="1" applyAlignment="1">
      <alignment horizontal="center" vertical="center"/>
    </xf>
    <xf numFmtId="0" fontId="230" fillId="18" borderId="25" xfId="0" applyFont="1" applyFill="1" applyBorder="1" applyAlignment="1">
      <alignment horizontal="center" vertical="center"/>
    </xf>
    <xf numFmtId="0" fontId="230" fillId="18" borderId="33" xfId="0" applyFont="1" applyFill="1" applyBorder="1" applyAlignment="1">
      <alignment horizontal="center" vertical="center"/>
    </xf>
    <xf numFmtId="0" fontId="230" fillId="18" borderId="28" xfId="0" applyFont="1" applyFill="1" applyBorder="1" applyAlignment="1">
      <alignment horizontal="center" vertical="center"/>
    </xf>
    <xf numFmtId="0" fontId="226" fillId="0" borderId="0" xfId="0" applyFont="1" applyAlignment="1">
      <alignment horizontal="center" wrapText="1"/>
    </xf>
    <xf numFmtId="0" fontId="230" fillId="18" borderId="43" xfId="0" applyFont="1" applyFill="1" applyBorder="1" applyAlignment="1">
      <alignment horizontal="center" vertical="center"/>
    </xf>
    <xf numFmtId="0" fontId="226" fillId="23" borderId="0" xfId="0" applyFont="1" applyFill="1" applyAlignment="1">
      <alignment horizontal="right" vertical="center" wrapText="1"/>
    </xf>
    <xf numFmtId="0" fontId="226" fillId="23" borderId="0" xfId="0" applyFont="1" applyFill="1" applyAlignment="1">
      <alignment horizontal="left" vertical="center" wrapText="1"/>
    </xf>
    <xf numFmtId="49" fontId="224" fillId="0" borderId="5" xfId="0" applyNumberFormat="1" applyFont="1" applyBorder="1" applyAlignment="1">
      <alignment horizontal="left" vertical="center" wrapText="1"/>
    </xf>
    <xf numFmtId="0" fontId="218" fillId="3" borderId="32" xfId="0" applyFont="1" applyFill="1" applyBorder="1" applyAlignment="1">
      <alignment horizontal="center" vertical="center"/>
    </xf>
    <xf numFmtId="49" fontId="224" fillId="0" borderId="43" xfId="0" quotePrefix="1" applyNumberFormat="1" applyFont="1" applyBorder="1" applyAlignment="1">
      <alignment horizontal="center" vertical="center" wrapText="1"/>
    </xf>
    <xf numFmtId="49" fontId="224" fillId="0" borderId="0" xfId="0" quotePrefix="1" applyNumberFormat="1" applyFont="1" applyAlignment="1">
      <alignment horizontal="center" vertical="center" wrapText="1"/>
    </xf>
    <xf numFmtId="49" fontId="224" fillId="0" borderId="5" xfId="0" applyNumberFormat="1" applyFont="1" applyBorder="1" applyAlignment="1">
      <alignment horizontal="center" vertical="center" wrapText="1"/>
    </xf>
    <xf numFmtId="0" fontId="218" fillId="3" borderId="0" xfId="24" applyFont="1" applyFill="1" applyAlignment="1">
      <alignment horizontal="center" vertical="center" wrapText="1"/>
    </xf>
    <xf numFmtId="0" fontId="233" fillId="3" borderId="8" xfId="24" applyFont="1" applyFill="1" applyBorder="1" applyAlignment="1">
      <alignment horizontal="center" vertical="center" wrapText="1"/>
    </xf>
    <xf numFmtId="0" fontId="233" fillId="3" borderId="2" xfId="24" applyFont="1" applyFill="1" applyBorder="1" applyAlignment="1">
      <alignment horizontal="center" vertical="center" wrapText="1"/>
    </xf>
    <xf numFmtId="0" fontId="233" fillId="3" borderId="2" xfId="24" applyFont="1" applyFill="1" applyBorder="1" applyAlignment="1">
      <alignment horizontal="left" vertical="center"/>
    </xf>
    <xf numFmtId="169" fontId="233" fillId="3" borderId="2" xfId="24" applyNumberFormat="1" applyFont="1" applyFill="1" applyBorder="1" applyAlignment="1">
      <alignment horizontal="center" vertical="center" wrapText="1"/>
    </xf>
    <xf numFmtId="169" fontId="233" fillId="3" borderId="14" xfId="24" applyNumberFormat="1" applyFont="1" applyFill="1" applyBorder="1" applyAlignment="1">
      <alignment horizontal="center" vertical="center" wrapText="1"/>
    </xf>
    <xf numFmtId="0" fontId="233" fillId="3" borderId="2" xfId="24" applyFont="1" applyFill="1" applyBorder="1" applyAlignment="1">
      <alignment horizontal="left" vertical="center" wrapText="1"/>
    </xf>
    <xf numFmtId="0" fontId="233" fillId="3" borderId="25" xfId="24" applyFont="1" applyFill="1" applyBorder="1" applyAlignment="1">
      <alignment horizontal="center" vertical="center" wrapText="1"/>
    </xf>
    <xf numFmtId="0" fontId="233" fillId="3" borderId="28" xfId="24" applyFont="1" applyFill="1" applyBorder="1" applyAlignment="1">
      <alignment horizontal="center" vertical="center" wrapText="1"/>
    </xf>
    <xf numFmtId="0" fontId="255" fillId="0" borderId="25" xfId="0" applyFont="1" applyBorder="1" applyAlignment="1">
      <alignment horizontal="center" vertical="center"/>
    </xf>
    <xf numFmtId="0" fontId="255" fillId="0" borderId="33" xfId="0" applyFont="1" applyBorder="1" applyAlignment="1">
      <alignment horizontal="center" vertical="center"/>
    </xf>
    <xf numFmtId="0" fontId="255" fillId="0" borderId="28" xfId="0" applyFont="1" applyBorder="1" applyAlignment="1">
      <alignment horizontal="center" vertical="center"/>
    </xf>
    <xf numFmtId="0" fontId="255" fillId="0" borderId="2" xfId="0" applyFont="1" applyBorder="1" applyAlignment="1">
      <alignment horizontal="center" vertical="center"/>
    </xf>
    <xf numFmtId="1" fontId="233" fillId="3" borderId="2" xfId="24" applyNumberFormat="1" applyFont="1" applyFill="1" applyBorder="1" applyAlignment="1">
      <alignment horizontal="center" vertical="center" wrapText="1"/>
    </xf>
    <xf numFmtId="1" fontId="233" fillId="3" borderId="14" xfId="24" applyNumberFormat="1" applyFont="1" applyFill="1" applyBorder="1" applyAlignment="1">
      <alignment horizontal="center" vertical="center" wrapText="1"/>
    </xf>
    <xf numFmtId="0" fontId="221" fillId="3" borderId="0" xfId="0" applyFont="1" applyFill="1" applyAlignment="1">
      <alignment horizontal="center" vertical="center"/>
    </xf>
    <xf numFmtId="0" fontId="215" fillId="22" borderId="0" xfId="24" applyFont="1" applyFill="1" applyAlignment="1">
      <alignment horizontal="center"/>
    </xf>
    <xf numFmtId="169" fontId="233" fillId="3" borderId="25" xfId="24" applyNumberFormat="1" applyFont="1" applyFill="1" applyBorder="1" applyAlignment="1">
      <alignment horizontal="center" vertical="center" wrapText="1"/>
    </xf>
    <xf numFmtId="169" fontId="233" fillId="3" borderId="33" xfId="24" applyNumberFormat="1" applyFont="1" applyFill="1" applyBorder="1" applyAlignment="1">
      <alignment horizontal="center" vertical="center" wrapText="1"/>
    </xf>
    <xf numFmtId="169" fontId="233" fillId="3" borderId="28" xfId="24" applyNumberFormat="1" applyFont="1" applyFill="1" applyBorder="1" applyAlignment="1">
      <alignment horizontal="center" vertical="center" wrapText="1"/>
    </xf>
    <xf numFmtId="0" fontId="218" fillId="3" borderId="0" xfId="0" applyFont="1" applyFill="1" applyAlignment="1">
      <alignment horizontal="center"/>
    </xf>
    <xf numFmtId="0" fontId="233" fillId="3" borderId="14" xfId="24" applyFont="1" applyFill="1" applyBorder="1" applyAlignment="1">
      <alignment horizontal="center" vertical="center" wrapText="1"/>
    </xf>
    <xf numFmtId="0" fontId="255" fillId="0" borderId="51" xfId="0" applyFont="1" applyBorder="1" applyAlignment="1">
      <alignment horizontal="center" vertical="center"/>
    </xf>
    <xf numFmtId="0" fontId="255" fillId="0" borderId="52" xfId="0" applyFont="1" applyBorder="1" applyAlignment="1">
      <alignment horizontal="center" vertical="center"/>
    </xf>
    <xf numFmtId="0" fontId="255" fillId="0" borderId="22" xfId="0" applyFont="1" applyBorder="1" applyAlignment="1">
      <alignment horizontal="center" vertical="center"/>
    </xf>
    <xf numFmtId="0" fontId="233" fillId="3" borderId="51" xfId="24" applyFont="1" applyFill="1" applyBorder="1" applyAlignment="1">
      <alignment horizontal="center" vertical="center"/>
    </xf>
    <xf numFmtId="0" fontId="233" fillId="3" borderId="52" xfId="24" applyFont="1" applyFill="1" applyBorder="1" applyAlignment="1">
      <alignment horizontal="center" vertical="center"/>
    </xf>
    <xf numFmtId="172" fontId="233" fillId="3" borderId="2" xfId="24" applyNumberFormat="1" applyFont="1" applyFill="1" applyBorder="1" applyAlignment="1">
      <alignment horizontal="center" vertical="center"/>
    </xf>
    <xf numFmtId="0" fontId="233" fillId="3" borderId="62" xfId="24" applyFont="1" applyFill="1" applyBorder="1" applyAlignment="1">
      <alignment horizontal="left" vertical="center" wrapText="1"/>
    </xf>
    <xf numFmtId="0" fontId="233" fillId="3" borderId="4" xfId="24" applyFont="1" applyFill="1" applyBorder="1" applyAlignment="1">
      <alignment horizontal="left" vertical="center" wrapText="1"/>
    </xf>
    <xf numFmtId="0" fontId="233" fillId="3" borderId="63" xfId="24" applyFont="1" applyFill="1" applyBorder="1" applyAlignment="1">
      <alignment horizontal="left" vertical="center" wrapText="1"/>
    </xf>
    <xf numFmtId="0" fontId="233" fillId="3" borderId="8" xfId="24" applyFont="1" applyFill="1" applyBorder="1" applyAlignment="1">
      <alignment horizontal="left" vertical="center" wrapText="1"/>
    </xf>
    <xf numFmtId="0" fontId="233" fillId="3" borderId="14" xfId="24" applyFont="1" applyFill="1" applyBorder="1" applyAlignment="1">
      <alignment horizontal="left" vertical="center" wrapText="1"/>
    </xf>
    <xf numFmtId="0" fontId="215" fillId="3" borderId="22" xfId="24" applyFont="1" applyFill="1" applyBorder="1" applyAlignment="1">
      <alignment horizontal="center" vertical="center" wrapText="1"/>
    </xf>
    <xf numFmtId="0" fontId="215" fillId="3" borderId="22" xfId="0" applyFont="1" applyFill="1" applyBorder="1" applyAlignment="1">
      <alignment horizontal="center"/>
    </xf>
    <xf numFmtId="0" fontId="215" fillId="3" borderId="0" xfId="0" applyFont="1" applyFill="1" applyAlignment="1">
      <alignment horizontal="center"/>
    </xf>
    <xf numFmtId="0" fontId="216" fillId="3" borderId="0" xfId="24" applyFont="1" applyFill="1" applyAlignment="1">
      <alignment horizontal="center" vertical="center" wrapText="1"/>
    </xf>
    <xf numFmtId="0" fontId="216" fillId="3" borderId="0" xfId="0" applyFont="1" applyFill="1" applyAlignment="1">
      <alignment horizontal="center"/>
    </xf>
    <xf numFmtId="0" fontId="197" fillId="3" borderId="2" xfId="24" applyFont="1" applyFill="1" applyBorder="1" applyAlignment="1">
      <alignment horizontal="center" vertical="center" wrapText="1"/>
    </xf>
    <xf numFmtId="0" fontId="197" fillId="3" borderId="14" xfId="24" applyFont="1" applyFill="1" applyBorder="1" applyAlignment="1">
      <alignment horizontal="center" vertical="center" wrapText="1"/>
    </xf>
    <xf numFmtId="0" fontId="198" fillId="0" borderId="51" xfId="0" applyFont="1" applyBorder="1" applyAlignment="1">
      <alignment horizontal="center"/>
    </xf>
    <xf numFmtId="0" fontId="198" fillId="0" borderId="52" xfId="0" applyFont="1" applyBorder="1" applyAlignment="1">
      <alignment horizontal="center"/>
    </xf>
    <xf numFmtId="0" fontId="198" fillId="0" borderId="57" xfId="0" applyFont="1" applyBorder="1" applyAlignment="1">
      <alignment horizontal="center"/>
    </xf>
    <xf numFmtId="172" fontId="196" fillId="3" borderId="17" xfId="24" applyNumberFormat="1" applyFont="1" applyFill="1" applyBorder="1" applyAlignment="1">
      <alignment horizontal="right" vertical="center"/>
    </xf>
    <xf numFmtId="172" fontId="196" fillId="3" borderId="18" xfId="24" applyNumberFormat="1" applyFont="1" applyFill="1" applyBorder="1" applyAlignment="1">
      <alignment horizontal="right" vertical="center"/>
    </xf>
    <xf numFmtId="0" fontId="196" fillId="3" borderId="59" xfId="24" applyFont="1" applyFill="1" applyBorder="1" applyAlignment="1">
      <alignment horizontal="left" vertical="center"/>
    </xf>
    <xf numFmtId="0" fontId="197" fillId="3" borderId="60" xfId="0" applyFont="1" applyFill="1" applyBorder="1" applyAlignment="1">
      <alignment vertical="center"/>
    </xf>
    <xf numFmtId="0" fontId="197" fillId="3" borderId="61" xfId="0" applyFont="1" applyFill="1" applyBorder="1" applyAlignment="1">
      <alignment vertical="center"/>
    </xf>
    <xf numFmtId="0" fontId="196" fillId="3" borderId="62" xfId="24" applyFont="1" applyFill="1" applyBorder="1" applyAlignment="1">
      <alignment horizontal="left" vertical="center" wrapText="1"/>
    </xf>
    <xf numFmtId="0" fontId="196" fillId="3" borderId="4" xfId="24" applyFont="1" applyFill="1" applyBorder="1" applyAlignment="1">
      <alignment horizontal="left" vertical="center" wrapText="1"/>
    </xf>
    <xf numFmtId="0" fontId="196" fillId="3" borderId="63" xfId="24" applyFont="1" applyFill="1" applyBorder="1" applyAlignment="1">
      <alignment horizontal="left" vertical="center" wrapText="1"/>
    </xf>
    <xf numFmtId="0" fontId="196" fillId="3" borderId="8" xfId="24" applyFont="1" applyFill="1" applyBorder="1" applyAlignment="1">
      <alignment horizontal="left" vertical="center" wrapText="1"/>
    </xf>
    <xf numFmtId="0" fontId="196" fillId="3" borderId="2" xfId="24" applyFont="1" applyFill="1" applyBorder="1" applyAlignment="1">
      <alignment horizontal="left" vertical="center" wrapText="1"/>
    </xf>
    <xf numFmtId="0" fontId="196" fillId="3" borderId="14" xfId="24" applyFont="1" applyFill="1" applyBorder="1" applyAlignment="1">
      <alignment horizontal="left" vertical="center" wrapText="1"/>
    </xf>
    <xf numFmtId="0" fontId="197" fillId="3" borderId="22" xfId="24" applyFont="1" applyFill="1" applyBorder="1" applyAlignment="1">
      <alignment horizontal="center" vertical="center" wrapText="1"/>
    </xf>
    <xf numFmtId="0" fontId="197" fillId="3" borderId="22" xfId="0" applyFont="1" applyFill="1" applyBorder="1" applyAlignment="1">
      <alignment horizontal="center"/>
    </xf>
    <xf numFmtId="0" fontId="197" fillId="3" borderId="0" xfId="24" applyFont="1" applyFill="1" applyAlignment="1">
      <alignment horizontal="center" vertical="center" wrapText="1"/>
    </xf>
    <xf numFmtId="0" fontId="197" fillId="3" borderId="0" xfId="0" applyFont="1" applyFill="1" applyAlignment="1">
      <alignment horizontal="center"/>
    </xf>
    <xf numFmtId="0" fontId="196" fillId="3" borderId="8" xfId="24" applyFont="1" applyFill="1" applyBorder="1" applyAlignment="1">
      <alignment horizontal="center" vertical="center" wrapText="1"/>
    </xf>
    <xf numFmtId="0" fontId="196" fillId="3" borderId="2" xfId="24" applyFont="1" applyFill="1" applyBorder="1" applyAlignment="1">
      <alignment horizontal="center" vertical="center" wrapText="1"/>
    </xf>
    <xf numFmtId="169" fontId="197" fillId="3" borderId="2" xfId="24" applyNumberFormat="1" applyFont="1" applyFill="1" applyBorder="1" applyAlignment="1">
      <alignment horizontal="center" vertical="center" wrapText="1"/>
    </xf>
    <xf numFmtId="0" fontId="198" fillId="0" borderId="25" xfId="0" applyFont="1" applyBorder="1" applyAlignment="1">
      <alignment horizontal="center" vertical="center"/>
    </xf>
    <xf numFmtId="0" fontId="198" fillId="0" borderId="33" xfId="0" applyFont="1" applyBorder="1" applyAlignment="1">
      <alignment horizontal="center" vertical="center"/>
    </xf>
    <xf numFmtId="0" fontId="198" fillId="0" borderId="28" xfId="0" applyFont="1" applyBorder="1" applyAlignment="1">
      <alignment horizontal="center" vertical="center"/>
    </xf>
    <xf numFmtId="0" fontId="197" fillId="3" borderId="25" xfId="24" applyFont="1" applyFill="1" applyBorder="1" applyAlignment="1">
      <alignment horizontal="center" vertical="center" wrapText="1"/>
    </xf>
    <xf numFmtId="0" fontId="197" fillId="3" borderId="28" xfId="24" applyFont="1" applyFill="1" applyBorder="1" applyAlignment="1">
      <alignment horizontal="center" vertical="center" wrapText="1"/>
    </xf>
    <xf numFmtId="0" fontId="198" fillId="0" borderId="2" xfId="0" applyFont="1" applyBorder="1" applyAlignment="1">
      <alignment horizontal="center" vertical="center"/>
    </xf>
    <xf numFmtId="0" fontId="196" fillId="3" borderId="0" xfId="24" applyFont="1" applyFill="1" applyAlignment="1">
      <alignment horizontal="center" vertical="center"/>
    </xf>
    <xf numFmtId="0" fontId="196" fillId="22" borderId="0" xfId="24" applyFont="1" applyFill="1" applyAlignment="1">
      <alignment horizontal="center"/>
    </xf>
    <xf numFmtId="0" fontId="196" fillId="3" borderId="2" xfId="24" applyFont="1" applyFill="1" applyBorder="1" applyAlignment="1">
      <alignment horizontal="left" vertical="center"/>
    </xf>
    <xf numFmtId="0" fontId="197" fillId="3" borderId="32" xfId="0" applyFont="1" applyFill="1" applyBorder="1" applyAlignment="1">
      <alignment horizontal="right" vertical="center"/>
    </xf>
    <xf numFmtId="0" fontId="197" fillId="3" borderId="32" xfId="0" applyFont="1" applyFill="1" applyBorder="1" applyAlignment="1">
      <alignment horizontal="center" vertical="center"/>
    </xf>
    <xf numFmtId="0" fontId="197" fillId="3" borderId="27" xfId="0" applyFont="1" applyFill="1" applyBorder="1" applyAlignment="1">
      <alignment horizontal="center" vertical="center"/>
    </xf>
    <xf numFmtId="0" fontId="149" fillId="0" borderId="0" xfId="18" applyFont="1" applyAlignment="1">
      <alignment horizontal="center" vertical="center"/>
    </xf>
    <xf numFmtId="0" fontId="149" fillId="0" borderId="35" xfId="18" applyFont="1" applyBorder="1" applyAlignment="1">
      <alignment horizontal="center" vertical="center"/>
    </xf>
    <xf numFmtId="0" fontId="150" fillId="0" borderId="20" xfId="0" applyFont="1" applyBorder="1" applyAlignment="1">
      <alignment horizontal="center" vertical="center"/>
    </xf>
    <xf numFmtId="0" fontId="150" fillId="0" borderId="35" xfId="0" applyFont="1" applyBorder="1" applyAlignment="1">
      <alignment horizontal="center" vertical="center"/>
    </xf>
    <xf numFmtId="0" fontId="151" fillId="3" borderId="20" xfId="0" applyFont="1" applyFill="1" applyBorder="1" applyAlignment="1">
      <alignment horizontal="center" vertical="center"/>
    </xf>
    <xf numFmtId="0" fontId="151" fillId="11" borderId="3" xfId="0" applyFont="1" applyFill="1" applyBorder="1" applyAlignment="1">
      <alignment horizontal="center" vertical="center" wrapText="1"/>
    </xf>
    <xf numFmtId="0" fontId="151" fillId="11" borderId="4" xfId="0" applyFont="1" applyFill="1" applyBorder="1" applyAlignment="1">
      <alignment horizontal="center" vertical="center" wrapText="1"/>
    </xf>
    <xf numFmtId="0" fontId="151" fillId="11" borderId="3" xfId="0" applyFont="1" applyFill="1" applyBorder="1" applyAlignment="1">
      <alignment horizontal="center" vertical="center"/>
    </xf>
    <xf numFmtId="0" fontId="151" fillId="11" borderId="4" xfId="0" applyFont="1" applyFill="1" applyBorder="1" applyAlignment="1">
      <alignment horizontal="center" vertical="center"/>
    </xf>
    <xf numFmtId="170" fontId="152" fillId="11" borderId="20" xfId="0" applyNumberFormat="1" applyFont="1" applyFill="1" applyBorder="1" applyAlignment="1">
      <alignment horizontal="center" vertical="center"/>
    </xf>
    <xf numFmtId="0" fontId="151" fillId="11" borderId="23" xfId="0" applyFont="1" applyFill="1" applyBorder="1" applyAlignment="1">
      <alignment horizontal="center" vertical="center" wrapText="1"/>
    </xf>
    <xf numFmtId="0" fontId="151" fillId="11" borderId="24" xfId="0" applyFont="1" applyFill="1" applyBorder="1" applyAlignment="1">
      <alignment horizontal="center" vertical="center" wrapText="1"/>
    </xf>
    <xf numFmtId="0" fontId="151" fillId="11" borderId="26" xfId="0" applyFont="1" applyFill="1" applyBorder="1" applyAlignment="1">
      <alignment horizontal="center" vertical="center" wrapText="1"/>
    </xf>
    <xf numFmtId="0" fontId="151" fillId="11" borderId="27" xfId="0" applyFont="1" applyFill="1" applyBorder="1" applyAlignment="1">
      <alignment horizontal="center" vertical="center" wrapText="1"/>
    </xf>
    <xf numFmtId="0" fontId="142" fillId="0" borderId="2" xfId="0" applyFont="1" applyBorder="1" applyAlignment="1">
      <alignment horizontal="center" vertical="center"/>
    </xf>
    <xf numFmtId="0" fontId="0" fillId="0" borderId="0" xfId="0" applyAlignment="1">
      <alignment horizontal="center"/>
    </xf>
    <xf numFmtId="0" fontId="193" fillId="0" borderId="25" xfId="0" applyFont="1" applyBorder="1" applyAlignment="1">
      <alignment horizontal="center" vertical="center"/>
    </xf>
    <xf numFmtId="0" fontId="136" fillId="0" borderId="8" xfId="0" applyFont="1" applyBorder="1" applyAlignment="1">
      <alignment horizontal="center" wrapText="1"/>
    </xf>
    <xf numFmtId="0" fontId="136" fillId="0" borderId="14" xfId="0" applyFont="1" applyBorder="1" applyAlignment="1">
      <alignment horizontal="center" wrapText="1"/>
    </xf>
    <xf numFmtId="0" fontId="135" fillId="3" borderId="9" xfId="0" applyFont="1" applyFill="1" applyBorder="1" applyAlignment="1">
      <alignment horizontal="center" vertical="center" wrapText="1"/>
    </xf>
    <xf numFmtId="0" fontId="135" fillId="3" borderId="3" xfId="0" applyFont="1" applyFill="1" applyBorder="1" applyAlignment="1">
      <alignment horizontal="center" vertical="center" wrapText="1"/>
    </xf>
    <xf numFmtId="0" fontId="135" fillId="3" borderId="15" xfId="0" applyFont="1" applyFill="1" applyBorder="1" applyAlignment="1">
      <alignment horizontal="center" vertical="center" wrapText="1"/>
    </xf>
    <xf numFmtId="0" fontId="137" fillId="7" borderId="6" xfId="0" applyFont="1" applyFill="1" applyBorder="1" applyAlignment="1">
      <alignment horizontal="center" vertical="center" wrapText="1"/>
    </xf>
    <xf numFmtId="0" fontId="137" fillId="7" borderId="7" xfId="0" applyFont="1" applyFill="1" applyBorder="1" applyAlignment="1">
      <alignment horizontal="center" vertical="center" wrapText="1"/>
    </xf>
    <xf numFmtId="0" fontId="137" fillId="8" borderId="7" xfId="0" applyFont="1" applyFill="1" applyBorder="1" applyAlignment="1">
      <alignment horizontal="center" vertical="center"/>
    </xf>
    <xf numFmtId="0" fontId="137" fillId="8" borderId="12" xfId="0" applyFont="1" applyFill="1" applyBorder="1" applyAlignment="1">
      <alignment horizontal="center" vertical="center"/>
    </xf>
    <xf numFmtId="1" fontId="138" fillId="8" borderId="2" xfId="0" applyNumberFormat="1" applyFont="1" applyFill="1" applyBorder="1" applyAlignment="1">
      <alignment horizontal="center" vertical="center" wrapText="1"/>
    </xf>
    <xf numFmtId="1" fontId="138" fillId="8" borderId="2" xfId="0" applyNumberFormat="1" applyFont="1" applyFill="1" applyBorder="1" applyAlignment="1">
      <alignment horizontal="center" vertical="center"/>
    </xf>
    <xf numFmtId="169" fontId="138" fillId="8" borderId="2" xfId="0" applyNumberFormat="1" applyFont="1" applyFill="1" applyBorder="1" applyAlignment="1">
      <alignment horizontal="center" vertical="center"/>
    </xf>
    <xf numFmtId="169" fontId="138" fillId="8" borderId="14" xfId="0" applyNumberFormat="1" applyFont="1" applyFill="1" applyBorder="1" applyAlignment="1">
      <alignment horizontal="center" vertical="center"/>
    </xf>
    <xf numFmtId="1" fontId="138" fillId="8" borderId="11" xfId="0" applyNumberFormat="1" applyFont="1" applyFill="1" applyBorder="1" applyAlignment="1">
      <alignment horizontal="center" vertical="center" wrapText="1"/>
    </xf>
    <xf numFmtId="49" fontId="138" fillId="8" borderId="2" xfId="0" applyNumberFormat="1" applyFont="1" applyFill="1" applyBorder="1" applyAlignment="1">
      <alignment horizontal="center" vertical="center" wrapText="1"/>
    </xf>
    <xf numFmtId="49" fontId="138" fillId="8" borderId="11" xfId="0" applyNumberFormat="1" applyFont="1" applyFill="1" applyBorder="1" applyAlignment="1">
      <alignment horizontal="center" vertical="center" wrapText="1"/>
    </xf>
    <xf numFmtId="167" fontId="138" fillId="8" borderId="2" xfId="0" applyNumberFormat="1" applyFont="1" applyFill="1" applyBorder="1" applyAlignment="1">
      <alignment horizontal="center" vertical="center" wrapText="1"/>
    </xf>
    <xf numFmtId="167" fontId="138" fillId="8" borderId="11" xfId="0" applyNumberFormat="1" applyFont="1" applyFill="1" applyBorder="1" applyAlignment="1">
      <alignment horizontal="center" vertical="center" wrapText="1"/>
    </xf>
    <xf numFmtId="0" fontId="142" fillId="8" borderId="2" xfId="0" applyFont="1" applyFill="1" applyBorder="1" applyAlignment="1">
      <alignment horizontal="center" vertical="center" wrapText="1"/>
    </xf>
    <xf numFmtId="0" fontId="142" fillId="8" borderId="11" xfId="0" applyFont="1" applyFill="1" applyBorder="1" applyAlignment="1">
      <alignment horizontal="center" vertical="center" wrapText="1"/>
    </xf>
    <xf numFmtId="2" fontId="138" fillId="8" borderId="2" xfId="0" applyNumberFormat="1" applyFont="1" applyFill="1" applyBorder="1" applyAlignment="1">
      <alignment horizontal="center" vertical="center" wrapText="1"/>
    </xf>
    <xf numFmtId="2" fontId="138" fillId="8" borderId="11" xfId="0" applyNumberFormat="1" applyFont="1" applyFill="1" applyBorder="1" applyAlignment="1">
      <alignment horizontal="center" vertical="center" wrapText="1"/>
    </xf>
    <xf numFmtId="0" fontId="147" fillId="0" borderId="0" xfId="0" applyFont="1" applyAlignment="1">
      <alignment horizontal="center" vertical="top"/>
    </xf>
    <xf numFmtId="0" fontId="137" fillId="0" borderId="17" xfId="0" applyFont="1" applyBorder="1" applyAlignment="1">
      <alignment horizontal="center" vertical="center" wrapText="1"/>
    </xf>
    <xf numFmtId="0" fontId="137" fillId="0" borderId="18" xfId="0" applyFont="1" applyBorder="1" applyAlignment="1">
      <alignment horizontal="center" vertical="center" wrapText="1"/>
    </xf>
    <xf numFmtId="0" fontId="137" fillId="0" borderId="18" xfId="0" applyFont="1" applyBorder="1" applyAlignment="1">
      <alignment horizontal="center" vertical="center"/>
    </xf>
    <xf numFmtId="0" fontId="137" fillId="0" borderId="19" xfId="0" applyFont="1" applyBorder="1" applyAlignment="1">
      <alignment horizontal="center" vertical="center"/>
    </xf>
    <xf numFmtId="1" fontId="138" fillId="7" borderId="8" xfId="0" applyNumberFormat="1" applyFont="1" applyFill="1" applyBorder="1" applyAlignment="1">
      <alignment horizontal="center" vertical="center" wrapText="1"/>
    </xf>
    <xf numFmtId="1" fontId="138" fillId="7" borderId="10" xfId="0" applyNumberFormat="1" applyFont="1" applyFill="1" applyBorder="1" applyAlignment="1">
      <alignment horizontal="center" vertical="center" wrapText="1"/>
    </xf>
    <xf numFmtId="49" fontId="138" fillId="7" borderId="2" xfId="0" applyNumberFormat="1" applyFont="1" applyFill="1" applyBorder="1" applyAlignment="1">
      <alignment horizontal="center" vertical="center" wrapText="1"/>
    </xf>
    <xf numFmtId="49" fontId="138" fillId="7" borderId="11" xfId="0" applyNumberFormat="1" applyFont="1" applyFill="1" applyBorder="1" applyAlignment="1">
      <alignment horizontal="center" vertical="center" wrapText="1"/>
    </xf>
    <xf numFmtId="1" fontId="138" fillId="7" borderId="2" xfId="0" applyNumberFormat="1" applyFont="1" applyFill="1" applyBorder="1" applyAlignment="1">
      <alignment horizontal="center" vertical="center" wrapText="1"/>
    </xf>
    <xf numFmtId="1" fontId="138" fillId="7" borderId="11" xfId="0" applyNumberFormat="1" applyFont="1" applyFill="1" applyBorder="1" applyAlignment="1">
      <alignment horizontal="center" vertical="center" wrapText="1"/>
    </xf>
    <xf numFmtId="167" fontId="138" fillId="7" borderId="2" xfId="0" applyNumberFormat="1" applyFont="1" applyFill="1" applyBorder="1" applyAlignment="1">
      <alignment horizontal="center" vertical="center" wrapText="1"/>
    </xf>
    <xf numFmtId="167" fontId="138" fillId="7" borderId="11" xfId="0" applyNumberFormat="1" applyFont="1" applyFill="1" applyBorder="1" applyAlignment="1">
      <alignment horizontal="center" vertical="center" wrapText="1"/>
    </xf>
    <xf numFmtId="2" fontId="138" fillId="7" borderId="2" xfId="0" applyNumberFormat="1" applyFont="1" applyFill="1" applyBorder="1" applyAlignment="1">
      <alignment horizontal="center" vertical="center" wrapText="1"/>
    </xf>
    <xf numFmtId="2" fontId="138"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148" fillId="0" borderId="2" xfId="0" applyFont="1" applyBorder="1" applyAlignment="1">
      <alignment horizontal="center" wrapText="1"/>
    </xf>
    <xf numFmtId="0" fontId="148" fillId="0" borderId="2" xfId="0" applyFont="1" applyBorder="1" applyAlignment="1">
      <alignment horizontal="center"/>
    </xf>
    <xf numFmtId="0" fontId="272" fillId="23" borderId="0" xfId="0" applyFont="1" applyFill="1" applyAlignment="1">
      <alignment horizontal="left" vertical="center" wrapText="1"/>
    </xf>
    <xf numFmtId="0" fontId="137" fillId="0" borderId="44" xfId="51" applyFont="1" applyBorder="1" applyAlignment="1">
      <alignment horizontal="left" vertical="center"/>
    </xf>
    <xf numFmtId="0" fontId="137" fillId="0" borderId="45" xfId="51" applyFont="1" applyBorder="1" applyAlignment="1">
      <alignment horizontal="left" vertical="center"/>
    </xf>
    <xf numFmtId="0" fontId="272" fillId="0" borderId="0" xfId="0" applyFont="1" applyAlignment="1">
      <alignment horizontal="center" vertical="center"/>
    </xf>
    <xf numFmtId="0" fontId="269" fillId="0" borderId="43" xfId="51" applyFont="1" applyBorder="1" applyAlignment="1">
      <alignment horizontal="left" vertical="center"/>
    </xf>
    <xf numFmtId="0" fontId="269" fillId="0" borderId="0" xfId="51" applyFont="1" applyAlignment="1">
      <alignment horizontal="left" vertical="center"/>
    </xf>
    <xf numFmtId="0" fontId="137" fillId="0" borderId="45" xfId="0" applyFont="1" applyBorder="1" applyAlignment="1">
      <alignment horizontal="left" vertical="center"/>
    </xf>
    <xf numFmtId="0" fontId="272" fillId="3" borderId="45" xfId="0" applyFont="1" applyFill="1" applyBorder="1" applyAlignment="1">
      <alignment horizontal="center" vertical="center" wrapText="1"/>
    </xf>
    <xf numFmtId="0" fontId="272" fillId="3" borderId="45" xfId="0" applyFont="1" applyFill="1" applyBorder="1" applyAlignment="1">
      <alignment horizontal="left" vertical="center" wrapText="1"/>
    </xf>
    <xf numFmtId="0" fontId="272" fillId="0" borderId="45" xfId="0" applyFont="1" applyBorder="1" applyAlignment="1">
      <alignment horizontal="center" vertical="center"/>
    </xf>
    <xf numFmtId="0" fontId="137" fillId="0" borderId="0" xfId="51" applyFont="1" applyAlignment="1">
      <alignment horizontal="center" vertical="center"/>
    </xf>
    <xf numFmtId="0" fontId="137" fillId="0" borderId="2" xfId="51" applyFont="1" applyBorder="1" applyAlignment="1">
      <alignment horizontal="left" vertical="center" wrapText="1"/>
    </xf>
    <xf numFmtId="0" fontId="137" fillId="0" borderId="2" xfId="51" applyFont="1" applyBorder="1" applyAlignment="1">
      <alignment horizontal="center" vertical="center"/>
    </xf>
    <xf numFmtId="169" fontId="137" fillId="0" borderId="2" xfId="51" applyNumberFormat="1" applyFont="1" applyBorder="1" applyAlignment="1">
      <alignment horizontal="center" vertical="center"/>
    </xf>
    <xf numFmtId="169" fontId="137" fillId="0" borderId="3" xfId="51" applyNumberFormat="1" applyFont="1" applyBorder="1" applyAlignment="1">
      <alignment horizontal="center" vertical="center"/>
    </xf>
    <xf numFmtId="169" fontId="137" fillId="0" borderId="4" xfId="51" applyNumberFormat="1" applyFont="1" applyBorder="1" applyAlignment="1">
      <alignment horizontal="center" vertical="center"/>
    </xf>
    <xf numFmtId="0" fontId="137" fillId="0" borderId="0" xfId="51" applyFont="1" applyAlignment="1">
      <alignment horizontal="left" vertical="center"/>
    </xf>
    <xf numFmtId="0" fontId="137" fillId="0" borderId="3" xfId="51" applyFont="1" applyBorder="1" applyAlignment="1">
      <alignment horizontal="center" vertical="center"/>
    </xf>
    <xf numFmtId="0" fontId="137" fillId="0" borderId="4" xfId="51" applyFont="1" applyBorder="1" applyAlignment="1">
      <alignment horizontal="center" vertical="center"/>
    </xf>
    <xf numFmtId="1" fontId="137" fillId="0" borderId="3" xfId="51" applyNumberFormat="1" applyFont="1" applyBorder="1" applyAlignment="1">
      <alignment horizontal="center" vertical="center"/>
    </xf>
    <xf numFmtId="0" fontId="271" fillId="21" borderId="3" xfId="21" applyFont="1" applyFill="1" applyBorder="1" applyAlignment="1">
      <alignment horizontal="center" vertical="center"/>
    </xf>
    <xf numFmtId="0" fontId="271" fillId="21" borderId="46" xfId="21" applyFont="1" applyFill="1" applyBorder="1" applyAlignment="1">
      <alignment horizontal="center" vertical="center"/>
    </xf>
    <xf numFmtId="0" fontId="271" fillId="21" borderId="4" xfId="21" applyFont="1" applyFill="1" applyBorder="1" applyAlignment="1">
      <alignment horizontal="center" vertical="center"/>
    </xf>
    <xf numFmtId="0" fontId="271" fillId="12" borderId="3" xfId="21" applyFont="1" applyFill="1" applyBorder="1" applyAlignment="1">
      <alignment horizontal="center" vertical="center"/>
    </xf>
    <xf numFmtId="0" fontId="271" fillId="12" borderId="46" xfId="21" applyFont="1" applyFill="1" applyBorder="1" applyAlignment="1">
      <alignment horizontal="center" vertical="center"/>
    </xf>
    <xf numFmtId="0" fontId="271" fillId="12" borderId="4" xfId="21" applyFont="1" applyFill="1" applyBorder="1" applyAlignment="1">
      <alignment horizontal="center" vertical="center"/>
    </xf>
    <xf numFmtId="1" fontId="137" fillId="0" borderId="4" xfId="51" applyNumberFormat="1" applyFont="1" applyBorder="1" applyAlignment="1">
      <alignment horizontal="center" vertical="center"/>
    </xf>
    <xf numFmtId="175" fontId="137" fillId="0" borderId="23" xfId="51" applyNumberFormat="1" applyFont="1" applyBorder="1" applyAlignment="1">
      <alignment horizontal="center" vertical="center"/>
    </xf>
    <xf numFmtId="175" fontId="137" fillId="0" borderId="5" xfId="51" applyNumberFormat="1" applyFont="1" applyBorder="1" applyAlignment="1">
      <alignment horizontal="center" vertical="center"/>
    </xf>
    <xf numFmtId="175" fontId="137" fillId="0" borderId="24" xfId="51" applyNumberFormat="1" applyFont="1" applyBorder="1" applyAlignment="1">
      <alignment horizontal="center" vertical="center"/>
    </xf>
    <xf numFmtId="175" fontId="137" fillId="0" borderId="26" xfId="51" applyNumberFormat="1" applyFont="1" applyBorder="1" applyAlignment="1">
      <alignment horizontal="center" vertical="center"/>
    </xf>
    <xf numFmtId="175" fontId="137" fillId="0" borderId="32" xfId="51" applyNumberFormat="1" applyFont="1" applyBorder="1" applyAlignment="1">
      <alignment horizontal="center" vertical="center"/>
    </xf>
    <xf numFmtId="175" fontId="137" fillId="0" borderId="27" xfId="51" applyNumberFormat="1" applyFont="1" applyBorder="1" applyAlignment="1">
      <alignment horizontal="center" vertical="center"/>
    </xf>
    <xf numFmtId="0" fontId="137" fillId="0" borderId="2" xfId="51" applyFont="1" applyBorder="1" applyAlignment="1">
      <alignment horizontal="center" vertical="center" wrapText="1"/>
    </xf>
    <xf numFmtId="0" fontId="127" fillId="4" borderId="3" xfId="0" applyFont="1" applyFill="1" applyBorder="1" applyAlignment="1">
      <alignment horizontal="center" vertical="center" textRotation="90" wrapText="1"/>
    </xf>
    <xf numFmtId="0" fontId="129" fillId="4" borderId="4" xfId="0" applyFont="1" applyFill="1" applyBorder="1"/>
    <xf numFmtId="1" fontId="127" fillId="3" borderId="0" xfId="0" applyNumberFormat="1" applyFont="1" applyFill="1" applyAlignment="1">
      <alignment horizontal="left" vertical="center" wrapText="1"/>
    </xf>
    <xf numFmtId="0" fontId="127" fillId="3" borderId="0" xfId="0" applyFont="1" applyFill="1" applyAlignment="1">
      <alignment horizontal="left" vertical="center" wrapText="1"/>
    </xf>
    <xf numFmtId="0" fontId="127" fillId="4" borderId="3" xfId="0" applyFont="1" applyFill="1" applyBorder="1" applyAlignment="1">
      <alignment horizontal="center" vertical="center" wrapText="1"/>
    </xf>
    <xf numFmtId="0" fontId="130" fillId="3" borderId="5" xfId="0" applyFont="1" applyFill="1" applyBorder="1" applyAlignment="1">
      <alignment horizontal="center" vertical="center"/>
    </xf>
    <xf numFmtId="0" fontId="130" fillId="3" borderId="0" xfId="0" applyFont="1" applyFill="1" applyAlignment="1">
      <alignment horizontal="center" vertical="center"/>
    </xf>
    <xf numFmtId="0" fontId="127" fillId="4" borderId="4" xfId="0" applyFont="1" applyFill="1" applyBorder="1" applyAlignment="1">
      <alignment horizontal="center" vertical="center" wrapText="1"/>
    </xf>
    <xf numFmtId="0" fontId="129" fillId="4" borderId="4" xfId="0" applyFont="1" applyFill="1" applyBorder="1" applyAlignment="1">
      <alignment horizontal="center"/>
    </xf>
    <xf numFmtId="0" fontId="273" fillId="20" borderId="8" xfId="21" applyFont="1" applyFill="1" applyBorder="1" applyAlignment="1">
      <alignment horizontal="center" vertical="center"/>
    </xf>
  </cellXfs>
  <cellStyles count="52">
    <cellStyle name="=C:\WINNT\SYSTEM32\COMMAND.COM" xfId="45" xr:uid="{34BF4AEE-2937-498E-8EF3-8128A2F939B7}"/>
    <cellStyle name="20% - Accent1" xfId="6" builtinId="30"/>
    <cellStyle name="Check Cell" xfId="4" builtinId="23"/>
    <cellStyle name="Check Cell 2" xfId="46" xr:uid="{D8BBCCFE-AEA2-4CE9-B25B-1B8577DA125D}"/>
    <cellStyle name="Comma" xfId="1" builtinId="3"/>
    <cellStyle name="Comma 2" xfId="47" xr:uid="{245091D1-09B8-4BA8-8752-F38D24B9D39E}"/>
    <cellStyle name="Comma 2 2 2" xfId="7" xr:uid="{00000000-0005-0000-0000-000031000000}"/>
    <cellStyle name="Comma 2 3 2" xfId="8" xr:uid="{00000000-0005-0000-0000-000032000000}"/>
    <cellStyle name="Comma 29" xfId="9" xr:uid="{00000000-0005-0000-0000-000033000000}"/>
    <cellStyle name="Currency" xfId="2" builtinId="4"/>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1" xfId="49" xr:uid="{2DD2E029-B88E-43BC-A7B8-614FE94AE8EB}"/>
    <cellStyle name="Normal 11 2" xfId="11" xr:uid="{00000000-0005-0000-0000-000035000000}"/>
    <cellStyle name="Normal 12" xfId="30" xr:uid="{7BCE2A68-F273-4274-A066-6B84FE569121}"/>
    <cellStyle name="Normal 13 2" xfId="12" xr:uid="{00000000-0005-0000-0000-000036000000}"/>
    <cellStyle name="Normal 14" xfId="13" xr:uid="{00000000-0005-0000-0000-000037000000}"/>
    <cellStyle name="Normal 17" xfId="32" xr:uid="{3A61A67E-AE39-428F-B759-757971D202D8}"/>
    <cellStyle name="Normal 18" xfId="33" xr:uid="{FAA132D2-8184-4FF2-9622-E2DADA8473DA}"/>
    <cellStyle name="Normal 19" xfId="34" xr:uid="{0C2472A0-BD30-4547-9BF8-8343B710AC75}"/>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3 3" xfId="20" xr:uid="{00000000-0005-0000-0000-00003E000000}"/>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7" xfId="40" xr:uid="{830D6DEA-C205-4B2C-80A9-DCCA2BF98C6A}"/>
    <cellStyle name="Normal 7 3" xfId="51" xr:uid="{BEA6E505-4B0A-43C6-A758-6DA27B9288BD}"/>
    <cellStyle name="Normal 8" xfId="41" xr:uid="{1D0548D7-B338-44DC-A06B-FF5452568E1D}"/>
    <cellStyle name="Normal 8 2" xfId="27" xr:uid="{00000000-0005-0000-0000-000045000000}"/>
    <cellStyle name="Normal 9" xfId="42" xr:uid="{A03CB35C-55EF-4B9E-B505-94E080F332AA}"/>
    <cellStyle name="Normal 9 2" xfId="28" xr:uid="{00000000-0005-0000-0000-000046000000}"/>
    <cellStyle name="Normal 9 2 2" xfId="43" xr:uid="{0A0D74B9-F231-4D29-BCB7-743D98B5186D}"/>
    <cellStyle name="Percent" xfId="3" builtinId="5"/>
    <cellStyle name="Percent 2" xfId="29" xr:uid="{00000000-0005-0000-0000-000047000000}"/>
  </cellStyles>
  <dxfs count="3442">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lor theme="0"/>
      </font>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lor theme="0"/>
      </font>
    </dxf>
    <dxf>
      <font>
        <color theme="0"/>
      </font>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lor theme="0"/>
      </font>
    </dxf>
    <dxf>
      <font>
        <color theme="0"/>
      </font>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theme="5" tint="0.79998168889431442"/>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rgb="FF00B050"/>
        </patternFill>
      </fill>
    </dxf>
    <dxf>
      <font>
        <condense val="0"/>
        <extend val="0"/>
        <color rgb="FF006100"/>
      </font>
      <fill>
        <patternFill>
          <bgColor rgb="FFC6EFCE"/>
        </patternFill>
      </fill>
    </dxf>
    <dxf>
      <font>
        <condense val="0"/>
        <extend val="0"/>
        <color rgb="FF9C6500"/>
      </font>
      <fill>
        <patternFill>
          <bgColor rgb="FFFFEB9C"/>
        </patternFill>
      </fill>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66FF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5.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6.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s>
</file>

<file path=xl/drawings/_rels/drawing7.xml.rels><?xml version="1.0" encoding="UTF-8" standalone="yes"?>
<Relationships xmlns="http://schemas.openxmlformats.org/package/2006/relationships"><Relationship Id="rId3" Type="http://schemas.openxmlformats.org/officeDocument/2006/relationships/image" Target="../media/image16.jpeg"/><Relationship Id="rId2" Type="http://schemas.openxmlformats.org/officeDocument/2006/relationships/image" Target="../media/image15.jpeg"/><Relationship Id="rId1"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9.xml.rels><?xml version="1.0" encoding="UTF-8" standalone="yes"?>
<Relationships xmlns="http://schemas.openxmlformats.org/package/2006/relationships"><Relationship Id="rId3" Type="http://schemas.openxmlformats.org/officeDocument/2006/relationships/image" Target="../media/image22.png"/><Relationship Id="rId7" Type="http://schemas.openxmlformats.org/officeDocument/2006/relationships/image" Target="../media/image25.emf"/><Relationship Id="rId2" Type="http://schemas.openxmlformats.org/officeDocument/2006/relationships/image" Target="../media/image21.png"/><Relationship Id="rId1" Type="http://schemas.openxmlformats.org/officeDocument/2006/relationships/image" Target="../media/image20.png"/><Relationship Id="rId6" Type="http://schemas.openxmlformats.org/officeDocument/2006/relationships/image" Target="../media/image19.png"/><Relationship Id="rId5" Type="http://schemas.openxmlformats.org/officeDocument/2006/relationships/image" Target="../media/image24.png"/><Relationship Id="rId4"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editAs="oneCell">
    <xdr:from>
      <xdr:col>1</xdr:col>
      <xdr:colOff>14655</xdr:colOff>
      <xdr:row>0</xdr:row>
      <xdr:rowOff>26958</xdr:rowOff>
    </xdr:from>
    <xdr:to>
      <xdr:col>1</xdr:col>
      <xdr:colOff>839491</xdr:colOff>
      <xdr:row>1</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159" r="6526"/>
        <a:stretch>
          <a:fillRect/>
        </a:stretch>
      </xdr:blipFill>
      <xdr:spPr>
        <a:xfrm>
          <a:off x="1748155" y="26670"/>
          <a:ext cx="824865" cy="1562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7327</xdr:colOff>
      <xdr:row>1</xdr:row>
      <xdr:rowOff>26643</xdr:rowOff>
    </xdr:from>
    <xdr:to>
      <xdr:col>2</xdr:col>
      <xdr:colOff>2893</xdr:colOff>
      <xdr:row>2</xdr:row>
      <xdr:rowOff>0</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9056" t="1937" r="10142" b="2478"/>
        <a:stretch>
          <a:fillRect/>
        </a:stretch>
      </xdr:blipFill>
      <xdr:spPr>
        <a:xfrm>
          <a:off x="1740535" y="1615440"/>
          <a:ext cx="890905" cy="1563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14653</xdr:colOff>
      <xdr:row>2</xdr:row>
      <xdr:rowOff>23577</xdr:rowOff>
    </xdr:from>
    <xdr:to>
      <xdr:col>1</xdr:col>
      <xdr:colOff>839491</xdr:colOff>
      <xdr:row>2</xdr:row>
      <xdr:rowOff>1560781</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4998" t="1384" r="966" b="752"/>
        <a:stretch>
          <a:fillRect/>
        </a:stretch>
      </xdr:blipFill>
      <xdr:spPr>
        <a:xfrm>
          <a:off x="1748155" y="3202305"/>
          <a:ext cx="824865" cy="153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12260</xdr:colOff>
      <xdr:row>3</xdr:row>
      <xdr:rowOff>22897</xdr:rowOff>
    </xdr:from>
    <xdr:to>
      <xdr:col>1</xdr:col>
      <xdr:colOff>834911</xdr:colOff>
      <xdr:row>4</xdr:row>
      <xdr:rowOff>0</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l="4876" t="1896" r="11539" b="1"/>
        <a:stretch>
          <a:fillRect/>
        </a:stretch>
      </xdr:blipFill>
      <xdr:spPr>
        <a:xfrm>
          <a:off x="1745615" y="4791075"/>
          <a:ext cx="82232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14655</xdr:colOff>
      <xdr:row>7</xdr:row>
      <xdr:rowOff>8072</xdr:rowOff>
    </xdr:from>
    <xdr:to>
      <xdr:col>1</xdr:col>
      <xdr:colOff>839491</xdr:colOff>
      <xdr:row>7</xdr:row>
      <xdr:rowOff>1565975</xdr:rowOff>
    </xdr:to>
    <xdr:pic>
      <xdr:nvPicPr>
        <xdr:cNvPr id="6" name="Picture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3590" t="918" r="10797" b="1260"/>
        <a:stretch>
          <a:fillRect/>
        </a:stretch>
      </xdr:blipFill>
      <xdr:spPr>
        <a:xfrm>
          <a:off x="1748155" y="11133455"/>
          <a:ext cx="824865" cy="15582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14654</xdr:colOff>
      <xdr:row>6</xdr:row>
      <xdr:rowOff>14580</xdr:rowOff>
    </xdr:from>
    <xdr:to>
      <xdr:col>2</xdr:col>
      <xdr:colOff>1</xdr:colOff>
      <xdr:row>7</xdr:row>
      <xdr:rowOff>1</xdr:rowOff>
    </xdr:to>
    <xdr:pic>
      <xdr:nvPicPr>
        <xdr:cNvPr id="7" name="Picture 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3791" t="-1" r="3020" b="570"/>
        <a:stretch>
          <a:fillRect/>
        </a:stretch>
      </xdr:blipFill>
      <xdr:spPr>
        <a:xfrm>
          <a:off x="1748155" y="9550400"/>
          <a:ext cx="880745" cy="15754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9234</xdr:colOff>
      <xdr:row>5</xdr:row>
      <xdr:rowOff>19957</xdr:rowOff>
    </xdr:from>
    <xdr:to>
      <xdr:col>2</xdr:col>
      <xdr:colOff>16145</xdr:colOff>
      <xdr:row>5</xdr:row>
      <xdr:rowOff>1574541</xdr:rowOff>
    </xdr:to>
    <xdr:pic>
      <xdr:nvPicPr>
        <xdr:cNvPr id="8" name="Picture 7">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l="5516" r="11375"/>
        <a:stretch>
          <a:fillRect/>
        </a:stretch>
      </xdr:blipFill>
      <xdr:spPr>
        <a:xfrm>
          <a:off x="1742440" y="7966710"/>
          <a:ext cx="902335" cy="1554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6778</xdr:colOff>
      <xdr:row>4</xdr:row>
      <xdr:rowOff>8461</xdr:rowOff>
    </xdr:from>
    <xdr:to>
      <xdr:col>1</xdr:col>
      <xdr:colOff>839491</xdr:colOff>
      <xdr:row>4</xdr:row>
      <xdr:rowOff>1578511</xdr:rowOff>
    </xdr:to>
    <xdr:pic>
      <xdr:nvPicPr>
        <xdr:cNvPr id="9" name="Picture 8">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r="4345"/>
        <a:stretch>
          <a:fillRect/>
        </a:stretch>
      </xdr:blipFill>
      <xdr:spPr>
        <a:xfrm>
          <a:off x="1739900" y="6365875"/>
          <a:ext cx="833120" cy="15697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1636337</xdr:colOff>
      <xdr:row>9</xdr:row>
      <xdr:rowOff>8072</xdr:rowOff>
    </xdr:from>
    <xdr:to>
      <xdr:col>2</xdr:col>
      <xdr:colOff>16145</xdr:colOff>
      <xdr:row>9</xdr:row>
      <xdr:rowOff>1574540</xdr:rowOff>
    </xdr:to>
    <xdr:pic>
      <xdr:nvPicPr>
        <xdr:cNvPr id="10" name="Picture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t="503" r="10452"/>
        <a:stretch>
          <a:fillRect/>
        </a:stretch>
      </xdr:blipFill>
      <xdr:spPr>
        <a:xfrm>
          <a:off x="1635760" y="14312265"/>
          <a:ext cx="1009015" cy="156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5785</xdr:colOff>
      <xdr:row>11</xdr:row>
      <xdr:rowOff>8072</xdr:rowOff>
    </xdr:from>
    <xdr:to>
      <xdr:col>2</xdr:col>
      <xdr:colOff>11285</xdr:colOff>
      <xdr:row>12</xdr:row>
      <xdr:rowOff>0</xdr:rowOff>
    </xdr:to>
    <xdr:pic>
      <xdr:nvPicPr>
        <xdr:cNvPr id="11" name="Picture 10">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l="8823" r="10805"/>
        <a:stretch>
          <a:fillRect/>
        </a:stretch>
      </xdr:blipFill>
      <xdr:spPr>
        <a:xfrm>
          <a:off x="1739265" y="17491075"/>
          <a:ext cx="900430" cy="1581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8072</xdr:colOff>
      <xdr:row>8</xdr:row>
      <xdr:rowOff>8072</xdr:rowOff>
    </xdr:from>
    <xdr:to>
      <xdr:col>2</xdr:col>
      <xdr:colOff>2893</xdr:colOff>
      <xdr:row>8</xdr:row>
      <xdr:rowOff>1590215</xdr:rowOff>
    </xdr:to>
    <xdr:pic>
      <xdr:nvPicPr>
        <xdr:cNvPr id="12" name="Picture 11">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539" t="1648" r="13630"/>
        <a:stretch>
          <a:fillRect/>
        </a:stretch>
      </xdr:blipFill>
      <xdr:spPr>
        <a:xfrm>
          <a:off x="1741170" y="12722860"/>
          <a:ext cx="890270" cy="1582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1645044</xdr:colOff>
      <xdr:row>10</xdr:row>
      <xdr:rowOff>9899</xdr:rowOff>
    </xdr:from>
    <xdr:to>
      <xdr:col>1</xdr:col>
      <xdr:colOff>843940</xdr:colOff>
      <xdr:row>10</xdr:row>
      <xdr:rowOff>1574047</xdr:rowOff>
    </xdr:to>
    <xdr:pic>
      <xdr:nvPicPr>
        <xdr:cNvPr id="13" name="Picture 12">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l="10176" t="1648" r="12264"/>
        <a:stretch>
          <a:fillRect/>
        </a:stretch>
      </xdr:blipFill>
      <xdr:spPr>
        <a:xfrm>
          <a:off x="1644650" y="15903575"/>
          <a:ext cx="932815" cy="1564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837664</xdr:colOff>
      <xdr:row>10</xdr:row>
      <xdr:rowOff>834046</xdr:rowOff>
    </xdr:from>
    <xdr:to>
      <xdr:col>3</xdr:col>
      <xdr:colOff>25697</xdr:colOff>
      <xdr:row>10</xdr:row>
      <xdr:rowOff>1090547</xdr:rowOff>
    </xdr:to>
    <xdr:sp macro="" textlink="">
      <xdr:nvSpPr>
        <xdr:cNvPr id="14" name="Freeform: Shape 13">
          <a:extLst>
            <a:ext uri="{FF2B5EF4-FFF2-40B4-BE49-F238E27FC236}">
              <a16:creationId xmlns:a16="http://schemas.microsoft.com/office/drawing/2014/main" id="{00000000-0008-0000-0000-00000E000000}"/>
            </a:ext>
          </a:extLst>
        </xdr:cNvPr>
        <xdr:cNvSpPr/>
      </xdr:nvSpPr>
      <xdr:spPr>
        <a:xfrm rot="21437170">
          <a:off x="2571115" y="1672780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837417</xdr:colOff>
      <xdr:row>10</xdr:row>
      <xdr:rowOff>220848</xdr:rowOff>
    </xdr:from>
    <xdr:to>
      <xdr:col>3</xdr:col>
      <xdr:colOff>25450</xdr:colOff>
      <xdr:row>10</xdr:row>
      <xdr:rowOff>477349</xdr:rowOff>
    </xdr:to>
    <xdr:sp macro="" textlink="">
      <xdr:nvSpPr>
        <xdr:cNvPr id="15" name="Freeform: Shape 14">
          <a:extLst>
            <a:ext uri="{FF2B5EF4-FFF2-40B4-BE49-F238E27FC236}">
              <a16:creationId xmlns:a16="http://schemas.microsoft.com/office/drawing/2014/main" id="{00000000-0008-0000-0000-00000F000000}"/>
            </a:ext>
          </a:extLst>
        </xdr:cNvPr>
        <xdr:cNvSpPr/>
      </xdr:nvSpPr>
      <xdr:spPr>
        <a:xfrm rot="21437170">
          <a:off x="2570480" y="16114395"/>
          <a:ext cx="560070"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835951</xdr:colOff>
      <xdr:row>10</xdr:row>
      <xdr:rowOff>534439</xdr:rowOff>
    </xdr:from>
    <xdr:to>
      <xdr:col>3</xdr:col>
      <xdr:colOff>23984</xdr:colOff>
      <xdr:row>10</xdr:row>
      <xdr:rowOff>790940</xdr:rowOff>
    </xdr:to>
    <xdr:sp macro="" textlink="">
      <xdr:nvSpPr>
        <xdr:cNvPr id="16" name="Freeform: Shape 15">
          <a:extLst>
            <a:ext uri="{FF2B5EF4-FFF2-40B4-BE49-F238E27FC236}">
              <a16:creationId xmlns:a16="http://schemas.microsoft.com/office/drawing/2014/main" id="{00000000-0008-0000-0000-000010000000}"/>
            </a:ext>
          </a:extLst>
        </xdr:cNvPr>
        <xdr:cNvSpPr/>
      </xdr:nvSpPr>
      <xdr:spPr>
        <a:xfrm rot="21437170">
          <a:off x="2569210" y="16428085"/>
          <a:ext cx="559435" cy="25654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3663</xdr:colOff>
      <xdr:row>11</xdr:row>
      <xdr:rowOff>827255</xdr:rowOff>
    </xdr:from>
    <xdr:to>
      <xdr:col>3</xdr:col>
      <xdr:colOff>2036</xdr:colOff>
      <xdr:row>11</xdr:row>
      <xdr:rowOff>1104584</xdr:rowOff>
    </xdr:to>
    <xdr:sp macro="" textlink="">
      <xdr:nvSpPr>
        <xdr:cNvPr id="17" name="Freeform: Shape 16">
          <a:extLst>
            <a:ext uri="{FF2B5EF4-FFF2-40B4-BE49-F238E27FC236}">
              <a16:creationId xmlns:a16="http://schemas.microsoft.com/office/drawing/2014/main" id="{00000000-0008-0000-0000-000011000000}"/>
            </a:ext>
          </a:extLst>
        </xdr:cNvPr>
        <xdr:cNvSpPr/>
      </xdr:nvSpPr>
      <xdr:spPr>
        <a:xfrm rot="21437170">
          <a:off x="2632075" y="18310225"/>
          <a:ext cx="474980"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3416</xdr:colOff>
      <xdr:row>11</xdr:row>
      <xdr:rowOff>255907</xdr:rowOff>
    </xdr:from>
    <xdr:to>
      <xdr:col>3</xdr:col>
      <xdr:colOff>4769</xdr:colOff>
      <xdr:row>11</xdr:row>
      <xdr:rowOff>533236</xdr:rowOff>
    </xdr:to>
    <xdr:sp macro="" textlink="">
      <xdr:nvSpPr>
        <xdr:cNvPr id="18" name="Freeform: Shape 17">
          <a:extLst>
            <a:ext uri="{FF2B5EF4-FFF2-40B4-BE49-F238E27FC236}">
              <a16:creationId xmlns:a16="http://schemas.microsoft.com/office/drawing/2014/main" id="{00000000-0008-0000-0000-000012000000}"/>
            </a:ext>
          </a:extLst>
        </xdr:cNvPr>
        <xdr:cNvSpPr/>
      </xdr:nvSpPr>
      <xdr:spPr>
        <a:xfrm rot="21437170">
          <a:off x="2632075" y="17739360"/>
          <a:ext cx="477520" cy="276860"/>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4310</xdr:colOff>
      <xdr:row>11</xdr:row>
      <xdr:rowOff>554844</xdr:rowOff>
    </xdr:from>
    <xdr:to>
      <xdr:col>3</xdr:col>
      <xdr:colOff>3303</xdr:colOff>
      <xdr:row>11</xdr:row>
      <xdr:rowOff>832173</xdr:rowOff>
    </xdr:to>
    <xdr:sp macro="" textlink="">
      <xdr:nvSpPr>
        <xdr:cNvPr id="19" name="Freeform: Shape 18">
          <a:extLst>
            <a:ext uri="{FF2B5EF4-FFF2-40B4-BE49-F238E27FC236}">
              <a16:creationId xmlns:a16="http://schemas.microsoft.com/office/drawing/2014/main" id="{00000000-0008-0000-0000-000013000000}"/>
            </a:ext>
          </a:extLst>
        </xdr:cNvPr>
        <xdr:cNvSpPr/>
      </xdr:nvSpPr>
      <xdr:spPr>
        <a:xfrm rot="21437170">
          <a:off x="2632710" y="18037810"/>
          <a:ext cx="475615" cy="277495"/>
        </a:xfrm>
        <a:custGeom>
          <a:avLst/>
          <a:gdLst>
            <a:gd name="connsiteX0" fmla="*/ 0 w 889599"/>
            <a:gd name="connsiteY0" fmla="*/ 0 h 691936"/>
            <a:gd name="connsiteX1" fmla="*/ 440307 w 889599"/>
            <a:gd name="connsiteY1" fmla="*/ 691910 h 691936"/>
            <a:gd name="connsiteX2" fmla="*/ 889599 w 889599"/>
            <a:gd name="connsiteY2" fmla="*/ 26958 h 691936"/>
          </a:gdLst>
          <a:ahLst/>
          <a:cxnLst>
            <a:cxn ang="0">
              <a:pos x="connsiteX0" y="connsiteY0"/>
            </a:cxn>
            <a:cxn ang="0">
              <a:pos x="connsiteX1" y="connsiteY1"/>
            </a:cxn>
            <a:cxn ang="0">
              <a:pos x="connsiteX2" y="connsiteY2"/>
            </a:cxn>
          </a:cxnLst>
          <a:rect l="l" t="t" r="r" b="b"/>
          <a:pathLst>
            <a:path w="889599" h="691936">
              <a:moveTo>
                <a:pt x="0" y="0"/>
              </a:moveTo>
              <a:cubicBezTo>
                <a:pt x="146020" y="343708"/>
                <a:pt x="292041" y="687417"/>
                <a:pt x="440307" y="691910"/>
              </a:cubicBezTo>
              <a:cubicBezTo>
                <a:pt x="588573" y="696403"/>
                <a:pt x="835684" y="131793"/>
                <a:pt x="889599" y="26958"/>
              </a:cubicBezTo>
            </a:path>
          </a:pathLst>
        </a:custGeom>
        <a:ln>
          <a:solidFill>
            <a:srgbClr val="7030A0"/>
          </a:solidFill>
        </a:ln>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US" sz="1100"/>
        </a:p>
      </xdr:txBody>
    </xdr:sp>
    <xdr:clientData/>
  </xdr:twoCellAnchor>
  <xdr:twoCellAnchor editAs="oneCell">
    <xdr:from>
      <xdr:col>1</xdr:col>
      <xdr:colOff>17973</xdr:colOff>
      <xdr:row>13</xdr:row>
      <xdr:rowOff>53917</xdr:rowOff>
    </xdr:from>
    <xdr:to>
      <xdr:col>2</xdr:col>
      <xdr:colOff>17972</xdr:colOff>
      <xdr:row>13</xdr:row>
      <xdr:rowOff>1572525</xdr:rowOff>
    </xdr:to>
    <xdr:pic>
      <xdr:nvPicPr>
        <xdr:cNvPr id="21" name="Picture 20">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b="2312"/>
        <a:stretch>
          <a:fillRect/>
        </a:stretch>
      </xdr:blipFill>
      <xdr:spPr>
        <a:xfrm>
          <a:off x="1751330" y="20715605"/>
          <a:ext cx="895350" cy="1518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8987</xdr:colOff>
      <xdr:row>12</xdr:row>
      <xdr:rowOff>8985</xdr:rowOff>
    </xdr:from>
    <xdr:to>
      <xdr:col>1</xdr:col>
      <xdr:colOff>817713</xdr:colOff>
      <xdr:row>13</xdr:row>
      <xdr:rowOff>0</xdr:rowOff>
    </xdr:to>
    <xdr:pic>
      <xdr:nvPicPr>
        <xdr:cNvPr id="20" name="Picture 19">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7936" t="1654" r="9187" b="1820"/>
        <a:stretch>
          <a:fillRect/>
        </a:stretch>
      </xdr:blipFill>
      <xdr:spPr>
        <a:xfrm>
          <a:off x="1742440" y="19081750"/>
          <a:ext cx="808355" cy="15805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17</xdr:row>
      <xdr:rowOff>0</xdr:rowOff>
    </xdr:from>
    <xdr:to>
      <xdr:col>3</xdr:col>
      <xdr:colOff>0</xdr:colOff>
      <xdr:row>19</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011680" y="3916680"/>
          <a:ext cx="102108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xdr:row>
      <xdr:rowOff>0</xdr:rowOff>
    </xdr:from>
    <xdr:to>
      <xdr:col>5</xdr:col>
      <xdr:colOff>0</xdr:colOff>
      <xdr:row>19</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076700" y="3916680"/>
          <a:ext cx="119634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xdr:row>
      <xdr:rowOff>0</xdr:rowOff>
    </xdr:from>
    <xdr:to>
      <xdr:col>7</xdr:col>
      <xdr:colOff>0</xdr:colOff>
      <xdr:row>19</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xdr:row>
      <xdr:rowOff>0</xdr:rowOff>
    </xdr:from>
    <xdr:to>
      <xdr:col>9</xdr:col>
      <xdr:colOff>0</xdr:colOff>
      <xdr:row>19</xdr:row>
      <xdr:rowOff>195613</xdr:rowOff>
    </xdr:to>
    <xdr:sp macro="" textlink="">
      <xdr:nvSpPr>
        <xdr:cNvPr id="5" name="Isosceles Triangle 4">
          <a:extLst>
            <a:ext uri="{FF2B5EF4-FFF2-40B4-BE49-F238E27FC236}">
              <a16:creationId xmlns:a16="http://schemas.microsoft.com/office/drawing/2014/main" id="{56AD6E1F-BE37-48F1-A14B-D0E068F7B99B}"/>
            </a:ext>
          </a:extLst>
        </xdr:cNvPr>
        <xdr:cNvSpPr/>
      </xdr:nvSpPr>
      <xdr:spPr>
        <a:xfrm>
          <a:off x="8298180" y="3916680"/>
          <a:ext cx="127254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xdr:row>
      <xdr:rowOff>0</xdr:rowOff>
    </xdr:from>
    <xdr:to>
      <xdr:col>11</xdr:col>
      <xdr:colOff>0</xdr:colOff>
      <xdr:row>19</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xdr:row>
      <xdr:rowOff>0</xdr:rowOff>
    </xdr:from>
    <xdr:to>
      <xdr:col>13</xdr:col>
      <xdr:colOff>0</xdr:colOff>
      <xdr:row>19</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xdr:row>
      <xdr:rowOff>0</xdr:rowOff>
    </xdr:from>
    <xdr:to>
      <xdr:col>17</xdr:col>
      <xdr:colOff>0</xdr:colOff>
      <xdr:row>19</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xdr:row>
      <xdr:rowOff>0</xdr:rowOff>
    </xdr:from>
    <xdr:to>
      <xdr:col>19</xdr:col>
      <xdr:colOff>0</xdr:colOff>
      <xdr:row>19</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208646</xdr:colOff>
      <xdr:row>17</xdr:row>
      <xdr:rowOff>0</xdr:rowOff>
    </xdr:from>
    <xdr:to>
      <xdr:col>0</xdr:col>
      <xdr:colOff>417288</xdr:colOff>
      <xdr:row>21</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0</xdr:col>
      <xdr:colOff>199572</xdr:colOff>
      <xdr:row>17</xdr:row>
      <xdr:rowOff>0</xdr:rowOff>
    </xdr:from>
    <xdr:to>
      <xdr:col>0</xdr:col>
      <xdr:colOff>411390</xdr:colOff>
      <xdr:row>18</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0</xdr:col>
      <xdr:colOff>217714</xdr:colOff>
      <xdr:row>17</xdr:row>
      <xdr:rowOff>0</xdr:rowOff>
    </xdr:from>
    <xdr:to>
      <xdr:col>0</xdr:col>
      <xdr:colOff>417285</xdr:colOff>
      <xdr:row>19</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0</xdr:col>
      <xdr:colOff>217715</xdr:colOff>
      <xdr:row>18</xdr:row>
      <xdr:rowOff>154216</xdr:rowOff>
    </xdr:from>
    <xdr:to>
      <xdr:col>0</xdr:col>
      <xdr:colOff>408215</xdr:colOff>
      <xdr:row>20</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sp>
    <xdr:clientData/>
  </xdr:twoCellAnchor>
  <xdr:twoCellAnchor>
    <xdr:from>
      <xdr:col>0</xdr:col>
      <xdr:colOff>217714</xdr:colOff>
      <xdr:row>18</xdr:row>
      <xdr:rowOff>190500</xdr:rowOff>
    </xdr:from>
    <xdr:to>
      <xdr:col>0</xdr:col>
      <xdr:colOff>424089</xdr:colOff>
      <xdr:row>20</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0</xdr:col>
      <xdr:colOff>217714</xdr:colOff>
      <xdr:row>20</xdr:row>
      <xdr:rowOff>181428</xdr:rowOff>
    </xdr:from>
    <xdr:to>
      <xdr:col>0</xdr:col>
      <xdr:colOff>426357</xdr:colOff>
      <xdr:row>21</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0</xdr:col>
      <xdr:colOff>226785</xdr:colOff>
      <xdr:row>20</xdr:row>
      <xdr:rowOff>154214</xdr:rowOff>
    </xdr:from>
    <xdr:to>
      <xdr:col>0</xdr:col>
      <xdr:colOff>420459</xdr:colOff>
      <xdr:row>21</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14</xdr:col>
      <xdr:colOff>0</xdr:colOff>
      <xdr:row>17</xdr:row>
      <xdr:rowOff>0</xdr:rowOff>
    </xdr:from>
    <xdr:to>
      <xdr:col>15</xdr:col>
      <xdr:colOff>9072</xdr:colOff>
      <xdr:row>19</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xdr:row>
      <xdr:rowOff>0</xdr:rowOff>
    </xdr:from>
    <xdr:to>
      <xdr:col>21</xdr:col>
      <xdr:colOff>0</xdr:colOff>
      <xdr:row>19</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xdr:row>
      <xdr:rowOff>0</xdr:rowOff>
    </xdr:from>
    <xdr:to>
      <xdr:col>23</xdr:col>
      <xdr:colOff>0</xdr:colOff>
      <xdr:row>19</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153</xdr:row>
      <xdr:rowOff>126029</xdr:rowOff>
    </xdr:from>
    <xdr:to>
      <xdr:col>3</xdr:col>
      <xdr:colOff>0</xdr:colOff>
      <xdr:row>156</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153</xdr:row>
      <xdr:rowOff>126029</xdr:rowOff>
    </xdr:from>
    <xdr:to>
      <xdr:col>5</xdr:col>
      <xdr:colOff>0</xdr:colOff>
      <xdr:row>156</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153</xdr:row>
      <xdr:rowOff>126029</xdr:rowOff>
    </xdr:from>
    <xdr:to>
      <xdr:col>7</xdr:col>
      <xdr:colOff>0</xdr:colOff>
      <xdr:row>156</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153</xdr:row>
      <xdr:rowOff>126029</xdr:rowOff>
    </xdr:from>
    <xdr:to>
      <xdr:col>9</xdr:col>
      <xdr:colOff>0</xdr:colOff>
      <xdr:row>156</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153</xdr:row>
      <xdr:rowOff>126029</xdr:rowOff>
    </xdr:from>
    <xdr:to>
      <xdr:col>11</xdr:col>
      <xdr:colOff>0</xdr:colOff>
      <xdr:row>156</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153</xdr:row>
      <xdr:rowOff>126029</xdr:rowOff>
    </xdr:from>
    <xdr:to>
      <xdr:col>13</xdr:col>
      <xdr:colOff>0</xdr:colOff>
      <xdr:row>156</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153</xdr:row>
      <xdr:rowOff>126029</xdr:rowOff>
    </xdr:from>
    <xdr:to>
      <xdr:col>17</xdr:col>
      <xdr:colOff>0</xdr:colOff>
      <xdr:row>156</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153</xdr:row>
      <xdr:rowOff>126029</xdr:rowOff>
    </xdr:from>
    <xdr:to>
      <xdr:col>19</xdr:col>
      <xdr:colOff>0</xdr:colOff>
      <xdr:row>156</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153</xdr:row>
      <xdr:rowOff>127000</xdr:rowOff>
    </xdr:from>
    <xdr:to>
      <xdr:col>15</xdr:col>
      <xdr:colOff>9072</xdr:colOff>
      <xdr:row>156</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153</xdr:row>
      <xdr:rowOff>126029</xdr:rowOff>
    </xdr:from>
    <xdr:to>
      <xdr:col>21</xdr:col>
      <xdr:colOff>0</xdr:colOff>
      <xdr:row>156</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153</xdr:row>
      <xdr:rowOff>126029</xdr:rowOff>
    </xdr:from>
    <xdr:to>
      <xdr:col>23</xdr:col>
      <xdr:colOff>0</xdr:colOff>
      <xdr:row>156</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153</xdr:row>
      <xdr:rowOff>126029</xdr:rowOff>
    </xdr:from>
    <xdr:to>
      <xdr:col>1</xdr:col>
      <xdr:colOff>0</xdr:colOff>
      <xdr:row>156</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161</xdr:row>
      <xdr:rowOff>126029</xdr:rowOff>
    </xdr:from>
    <xdr:to>
      <xdr:col>3</xdr:col>
      <xdr:colOff>0</xdr:colOff>
      <xdr:row>164</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161</xdr:row>
      <xdr:rowOff>126029</xdr:rowOff>
    </xdr:from>
    <xdr:to>
      <xdr:col>5</xdr:col>
      <xdr:colOff>0</xdr:colOff>
      <xdr:row>164</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161</xdr:row>
      <xdr:rowOff>126029</xdr:rowOff>
    </xdr:from>
    <xdr:to>
      <xdr:col>7</xdr:col>
      <xdr:colOff>0</xdr:colOff>
      <xdr:row>164</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161</xdr:row>
      <xdr:rowOff>126029</xdr:rowOff>
    </xdr:from>
    <xdr:to>
      <xdr:col>9</xdr:col>
      <xdr:colOff>0</xdr:colOff>
      <xdr:row>164</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161</xdr:row>
      <xdr:rowOff>126029</xdr:rowOff>
    </xdr:from>
    <xdr:to>
      <xdr:col>11</xdr:col>
      <xdr:colOff>0</xdr:colOff>
      <xdr:row>164</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161</xdr:row>
      <xdr:rowOff>126029</xdr:rowOff>
    </xdr:from>
    <xdr:to>
      <xdr:col>13</xdr:col>
      <xdr:colOff>0</xdr:colOff>
      <xdr:row>164</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161</xdr:row>
      <xdr:rowOff>126029</xdr:rowOff>
    </xdr:from>
    <xdr:to>
      <xdr:col>17</xdr:col>
      <xdr:colOff>0</xdr:colOff>
      <xdr:row>164</xdr:row>
      <xdr:rowOff>195613</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5240000" y="55378649"/>
          <a:ext cx="114300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161</xdr:row>
      <xdr:rowOff>126029</xdr:rowOff>
    </xdr:from>
    <xdr:to>
      <xdr:col>19</xdr:col>
      <xdr:colOff>0</xdr:colOff>
      <xdr:row>164</xdr:row>
      <xdr:rowOff>195613</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17007840" y="55378649"/>
          <a:ext cx="9982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161</xdr:row>
      <xdr:rowOff>127000</xdr:rowOff>
    </xdr:from>
    <xdr:to>
      <xdr:col>15</xdr:col>
      <xdr:colOff>9072</xdr:colOff>
      <xdr:row>164</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161</xdr:row>
      <xdr:rowOff>126029</xdr:rowOff>
    </xdr:from>
    <xdr:to>
      <xdr:col>21</xdr:col>
      <xdr:colOff>0</xdr:colOff>
      <xdr:row>164</xdr:row>
      <xdr:rowOff>195613</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18630900" y="55378649"/>
          <a:ext cx="105156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161</xdr:row>
      <xdr:rowOff>126029</xdr:rowOff>
    </xdr:from>
    <xdr:to>
      <xdr:col>23</xdr:col>
      <xdr:colOff>0</xdr:colOff>
      <xdr:row>164</xdr:row>
      <xdr:rowOff>195613</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20589240" y="55378649"/>
          <a:ext cx="101346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161</xdr:row>
      <xdr:rowOff>126029</xdr:rowOff>
    </xdr:from>
    <xdr:to>
      <xdr:col>1</xdr:col>
      <xdr:colOff>0</xdr:colOff>
      <xdr:row>164</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xdr:col>
      <xdr:colOff>736600</xdr:colOff>
      <xdr:row>171</xdr:row>
      <xdr:rowOff>117562</xdr:rowOff>
    </xdr:from>
    <xdr:to>
      <xdr:col>3</xdr:col>
      <xdr:colOff>88900</xdr:colOff>
      <xdr:row>174</xdr:row>
      <xdr:rowOff>177800</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2001520" y="58753462"/>
          <a:ext cx="1120140" cy="1157518"/>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171</xdr:row>
      <xdr:rowOff>126029</xdr:rowOff>
    </xdr:from>
    <xdr:to>
      <xdr:col>5</xdr:col>
      <xdr:colOff>0</xdr:colOff>
      <xdr:row>174</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171</xdr:row>
      <xdr:rowOff>126029</xdr:rowOff>
    </xdr:from>
    <xdr:to>
      <xdr:col>7</xdr:col>
      <xdr:colOff>0</xdr:colOff>
      <xdr:row>174</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171</xdr:row>
      <xdr:rowOff>126029</xdr:rowOff>
    </xdr:from>
    <xdr:to>
      <xdr:col>9</xdr:col>
      <xdr:colOff>0</xdr:colOff>
      <xdr:row>174</xdr:row>
      <xdr:rowOff>180373</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8298180" y="587619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171</xdr:row>
      <xdr:rowOff>126029</xdr:rowOff>
    </xdr:from>
    <xdr:to>
      <xdr:col>11</xdr:col>
      <xdr:colOff>0</xdr:colOff>
      <xdr:row>174</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171</xdr:row>
      <xdr:rowOff>126029</xdr:rowOff>
    </xdr:from>
    <xdr:to>
      <xdr:col>13</xdr:col>
      <xdr:colOff>0</xdr:colOff>
      <xdr:row>174</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171</xdr:row>
      <xdr:rowOff>126029</xdr:rowOff>
    </xdr:from>
    <xdr:to>
      <xdr:col>17</xdr:col>
      <xdr:colOff>0</xdr:colOff>
      <xdr:row>174</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171</xdr:row>
      <xdr:rowOff>126029</xdr:rowOff>
    </xdr:from>
    <xdr:to>
      <xdr:col>19</xdr:col>
      <xdr:colOff>0</xdr:colOff>
      <xdr:row>174</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171</xdr:row>
      <xdr:rowOff>127000</xdr:rowOff>
    </xdr:from>
    <xdr:to>
      <xdr:col>15</xdr:col>
      <xdr:colOff>9072</xdr:colOff>
      <xdr:row>174</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171</xdr:row>
      <xdr:rowOff>126029</xdr:rowOff>
    </xdr:from>
    <xdr:to>
      <xdr:col>21</xdr:col>
      <xdr:colOff>0</xdr:colOff>
      <xdr:row>174</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171</xdr:row>
      <xdr:rowOff>126029</xdr:rowOff>
    </xdr:from>
    <xdr:to>
      <xdr:col>23</xdr:col>
      <xdr:colOff>0</xdr:colOff>
      <xdr:row>174</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171</xdr:row>
      <xdr:rowOff>126029</xdr:rowOff>
    </xdr:from>
    <xdr:to>
      <xdr:col>1</xdr:col>
      <xdr:colOff>0</xdr:colOff>
      <xdr:row>174</xdr:row>
      <xdr:rowOff>180373</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0" y="5876192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180</xdr:row>
      <xdr:rowOff>126029</xdr:rowOff>
    </xdr:from>
    <xdr:to>
      <xdr:col>3</xdr:col>
      <xdr:colOff>0</xdr:colOff>
      <xdr:row>183</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180</xdr:row>
      <xdr:rowOff>126029</xdr:rowOff>
    </xdr:from>
    <xdr:to>
      <xdr:col>5</xdr:col>
      <xdr:colOff>0</xdr:colOff>
      <xdr:row>183</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180</xdr:row>
      <xdr:rowOff>126029</xdr:rowOff>
    </xdr:from>
    <xdr:to>
      <xdr:col>7</xdr:col>
      <xdr:colOff>0</xdr:colOff>
      <xdr:row>183</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180</xdr:row>
      <xdr:rowOff>126029</xdr:rowOff>
    </xdr:from>
    <xdr:to>
      <xdr:col>9</xdr:col>
      <xdr:colOff>0</xdr:colOff>
      <xdr:row>183</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180</xdr:row>
      <xdr:rowOff>126029</xdr:rowOff>
    </xdr:from>
    <xdr:to>
      <xdr:col>11</xdr:col>
      <xdr:colOff>0</xdr:colOff>
      <xdr:row>183</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15875</xdr:colOff>
      <xdr:row>180</xdr:row>
      <xdr:rowOff>110154</xdr:rowOff>
    </xdr:from>
    <xdr:to>
      <xdr:col>13</xdr:col>
      <xdr:colOff>15875</xdr:colOff>
      <xdr:row>183</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180</xdr:row>
      <xdr:rowOff>126029</xdr:rowOff>
    </xdr:from>
    <xdr:to>
      <xdr:col>17</xdr:col>
      <xdr:colOff>0</xdr:colOff>
      <xdr:row>183</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180</xdr:row>
      <xdr:rowOff>126029</xdr:rowOff>
    </xdr:from>
    <xdr:to>
      <xdr:col>19</xdr:col>
      <xdr:colOff>0</xdr:colOff>
      <xdr:row>183</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180</xdr:row>
      <xdr:rowOff>127000</xdr:rowOff>
    </xdr:from>
    <xdr:to>
      <xdr:col>15</xdr:col>
      <xdr:colOff>9072</xdr:colOff>
      <xdr:row>183</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180</xdr:row>
      <xdr:rowOff>126029</xdr:rowOff>
    </xdr:from>
    <xdr:to>
      <xdr:col>21</xdr:col>
      <xdr:colOff>0</xdr:colOff>
      <xdr:row>183</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180</xdr:row>
      <xdr:rowOff>126029</xdr:rowOff>
    </xdr:from>
    <xdr:to>
      <xdr:col>23</xdr:col>
      <xdr:colOff>0</xdr:colOff>
      <xdr:row>183</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180</xdr:row>
      <xdr:rowOff>126029</xdr:rowOff>
    </xdr:from>
    <xdr:to>
      <xdr:col>1</xdr:col>
      <xdr:colOff>0</xdr:colOff>
      <xdr:row>183</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189</xdr:row>
      <xdr:rowOff>126029</xdr:rowOff>
    </xdr:from>
    <xdr:to>
      <xdr:col>3</xdr:col>
      <xdr:colOff>0</xdr:colOff>
      <xdr:row>192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189</xdr:row>
      <xdr:rowOff>126029</xdr:rowOff>
    </xdr:from>
    <xdr:to>
      <xdr:col>5</xdr:col>
      <xdr:colOff>0</xdr:colOff>
      <xdr:row>192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189</xdr:row>
      <xdr:rowOff>126029</xdr:rowOff>
    </xdr:from>
    <xdr:to>
      <xdr:col>7</xdr:col>
      <xdr:colOff>0</xdr:colOff>
      <xdr:row>192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189</xdr:row>
      <xdr:rowOff>126029</xdr:rowOff>
    </xdr:from>
    <xdr:to>
      <xdr:col>9</xdr:col>
      <xdr:colOff>0</xdr:colOff>
      <xdr:row>192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189</xdr:row>
      <xdr:rowOff>126029</xdr:rowOff>
    </xdr:from>
    <xdr:to>
      <xdr:col>11</xdr:col>
      <xdr:colOff>0</xdr:colOff>
      <xdr:row>192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189</xdr:row>
      <xdr:rowOff>126029</xdr:rowOff>
    </xdr:from>
    <xdr:to>
      <xdr:col>13</xdr:col>
      <xdr:colOff>0</xdr:colOff>
      <xdr:row>192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189</xdr:row>
      <xdr:rowOff>126029</xdr:rowOff>
    </xdr:from>
    <xdr:to>
      <xdr:col>17</xdr:col>
      <xdr:colOff>0</xdr:colOff>
      <xdr:row>192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189</xdr:row>
      <xdr:rowOff>126029</xdr:rowOff>
    </xdr:from>
    <xdr:to>
      <xdr:col>19</xdr:col>
      <xdr:colOff>0</xdr:colOff>
      <xdr:row>192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189</xdr:row>
      <xdr:rowOff>127000</xdr:rowOff>
    </xdr:from>
    <xdr:to>
      <xdr:col>15</xdr:col>
      <xdr:colOff>9072</xdr:colOff>
      <xdr:row>192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189</xdr:row>
      <xdr:rowOff>126029</xdr:rowOff>
    </xdr:from>
    <xdr:to>
      <xdr:col>21</xdr:col>
      <xdr:colOff>0</xdr:colOff>
      <xdr:row>192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189</xdr:row>
      <xdr:rowOff>126029</xdr:rowOff>
    </xdr:from>
    <xdr:to>
      <xdr:col>23</xdr:col>
      <xdr:colOff>0</xdr:colOff>
      <xdr:row>192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189</xdr:row>
      <xdr:rowOff>126029</xdr:rowOff>
    </xdr:from>
    <xdr:to>
      <xdr:col>1</xdr:col>
      <xdr:colOff>0</xdr:colOff>
      <xdr:row>192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198</xdr:row>
      <xdr:rowOff>126029</xdr:rowOff>
    </xdr:from>
    <xdr:to>
      <xdr:col>3</xdr:col>
      <xdr:colOff>0</xdr:colOff>
      <xdr:row>201</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198</xdr:row>
      <xdr:rowOff>126029</xdr:rowOff>
    </xdr:from>
    <xdr:to>
      <xdr:col>5</xdr:col>
      <xdr:colOff>0</xdr:colOff>
      <xdr:row>201</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198</xdr:row>
      <xdr:rowOff>133966</xdr:rowOff>
    </xdr:from>
    <xdr:to>
      <xdr:col>7</xdr:col>
      <xdr:colOff>0</xdr:colOff>
      <xdr:row>202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8</xdr:col>
      <xdr:colOff>0</xdr:colOff>
      <xdr:row>198</xdr:row>
      <xdr:rowOff>126029</xdr:rowOff>
    </xdr:from>
    <xdr:to>
      <xdr:col>9</xdr:col>
      <xdr:colOff>0</xdr:colOff>
      <xdr:row>201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198</xdr:row>
      <xdr:rowOff>126029</xdr:rowOff>
    </xdr:from>
    <xdr:to>
      <xdr:col>11</xdr:col>
      <xdr:colOff>0</xdr:colOff>
      <xdr:row>201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34637</xdr:colOff>
      <xdr:row>198</xdr:row>
      <xdr:rowOff>126029</xdr:rowOff>
    </xdr:from>
    <xdr:to>
      <xdr:col>13</xdr:col>
      <xdr:colOff>34637</xdr:colOff>
      <xdr:row>201</xdr:row>
      <xdr:rowOff>195613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1799917"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198</xdr:row>
      <xdr:rowOff>126029</xdr:rowOff>
    </xdr:from>
    <xdr:to>
      <xdr:col>17</xdr:col>
      <xdr:colOff>0</xdr:colOff>
      <xdr:row>201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b="0" i="0" u="none" strike="noStrike">
            <a:solidFill>
              <a:schemeClr val="dk1"/>
            </a:solidFill>
            <a:effectLst/>
            <a:latin typeface="+mn-lt"/>
            <a:ea typeface="+mn-ea"/>
            <a:cs typeface="+mn-cs"/>
          </a:endParaRPr>
        </a:p>
        <a:p>
          <a:pPr algn="l"/>
          <a:r>
            <a:rPr lang="en-IN" sz="1100" b="0" i="0" u="none" strike="noStrike">
              <a:solidFill>
                <a:schemeClr val="dk1"/>
              </a:solidFill>
              <a:effectLst/>
              <a:latin typeface="+mn-lt"/>
              <a:ea typeface="+mn-ea"/>
              <a:cs typeface="+mn-cs"/>
            </a:rPr>
            <a:t>ak</a:t>
          </a:r>
          <a:br>
            <a:rPr lang="en-US" sz="1100" b="1"/>
          </a:br>
          <a:endParaRPr lang="en-US" sz="1100" b="1"/>
        </a:p>
      </xdr:txBody>
    </xdr:sp>
    <xdr:clientData/>
  </xdr:twoCellAnchor>
  <xdr:twoCellAnchor>
    <xdr:from>
      <xdr:col>18</xdr:col>
      <xdr:colOff>0</xdr:colOff>
      <xdr:row>198</xdr:row>
      <xdr:rowOff>126029</xdr:rowOff>
    </xdr:from>
    <xdr:to>
      <xdr:col>19</xdr:col>
      <xdr:colOff>0</xdr:colOff>
      <xdr:row>201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14</xdr:col>
      <xdr:colOff>0</xdr:colOff>
      <xdr:row>198</xdr:row>
      <xdr:rowOff>127000</xdr:rowOff>
    </xdr:from>
    <xdr:to>
      <xdr:col>15</xdr:col>
      <xdr:colOff>9072</xdr:colOff>
      <xdr:row>201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198</xdr:row>
      <xdr:rowOff>126029</xdr:rowOff>
    </xdr:from>
    <xdr:to>
      <xdr:col>21</xdr:col>
      <xdr:colOff>0</xdr:colOff>
      <xdr:row>201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198</xdr:row>
      <xdr:rowOff>126029</xdr:rowOff>
    </xdr:from>
    <xdr:to>
      <xdr:col>23</xdr:col>
      <xdr:colOff>0</xdr:colOff>
      <xdr:row>201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0</xdr:col>
      <xdr:colOff>0</xdr:colOff>
      <xdr:row>198</xdr:row>
      <xdr:rowOff>126029</xdr:rowOff>
    </xdr:from>
    <xdr:to>
      <xdr:col>1</xdr:col>
      <xdr:colOff>0</xdr:colOff>
      <xdr:row>201</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126029</xdr:rowOff>
    </xdr:from>
    <xdr:to>
      <xdr:col>11</xdr:col>
      <xdr:colOff>0</xdr:colOff>
      <xdr:row>210</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126029</xdr:rowOff>
    </xdr:from>
    <xdr:to>
      <xdr:col>13</xdr:col>
      <xdr:colOff>0</xdr:colOff>
      <xdr:row>210</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15</xdr:col>
      <xdr:colOff>606743</xdr:colOff>
      <xdr:row>207</xdr:row>
      <xdr:rowOff>140316</xdr:rowOff>
    </xdr:from>
    <xdr:to>
      <xdr:col>17</xdr:col>
      <xdr:colOff>58420</xdr:colOff>
      <xdr:row>211</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5206663" y="71730216"/>
          <a:ext cx="1234757" cy="11627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126029</xdr:rowOff>
    </xdr:from>
    <xdr:to>
      <xdr:col>19</xdr:col>
      <xdr:colOff>0</xdr:colOff>
      <xdr:row>210</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13</xdr:col>
      <xdr:colOff>774700</xdr:colOff>
      <xdr:row>207</xdr:row>
      <xdr:rowOff>184151</xdr:rowOff>
    </xdr:from>
    <xdr:to>
      <xdr:col>15</xdr:col>
      <xdr:colOff>58285</xdr:colOff>
      <xdr:row>211</xdr:row>
      <xdr:rowOff>25401</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13553440" y="71774051"/>
          <a:ext cx="1104765" cy="11442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20</xdr:col>
      <xdr:colOff>0</xdr:colOff>
      <xdr:row>207</xdr:row>
      <xdr:rowOff>126029</xdr:rowOff>
    </xdr:from>
    <xdr:to>
      <xdr:col>21</xdr:col>
      <xdr:colOff>0</xdr:colOff>
      <xdr:row>210</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22</xdr:col>
      <xdr:colOff>0</xdr:colOff>
      <xdr:row>207</xdr:row>
      <xdr:rowOff>126029</xdr:rowOff>
    </xdr:from>
    <xdr:to>
      <xdr:col>23</xdr:col>
      <xdr:colOff>0</xdr:colOff>
      <xdr:row>210</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207</xdr:row>
      <xdr:rowOff>126029</xdr:rowOff>
    </xdr:from>
    <xdr:to>
      <xdr:col>1</xdr:col>
      <xdr:colOff>0</xdr:colOff>
      <xdr:row>210</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187993</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2011680" y="7470296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4</xdr:col>
      <xdr:colOff>0</xdr:colOff>
      <xdr:row>216</xdr:row>
      <xdr:rowOff>118091</xdr:rowOff>
    </xdr:from>
    <xdr:to>
      <xdr:col>5</xdr:col>
      <xdr:colOff>0</xdr:colOff>
      <xdr:row>219</xdr:row>
      <xdr:rowOff>187675</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4076700" y="74695031"/>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126029</xdr:rowOff>
    </xdr:from>
    <xdr:to>
      <xdr:col>11</xdr:col>
      <xdr:colOff>0</xdr:colOff>
      <xdr:row>219</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216</xdr:row>
      <xdr:rowOff>126029</xdr:rowOff>
    </xdr:from>
    <xdr:to>
      <xdr:col>13</xdr:col>
      <xdr:colOff>0</xdr:colOff>
      <xdr:row>219</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127000</xdr:rowOff>
    </xdr:from>
    <xdr:to>
      <xdr:col>15</xdr:col>
      <xdr:colOff>9072</xdr:colOff>
      <xdr:row>219</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115619</xdr:rowOff>
    </xdr:from>
    <xdr:to>
      <xdr:col>23</xdr:col>
      <xdr:colOff>0</xdr:colOff>
      <xdr:row>219</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0</xdr:col>
      <xdr:colOff>0</xdr:colOff>
      <xdr:row>216</xdr:row>
      <xdr:rowOff>126029</xdr:rowOff>
    </xdr:from>
    <xdr:to>
      <xdr:col>1</xdr:col>
      <xdr:colOff>0</xdr:colOff>
      <xdr:row>219</xdr:row>
      <xdr:rowOff>187993</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0" y="747029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225</xdr:row>
      <xdr:rowOff>126029</xdr:rowOff>
    </xdr:from>
    <xdr:to>
      <xdr:col>5</xdr:col>
      <xdr:colOff>0</xdr:colOff>
      <xdr:row>228</xdr:row>
      <xdr:rowOff>165133</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4076700" y="778347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225</xdr:row>
      <xdr:rowOff>126029</xdr:rowOff>
    </xdr:from>
    <xdr:to>
      <xdr:col>7</xdr:col>
      <xdr:colOff>0</xdr:colOff>
      <xdr:row>228</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225</xdr:row>
      <xdr:rowOff>135554</xdr:rowOff>
    </xdr:from>
    <xdr:to>
      <xdr:col>9</xdr:col>
      <xdr:colOff>0</xdr:colOff>
      <xdr:row>229</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225</xdr:row>
      <xdr:rowOff>126029</xdr:rowOff>
    </xdr:from>
    <xdr:to>
      <xdr:col>11</xdr:col>
      <xdr:colOff>0</xdr:colOff>
      <xdr:row>228</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225</xdr:row>
      <xdr:rowOff>126029</xdr:rowOff>
    </xdr:from>
    <xdr:to>
      <xdr:col>13</xdr:col>
      <xdr:colOff>0</xdr:colOff>
      <xdr:row>228</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225</xdr:row>
      <xdr:rowOff>113329</xdr:rowOff>
    </xdr:from>
    <xdr:to>
      <xdr:col>17</xdr:col>
      <xdr:colOff>0</xdr:colOff>
      <xdr:row>229</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225</xdr:row>
      <xdr:rowOff>126029</xdr:rowOff>
    </xdr:from>
    <xdr:to>
      <xdr:col>19</xdr:col>
      <xdr:colOff>0</xdr:colOff>
      <xdr:row>228</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14</xdr:col>
      <xdr:colOff>0</xdr:colOff>
      <xdr:row>225</xdr:row>
      <xdr:rowOff>127000</xdr:rowOff>
    </xdr:from>
    <xdr:to>
      <xdr:col>15</xdr:col>
      <xdr:colOff>9072</xdr:colOff>
      <xdr:row>228</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225</xdr:row>
      <xdr:rowOff>126029</xdr:rowOff>
    </xdr:from>
    <xdr:to>
      <xdr:col>21</xdr:col>
      <xdr:colOff>0</xdr:colOff>
      <xdr:row>228</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225</xdr:row>
      <xdr:rowOff>126029</xdr:rowOff>
    </xdr:from>
    <xdr:to>
      <xdr:col>23</xdr:col>
      <xdr:colOff>0</xdr:colOff>
      <xdr:row>228</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225</xdr:row>
      <xdr:rowOff>126029</xdr:rowOff>
    </xdr:from>
    <xdr:to>
      <xdr:col>1</xdr:col>
      <xdr:colOff>0</xdr:colOff>
      <xdr:row>228</xdr:row>
      <xdr:rowOff>165133</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0" y="778347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235</xdr:row>
      <xdr:rowOff>141269</xdr:rowOff>
    </xdr:from>
    <xdr:to>
      <xdr:col>3</xdr:col>
      <xdr:colOff>0</xdr:colOff>
      <xdr:row>238</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235</xdr:row>
      <xdr:rowOff>141269</xdr:rowOff>
    </xdr:from>
    <xdr:to>
      <xdr:col>5</xdr:col>
      <xdr:colOff>0</xdr:colOff>
      <xdr:row>238</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235</xdr:row>
      <xdr:rowOff>141269</xdr:rowOff>
    </xdr:from>
    <xdr:to>
      <xdr:col>7</xdr:col>
      <xdr:colOff>0</xdr:colOff>
      <xdr:row>238</xdr:row>
      <xdr:rowOff>210853</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6309360" y="8145428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235</xdr:row>
      <xdr:rowOff>141269</xdr:rowOff>
    </xdr:from>
    <xdr:to>
      <xdr:col>9</xdr:col>
      <xdr:colOff>0</xdr:colOff>
      <xdr:row>238</xdr:row>
      <xdr:rowOff>210853</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8298180" y="8145428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235</xdr:row>
      <xdr:rowOff>141269</xdr:rowOff>
    </xdr:from>
    <xdr:to>
      <xdr:col>11</xdr:col>
      <xdr:colOff>0</xdr:colOff>
      <xdr:row>238</xdr:row>
      <xdr:rowOff>210853</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10195560" y="8145428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235</xdr:row>
      <xdr:rowOff>141269</xdr:rowOff>
    </xdr:from>
    <xdr:to>
      <xdr:col>13</xdr:col>
      <xdr:colOff>0</xdr:colOff>
      <xdr:row>238</xdr:row>
      <xdr:rowOff>210853</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11765280" y="8145428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235</xdr:row>
      <xdr:rowOff>141269</xdr:rowOff>
    </xdr:from>
    <xdr:to>
      <xdr:col>17</xdr:col>
      <xdr:colOff>0</xdr:colOff>
      <xdr:row>238</xdr:row>
      <xdr:rowOff>210853</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15240000" y="8145428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235</xdr:row>
      <xdr:rowOff>141269</xdr:rowOff>
    </xdr:from>
    <xdr:to>
      <xdr:col>19</xdr:col>
      <xdr:colOff>0</xdr:colOff>
      <xdr:row>238</xdr:row>
      <xdr:rowOff>210853</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7007840" y="8145428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235</xdr:row>
      <xdr:rowOff>157480</xdr:rowOff>
    </xdr:from>
    <xdr:to>
      <xdr:col>15</xdr:col>
      <xdr:colOff>9072</xdr:colOff>
      <xdr:row>238</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235</xdr:row>
      <xdr:rowOff>141269</xdr:rowOff>
    </xdr:from>
    <xdr:to>
      <xdr:col>21</xdr:col>
      <xdr:colOff>0</xdr:colOff>
      <xdr:row>238</xdr:row>
      <xdr:rowOff>210853</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8630900" y="8145428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235</xdr:row>
      <xdr:rowOff>141269</xdr:rowOff>
    </xdr:from>
    <xdr:to>
      <xdr:col>23</xdr:col>
      <xdr:colOff>0</xdr:colOff>
      <xdr:row>238</xdr:row>
      <xdr:rowOff>210853</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20589240" y="8145428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235</xdr:row>
      <xdr:rowOff>141269</xdr:rowOff>
    </xdr:from>
    <xdr:to>
      <xdr:col>1</xdr:col>
      <xdr:colOff>0</xdr:colOff>
      <xdr:row>238</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243</xdr:row>
      <xdr:rowOff>126029</xdr:rowOff>
    </xdr:from>
    <xdr:to>
      <xdr:col>3</xdr:col>
      <xdr:colOff>0</xdr:colOff>
      <xdr:row>246</xdr:row>
      <xdr:rowOff>149893</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2011680" y="84311789"/>
          <a:ext cx="102108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243</xdr:row>
      <xdr:rowOff>126029</xdr:rowOff>
    </xdr:from>
    <xdr:to>
      <xdr:col>5</xdr:col>
      <xdr:colOff>0</xdr:colOff>
      <xdr:row>246</xdr:row>
      <xdr:rowOff>149893</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4076700" y="84311789"/>
          <a:ext cx="119634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243</xdr:row>
      <xdr:rowOff>126029</xdr:rowOff>
    </xdr:from>
    <xdr:to>
      <xdr:col>7</xdr:col>
      <xdr:colOff>0</xdr:colOff>
      <xdr:row>246</xdr:row>
      <xdr:rowOff>149893</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6309360" y="84311789"/>
          <a:ext cx="11125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243</xdr:row>
      <xdr:rowOff>126029</xdr:rowOff>
    </xdr:from>
    <xdr:to>
      <xdr:col>9</xdr:col>
      <xdr:colOff>0</xdr:colOff>
      <xdr:row>246</xdr:row>
      <xdr:rowOff>149893</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8298180" y="84311789"/>
          <a:ext cx="127254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243</xdr:row>
      <xdr:rowOff>126029</xdr:rowOff>
    </xdr:from>
    <xdr:to>
      <xdr:col>11</xdr:col>
      <xdr:colOff>0</xdr:colOff>
      <xdr:row>246</xdr:row>
      <xdr:rowOff>149893</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0195560" y="84311789"/>
          <a:ext cx="94488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243</xdr:row>
      <xdr:rowOff>126029</xdr:rowOff>
    </xdr:from>
    <xdr:to>
      <xdr:col>13</xdr:col>
      <xdr:colOff>0</xdr:colOff>
      <xdr:row>246</xdr:row>
      <xdr:rowOff>149893</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1176528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243</xdr:row>
      <xdr:rowOff>126029</xdr:rowOff>
    </xdr:from>
    <xdr:to>
      <xdr:col>17</xdr:col>
      <xdr:colOff>0</xdr:colOff>
      <xdr:row>246</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243</xdr:row>
      <xdr:rowOff>126029</xdr:rowOff>
    </xdr:from>
    <xdr:to>
      <xdr:col>19</xdr:col>
      <xdr:colOff>0</xdr:colOff>
      <xdr:row>246</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14</xdr:col>
      <xdr:colOff>0</xdr:colOff>
      <xdr:row>243</xdr:row>
      <xdr:rowOff>127000</xdr:rowOff>
    </xdr:from>
    <xdr:to>
      <xdr:col>15</xdr:col>
      <xdr:colOff>9072</xdr:colOff>
      <xdr:row>246</xdr:row>
      <xdr:rowOff>150864</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13555980" y="84312760"/>
          <a:ext cx="1053012"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243</xdr:row>
      <xdr:rowOff>126029</xdr:rowOff>
    </xdr:from>
    <xdr:to>
      <xdr:col>21</xdr:col>
      <xdr:colOff>0</xdr:colOff>
      <xdr:row>246</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243</xdr:row>
      <xdr:rowOff>126029</xdr:rowOff>
    </xdr:from>
    <xdr:to>
      <xdr:col>23</xdr:col>
      <xdr:colOff>0</xdr:colOff>
      <xdr:row>246</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243</xdr:row>
      <xdr:rowOff>126029</xdr:rowOff>
    </xdr:from>
    <xdr:to>
      <xdr:col>1</xdr:col>
      <xdr:colOff>0</xdr:colOff>
      <xdr:row>246</xdr:row>
      <xdr:rowOff>149893</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0" y="84311789"/>
          <a:ext cx="12649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251</xdr:row>
      <xdr:rowOff>126029</xdr:rowOff>
    </xdr:from>
    <xdr:to>
      <xdr:col>3</xdr:col>
      <xdr:colOff>0</xdr:colOff>
      <xdr:row>254</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251</xdr:row>
      <xdr:rowOff>126029</xdr:rowOff>
    </xdr:from>
    <xdr:to>
      <xdr:col>5</xdr:col>
      <xdr:colOff>0</xdr:colOff>
      <xdr:row>254</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251</xdr:row>
      <xdr:rowOff>126029</xdr:rowOff>
    </xdr:from>
    <xdr:to>
      <xdr:col>7</xdr:col>
      <xdr:colOff>0</xdr:colOff>
      <xdr:row>254</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251</xdr:row>
      <xdr:rowOff>126029</xdr:rowOff>
    </xdr:from>
    <xdr:to>
      <xdr:col>9</xdr:col>
      <xdr:colOff>0</xdr:colOff>
      <xdr:row>254</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251</xdr:row>
      <xdr:rowOff>126029</xdr:rowOff>
    </xdr:from>
    <xdr:to>
      <xdr:col>11</xdr:col>
      <xdr:colOff>0</xdr:colOff>
      <xdr:row>254</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251</xdr:row>
      <xdr:rowOff>126029</xdr:rowOff>
    </xdr:from>
    <xdr:to>
      <xdr:col>13</xdr:col>
      <xdr:colOff>0</xdr:colOff>
      <xdr:row>254</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251</xdr:row>
      <xdr:rowOff>126029</xdr:rowOff>
    </xdr:from>
    <xdr:to>
      <xdr:col>17</xdr:col>
      <xdr:colOff>0</xdr:colOff>
      <xdr:row>254</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251</xdr:row>
      <xdr:rowOff>126029</xdr:rowOff>
    </xdr:from>
    <xdr:to>
      <xdr:col>19</xdr:col>
      <xdr:colOff>0</xdr:colOff>
      <xdr:row>254</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251</xdr:row>
      <xdr:rowOff>127000</xdr:rowOff>
    </xdr:from>
    <xdr:to>
      <xdr:col>15</xdr:col>
      <xdr:colOff>9072</xdr:colOff>
      <xdr:row>254</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251</xdr:row>
      <xdr:rowOff>126029</xdr:rowOff>
    </xdr:from>
    <xdr:to>
      <xdr:col>21</xdr:col>
      <xdr:colOff>0</xdr:colOff>
      <xdr:row>254</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251</xdr:row>
      <xdr:rowOff>126029</xdr:rowOff>
    </xdr:from>
    <xdr:to>
      <xdr:col>23</xdr:col>
      <xdr:colOff>0</xdr:colOff>
      <xdr:row>254</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251</xdr:row>
      <xdr:rowOff>126029</xdr:rowOff>
    </xdr:from>
    <xdr:to>
      <xdr:col>1</xdr:col>
      <xdr:colOff>0</xdr:colOff>
      <xdr:row>254</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260</xdr:row>
      <xdr:rowOff>126029</xdr:rowOff>
    </xdr:from>
    <xdr:to>
      <xdr:col>5</xdr:col>
      <xdr:colOff>0</xdr:colOff>
      <xdr:row>263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260</xdr:row>
      <xdr:rowOff>126029</xdr:rowOff>
    </xdr:from>
    <xdr:to>
      <xdr:col>11</xdr:col>
      <xdr:colOff>0</xdr:colOff>
      <xdr:row>263</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670560</xdr:colOff>
      <xdr:row>259</xdr:row>
      <xdr:rowOff>186989</xdr:rowOff>
    </xdr:from>
    <xdr:to>
      <xdr:col>13</xdr:col>
      <xdr:colOff>670560</xdr:colOff>
      <xdr:row>262</xdr:row>
      <xdr:rowOff>256573</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2435840" y="898515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127000</xdr:rowOff>
    </xdr:from>
    <xdr:to>
      <xdr:col>15</xdr:col>
      <xdr:colOff>9072</xdr:colOff>
      <xdr:row>263</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126029</xdr:rowOff>
    </xdr:from>
    <xdr:to>
      <xdr:col>21</xdr:col>
      <xdr:colOff>0</xdr:colOff>
      <xdr:row>263</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126029</xdr:rowOff>
    </xdr:from>
    <xdr:to>
      <xdr:col>23</xdr:col>
      <xdr:colOff>0</xdr:colOff>
      <xdr:row>263</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260</xdr:row>
      <xdr:rowOff>126029</xdr:rowOff>
    </xdr:from>
    <xdr:to>
      <xdr:col>1</xdr:col>
      <xdr:colOff>0</xdr:colOff>
      <xdr:row>263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268</xdr:row>
      <xdr:rowOff>126029</xdr:rowOff>
    </xdr:from>
    <xdr:to>
      <xdr:col>3</xdr:col>
      <xdr:colOff>0</xdr:colOff>
      <xdr:row>271</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268</xdr:row>
      <xdr:rowOff>126029</xdr:rowOff>
    </xdr:from>
    <xdr:to>
      <xdr:col>5</xdr:col>
      <xdr:colOff>0</xdr:colOff>
      <xdr:row>271</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268</xdr:row>
      <xdr:rowOff>126029</xdr:rowOff>
    </xdr:from>
    <xdr:to>
      <xdr:col>7</xdr:col>
      <xdr:colOff>0</xdr:colOff>
      <xdr:row>271</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268</xdr:row>
      <xdr:rowOff>126029</xdr:rowOff>
    </xdr:from>
    <xdr:to>
      <xdr:col>9</xdr:col>
      <xdr:colOff>0</xdr:colOff>
      <xdr:row>271</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2400" b="1"/>
            <a:t>R</a:t>
          </a:r>
        </a:p>
      </xdr:txBody>
    </xdr:sp>
    <xdr:clientData/>
  </xdr:twoCellAnchor>
  <xdr:twoCellAnchor>
    <xdr:from>
      <xdr:col>10</xdr:col>
      <xdr:colOff>13510</xdr:colOff>
      <xdr:row>267</xdr:row>
      <xdr:rowOff>81065</xdr:rowOff>
    </xdr:from>
    <xdr:to>
      <xdr:col>11</xdr:col>
      <xdr:colOff>27021</xdr:colOff>
      <xdr:row>271</xdr:row>
      <xdr:rowOff>162127</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10376170" y="78050959"/>
          <a:ext cx="972766" cy="1161913"/>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200" b="1">
              <a:solidFill>
                <a:srgbClr val="FF0000"/>
              </a:solidFill>
            </a:rPr>
            <a:t>ROW</a:t>
          </a:r>
        </a:p>
      </xdr:txBody>
    </xdr:sp>
    <xdr:clientData/>
  </xdr:twoCellAnchor>
  <xdr:twoCellAnchor>
    <xdr:from>
      <xdr:col>12</xdr:col>
      <xdr:colOff>0</xdr:colOff>
      <xdr:row>268</xdr:row>
      <xdr:rowOff>126029</xdr:rowOff>
    </xdr:from>
    <xdr:to>
      <xdr:col>13</xdr:col>
      <xdr:colOff>0</xdr:colOff>
      <xdr:row>271</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268</xdr:row>
      <xdr:rowOff>126029</xdr:rowOff>
    </xdr:from>
    <xdr:to>
      <xdr:col>17</xdr:col>
      <xdr:colOff>0</xdr:colOff>
      <xdr:row>271</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268</xdr:row>
      <xdr:rowOff>126029</xdr:rowOff>
    </xdr:from>
    <xdr:to>
      <xdr:col>19</xdr:col>
      <xdr:colOff>0</xdr:colOff>
      <xdr:row>271</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268</xdr:row>
      <xdr:rowOff>127000</xdr:rowOff>
    </xdr:from>
    <xdr:to>
      <xdr:col>15</xdr:col>
      <xdr:colOff>9072</xdr:colOff>
      <xdr:row>271</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268</xdr:row>
      <xdr:rowOff>126029</xdr:rowOff>
    </xdr:from>
    <xdr:to>
      <xdr:col>21</xdr:col>
      <xdr:colOff>0</xdr:colOff>
      <xdr:row>271</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268</xdr:row>
      <xdr:rowOff>126029</xdr:rowOff>
    </xdr:from>
    <xdr:to>
      <xdr:col>23</xdr:col>
      <xdr:colOff>0</xdr:colOff>
      <xdr:row>271</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268</xdr:row>
      <xdr:rowOff>126029</xdr:rowOff>
    </xdr:from>
    <xdr:to>
      <xdr:col>1</xdr:col>
      <xdr:colOff>0</xdr:colOff>
      <xdr:row>271</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276</xdr:row>
      <xdr:rowOff>126029</xdr:rowOff>
    </xdr:from>
    <xdr:to>
      <xdr:col>3</xdr:col>
      <xdr:colOff>0</xdr:colOff>
      <xdr:row>279</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276</xdr:row>
      <xdr:rowOff>126029</xdr:rowOff>
    </xdr:from>
    <xdr:to>
      <xdr:col>5</xdr:col>
      <xdr:colOff>0</xdr:colOff>
      <xdr:row>279</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276</xdr:row>
      <xdr:rowOff>126029</xdr:rowOff>
    </xdr:from>
    <xdr:to>
      <xdr:col>7</xdr:col>
      <xdr:colOff>0</xdr:colOff>
      <xdr:row>279</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276</xdr:row>
      <xdr:rowOff>126029</xdr:rowOff>
    </xdr:from>
    <xdr:to>
      <xdr:col>9</xdr:col>
      <xdr:colOff>0</xdr:colOff>
      <xdr:row>279</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276</xdr:row>
      <xdr:rowOff>126029</xdr:rowOff>
    </xdr:from>
    <xdr:to>
      <xdr:col>11</xdr:col>
      <xdr:colOff>0</xdr:colOff>
      <xdr:row>279</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276</xdr:row>
      <xdr:rowOff>151429</xdr:rowOff>
    </xdr:from>
    <xdr:to>
      <xdr:col>13</xdr:col>
      <xdr:colOff>0</xdr:colOff>
      <xdr:row>280</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276</xdr:row>
      <xdr:rowOff>126029</xdr:rowOff>
    </xdr:from>
    <xdr:to>
      <xdr:col>17</xdr:col>
      <xdr:colOff>0</xdr:colOff>
      <xdr:row>279</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276</xdr:row>
      <xdr:rowOff>126029</xdr:rowOff>
    </xdr:from>
    <xdr:to>
      <xdr:col>19</xdr:col>
      <xdr:colOff>0</xdr:colOff>
      <xdr:row>279</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276</xdr:row>
      <xdr:rowOff>127000</xdr:rowOff>
    </xdr:from>
    <xdr:to>
      <xdr:col>15</xdr:col>
      <xdr:colOff>9072</xdr:colOff>
      <xdr:row>279</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276</xdr:row>
      <xdr:rowOff>126029</xdr:rowOff>
    </xdr:from>
    <xdr:to>
      <xdr:col>21</xdr:col>
      <xdr:colOff>0</xdr:colOff>
      <xdr:row>279</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276</xdr:row>
      <xdr:rowOff>126029</xdr:rowOff>
    </xdr:from>
    <xdr:to>
      <xdr:col>23</xdr:col>
      <xdr:colOff>0</xdr:colOff>
      <xdr:row>279</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0</xdr:col>
      <xdr:colOff>0</xdr:colOff>
      <xdr:row>276</xdr:row>
      <xdr:rowOff>126029</xdr:rowOff>
    </xdr:from>
    <xdr:to>
      <xdr:col>1</xdr:col>
      <xdr:colOff>0</xdr:colOff>
      <xdr:row>279</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284</xdr:row>
      <xdr:rowOff>126029</xdr:rowOff>
    </xdr:from>
    <xdr:to>
      <xdr:col>3</xdr:col>
      <xdr:colOff>0</xdr:colOff>
      <xdr:row>287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284</xdr:row>
      <xdr:rowOff>126029</xdr:rowOff>
    </xdr:from>
    <xdr:to>
      <xdr:col>5</xdr:col>
      <xdr:colOff>0</xdr:colOff>
      <xdr:row>287</xdr:row>
      <xdr:rowOff>195613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4076700" y="9885074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284</xdr:row>
      <xdr:rowOff>126029</xdr:rowOff>
    </xdr:from>
    <xdr:to>
      <xdr:col>7</xdr:col>
      <xdr:colOff>0</xdr:colOff>
      <xdr:row>287</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284</xdr:row>
      <xdr:rowOff>126029</xdr:rowOff>
    </xdr:from>
    <xdr:to>
      <xdr:col>9</xdr:col>
      <xdr:colOff>0</xdr:colOff>
      <xdr:row>287</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284</xdr:row>
      <xdr:rowOff>126029</xdr:rowOff>
    </xdr:from>
    <xdr:to>
      <xdr:col>11</xdr:col>
      <xdr:colOff>0</xdr:colOff>
      <xdr:row>287</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284</xdr:row>
      <xdr:rowOff>126029</xdr:rowOff>
    </xdr:from>
    <xdr:to>
      <xdr:col>13</xdr:col>
      <xdr:colOff>0</xdr:colOff>
      <xdr:row>287</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284</xdr:row>
      <xdr:rowOff>126029</xdr:rowOff>
    </xdr:from>
    <xdr:to>
      <xdr:col>17</xdr:col>
      <xdr:colOff>0</xdr:colOff>
      <xdr:row>287</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284</xdr:row>
      <xdr:rowOff>126029</xdr:rowOff>
    </xdr:from>
    <xdr:to>
      <xdr:col>19</xdr:col>
      <xdr:colOff>0</xdr:colOff>
      <xdr:row>287</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284</xdr:row>
      <xdr:rowOff>127000</xdr:rowOff>
    </xdr:from>
    <xdr:to>
      <xdr:col>15</xdr:col>
      <xdr:colOff>9072</xdr:colOff>
      <xdr:row>287</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3555980" y="9885172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284</xdr:row>
      <xdr:rowOff>126029</xdr:rowOff>
    </xdr:from>
    <xdr:to>
      <xdr:col>21</xdr:col>
      <xdr:colOff>0</xdr:colOff>
      <xdr:row>287</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284</xdr:row>
      <xdr:rowOff>126029</xdr:rowOff>
    </xdr:from>
    <xdr:to>
      <xdr:col>23</xdr:col>
      <xdr:colOff>0</xdr:colOff>
      <xdr:row>287</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284</xdr:row>
      <xdr:rowOff>126029</xdr:rowOff>
    </xdr:from>
    <xdr:to>
      <xdr:col>1</xdr:col>
      <xdr:colOff>0</xdr:colOff>
      <xdr:row>287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372</xdr:row>
      <xdr:rowOff>126029</xdr:rowOff>
    </xdr:from>
    <xdr:to>
      <xdr:col>3</xdr:col>
      <xdr:colOff>0</xdr:colOff>
      <xdr:row>375</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372</xdr:row>
      <xdr:rowOff>126029</xdr:rowOff>
    </xdr:from>
    <xdr:to>
      <xdr:col>5</xdr:col>
      <xdr:colOff>0</xdr:colOff>
      <xdr:row>375</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372</xdr:row>
      <xdr:rowOff>126029</xdr:rowOff>
    </xdr:from>
    <xdr:to>
      <xdr:col>11</xdr:col>
      <xdr:colOff>0</xdr:colOff>
      <xdr:row>375</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372</xdr:row>
      <xdr:rowOff>126029</xdr:rowOff>
    </xdr:from>
    <xdr:to>
      <xdr:col>13</xdr:col>
      <xdr:colOff>0</xdr:colOff>
      <xdr:row>375</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372</xdr:row>
      <xdr:rowOff>126029</xdr:rowOff>
    </xdr:from>
    <xdr:to>
      <xdr:col>15</xdr:col>
      <xdr:colOff>0</xdr:colOff>
      <xdr:row>375</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372</xdr:row>
      <xdr:rowOff>126029</xdr:rowOff>
    </xdr:from>
    <xdr:to>
      <xdr:col>17</xdr:col>
      <xdr:colOff>0</xdr:colOff>
      <xdr:row>375</xdr:row>
      <xdr:rowOff>165133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240000" y="13124336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372</xdr:row>
      <xdr:rowOff>126029</xdr:rowOff>
    </xdr:from>
    <xdr:to>
      <xdr:col>1</xdr:col>
      <xdr:colOff>0</xdr:colOff>
      <xdr:row>375</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116</xdr:row>
      <xdr:rowOff>126029</xdr:rowOff>
    </xdr:from>
    <xdr:to>
      <xdr:col>3</xdr:col>
      <xdr:colOff>0</xdr:colOff>
      <xdr:row>119</xdr:row>
      <xdr:rowOff>180373</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2011680" y="3914042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116</xdr:row>
      <xdr:rowOff>126029</xdr:rowOff>
    </xdr:from>
    <xdr:to>
      <xdr:col>5</xdr:col>
      <xdr:colOff>0</xdr:colOff>
      <xdr:row>119</xdr:row>
      <xdr:rowOff>180373</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4076700" y="391404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116</xdr:row>
      <xdr:rowOff>126029</xdr:rowOff>
    </xdr:from>
    <xdr:to>
      <xdr:col>7</xdr:col>
      <xdr:colOff>0</xdr:colOff>
      <xdr:row>119</xdr:row>
      <xdr:rowOff>180373</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6309360" y="391404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116</xdr:row>
      <xdr:rowOff>126029</xdr:rowOff>
    </xdr:from>
    <xdr:to>
      <xdr:col>9</xdr:col>
      <xdr:colOff>0</xdr:colOff>
      <xdr:row>119</xdr:row>
      <xdr:rowOff>180373</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8298180" y="391404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116</xdr:row>
      <xdr:rowOff>126029</xdr:rowOff>
    </xdr:from>
    <xdr:to>
      <xdr:col>11</xdr:col>
      <xdr:colOff>0</xdr:colOff>
      <xdr:row>119</xdr:row>
      <xdr:rowOff>180373</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10195560" y="3914042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116</xdr:row>
      <xdr:rowOff>126029</xdr:rowOff>
    </xdr:from>
    <xdr:to>
      <xdr:col>13</xdr:col>
      <xdr:colOff>0</xdr:colOff>
      <xdr:row>119</xdr:row>
      <xdr:rowOff>180373</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11765280" y="391404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116</xdr:row>
      <xdr:rowOff>126029</xdr:rowOff>
    </xdr:from>
    <xdr:to>
      <xdr:col>17</xdr:col>
      <xdr:colOff>0</xdr:colOff>
      <xdr:row>119</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116</xdr:row>
      <xdr:rowOff>126029</xdr:rowOff>
    </xdr:from>
    <xdr:to>
      <xdr:col>19</xdr:col>
      <xdr:colOff>0</xdr:colOff>
      <xdr:row>119</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116</xdr:row>
      <xdr:rowOff>127000</xdr:rowOff>
    </xdr:from>
    <xdr:to>
      <xdr:col>15</xdr:col>
      <xdr:colOff>9072</xdr:colOff>
      <xdr:row>119</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116</xdr:row>
      <xdr:rowOff>126029</xdr:rowOff>
    </xdr:from>
    <xdr:to>
      <xdr:col>21</xdr:col>
      <xdr:colOff>0</xdr:colOff>
      <xdr:row>119</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116</xdr:row>
      <xdr:rowOff>126029</xdr:rowOff>
    </xdr:from>
    <xdr:to>
      <xdr:col>23</xdr:col>
      <xdr:colOff>0</xdr:colOff>
      <xdr:row>119</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116</xdr:row>
      <xdr:rowOff>126029</xdr:rowOff>
    </xdr:from>
    <xdr:to>
      <xdr:col>1</xdr:col>
      <xdr:colOff>0</xdr:colOff>
      <xdr:row>119</xdr:row>
      <xdr:rowOff>180373</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0" y="3914042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54</xdr:row>
      <xdr:rowOff>126029</xdr:rowOff>
    </xdr:from>
    <xdr:to>
      <xdr:col>3</xdr:col>
      <xdr:colOff>0</xdr:colOff>
      <xdr:row>57</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54</xdr:row>
      <xdr:rowOff>126029</xdr:rowOff>
    </xdr:from>
    <xdr:to>
      <xdr:col>5</xdr:col>
      <xdr:colOff>0</xdr:colOff>
      <xdr:row>57</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54</xdr:row>
      <xdr:rowOff>126029</xdr:rowOff>
    </xdr:from>
    <xdr:to>
      <xdr:col>7</xdr:col>
      <xdr:colOff>0</xdr:colOff>
      <xdr:row>57</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54</xdr:row>
      <xdr:rowOff>126029</xdr:rowOff>
    </xdr:from>
    <xdr:to>
      <xdr:col>9</xdr:col>
      <xdr:colOff>0</xdr:colOff>
      <xdr:row>57</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54</xdr:row>
      <xdr:rowOff>126029</xdr:rowOff>
    </xdr:from>
    <xdr:to>
      <xdr:col>11</xdr:col>
      <xdr:colOff>0</xdr:colOff>
      <xdr:row>57</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54</xdr:row>
      <xdr:rowOff>126029</xdr:rowOff>
    </xdr:from>
    <xdr:to>
      <xdr:col>13</xdr:col>
      <xdr:colOff>0</xdr:colOff>
      <xdr:row>57</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54</xdr:row>
      <xdr:rowOff>126029</xdr:rowOff>
    </xdr:from>
    <xdr:to>
      <xdr:col>17</xdr:col>
      <xdr:colOff>0</xdr:colOff>
      <xdr:row>57</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54</xdr:row>
      <xdr:rowOff>126029</xdr:rowOff>
    </xdr:from>
    <xdr:to>
      <xdr:col>19</xdr:col>
      <xdr:colOff>0</xdr:colOff>
      <xdr:row>57</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54</xdr:row>
      <xdr:rowOff>127000</xdr:rowOff>
    </xdr:from>
    <xdr:to>
      <xdr:col>15</xdr:col>
      <xdr:colOff>9072</xdr:colOff>
      <xdr:row>57</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54</xdr:row>
      <xdr:rowOff>126029</xdr:rowOff>
    </xdr:from>
    <xdr:to>
      <xdr:col>21</xdr:col>
      <xdr:colOff>0</xdr:colOff>
      <xdr:row>57</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54</xdr:row>
      <xdr:rowOff>126029</xdr:rowOff>
    </xdr:from>
    <xdr:to>
      <xdr:col>23</xdr:col>
      <xdr:colOff>0</xdr:colOff>
      <xdr:row>57</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54</xdr:row>
      <xdr:rowOff>126029</xdr:rowOff>
    </xdr:from>
    <xdr:to>
      <xdr:col>1</xdr:col>
      <xdr:colOff>0</xdr:colOff>
      <xdr:row>57</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46</xdr:row>
      <xdr:rowOff>0</xdr:rowOff>
    </xdr:from>
    <xdr:to>
      <xdr:col>3</xdr:col>
      <xdr:colOff>0</xdr:colOff>
      <xdr:row>48</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46</xdr:row>
      <xdr:rowOff>0</xdr:rowOff>
    </xdr:from>
    <xdr:to>
      <xdr:col>5</xdr:col>
      <xdr:colOff>0</xdr:colOff>
      <xdr:row>48</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46</xdr:row>
      <xdr:rowOff>0</xdr:rowOff>
    </xdr:from>
    <xdr:to>
      <xdr:col>7</xdr:col>
      <xdr:colOff>0</xdr:colOff>
      <xdr:row>48</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46</xdr:row>
      <xdr:rowOff>0</xdr:rowOff>
    </xdr:from>
    <xdr:to>
      <xdr:col>9</xdr:col>
      <xdr:colOff>0</xdr:colOff>
      <xdr:row>48</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46</xdr:row>
      <xdr:rowOff>0</xdr:rowOff>
    </xdr:from>
    <xdr:to>
      <xdr:col>11</xdr:col>
      <xdr:colOff>0</xdr:colOff>
      <xdr:row>48</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46</xdr:row>
      <xdr:rowOff>0</xdr:rowOff>
    </xdr:from>
    <xdr:to>
      <xdr:col>13</xdr:col>
      <xdr:colOff>0</xdr:colOff>
      <xdr:row>48</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46</xdr:row>
      <xdr:rowOff>0</xdr:rowOff>
    </xdr:from>
    <xdr:to>
      <xdr:col>17</xdr:col>
      <xdr:colOff>0</xdr:colOff>
      <xdr:row>48</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46</xdr:row>
      <xdr:rowOff>0</xdr:rowOff>
    </xdr:from>
    <xdr:to>
      <xdr:col>19</xdr:col>
      <xdr:colOff>0</xdr:colOff>
      <xdr:row>48</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46</xdr:row>
      <xdr:rowOff>0</xdr:rowOff>
    </xdr:from>
    <xdr:to>
      <xdr:col>15</xdr:col>
      <xdr:colOff>9072</xdr:colOff>
      <xdr:row>48</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46</xdr:row>
      <xdr:rowOff>0</xdr:rowOff>
    </xdr:from>
    <xdr:to>
      <xdr:col>21</xdr:col>
      <xdr:colOff>0</xdr:colOff>
      <xdr:row>48</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46</xdr:row>
      <xdr:rowOff>0</xdr:rowOff>
    </xdr:from>
    <xdr:to>
      <xdr:col>23</xdr:col>
      <xdr:colOff>0</xdr:colOff>
      <xdr:row>48</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46</xdr:row>
      <xdr:rowOff>0</xdr:rowOff>
    </xdr:from>
    <xdr:to>
      <xdr:col>1</xdr:col>
      <xdr:colOff>0</xdr:colOff>
      <xdr:row>48</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xdr:row>
      <xdr:rowOff>0</xdr:rowOff>
    </xdr:from>
    <xdr:to>
      <xdr:col>3</xdr:col>
      <xdr:colOff>0</xdr:colOff>
      <xdr:row>41</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xdr:row>
      <xdr:rowOff>0</xdr:rowOff>
    </xdr:from>
    <xdr:to>
      <xdr:col>5</xdr:col>
      <xdr:colOff>0</xdr:colOff>
      <xdr:row>41</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xdr:row>
      <xdr:rowOff>0</xdr:rowOff>
    </xdr:from>
    <xdr:to>
      <xdr:col>7</xdr:col>
      <xdr:colOff>0</xdr:colOff>
      <xdr:row>41</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xdr:row>
      <xdr:rowOff>0</xdr:rowOff>
    </xdr:from>
    <xdr:to>
      <xdr:col>9</xdr:col>
      <xdr:colOff>0</xdr:colOff>
      <xdr:row>41</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xdr:row>
      <xdr:rowOff>0</xdr:rowOff>
    </xdr:from>
    <xdr:to>
      <xdr:col>11</xdr:col>
      <xdr:colOff>0</xdr:colOff>
      <xdr:row>41</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xdr:row>
      <xdr:rowOff>0</xdr:rowOff>
    </xdr:from>
    <xdr:to>
      <xdr:col>13</xdr:col>
      <xdr:colOff>0</xdr:colOff>
      <xdr:row>41</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176528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xdr:row>
      <xdr:rowOff>0</xdr:rowOff>
    </xdr:from>
    <xdr:to>
      <xdr:col>17</xdr:col>
      <xdr:colOff>0</xdr:colOff>
      <xdr:row>41</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xdr:row>
      <xdr:rowOff>0</xdr:rowOff>
    </xdr:from>
    <xdr:to>
      <xdr:col>19</xdr:col>
      <xdr:colOff>0</xdr:colOff>
      <xdr:row>41</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17007840" y="11338560"/>
          <a:ext cx="9982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xdr:row>
      <xdr:rowOff>0</xdr:rowOff>
    </xdr:from>
    <xdr:to>
      <xdr:col>15</xdr:col>
      <xdr:colOff>9072</xdr:colOff>
      <xdr:row>41</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xdr:row>
      <xdr:rowOff>0</xdr:rowOff>
    </xdr:from>
    <xdr:to>
      <xdr:col>21</xdr:col>
      <xdr:colOff>0</xdr:colOff>
      <xdr:row>41</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xdr:row>
      <xdr:rowOff>0</xdr:rowOff>
    </xdr:from>
    <xdr:to>
      <xdr:col>23</xdr:col>
      <xdr:colOff>0</xdr:colOff>
      <xdr:row>41</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39</xdr:row>
      <xdr:rowOff>0</xdr:rowOff>
    </xdr:from>
    <xdr:to>
      <xdr:col>1</xdr:col>
      <xdr:colOff>0</xdr:colOff>
      <xdr:row>41</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xdr:row>
      <xdr:rowOff>0</xdr:rowOff>
    </xdr:from>
    <xdr:to>
      <xdr:col>3</xdr:col>
      <xdr:colOff>0</xdr:colOff>
      <xdr:row>34</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xdr:row>
      <xdr:rowOff>0</xdr:rowOff>
    </xdr:from>
    <xdr:to>
      <xdr:col>5</xdr:col>
      <xdr:colOff>0</xdr:colOff>
      <xdr:row>34</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xdr:row>
      <xdr:rowOff>0</xdr:rowOff>
    </xdr:from>
    <xdr:to>
      <xdr:col>7</xdr:col>
      <xdr:colOff>0</xdr:colOff>
      <xdr:row>34</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32</xdr:row>
      <xdr:rowOff>0</xdr:rowOff>
    </xdr:from>
    <xdr:to>
      <xdr:col>9</xdr:col>
      <xdr:colOff>0</xdr:colOff>
      <xdr:row>34</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xdr:row>
      <xdr:rowOff>0</xdr:rowOff>
    </xdr:from>
    <xdr:to>
      <xdr:col>11</xdr:col>
      <xdr:colOff>0</xdr:colOff>
      <xdr:row>34</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xdr:row>
      <xdr:rowOff>0</xdr:rowOff>
    </xdr:from>
    <xdr:to>
      <xdr:col>13</xdr:col>
      <xdr:colOff>0</xdr:colOff>
      <xdr:row>34</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xdr:row>
      <xdr:rowOff>0</xdr:rowOff>
    </xdr:from>
    <xdr:to>
      <xdr:col>17</xdr:col>
      <xdr:colOff>0</xdr:colOff>
      <xdr:row>34</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xdr:row>
      <xdr:rowOff>0</xdr:rowOff>
    </xdr:from>
    <xdr:to>
      <xdr:col>19</xdr:col>
      <xdr:colOff>0</xdr:colOff>
      <xdr:row>34</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xdr:row>
      <xdr:rowOff>0</xdr:rowOff>
    </xdr:from>
    <xdr:to>
      <xdr:col>15</xdr:col>
      <xdr:colOff>9072</xdr:colOff>
      <xdr:row>34</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xdr:row>
      <xdr:rowOff>0</xdr:rowOff>
    </xdr:from>
    <xdr:to>
      <xdr:col>21</xdr:col>
      <xdr:colOff>0</xdr:colOff>
      <xdr:row>34</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xdr:row>
      <xdr:rowOff>0</xdr:rowOff>
    </xdr:from>
    <xdr:to>
      <xdr:col>23</xdr:col>
      <xdr:colOff>0</xdr:colOff>
      <xdr:row>34</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32</xdr:row>
      <xdr:rowOff>0</xdr:rowOff>
    </xdr:from>
    <xdr:to>
      <xdr:col>1</xdr:col>
      <xdr:colOff>0</xdr:colOff>
      <xdr:row>34</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xdr:row>
      <xdr:rowOff>0</xdr:rowOff>
    </xdr:from>
    <xdr:to>
      <xdr:col>3</xdr:col>
      <xdr:colOff>0</xdr:colOff>
      <xdr:row>27</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25</xdr:row>
      <xdr:rowOff>0</xdr:rowOff>
    </xdr:from>
    <xdr:to>
      <xdr:col>5</xdr:col>
      <xdr:colOff>0</xdr:colOff>
      <xdr:row>27</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xdr:row>
      <xdr:rowOff>0</xdr:rowOff>
    </xdr:from>
    <xdr:to>
      <xdr:col>7</xdr:col>
      <xdr:colOff>0</xdr:colOff>
      <xdr:row>27</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xdr:row>
      <xdr:rowOff>0</xdr:rowOff>
    </xdr:from>
    <xdr:to>
      <xdr:col>9</xdr:col>
      <xdr:colOff>0</xdr:colOff>
      <xdr:row>27</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39369</xdr:colOff>
      <xdr:row>25</xdr:row>
      <xdr:rowOff>0</xdr:rowOff>
    </xdr:from>
    <xdr:to>
      <xdr:col>10</xdr:col>
      <xdr:colOff>918210</xdr:colOff>
      <xdr:row>28</xdr:row>
      <xdr:rowOff>5113</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0234929" y="6294120"/>
          <a:ext cx="878841" cy="90427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25</xdr:row>
      <xdr:rowOff>0</xdr:rowOff>
    </xdr:from>
    <xdr:to>
      <xdr:col>13</xdr:col>
      <xdr:colOff>0</xdr:colOff>
      <xdr:row>27</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xdr:row>
      <xdr:rowOff>0</xdr:rowOff>
    </xdr:from>
    <xdr:to>
      <xdr:col>17</xdr:col>
      <xdr:colOff>0</xdr:colOff>
      <xdr:row>27</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xdr:row>
      <xdr:rowOff>0</xdr:rowOff>
    </xdr:from>
    <xdr:to>
      <xdr:col>19</xdr:col>
      <xdr:colOff>0</xdr:colOff>
      <xdr:row>27</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xdr:row>
      <xdr:rowOff>0</xdr:rowOff>
    </xdr:from>
    <xdr:to>
      <xdr:col>15</xdr:col>
      <xdr:colOff>9072</xdr:colOff>
      <xdr:row>27</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xdr:row>
      <xdr:rowOff>0</xdr:rowOff>
    </xdr:from>
    <xdr:to>
      <xdr:col>21</xdr:col>
      <xdr:colOff>0</xdr:colOff>
      <xdr:row>27</xdr:row>
      <xdr:rowOff>165133</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18630900" y="6294120"/>
          <a:ext cx="10515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xdr:row>
      <xdr:rowOff>0</xdr:rowOff>
    </xdr:from>
    <xdr:to>
      <xdr:col>23</xdr:col>
      <xdr:colOff>0</xdr:colOff>
      <xdr:row>27</xdr:row>
      <xdr:rowOff>165133</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20589240" y="6294120"/>
          <a:ext cx="101346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25</xdr:row>
      <xdr:rowOff>0</xdr:rowOff>
    </xdr:from>
    <xdr:to>
      <xdr:col>1</xdr:col>
      <xdr:colOff>0</xdr:colOff>
      <xdr:row>27</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108</xdr:row>
      <xdr:rowOff>126029</xdr:rowOff>
    </xdr:from>
    <xdr:to>
      <xdr:col>3</xdr:col>
      <xdr:colOff>0</xdr:colOff>
      <xdr:row>111</xdr:row>
      <xdr:rowOff>149893</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2011680" y="35879069"/>
          <a:ext cx="102108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108</xdr:row>
      <xdr:rowOff>126029</xdr:rowOff>
    </xdr:from>
    <xdr:to>
      <xdr:col>5</xdr:col>
      <xdr:colOff>0</xdr:colOff>
      <xdr:row>111</xdr:row>
      <xdr:rowOff>149893</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4076700" y="35879069"/>
          <a:ext cx="119634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108</xdr:row>
      <xdr:rowOff>126029</xdr:rowOff>
    </xdr:from>
    <xdr:to>
      <xdr:col>7</xdr:col>
      <xdr:colOff>0</xdr:colOff>
      <xdr:row>111</xdr:row>
      <xdr:rowOff>149893</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6309360" y="35879069"/>
          <a:ext cx="11125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108</xdr:row>
      <xdr:rowOff>126029</xdr:rowOff>
    </xdr:from>
    <xdr:to>
      <xdr:col>9</xdr:col>
      <xdr:colOff>0</xdr:colOff>
      <xdr:row>111</xdr:row>
      <xdr:rowOff>149893</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8298180" y="35879069"/>
          <a:ext cx="127254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108</xdr:row>
      <xdr:rowOff>126029</xdr:rowOff>
    </xdr:from>
    <xdr:to>
      <xdr:col>11</xdr:col>
      <xdr:colOff>0</xdr:colOff>
      <xdr:row>111</xdr:row>
      <xdr:rowOff>149893</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10195560" y="35879069"/>
          <a:ext cx="94488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108</xdr:row>
      <xdr:rowOff>126029</xdr:rowOff>
    </xdr:from>
    <xdr:to>
      <xdr:col>13</xdr:col>
      <xdr:colOff>0</xdr:colOff>
      <xdr:row>111</xdr:row>
      <xdr:rowOff>149893</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11765280" y="35879069"/>
          <a:ext cx="101346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108</xdr:row>
      <xdr:rowOff>126029</xdr:rowOff>
    </xdr:from>
    <xdr:to>
      <xdr:col>17</xdr:col>
      <xdr:colOff>0</xdr:colOff>
      <xdr:row>111</xdr:row>
      <xdr:rowOff>149893</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5240000" y="3587906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108</xdr:row>
      <xdr:rowOff>126029</xdr:rowOff>
    </xdr:from>
    <xdr:to>
      <xdr:col>19</xdr:col>
      <xdr:colOff>0</xdr:colOff>
      <xdr:row>111</xdr:row>
      <xdr:rowOff>149893</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17007840" y="35879069"/>
          <a:ext cx="9982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108</xdr:row>
      <xdr:rowOff>127000</xdr:rowOff>
    </xdr:from>
    <xdr:to>
      <xdr:col>15</xdr:col>
      <xdr:colOff>9072</xdr:colOff>
      <xdr:row>111</xdr:row>
      <xdr:rowOff>150864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3555980" y="35880040"/>
          <a:ext cx="1053012"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108</xdr:row>
      <xdr:rowOff>126029</xdr:rowOff>
    </xdr:from>
    <xdr:to>
      <xdr:col>21</xdr:col>
      <xdr:colOff>0</xdr:colOff>
      <xdr:row>111</xdr:row>
      <xdr:rowOff>149893</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18630900" y="35879069"/>
          <a:ext cx="105156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108</xdr:row>
      <xdr:rowOff>126029</xdr:rowOff>
    </xdr:from>
    <xdr:to>
      <xdr:col>23</xdr:col>
      <xdr:colOff>0</xdr:colOff>
      <xdr:row>111</xdr:row>
      <xdr:rowOff>149893</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20589240" y="35879069"/>
          <a:ext cx="101346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108</xdr:row>
      <xdr:rowOff>126029</xdr:rowOff>
    </xdr:from>
    <xdr:to>
      <xdr:col>1</xdr:col>
      <xdr:colOff>0</xdr:colOff>
      <xdr:row>111</xdr:row>
      <xdr:rowOff>149893</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0" y="35879069"/>
          <a:ext cx="126492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99</xdr:row>
      <xdr:rowOff>126029</xdr:rowOff>
    </xdr:from>
    <xdr:to>
      <xdr:col>3</xdr:col>
      <xdr:colOff>0</xdr:colOff>
      <xdr:row>102</xdr:row>
      <xdr:rowOff>187993</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2011680" y="3273962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99</xdr:row>
      <xdr:rowOff>126029</xdr:rowOff>
    </xdr:from>
    <xdr:to>
      <xdr:col>5</xdr:col>
      <xdr:colOff>0</xdr:colOff>
      <xdr:row>102</xdr:row>
      <xdr:rowOff>187993</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4076700" y="3273962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99</xdr:row>
      <xdr:rowOff>126029</xdr:rowOff>
    </xdr:from>
    <xdr:to>
      <xdr:col>7</xdr:col>
      <xdr:colOff>0</xdr:colOff>
      <xdr:row>102</xdr:row>
      <xdr:rowOff>187993</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6309360" y="3273962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99</xdr:row>
      <xdr:rowOff>126029</xdr:rowOff>
    </xdr:from>
    <xdr:to>
      <xdr:col>9</xdr:col>
      <xdr:colOff>0</xdr:colOff>
      <xdr:row>102</xdr:row>
      <xdr:rowOff>187993</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8298180" y="3273962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99</xdr:row>
      <xdr:rowOff>126029</xdr:rowOff>
    </xdr:from>
    <xdr:to>
      <xdr:col>11</xdr:col>
      <xdr:colOff>0</xdr:colOff>
      <xdr:row>102</xdr:row>
      <xdr:rowOff>187993</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10195560" y="3273962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99</xdr:row>
      <xdr:rowOff>126029</xdr:rowOff>
    </xdr:from>
    <xdr:to>
      <xdr:col>13</xdr:col>
      <xdr:colOff>0</xdr:colOff>
      <xdr:row>102</xdr:row>
      <xdr:rowOff>187993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11765280" y="3273962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99</xdr:row>
      <xdr:rowOff>126029</xdr:rowOff>
    </xdr:from>
    <xdr:to>
      <xdr:col>17</xdr:col>
      <xdr:colOff>0</xdr:colOff>
      <xdr:row>102</xdr:row>
      <xdr:rowOff>187993</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99</xdr:row>
      <xdr:rowOff>126029</xdr:rowOff>
    </xdr:from>
    <xdr:to>
      <xdr:col>19</xdr:col>
      <xdr:colOff>0</xdr:colOff>
      <xdr:row>102</xdr:row>
      <xdr:rowOff>187993</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99</xdr:row>
      <xdr:rowOff>127000</xdr:rowOff>
    </xdr:from>
    <xdr:to>
      <xdr:col>15</xdr:col>
      <xdr:colOff>9072</xdr:colOff>
      <xdr:row>102</xdr:row>
      <xdr:rowOff>188964</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3555980" y="3274060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99</xdr:row>
      <xdr:rowOff>126029</xdr:rowOff>
    </xdr:from>
    <xdr:to>
      <xdr:col>21</xdr:col>
      <xdr:colOff>0</xdr:colOff>
      <xdr:row>102</xdr:row>
      <xdr:rowOff>187993</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99</xdr:row>
      <xdr:rowOff>126029</xdr:rowOff>
    </xdr:from>
    <xdr:to>
      <xdr:col>23</xdr:col>
      <xdr:colOff>0</xdr:colOff>
      <xdr:row>102</xdr:row>
      <xdr:rowOff>187993</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104</xdr:row>
      <xdr:rowOff>0</xdr:rowOff>
    </xdr:from>
    <xdr:to>
      <xdr:col>23</xdr:col>
      <xdr:colOff>134937</xdr:colOff>
      <xdr:row>104</xdr:row>
      <xdr:rowOff>79381</xdr:rowOff>
    </xdr:to>
    <xdr:sp macro="" textlink="">
      <xdr:nvSpPr>
        <xdr:cNvPr id="312" name="Bent Arrow 809">
          <a:extLst>
            <a:ext uri="{FF2B5EF4-FFF2-40B4-BE49-F238E27FC236}">
              <a16:creationId xmlns:a16="http://schemas.microsoft.com/office/drawing/2014/main" id="{1542E50A-3019-4EB3-A4DB-6B5C13778652}"/>
            </a:ext>
          </a:extLst>
        </xdr:cNvPr>
        <xdr:cNvSpPr/>
      </xdr:nvSpPr>
      <xdr:spPr>
        <a:xfrm rot="5400000">
          <a:off x="21630478" y="34376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0</xdr:col>
      <xdr:colOff>0</xdr:colOff>
      <xdr:row>99</xdr:row>
      <xdr:rowOff>126029</xdr:rowOff>
    </xdr:from>
    <xdr:to>
      <xdr:col>1</xdr:col>
      <xdr:colOff>0</xdr:colOff>
      <xdr:row>102</xdr:row>
      <xdr:rowOff>187993</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0" y="3273962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90</xdr:row>
      <xdr:rowOff>126029</xdr:rowOff>
    </xdr:from>
    <xdr:to>
      <xdr:col>3</xdr:col>
      <xdr:colOff>0</xdr:colOff>
      <xdr:row>93</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90</xdr:row>
      <xdr:rowOff>126029</xdr:rowOff>
    </xdr:from>
    <xdr:to>
      <xdr:col>5</xdr:col>
      <xdr:colOff>0</xdr:colOff>
      <xdr:row>93</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90</xdr:row>
      <xdr:rowOff>126029</xdr:rowOff>
    </xdr:from>
    <xdr:to>
      <xdr:col>7</xdr:col>
      <xdr:colOff>0</xdr:colOff>
      <xdr:row>93</xdr:row>
      <xdr:rowOff>165133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6309360" y="2945540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90</xdr:row>
      <xdr:rowOff>126029</xdr:rowOff>
    </xdr:from>
    <xdr:to>
      <xdr:col>9</xdr:col>
      <xdr:colOff>0</xdr:colOff>
      <xdr:row>93</xdr:row>
      <xdr:rowOff>165133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8298180" y="2945540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90</xdr:row>
      <xdr:rowOff>126029</xdr:rowOff>
    </xdr:from>
    <xdr:to>
      <xdr:col>11</xdr:col>
      <xdr:colOff>0</xdr:colOff>
      <xdr:row>93</xdr:row>
      <xdr:rowOff>165133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10195560" y="2945540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90</xdr:row>
      <xdr:rowOff>126029</xdr:rowOff>
    </xdr:from>
    <xdr:to>
      <xdr:col>13</xdr:col>
      <xdr:colOff>0</xdr:colOff>
      <xdr:row>93</xdr:row>
      <xdr:rowOff>165133</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11765280" y="2945540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90</xdr:row>
      <xdr:rowOff>126029</xdr:rowOff>
    </xdr:from>
    <xdr:to>
      <xdr:col>17</xdr:col>
      <xdr:colOff>0</xdr:colOff>
      <xdr:row>93</xdr:row>
      <xdr:rowOff>165133</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5240000" y="2945540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90</xdr:row>
      <xdr:rowOff>126029</xdr:rowOff>
    </xdr:from>
    <xdr:to>
      <xdr:col>19</xdr:col>
      <xdr:colOff>0</xdr:colOff>
      <xdr:row>93</xdr:row>
      <xdr:rowOff>165133</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7007840" y="2945540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90</xdr:row>
      <xdr:rowOff>127000</xdr:rowOff>
    </xdr:from>
    <xdr:to>
      <xdr:col>15</xdr:col>
      <xdr:colOff>9072</xdr:colOff>
      <xdr:row>93</xdr:row>
      <xdr:rowOff>166104</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13555980" y="2945638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90</xdr:row>
      <xdr:rowOff>126029</xdr:rowOff>
    </xdr:from>
    <xdr:to>
      <xdr:col>23</xdr:col>
      <xdr:colOff>0</xdr:colOff>
      <xdr:row>93</xdr:row>
      <xdr:rowOff>165133</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20589240" y="2945540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90</xdr:row>
      <xdr:rowOff>126029</xdr:rowOff>
    </xdr:from>
    <xdr:to>
      <xdr:col>1</xdr:col>
      <xdr:colOff>0</xdr:colOff>
      <xdr:row>93</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81</xdr:row>
      <xdr:rowOff>126029</xdr:rowOff>
    </xdr:from>
    <xdr:to>
      <xdr:col>3</xdr:col>
      <xdr:colOff>0</xdr:colOff>
      <xdr:row>84</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81</xdr:row>
      <xdr:rowOff>126029</xdr:rowOff>
    </xdr:from>
    <xdr:to>
      <xdr:col>5</xdr:col>
      <xdr:colOff>0</xdr:colOff>
      <xdr:row>84</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81</xdr:row>
      <xdr:rowOff>126029</xdr:rowOff>
    </xdr:from>
    <xdr:to>
      <xdr:col>7</xdr:col>
      <xdr:colOff>0</xdr:colOff>
      <xdr:row>84</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81</xdr:row>
      <xdr:rowOff>126029</xdr:rowOff>
    </xdr:from>
    <xdr:to>
      <xdr:col>9</xdr:col>
      <xdr:colOff>0</xdr:colOff>
      <xdr:row>84</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81</xdr:row>
      <xdr:rowOff>126029</xdr:rowOff>
    </xdr:from>
    <xdr:to>
      <xdr:col>11</xdr:col>
      <xdr:colOff>0</xdr:colOff>
      <xdr:row>84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81</xdr:row>
      <xdr:rowOff>126029</xdr:rowOff>
    </xdr:from>
    <xdr:to>
      <xdr:col>13</xdr:col>
      <xdr:colOff>0</xdr:colOff>
      <xdr:row>84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81</xdr:row>
      <xdr:rowOff>126029</xdr:rowOff>
    </xdr:from>
    <xdr:to>
      <xdr:col>17</xdr:col>
      <xdr:colOff>0</xdr:colOff>
      <xdr:row>84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81</xdr:row>
      <xdr:rowOff>126029</xdr:rowOff>
    </xdr:from>
    <xdr:to>
      <xdr:col>19</xdr:col>
      <xdr:colOff>0</xdr:colOff>
      <xdr:row>84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81</xdr:row>
      <xdr:rowOff>127000</xdr:rowOff>
    </xdr:from>
    <xdr:to>
      <xdr:col>15</xdr:col>
      <xdr:colOff>9072</xdr:colOff>
      <xdr:row>84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81</xdr:row>
      <xdr:rowOff>126029</xdr:rowOff>
    </xdr:from>
    <xdr:to>
      <xdr:col>21</xdr:col>
      <xdr:colOff>0</xdr:colOff>
      <xdr:row>84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81</xdr:row>
      <xdr:rowOff>126029</xdr:rowOff>
    </xdr:from>
    <xdr:to>
      <xdr:col>23</xdr:col>
      <xdr:colOff>0</xdr:colOff>
      <xdr:row>84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81</xdr:row>
      <xdr:rowOff>126029</xdr:rowOff>
    </xdr:from>
    <xdr:to>
      <xdr:col>1</xdr:col>
      <xdr:colOff>0</xdr:colOff>
      <xdr:row>84</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72</xdr:row>
      <xdr:rowOff>126029</xdr:rowOff>
    </xdr:from>
    <xdr:to>
      <xdr:col>3</xdr:col>
      <xdr:colOff>0</xdr:colOff>
      <xdr:row>75</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72</xdr:row>
      <xdr:rowOff>126029</xdr:rowOff>
    </xdr:from>
    <xdr:to>
      <xdr:col>5</xdr:col>
      <xdr:colOff>0</xdr:colOff>
      <xdr:row>75</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72</xdr:row>
      <xdr:rowOff>126029</xdr:rowOff>
    </xdr:from>
    <xdr:to>
      <xdr:col>7</xdr:col>
      <xdr:colOff>0</xdr:colOff>
      <xdr:row>75</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72</xdr:row>
      <xdr:rowOff>126029</xdr:rowOff>
    </xdr:from>
    <xdr:to>
      <xdr:col>9</xdr:col>
      <xdr:colOff>0</xdr:colOff>
      <xdr:row>75</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72</xdr:row>
      <xdr:rowOff>126029</xdr:rowOff>
    </xdr:from>
    <xdr:to>
      <xdr:col>11</xdr:col>
      <xdr:colOff>0</xdr:colOff>
      <xdr:row>75</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72</xdr:row>
      <xdr:rowOff>126029</xdr:rowOff>
    </xdr:from>
    <xdr:to>
      <xdr:col>13</xdr:col>
      <xdr:colOff>0</xdr:colOff>
      <xdr:row>75</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72</xdr:row>
      <xdr:rowOff>126029</xdr:rowOff>
    </xdr:from>
    <xdr:to>
      <xdr:col>17</xdr:col>
      <xdr:colOff>0</xdr:colOff>
      <xdr:row>75</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72</xdr:row>
      <xdr:rowOff>126029</xdr:rowOff>
    </xdr:from>
    <xdr:to>
      <xdr:col>19</xdr:col>
      <xdr:colOff>0</xdr:colOff>
      <xdr:row>75</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72</xdr:row>
      <xdr:rowOff>127000</xdr:rowOff>
    </xdr:from>
    <xdr:to>
      <xdr:col>15</xdr:col>
      <xdr:colOff>9072</xdr:colOff>
      <xdr:row>75</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72</xdr:row>
      <xdr:rowOff>126029</xdr:rowOff>
    </xdr:from>
    <xdr:to>
      <xdr:col>21</xdr:col>
      <xdr:colOff>0</xdr:colOff>
      <xdr:row>75</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72</xdr:row>
      <xdr:rowOff>126029</xdr:rowOff>
    </xdr:from>
    <xdr:to>
      <xdr:col>23</xdr:col>
      <xdr:colOff>0</xdr:colOff>
      <xdr:row>75</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72</xdr:row>
      <xdr:rowOff>126029</xdr:rowOff>
    </xdr:from>
    <xdr:to>
      <xdr:col>1</xdr:col>
      <xdr:colOff>0</xdr:colOff>
      <xdr:row>75</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62</xdr:row>
      <xdr:rowOff>126029</xdr:rowOff>
    </xdr:from>
    <xdr:to>
      <xdr:col>3</xdr:col>
      <xdr:colOff>0</xdr:colOff>
      <xdr:row>65</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62</xdr:row>
      <xdr:rowOff>126029</xdr:rowOff>
    </xdr:from>
    <xdr:to>
      <xdr:col>5</xdr:col>
      <xdr:colOff>0</xdr:colOff>
      <xdr:row>65</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62</xdr:row>
      <xdr:rowOff>126029</xdr:rowOff>
    </xdr:from>
    <xdr:to>
      <xdr:col>7</xdr:col>
      <xdr:colOff>0</xdr:colOff>
      <xdr:row>65</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62</xdr:row>
      <xdr:rowOff>126029</xdr:rowOff>
    </xdr:from>
    <xdr:to>
      <xdr:col>9</xdr:col>
      <xdr:colOff>0</xdr:colOff>
      <xdr:row>65</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62</xdr:row>
      <xdr:rowOff>126029</xdr:rowOff>
    </xdr:from>
    <xdr:to>
      <xdr:col>11</xdr:col>
      <xdr:colOff>0</xdr:colOff>
      <xdr:row>65</xdr:row>
      <xdr:rowOff>187993</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10195560" y="1949606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62</xdr:row>
      <xdr:rowOff>126029</xdr:rowOff>
    </xdr:from>
    <xdr:to>
      <xdr:col>13</xdr:col>
      <xdr:colOff>0</xdr:colOff>
      <xdr:row>65</xdr:row>
      <xdr:rowOff>187993</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176528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62</xdr:row>
      <xdr:rowOff>126029</xdr:rowOff>
    </xdr:from>
    <xdr:to>
      <xdr:col>17</xdr:col>
      <xdr:colOff>0</xdr:colOff>
      <xdr:row>65</xdr:row>
      <xdr:rowOff>187993</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15240000" y="1949606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62</xdr:row>
      <xdr:rowOff>126029</xdr:rowOff>
    </xdr:from>
    <xdr:to>
      <xdr:col>19</xdr:col>
      <xdr:colOff>0</xdr:colOff>
      <xdr:row>65</xdr:row>
      <xdr:rowOff>187993</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17007840" y="1949606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62</xdr:row>
      <xdr:rowOff>127000</xdr:rowOff>
    </xdr:from>
    <xdr:to>
      <xdr:col>15</xdr:col>
      <xdr:colOff>9072</xdr:colOff>
      <xdr:row>65</xdr:row>
      <xdr:rowOff>188964</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13555980" y="1949704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62</xdr:row>
      <xdr:rowOff>126029</xdr:rowOff>
    </xdr:from>
    <xdr:to>
      <xdr:col>21</xdr:col>
      <xdr:colOff>0</xdr:colOff>
      <xdr:row>65</xdr:row>
      <xdr:rowOff>187993</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18630900" y="1949606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62</xdr:row>
      <xdr:rowOff>126029</xdr:rowOff>
    </xdr:from>
    <xdr:to>
      <xdr:col>23</xdr:col>
      <xdr:colOff>0</xdr:colOff>
      <xdr:row>65</xdr:row>
      <xdr:rowOff>187993</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20589240" y="1949606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62</xdr:row>
      <xdr:rowOff>126029</xdr:rowOff>
    </xdr:from>
    <xdr:to>
      <xdr:col>1</xdr:col>
      <xdr:colOff>0</xdr:colOff>
      <xdr:row>65</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126029</xdr:rowOff>
    </xdr:from>
    <xdr:to>
      <xdr:col>3</xdr:col>
      <xdr:colOff>0</xdr:colOff>
      <xdr:row>146</xdr:row>
      <xdr:rowOff>180373</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2011680" y="48939749"/>
          <a:ext cx="10210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126029</xdr:rowOff>
    </xdr:from>
    <xdr:to>
      <xdr:col>5</xdr:col>
      <xdr:colOff>0</xdr:colOff>
      <xdr:row>146</xdr:row>
      <xdr:rowOff>180373</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4076700" y="4893974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143</xdr:row>
      <xdr:rowOff>126029</xdr:rowOff>
    </xdr:from>
    <xdr:to>
      <xdr:col>7</xdr:col>
      <xdr:colOff>0</xdr:colOff>
      <xdr:row>146</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143</xdr:row>
      <xdr:rowOff>126029</xdr:rowOff>
    </xdr:from>
    <xdr:to>
      <xdr:col>9</xdr:col>
      <xdr:colOff>0</xdr:colOff>
      <xdr:row>146</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143</xdr:row>
      <xdr:rowOff>126029</xdr:rowOff>
    </xdr:from>
    <xdr:to>
      <xdr:col>11</xdr:col>
      <xdr:colOff>0</xdr:colOff>
      <xdr:row>146</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143</xdr:row>
      <xdr:rowOff>126029</xdr:rowOff>
    </xdr:from>
    <xdr:to>
      <xdr:col>13</xdr:col>
      <xdr:colOff>0</xdr:colOff>
      <xdr:row>146</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143</xdr:row>
      <xdr:rowOff>126029</xdr:rowOff>
    </xdr:from>
    <xdr:to>
      <xdr:col>17</xdr:col>
      <xdr:colOff>0</xdr:colOff>
      <xdr:row>146</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143</xdr:row>
      <xdr:rowOff>126029</xdr:rowOff>
    </xdr:from>
    <xdr:to>
      <xdr:col>19</xdr:col>
      <xdr:colOff>0</xdr:colOff>
      <xdr:row>146</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143</xdr:row>
      <xdr:rowOff>127000</xdr:rowOff>
    </xdr:from>
    <xdr:to>
      <xdr:col>15</xdr:col>
      <xdr:colOff>9072</xdr:colOff>
      <xdr:row>146</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143</xdr:row>
      <xdr:rowOff>126029</xdr:rowOff>
    </xdr:from>
    <xdr:to>
      <xdr:col>21</xdr:col>
      <xdr:colOff>0</xdr:colOff>
      <xdr:row>146</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143</xdr:row>
      <xdr:rowOff>126029</xdr:rowOff>
    </xdr:from>
    <xdr:to>
      <xdr:col>23</xdr:col>
      <xdr:colOff>0</xdr:colOff>
      <xdr:row>146</xdr:row>
      <xdr:rowOff>180373</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20589240" y="4893974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143</xdr:row>
      <xdr:rowOff>126029</xdr:rowOff>
    </xdr:from>
    <xdr:to>
      <xdr:col>1</xdr:col>
      <xdr:colOff>0</xdr:colOff>
      <xdr:row>146</xdr:row>
      <xdr:rowOff>180373</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0" y="48939749"/>
          <a:ext cx="12649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126029</xdr:rowOff>
    </xdr:from>
    <xdr:to>
      <xdr:col>3</xdr:col>
      <xdr:colOff>0</xdr:colOff>
      <xdr:row>136</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133</xdr:row>
      <xdr:rowOff>126029</xdr:rowOff>
    </xdr:from>
    <xdr:to>
      <xdr:col>5</xdr:col>
      <xdr:colOff>0</xdr:colOff>
      <xdr:row>136</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126029</xdr:rowOff>
    </xdr:from>
    <xdr:to>
      <xdr:col>7</xdr:col>
      <xdr:colOff>0</xdr:colOff>
      <xdr:row>136</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133</xdr:row>
      <xdr:rowOff>126029</xdr:rowOff>
    </xdr:from>
    <xdr:to>
      <xdr:col>9</xdr:col>
      <xdr:colOff>0</xdr:colOff>
      <xdr:row>136</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133</xdr:row>
      <xdr:rowOff>126029</xdr:rowOff>
    </xdr:from>
    <xdr:to>
      <xdr:col>11</xdr:col>
      <xdr:colOff>0</xdr:colOff>
      <xdr:row>136</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127000</xdr:rowOff>
    </xdr:from>
    <xdr:to>
      <xdr:col>15</xdr:col>
      <xdr:colOff>9072</xdr:colOff>
      <xdr:row>136</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126029</xdr:rowOff>
    </xdr:from>
    <xdr:to>
      <xdr:col>21</xdr:col>
      <xdr:colOff>0</xdr:colOff>
      <xdr:row>136</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126029</xdr:rowOff>
    </xdr:from>
    <xdr:to>
      <xdr:col>23</xdr:col>
      <xdr:colOff>0</xdr:colOff>
      <xdr:row>136</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133</xdr:row>
      <xdr:rowOff>126029</xdr:rowOff>
    </xdr:from>
    <xdr:to>
      <xdr:col>1</xdr:col>
      <xdr:colOff>0</xdr:colOff>
      <xdr:row>136</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124</xdr:row>
      <xdr:rowOff>126029</xdr:rowOff>
    </xdr:from>
    <xdr:to>
      <xdr:col>3</xdr:col>
      <xdr:colOff>0</xdr:colOff>
      <xdr:row>127</xdr:row>
      <xdr:rowOff>165133</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2011680" y="42028409"/>
          <a:ext cx="10210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124</xdr:row>
      <xdr:rowOff>126029</xdr:rowOff>
    </xdr:from>
    <xdr:to>
      <xdr:col>5</xdr:col>
      <xdr:colOff>0</xdr:colOff>
      <xdr:row>127</xdr:row>
      <xdr:rowOff>165133</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4076700" y="4202840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124</xdr:row>
      <xdr:rowOff>126029</xdr:rowOff>
    </xdr:from>
    <xdr:to>
      <xdr:col>7</xdr:col>
      <xdr:colOff>0</xdr:colOff>
      <xdr:row>127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124</xdr:row>
      <xdr:rowOff>126029</xdr:rowOff>
    </xdr:from>
    <xdr:to>
      <xdr:col>9</xdr:col>
      <xdr:colOff>0</xdr:colOff>
      <xdr:row>127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124</xdr:row>
      <xdr:rowOff>126029</xdr:rowOff>
    </xdr:from>
    <xdr:to>
      <xdr:col>11</xdr:col>
      <xdr:colOff>0</xdr:colOff>
      <xdr:row>127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21167</xdr:colOff>
      <xdr:row>124</xdr:row>
      <xdr:rowOff>147196</xdr:rowOff>
    </xdr:from>
    <xdr:to>
      <xdr:col>13</xdr:col>
      <xdr:colOff>21167</xdr:colOff>
      <xdr:row>128</xdr:row>
      <xdr:rowOff>15697</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1786447" y="42049576"/>
          <a:ext cx="1013460" cy="1133421"/>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124</xdr:row>
      <xdr:rowOff>126029</xdr:rowOff>
    </xdr:from>
    <xdr:to>
      <xdr:col>17</xdr:col>
      <xdr:colOff>0</xdr:colOff>
      <xdr:row>127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124</xdr:row>
      <xdr:rowOff>126029</xdr:rowOff>
    </xdr:from>
    <xdr:to>
      <xdr:col>19</xdr:col>
      <xdr:colOff>0</xdr:colOff>
      <xdr:row>127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124</xdr:row>
      <xdr:rowOff>127000</xdr:rowOff>
    </xdr:from>
    <xdr:to>
      <xdr:col>15</xdr:col>
      <xdr:colOff>9072</xdr:colOff>
      <xdr:row>127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13555980" y="42029380"/>
          <a:ext cx="1053012"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124</xdr:row>
      <xdr:rowOff>126029</xdr:rowOff>
    </xdr:from>
    <xdr:to>
      <xdr:col>21</xdr:col>
      <xdr:colOff>0</xdr:colOff>
      <xdr:row>127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124</xdr:row>
      <xdr:rowOff>126029</xdr:rowOff>
    </xdr:from>
    <xdr:to>
      <xdr:col>23</xdr:col>
      <xdr:colOff>0</xdr:colOff>
      <xdr:row>127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124</xdr:row>
      <xdr:rowOff>126029</xdr:rowOff>
    </xdr:from>
    <xdr:to>
      <xdr:col>1</xdr:col>
      <xdr:colOff>0</xdr:colOff>
      <xdr:row>127</xdr:row>
      <xdr:rowOff>165133</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0" y="4202840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0</xdr:colOff>
      <xdr:row>6</xdr:row>
      <xdr:rowOff>165719</xdr:rowOff>
    </xdr:from>
    <xdr:to>
      <xdr:col>10</xdr:col>
      <xdr:colOff>0</xdr:colOff>
      <xdr:row>10</xdr:row>
      <xdr:rowOff>2469</xdr:rowOff>
    </xdr:to>
    <xdr:sp macro="" textlink="">
      <xdr:nvSpPr>
        <xdr:cNvPr id="397" name="Isosceles Triangle 396">
          <a:extLst>
            <a:ext uri="{FF2B5EF4-FFF2-40B4-BE49-F238E27FC236}">
              <a16:creationId xmlns:a16="http://schemas.microsoft.com/office/drawing/2014/main" id="{D0AD51E0-0EC2-4A66-A7C3-D1CADBC32AE7}"/>
            </a:ext>
          </a:extLst>
        </xdr:cNvPr>
        <xdr:cNvSpPr/>
      </xdr:nvSpPr>
      <xdr:spPr>
        <a:xfrm>
          <a:off x="9570720" y="1735439"/>
          <a:ext cx="624840" cy="62923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525276</xdr:colOff>
      <xdr:row>8</xdr:row>
      <xdr:rowOff>156882</xdr:rowOff>
    </xdr:from>
    <xdr:to>
      <xdr:col>12</xdr:col>
      <xdr:colOff>620059</xdr:colOff>
      <xdr:row>9</xdr:row>
      <xdr:rowOff>67703</xdr:rowOff>
    </xdr:to>
    <xdr:cxnSp macro="">
      <xdr:nvCxnSpPr>
        <xdr:cNvPr id="398" name="Straight Arrow Connector 397">
          <a:extLst>
            <a:ext uri="{FF2B5EF4-FFF2-40B4-BE49-F238E27FC236}">
              <a16:creationId xmlns:a16="http://schemas.microsoft.com/office/drawing/2014/main" id="{C1EFC51C-DE84-4090-9A84-AA12109BD34B}"/>
            </a:ext>
          </a:extLst>
        </xdr:cNvPr>
        <xdr:cNvCxnSpPr/>
      </xdr:nvCxnSpPr>
      <xdr:spPr>
        <a:xfrm flipV="1">
          <a:off x="10095996" y="2122842"/>
          <a:ext cx="2289343" cy="108941"/>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560917</xdr:colOff>
      <xdr:row>11</xdr:row>
      <xdr:rowOff>31750</xdr:rowOff>
    </xdr:from>
    <xdr:to>
      <xdr:col>12</xdr:col>
      <xdr:colOff>857250</xdr:colOff>
      <xdr:row>11</xdr:row>
      <xdr:rowOff>42333</xdr:rowOff>
    </xdr:to>
    <xdr:cxnSp macro="">
      <xdr:nvCxnSpPr>
        <xdr:cNvPr id="399" name="Straight Arrow Connector 398">
          <a:extLst>
            <a:ext uri="{FF2B5EF4-FFF2-40B4-BE49-F238E27FC236}">
              <a16:creationId xmlns:a16="http://schemas.microsoft.com/office/drawing/2014/main" id="{F56DE293-63BE-4BF7-9C52-279DD9708224}"/>
            </a:ext>
          </a:extLst>
        </xdr:cNvPr>
        <xdr:cNvCxnSpPr/>
      </xdr:nvCxnSpPr>
      <xdr:spPr>
        <a:xfrm>
          <a:off x="10131637" y="2592070"/>
          <a:ext cx="2490893" cy="10583"/>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116416</xdr:colOff>
      <xdr:row>13</xdr:row>
      <xdr:rowOff>42332</xdr:rowOff>
    </xdr:from>
    <xdr:to>
      <xdr:col>13</xdr:col>
      <xdr:colOff>63500</xdr:colOff>
      <xdr:row>13</xdr:row>
      <xdr:rowOff>50270</xdr:rowOff>
    </xdr:to>
    <xdr:cxnSp macro="">
      <xdr:nvCxnSpPr>
        <xdr:cNvPr id="400" name="Straight Arrow Connector 399">
          <a:extLst>
            <a:ext uri="{FF2B5EF4-FFF2-40B4-BE49-F238E27FC236}">
              <a16:creationId xmlns:a16="http://schemas.microsoft.com/office/drawing/2014/main" id="{E5EA2F92-5572-4B92-9725-9CFA0927554D}"/>
            </a:ext>
          </a:extLst>
        </xdr:cNvPr>
        <xdr:cNvCxnSpPr/>
      </xdr:nvCxnSpPr>
      <xdr:spPr>
        <a:xfrm flipV="1">
          <a:off x="10311976" y="2998892"/>
          <a:ext cx="2530264" cy="7938"/>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0</xdr:colOff>
      <xdr:row>6</xdr:row>
      <xdr:rowOff>165719</xdr:rowOff>
    </xdr:from>
    <xdr:to>
      <xdr:col>8</xdr:col>
      <xdr:colOff>0</xdr:colOff>
      <xdr:row>9</xdr:row>
      <xdr:rowOff>197203</xdr:rowOff>
    </xdr:to>
    <xdr:sp macro="" textlink="">
      <xdr:nvSpPr>
        <xdr:cNvPr id="401" name="Isosceles Triangle 400">
          <a:extLst>
            <a:ext uri="{FF2B5EF4-FFF2-40B4-BE49-F238E27FC236}">
              <a16:creationId xmlns:a16="http://schemas.microsoft.com/office/drawing/2014/main" id="{73760968-33E1-4EE4-8319-2610CFCAF8F8}"/>
            </a:ext>
          </a:extLst>
        </xdr:cNvPr>
        <xdr:cNvSpPr/>
      </xdr:nvSpPr>
      <xdr:spPr>
        <a:xfrm>
          <a:off x="7421880" y="1735439"/>
          <a:ext cx="876300" cy="6258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455085</xdr:colOff>
      <xdr:row>7</xdr:row>
      <xdr:rowOff>169333</xdr:rowOff>
    </xdr:from>
    <xdr:to>
      <xdr:col>9</xdr:col>
      <xdr:colOff>264584</xdr:colOff>
      <xdr:row>9</xdr:row>
      <xdr:rowOff>2864</xdr:rowOff>
    </xdr:to>
    <xdr:sp macro="" textlink="">
      <xdr:nvSpPr>
        <xdr:cNvPr id="402" name="Freeform 60">
          <a:extLst>
            <a:ext uri="{FF2B5EF4-FFF2-40B4-BE49-F238E27FC236}">
              <a16:creationId xmlns:a16="http://schemas.microsoft.com/office/drawing/2014/main" id="{9A74A204-3A25-4911-9CDE-E18B6A0054CC}"/>
            </a:ext>
          </a:extLst>
        </xdr:cNvPr>
        <xdr:cNvSpPr>
          <a:spLocks/>
        </xdr:cNvSpPr>
      </xdr:nvSpPr>
      <xdr:spPr bwMode="auto">
        <a:xfrm>
          <a:off x="7876965" y="1937173"/>
          <a:ext cx="1958339" cy="229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9</xdr:col>
      <xdr:colOff>370416</xdr:colOff>
      <xdr:row>4</xdr:row>
      <xdr:rowOff>190499</xdr:rowOff>
    </xdr:from>
    <xdr:to>
      <xdr:col>12</xdr:col>
      <xdr:colOff>836083</xdr:colOff>
      <xdr:row>6</xdr:row>
      <xdr:rowOff>148167</xdr:rowOff>
    </xdr:to>
    <xdr:cxnSp macro="">
      <xdr:nvCxnSpPr>
        <xdr:cNvPr id="403" name="Straight Arrow Connector 402">
          <a:extLst>
            <a:ext uri="{FF2B5EF4-FFF2-40B4-BE49-F238E27FC236}">
              <a16:creationId xmlns:a16="http://schemas.microsoft.com/office/drawing/2014/main" id="{0988D74C-6F6E-421D-ADE8-F7D0EE55E667}"/>
            </a:ext>
          </a:extLst>
        </xdr:cNvPr>
        <xdr:cNvCxnSpPr/>
      </xdr:nvCxnSpPr>
      <xdr:spPr>
        <a:xfrm flipV="1">
          <a:off x="9941136" y="1363979"/>
          <a:ext cx="2660227" cy="353908"/>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584726</xdr:colOff>
      <xdr:row>0</xdr:row>
      <xdr:rowOff>214283</xdr:rowOff>
    </xdr:from>
    <xdr:to>
      <xdr:col>18</xdr:col>
      <xdr:colOff>228599</xdr:colOff>
      <xdr:row>5</xdr:row>
      <xdr:rowOff>63500</xdr:rowOff>
    </xdr:to>
    <xdr:sp macro="" textlink="">
      <xdr:nvSpPr>
        <xdr:cNvPr id="404" name="AutoShape 10734">
          <a:extLst>
            <a:ext uri="{FF2B5EF4-FFF2-40B4-BE49-F238E27FC236}">
              <a16:creationId xmlns:a16="http://schemas.microsoft.com/office/drawing/2014/main" id="{8623B212-C88D-4B7C-8CD3-3A6394F14626}"/>
            </a:ext>
          </a:extLst>
        </xdr:cNvPr>
        <xdr:cNvSpPr>
          <a:spLocks noChangeArrowheads="1"/>
        </xdr:cNvSpPr>
      </xdr:nvSpPr>
      <xdr:spPr bwMode="auto">
        <a:xfrm rot="5400000">
          <a:off x="16491674" y="690335"/>
          <a:ext cx="1220817" cy="268713"/>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xdr:from>
      <xdr:col>10</xdr:col>
      <xdr:colOff>15875</xdr:colOff>
      <xdr:row>11</xdr:row>
      <xdr:rowOff>174628</xdr:rowOff>
    </xdr:from>
    <xdr:to>
      <xdr:col>10</xdr:col>
      <xdr:colOff>150812</xdr:colOff>
      <xdr:row>13</xdr:row>
      <xdr:rowOff>79378</xdr:rowOff>
    </xdr:to>
    <xdr:sp macro="" textlink="">
      <xdr:nvSpPr>
        <xdr:cNvPr id="405" name="Bent Arrow 809">
          <a:extLst>
            <a:ext uri="{FF2B5EF4-FFF2-40B4-BE49-F238E27FC236}">
              <a16:creationId xmlns:a16="http://schemas.microsoft.com/office/drawing/2014/main" id="{6FEE9D6B-B092-4846-A111-5596892085C6}"/>
            </a:ext>
          </a:extLst>
        </xdr:cNvPr>
        <xdr:cNvSpPr/>
      </xdr:nvSpPr>
      <xdr:spPr>
        <a:xfrm rot="5400000">
          <a:off x="10128409" y="2817974"/>
          <a:ext cx="30099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8</xdr:col>
      <xdr:colOff>7938</xdr:colOff>
      <xdr:row>11</xdr:row>
      <xdr:rowOff>111127</xdr:rowOff>
    </xdr:from>
    <xdr:to>
      <xdr:col>8</xdr:col>
      <xdr:colOff>142875</xdr:colOff>
      <xdr:row>13</xdr:row>
      <xdr:rowOff>15877</xdr:rowOff>
    </xdr:to>
    <xdr:sp macro="" textlink="">
      <xdr:nvSpPr>
        <xdr:cNvPr id="406" name="Bent Arrow 809">
          <a:extLst>
            <a:ext uri="{FF2B5EF4-FFF2-40B4-BE49-F238E27FC236}">
              <a16:creationId xmlns:a16="http://schemas.microsoft.com/office/drawing/2014/main" id="{7F02FCDB-2B35-4FD1-93D3-FC0418563436}"/>
            </a:ext>
          </a:extLst>
        </xdr:cNvPr>
        <xdr:cNvSpPr/>
      </xdr:nvSpPr>
      <xdr:spPr>
        <a:xfrm rot="5400000">
          <a:off x="8223092" y="2754473"/>
          <a:ext cx="30099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oneCellAnchor>
    <xdr:from>
      <xdr:col>20</xdr:col>
      <xdr:colOff>582093</xdr:colOff>
      <xdr:row>2</xdr:row>
      <xdr:rowOff>215362</xdr:rowOff>
    </xdr:from>
    <xdr:ext cx="359824" cy="940961"/>
    <xdr:pic>
      <xdr:nvPicPr>
        <xdr:cNvPr id="407" name="Picture 1129" descr="LADDER">
          <a:extLst>
            <a:ext uri="{FF2B5EF4-FFF2-40B4-BE49-F238E27FC236}">
              <a16:creationId xmlns:a16="http://schemas.microsoft.com/office/drawing/2014/main" id="{79FA487F-9FCF-455A-A7E6-D7D7EB9101D3}"/>
            </a:ext>
          </a:extLst>
        </xdr:cNvPr>
        <xdr:cNvPicPr>
          <a:picLocks noChangeAspect="1" noChangeArrowheads="1"/>
        </xdr:cNvPicPr>
      </xdr:nvPicPr>
      <xdr:blipFill>
        <a:blip xmlns:r="http://schemas.openxmlformats.org/officeDocument/2006/relationships" r:embed="rId1" cstate="print">
          <a:duotone>
            <a:prstClr val="black"/>
            <a:srgbClr val="7030A0">
              <a:tint val="45000"/>
              <a:satMod val="400000"/>
            </a:srgbClr>
          </a:duotone>
        </a:blip>
        <a:srcRect/>
        <a:stretch>
          <a:fillRect/>
        </a:stretch>
      </xdr:blipFill>
      <xdr:spPr bwMode="auto">
        <a:xfrm>
          <a:off x="19212993" y="687802"/>
          <a:ext cx="359824" cy="940961"/>
        </a:xfrm>
        <a:prstGeom prst="rect">
          <a:avLst/>
        </a:prstGeom>
        <a:solidFill>
          <a:schemeClr val="accent2"/>
        </a:solidFill>
        <a:ln>
          <a:noFill/>
        </a:ln>
      </xdr:spPr>
    </xdr:pic>
    <xdr:clientData/>
  </xdr:oneCellAnchor>
  <xdr:twoCellAnchor>
    <xdr:from>
      <xdr:col>9</xdr:col>
      <xdr:colOff>246063</xdr:colOff>
      <xdr:row>8</xdr:row>
      <xdr:rowOff>69102</xdr:rowOff>
    </xdr:from>
    <xdr:to>
      <xdr:col>9</xdr:col>
      <xdr:colOff>381000</xdr:colOff>
      <xdr:row>8</xdr:row>
      <xdr:rowOff>195015</xdr:rowOff>
    </xdr:to>
    <xdr:sp macro="" textlink="">
      <xdr:nvSpPr>
        <xdr:cNvPr id="408" name="7-Point Star 651">
          <a:extLst>
            <a:ext uri="{FF2B5EF4-FFF2-40B4-BE49-F238E27FC236}">
              <a16:creationId xmlns:a16="http://schemas.microsoft.com/office/drawing/2014/main" id="{203C848C-8189-427F-A925-3C7CADB5300B}"/>
            </a:ext>
          </a:extLst>
        </xdr:cNvPr>
        <xdr:cNvSpPr/>
      </xdr:nvSpPr>
      <xdr:spPr>
        <a:xfrm>
          <a:off x="9816783" y="2035062"/>
          <a:ext cx="134937" cy="125913"/>
        </a:xfrm>
        <a:prstGeom prst="star7">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9</xdr:col>
      <xdr:colOff>246063</xdr:colOff>
      <xdr:row>6</xdr:row>
      <xdr:rowOff>158751</xdr:rowOff>
    </xdr:from>
    <xdr:to>
      <xdr:col>13</xdr:col>
      <xdr:colOff>31750</xdr:colOff>
      <xdr:row>8</xdr:row>
      <xdr:rowOff>155795</xdr:rowOff>
    </xdr:to>
    <xdr:cxnSp macro="">
      <xdr:nvCxnSpPr>
        <xdr:cNvPr id="409" name="Straight Arrow Connector 408">
          <a:extLst>
            <a:ext uri="{FF2B5EF4-FFF2-40B4-BE49-F238E27FC236}">
              <a16:creationId xmlns:a16="http://schemas.microsoft.com/office/drawing/2014/main" id="{DC9EF602-BE5E-40EE-B395-3786DB5850EE}"/>
            </a:ext>
          </a:extLst>
        </xdr:cNvPr>
        <xdr:cNvCxnSpPr>
          <a:stCxn id="408" idx="4"/>
        </xdr:cNvCxnSpPr>
      </xdr:nvCxnSpPr>
      <xdr:spPr>
        <a:xfrm flipV="1">
          <a:off x="9816783" y="1728471"/>
          <a:ext cx="2993707" cy="393284"/>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3</xdr:col>
      <xdr:colOff>340650</xdr:colOff>
      <xdr:row>164</xdr:row>
      <xdr:rowOff>47626</xdr:rowOff>
    </xdr:from>
    <xdr:to>
      <xdr:col>3</xdr:col>
      <xdr:colOff>659131</xdr:colOff>
      <xdr:row>171</xdr:row>
      <xdr:rowOff>47004</xdr:rowOff>
    </xdr:to>
    <xdr:pic>
      <xdr:nvPicPr>
        <xdr:cNvPr id="410" name="Picture 409">
          <a:extLst>
            <a:ext uri="{FF2B5EF4-FFF2-40B4-BE49-F238E27FC236}">
              <a16:creationId xmlns:a16="http://schemas.microsoft.com/office/drawing/2014/main" id="{A1B494F9-CD28-4FE7-A72F-0B80D598CB82}"/>
            </a:ext>
          </a:extLst>
        </xdr:cNvPr>
        <xdr:cNvPicPr>
          <a:picLocks noChangeAspect="1"/>
        </xdr:cNvPicPr>
      </xdr:nvPicPr>
      <xdr:blipFill>
        <a:blip xmlns:r="http://schemas.openxmlformats.org/officeDocument/2006/relationships" r:embed="rId2"/>
        <a:stretch>
          <a:fillRect/>
        </a:stretch>
      </xdr:blipFill>
      <xdr:spPr>
        <a:xfrm>
          <a:off x="3373410" y="56275606"/>
          <a:ext cx="326101" cy="1066178"/>
        </a:xfrm>
        <a:prstGeom prst="rect">
          <a:avLst/>
        </a:prstGeom>
      </xdr:spPr>
    </xdr:pic>
    <xdr:clientData/>
  </xdr:twoCellAnchor>
  <xdr:twoCellAnchor editAs="oneCell">
    <xdr:from>
      <xdr:col>21</xdr:col>
      <xdr:colOff>7938</xdr:colOff>
      <xdr:row>176</xdr:row>
      <xdr:rowOff>0</xdr:rowOff>
    </xdr:from>
    <xdr:to>
      <xdr:col>21</xdr:col>
      <xdr:colOff>166448</xdr:colOff>
      <xdr:row>179</xdr:row>
      <xdr:rowOff>24967</xdr:rowOff>
    </xdr:to>
    <xdr:pic>
      <xdr:nvPicPr>
        <xdr:cNvPr id="411" name="Picture 410">
          <a:extLst>
            <a:ext uri="{FF2B5EF4-FFF2-40B4-BE49-F238E27FC236}">
              <a16:creationId xmlns:a16="http://schemas.microsoft.com/office/drawing/2014/main" id="{E0F3FFE2-C636-43CD-8362-A1A763242197}"/>
            </a:ext>
          </a:extLst>
        </xdr:cNvPr>
        <xdr:cNvPicPr>
          <a:picLocks noChangeAspect="1"/>
        </xdr:cNvPicPr>
      </xdr:nvPicPr>
      <xdr:blipFill>
        <a:blip xmlns:r="http://schemas.openxmlformats.org/officeDocument/2006/relationships" r:embed="rId3"/>
        <a:stretch>
          <a:fillRect/>
        </a:stretch>
      </xdr:blipFill>
      <xdr:spPr>
        <a:xfrm>
          <a:off x="19690398" y="60571380"/>
          <a:ext cx="158510" cy="413587"/>
        </a:xfrm>
        <a:prstGeom prst="rect">
          <a:avLst/>
        </a:prstGeom>
      </xdr:spPr>
    </xdr:pic>
    <xdr:clientData/>
  </xdr:twoCellAnchor>
  <xdr:twoCellAnchor editAs="oneCell">
    <xdr:from>
      <xdr:col>19</xdr:col>
      <xdr:colOff>23812</xdr:colOff>
      <xdr:row>176</xdr:row>
      <xdr:rowOff>0</xdr:rowOff>
    </xdr:from>
    <xdr:to>
      <xdr:col>19</xdr:col>
      <xdr:colOff>182322</xdr:colOff>
      <xdr:row>179</xdr:row>
      <xdr:rowOff>24967</xdr:rowOff>
    </xdr:to>
    <xdr:pic>
      <xdr:nvPicPr>
        <xdr:cNvPr id="412" name="Picture 411">
          <a:extLst>
            <a:ext uri="{FF2B5EF4-FFF2-40B4-BE49-F238E27FC236}">
              <a16:creationId xmlns:a16="http://schemas.microsoft.com/office/drawing/2014/main" id="{B7CDD973-1BDA-4F61-9241-9F8522F2FC3D}"/>
            </a:ext>
          </a:extLst>
        </xdr:cNvPr>
        <xdr:cNvPicPr>
          <a:picLocks noChangeAspect="1"/>
        </xdr:cNvPicPr>
      </xdr:nvPicPr>
      <xdr:blipFill>
        <a:blip xmlns:r="http://schemas.openxmlformats.org/officeDocument/2006/relationships" r:embed="rId3"/>
        <a:stretch>
          <a:fillRect/>
        </a:stretch>
      </xdr:blipFill>
      <xdr:spPr>
        <a:xfrm>
          <a:off x="18029872" y="60571380"/>
          <a:ext cx="158510" cy="413587"/>
        </a:xfrm>
        <a:prstGeom prst="rect">
          <a:avLst/>
        </a:prstGeom>
      </xdr:spPr>
    </xdr:pic>
    <xdr:clientData/>
  </xdr:twoCellAnchor>
  <xdr:twoCellAnchor editAs="oneCell">
    <xdr:from>
      <xdr:col>1</xdr:col>
      <xdr:colOff>0</xdr:colOff>
      <xdr:row>185</xdr:row>
      <xdr:rowOff>0</xdr:rowOff>
    </xdr:from>
    <xdr:to>
      <xdr:col>1</xdr:col>
      <xdr:colOff>158510</xdr:colOff>
      <xdr:row>187</xdr:row>
      <xdr:rowOff>245950</xdr:rowOff>
    </xdr:to>
    <xdr:pic>
      <xdr:nvPicPr>
        <xdr:cNvPr id="413" name="Picture 412">
          <a:extLst>
            <a:ext uri="{FF2B5EF4-FFF2-40B4-BE49-F238E27FC236}">
              <a16:creationId xmlns:a16="http://schemas.microsoft.com/office/drawing/2014/main" id="{A279947E-AEE0-44A8-9FA9-229DBF261D98}"/>
            </a:ext>
          </a:extLst>
        </xdr:cNvPr>
        <xdr:cNvPicPr>
          <a:picLocks noChangeAspect="1"/>
        </xdr:cNvPicPr>
      </xdr:nvPicPr>
      <xdr:blipFill>
        <a:blip xmlns:r="http://schemas.openxmlformats.org/officeDocument/2006/relationships" r:embed="rId3"/>
        <a:stretch>
          <a:fillRect/>
        </a:stretch>
      </xdr:blipFill>
      <xdr:spPr>
        <a:xfrm>
          <a:off x="1264920" y="63886080"/>
          <a:ext cx="158510" cy="413590"/>
        </a:xfrm>
        <a:prstGeom prst="rect">
          <a:avLst/>
        </a:prstGeom>
      </xdr:spPr>
    </xdr:pic>
    <xdr:clientData/>
  </xdr:twoCellAnchor>
  <xdr:twoCellAnchor editAs="oneCell">
    <xdr:from>
      <xdr:col>2</xdr:col>
      <xdr:colOff>857250</xdr:colOff>
      <xdr:row>185</xdr:row>
      <xdr:rowOff>0</xdr:rowOff>
    </xdr:from>
    <xdr:to>
      <xdr:col>3</xdr:col>
      <xdr:colOff>1559</xdr:colOff>
      <xdr:row>187</xdr:row>
      <xdr:rowOff>245950</xdr:rowOff>
    </xdr:to>
    <xdr:pic>
      <xdr:nvPicPr>
        <xdr:cNvPr id="414" name="Picture 413">
          <a:extLst>
            <a:ext uri="{FF2B5EF4-FFF2-40B4-BE49-F238E27FC236}">
              <a16:creationId xmlns:a16="http://schemas.microsoft.com/office/drawing/2014/main" id="{E6D02467-5864-4F1A-8FEC-BE5E06A9CAE5}"/>
            </a:ext>
          </a:extLst>
        </xdr:cNvPr>
        <xdr:cNvPicPr>
          <a:picLocks noChangeAspect="1"/>
        </xdr:cNvPicPr>
      </xdr:nvPicPr>
      <xdr:blipFill>
        <a:blip xmlns:r="http://schemas.openxmlformats.org/officeDocument/2006/relationships" r:embed="rId3"/>
        <a:stretch>
          <a:fillRect/>
        </a:stretch>
      </xdr:blipFill>
      <xdr:spPr>
        <a:xfrm>
          <a:off x="2868930" y="63886080"/>
          <a:ext cx="165389" cy="413590"/>
        </a:xfrm>
        <a:prstGeom prst="rect">
          <a:avLst/>
        </a:prstGeom>
      </xdr:spPr>
    </xdr:pic>
    <xdr:clientData/>
  </xdr:twoCellAnchor>
  <xdr:twoCellAnchor>
    <xdr:from>
      <xdr:col>13</xdr:col>
      <xdr:colOff>235771</xdr:colOff>
      <xdr:row>192</xdr:row>
      <xdr:rowOff>100064</xdr:rowOff>
    </xdr:from>
    <xdr:to>
      <xdr:col>13</xdr:col>
      <xdr:colOff>441272</xdr:colOff>
      <xdr:row>195</xdr:row>
      <xdr:rowOff>75340</xdr:rowOff>
    </xdr:to>
    <xdr:sp macro="" textlink="">
      <xdr:nvSpPr>
        <xdr:cNvPr id="415" name="AutoShape 10734">
          <a:extLst>
            <a:ext uri="{FF2B5EF4-FFF2-40B4-BE49-F238E27FC236}">
              <a16:creationId xmlns:a16="http://schemas.microsoft.com/office/drawing/2014/main" id="{F4F35091-3736-4050-9415-B38991052492}"/>
            </a:ext>
          </a:extLst>
        </xdr:cNvPr>
        <xdr:cNvSpPr>
          <a:spLocks noChangeArrowheads="1"/>
        </xdr:cNvSpPr>
      </xdr:nvSpPr>
      <xdr:spPr bwMode="auto">
        <a:xfrm rot="5400000">
          <a:off x="12565744" y="66858071"/>
          <a:ext cx="1103036" cy="205501"/>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xdr:from>
      <xdr:col>7</xdr:col>
      <xdr:colOff>7937</xdr:colOff>
      <xdr:row>203</xdr:row>
      <xdr:rowOff>0</xdr:rowOff>
    </xdr:from>
    <xdr:to>
      <xdr:col>7</xdr:col>
      <xdr:colOff>142874</xdr:colOff>
      <xdr:row>203</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203</xdr:row>
      <xdr:rowOff>0</xdr:rowOff>
    </xdr:from>
    <xdr:to>
      <xdr:col>13</xdr:col>
      <xdr:colOff>134937</xdr:colOff>
      <xdr:row>203</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203</xdr:row>
      <xdr:rowOff>0</xdr:rowOff>
    </xdr:from>
    <xdr:to>
      <xdr:col>21</xdr:col>
      <xdr:colOff>134937</xdr:colOff>
      <xdr:row>203</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23813</xdr:colOff>
      <xdr:row>212</xdr:row>
      <xdr:rowOff>0</xdr:rowOff>
    </xdr:from>
    <xdr:to>
      <xdr:col>5</xdr:col>
      <xdr:colOff>158750</xdr:colOff>
      <xdr:row>212</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23812</xdr:colOff>
      <xdr:row>212</xdr:row>
      <xdr:rowOff>0</xdr:rowOff>
    </xdr:from>
    <xdr:to>
      <xdr:col>3</xdr:col>
      <xdr:colOff>158749</xdr:colOff>
      <xdr:row>212</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212</xdr:row>
      <xdr:rowOff>0</xdr:rowOff>
    </xdr:from>
    <xdr:to>
      <xdr:col>13</xdr:col>
      <xdr:colOff>134937</xdr:colOff>
      <xdr:row>212</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212</xdr:row>
      <xdr:rowOff>0</xdr:rowOff>
    </xdr:from>
    <xdr:to>
      <xdr:col>15</xdr:col>
      <xdr:colOff>134937</xdr:colOff>
      <xdr:row>212</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212</xdr:row>
      <xdr:rowOff>0</xdr:rowOff>
    </xdr:from>
    <xdr:to>
      <xdr:col>17</xdr:col>
      <xdr:colOff>134937</xdr:colOff>
      <xdr:row>212</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212</xdr:row>
      <xdr:rowOff>0</xdr:rowOff>
    </xdr:from>
    <xdr:to>
      <xdr:col>19</xdr:col>
      <xdr:colOff>134937</xdr:colOff>
      <xdr:row>212</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212</xdr:row>
      <xdr:rowOff>0</xdr:rowOff>
    </xdr:from>
    <xdr:to>
      <xdr:col>21</xdr:col>
      <xdr:colOff>134937</xdr:colOff>
      <xdr:row>212</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7938</xdr:colOff>
      <xdr:row>212</xdr:row>
      <xdr:rowOff>0</xdr:rowOff>
    </xdr:from>
    <xdr:to>
      <xdr:col>9</xdr:col>
      <xdr:colOff>142875</xdr:colOff>
      <xdr:row>212</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15875</xdr:colOff>
      <xdr:row>221</xdr:row>
      <xdr:rowOff>0</xdr:rowOff>
    </xdr:from>
    <xdr:to>
      <xdr:col>5</xdr:col>
      <xdr:colOff>150812</xdr:colOff>
      <xdr:row>221</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19844</xdr:colOff>
      <xdr:row>240</xdr:row>
      <xdr:rowOff>0</xdr:rowOff>
    </xdr:from>
    <xdr:to>
      <xdr:col>17</xdr:col>
      <xdr:colOff>154781</xdr:colOff>
      <xdr:row>240</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3</xdr:col>
      <xdr:colOff>15875</xdr:colOff>
      <xdr:row>240</xdr:row>
      <xdr:rowOff>0</xdr:rowOff>
    </xdr:from>
    <xdr:to>
      <xdr:col>3</xdr:col>
      <xdr:colOff>206374</xdr:colOff>
      <xdr:row>240</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19</xdr:col>
      <xdr:colOff>15875</xdr:colOff>
      <xdr:row>248</xdr:row>
      <xdr:rowOff>0</xdr:rowOff>
    </xdr:from>
    <xdr:to>
      <xdr:col>19</xdr:col>
      <xdr:colOff>150812</xdr:colOff>
      <xdr:row>248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23813</xdr:colOff>
      <xdr:row>256</xdr:row>
      <xdr:rowOff>0</xdr:rowOff>
    </xdr:from>
    <xdr:to>
      <xdr:col>3</xdr:col>
      <xdr:colOff>158750</xdr:colOff>
      <xdr:row>256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16</xdr:col>
      <xdr:colOff>644149</xdr:colOff>
      <xdr:row>6</xdr:row>
      <xdr:rowOff>28772</xdr:rowOff>
    </xdr:from>
    <xdr:to>
      <xdr:col>16</xdr:col>
      <xdr:colOff>904513</xdr:colOff>
      <xdr:row>10</xdr:row>
      <xdr:rowOff>109913</xdr:rowOff>
    </xdr:to>
    <xdr:pic>
      <xdr:nvPicPr>
        <xdr:cNvPr id="432" name="Picture 431">
          <a:extLst>
            <a:ext uri="{FF2B5EF4-FFF2-40B4-BE49-F238E27FC236}">
              <a16:creationId xmlns:a16="http://schemas.microsoft.com/office/drawing/2014/main" id="{921AE25A-1FD9-44C1-BD70-CFC6A1650F00}"/>
            </a:ext>
          </a:extLst>
        </xdr:cNvPr>
        <xdr:cNvPicPr>
          <a:picLocks noChangeAspect="1"/>
        </xdr:cNvPicPr>
      </xdr:nvPicPr>
      <xdr:blipFill>
        <a:blip xmlns:r="http://schemas.openxmlformats.org/officeDocument/2006/relationships" r:embed="rId4"/>
        <a:stretch>
          <a:fillRect/>
        </a:stretch>
      </xdr:blipFill>
      <xdr:spPr>
        <a:xfrm>
          <a:off x="15884149" y="1598492"/>
          <a:ext cx="260364" cy="812661"/>
        </a:xfrm>
        <a:prstGeom prst="rect">
          <a:avLst/>
        </a:prstGeom>
      </xdr:spPr>
    </xdr:pic>
    <xdr:clientData/>
  </xdr:twoCellAnchor>
  <xdr:twoCellAnchor editAs="oneCell">
    <xdr:from>
      <xdr:col>19</xdr:col>
      <xdr:colOff>389042</xdr:colOff>
      <xdr:row>9</xdr:row>
      <xdr:rowOff>174425</xdr:rowOff>
    </xdr:from>
    <xdr:to>
      <xdr:col>20</xdr:col>
      <xdr:colOff>841587</xdr:colOff>
      <xdr:row>13</xdr:row>
      <xdr:rowOff>23523</xdr:rowOff>
    </xdr:to>
    <xdr:pic>
      <xdr:nvPicPr>
        <xdr:cNvPr id="433" name="Picture 432">
          <a:extLst>
            <a:ext uri="{FF2B5EF4-FFF2-40B4-BE49-F238E27FC236}">
              <a16:creationId xmlns:a16="http://schemas.microsoft.com/office/drawing/2014/main" id="{A7CDAD7C-2C5B-4E6D-B39E-6D07C698F348}"/>
            </a:ext>
          </a:extLst>
        </xdr:cNvPr>
        <xdr:cNvPicPr>
          <a:picLocks noChangeAspect="1"/>
        </xdr:cNvPicPr>
      </xdr:nvPicPr>
      <xdr:blipFill>
        <a:blip xmlns:r="http://schemas.openxmlformats.org/officeDocument/2006/relationships" r:embed="rId5"/>
        <a:stretch>
          <a:fillRect/>
        </a:stretch>
      </xdr:blipFill>
      <xdr:spPr>
        <a:xfrm>
          <a:off x="18395102" y="2338505"/>
          <a:ext cx="1092625" cy="580618"/>
        </a:xfrm>
        <a:prstGeom prst="rect">
          <a:avLst/>
        </a:prstGeom>
      </xdr:spPr>
    </xdr:pic>
    <xdr:clientData/>
  </xdr:twoCellAnchor>
  <xdr:twoCellAnchor>
    <xdr:from>
      <xdr:col>9</xdr:col>
      <xdr:colOff>9921</xdr:colOff>
      <xdr:row>248</xdr:row>
      <xdr:rowOff>0</xdr:rowOff>
    </xdr:from>
    <xdr:to>
      <xdr:col>9</xdr:col>
      <xdr:colOff>144858</xdr:colOff>
      <xdr:row>248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9922</xdr:colOff>
      <xdr:row>148</xdr:row>
      <xdr:rowOff>0</xdr:rowOff>
    </xdr:from>
    <xdr:to>
      <xdr:col>17</xdr:col>
      <xdr:colOff>144859</xdr:colOff>
      <xdr:row>148</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11</xdr:col>
      <xdr:colOff>148829</xdr:colOff>
      <xdr:row>146</xdr:row>
      <xdr:rowOff>39688</xdr:rowOff>
    </xdr:from>
    <xdr:to>
      <xdr:col>11</xdr:col>
      <xdr:colOff>468267</xdr:colOff>
      <xdr:row>152</xdr:row>
      <xdr:rowOff>207130</xdr:rowOff>
    </xdr:to>
    <xdr:pic>
      <xdr:nvPicPr>
        <xdr:cNvPr id="436" name="Picture 435">
          <a:extLst>
            <a:ext uri="{FF2B5EF4-FFF2-40B4-BE49-F238E27FC236}">
              <a16:creationId xmlns:a16="http://schemas.microsoft.com/office/drawing/2014/main" id="{87578508-7787-4EAC-89CF-B9A2EC7E21EF}"/>
            </a:ext>
          </a:extLst>
        </xdr:cNvPr>
        <xdr:cNvPicPr>
          <a:picLocks noChangeAspect="1"/>
        </xdr:cNvPicPr>
      </xdr:nvPicPr>
      <xdr:blipFill>
        <a:blip xmlns:r="http://schemas.openxmlformats.org/officeDocument/2006/relationships" r:embed="rId2"/>
        <a:stretch>
          <a:fillRect/>
        </a:stretch>
      </xdr:blipFill>
      <xdr:spPr>
        <a:xfrm>
          <a:off x="11289269" y="49950688"/>
          <a:ext cx="319438" cy="1051362"/>
        </a:xfrm>
        <a:prstGeom prst="rect">
          <a:avLst/>
        </a:prstGeom>
      </xdr:spPr>
    </xdr:pic>
    <xdr:clientData/>
  </xdr:twoCellAnchor>
  <xdr:twoCellAnchor>
    <xdr:from>
      <xdr:col>15</xdr:col>
      <xdr:colOff>9922</xdr:colOff>
      <xdr:row>230</xdr:row>
      <xdr:rowOff>0</xdr:rowOff>
    </xdr:from>
    <xdr:to>
      <xdr:col>15</xdr:col>
      <xdr:colOff>144859</xdr:colOff>
      <xdr:row>230</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xdr:col>
      <xdr:colOff>0</xdr:colOff>
      <xdr:row>320</xdr:row>
      <xdr:rowOff>126029</xdr:rowOff>
    </xdr:from>
    <xdr:to>
      <xdr:col>3</xdr:col>
      <xdr:colOff>0</xdr:colOff>
      <xdr:row>323</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320</xdr:row>
      <xdr:rowOff>126029</xdr:rowOff>
    </xdr:from>
    <xdr:to>
      <xdr:col>5</xdr:col>
      <xdr:colOff>0</xdr:colOff>
      <xdr:row>323</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320</xdr:row>
      <xdr:rowOff>126029</xdr:rowOff>
    </xdr:from>
    <xdr:to>
      <xdr:col>7</xdr:col>
      <xdr:colOff>0</xdr:colOff>
      <xdr:row>323</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320</xdr:row>
      <xdr:rowOff>126029</xdr:rowOff>
    </xdr:from>
    <xdr:to>
      <xdr:col>9</xdr:col>
      <xdr:colOff>0</xdr:colOff>
      <xdr:row>323</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320</xdr:row>
      <xdr:rowOff>126029</xdr:rowOff>
    </xdr:from>
    <xdr:to>
      <xdr:col>11</xdr:col>
      <xdr:colOff>0</xdr:colOff>
      <xdr:row>323</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320</xdr:row>
      <xdr:rowOff>126029</xdr:rowOff>
    </xdr:from>
    <xdr:to>
      <xdr:col>13</xdr:col>
      <xdr:colOff>0</xdr:colOff>
      <xdr:row>323</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320</xdr:row>
      <xdr:rowOff>126029</xdr:rowOff>
    </xdr:from>
    <xdr:to>
      <xdr:col>17</xdr:col>
      <xdr:colOff>0</xdr:colOff>
      <xdr:row>323</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320</xdr:row>
      <xdr:rowOff>126029</xdr:rowOff>
    </xdr:from>
    <xdr:to>
      <xdr:col>19</xdr:col>
      <xdr:colOff>0</xdr:colOff>
      <xdr:row>323</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320</xdr:row>
      <xdr:rowOff>127000</xdr:rowOff>
    </xdr:from>
    <xdr:to>
      <xdr:col>15</xdr:col>
      <xdr:colOff>9072</xdr:colOff>
      <xdr:row>323</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320</xdr:row>
      <xdr:rowOff>126029</xdr:rowOff>
    </xdr:from>
    <xdr:to>
      <xdr:col>21</xdr:col>
      <xdr:colOff>0</xdr:colOff>
      <xdr:row>323</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320</xdr:row>
      <xdr:rowOff>126029</xdr:rowOff>
    </xdr:from>
    <xdr:to>
      <xdr:col>23</xdr:col>
      <xdr:colOff>0</xdr:colOff>
      <xdr:row>323</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7620</xdr:colOff>
      <xdr:row>320</xdr:row>
      <xdr:rowOff>126029</xdr:rowOff>
    </xdr:from>
    <xdr:to>
      <xdr:col>1</xdr:col>
      <xdr:colOff>7620</xdr:colOff>
      <xdr:row>323</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126029</xdr:rowOff>
    </xdr:from>
    <xdr:to>
      <xdr:col>11</xdr:col>
      <xdr:colOff>0</xdr:colOff>
      <xdr:row>313</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127000</xdr:rowOff>
    </xdr:from>
    <xdr:to>
      <xdr:col>15</xdr:col>
      <xdr:colOff>9072</xdr:colOff>
      <xdr:row>313</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310</xdr:row>
      <xdr:rowOff>126029</xdr:rowOff>
    </xdr:from>
    <xdr:to>
      <xdr:col>23</xdr:col>
      <xdr:colOff>0</xdr:colOff>
      <xdr:row>313</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310</xdr:row>
      <xdr:rowOff>126029</xdr:rowOff>
    </xdr:from>
    <xdr:to>
      <xdr:col>1</xdr:col>
      <xdr:colOff>0</xdr:colOff>
      <xdr:row>313</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25400</xdr:colOff>
      <xdr:row>301</xdr:row>
      <xdr:rowOff>214929</xdr:rowOff>
    </xdr:from>
    <xdr:to>
      <xdr:col>3</xdr:col>
      <xdr:colOff>25400</xdr:colOff>
      <xdr:row>304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301</xdr:row>
      <xdr:rowOff>126029</xdr:rowOff>
    </xdr:from>
    <xdr:to>
      <xdr:col>5</xdr:col>
      <xdr:colOff>0</xdr:colOff>
      <xdr:row>304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301</xdr:row>
      <xdr:rowOff>126029</xdr:rowOff>
    </xdr:from>
    <xdr:to>
      <xdr:col>7</xdr:col>
      <xdr:colOff>0</xdr:colOff>
      <xdr:row>304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301</xdr:row>
      <xdr:rowOff>126029</xdr:rowOff>
    </xdr:from>
    <xdr:to>
      <xdr:col>9</xdr:col>
      <xdr:colOff>0</xdr:colOff>
      <xdr:row>304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301</xdr:row>
      <xdr:rowOff>126029</xdr:rowOff>
    </xdr:from>
    <xdr:to>
      <xdr:col>11</xdr:col>
      <xdr:colOff>0</xdr:colOff>
      <xdr:row>304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301</xdr:row>
      <xdr:rowOff>126029</xdr:rowOff>
    </xdr:from>
    <xdr:to>
      <xdr:col>13</xdr:col>
      <xdr:colOff>0</xdr:colOff>
      <xdr:row>304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301</xdr:row>
      <xdr:rowOff>126029</xdr:rowOff>
    </xdr:from>
    <xdr:to>
      <xdr:col>17</xdr:col>
      <xdr:colOff>0</xdr:colOff>
      <xdr:row>304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301</xdr:row>
      <xdr:rowOff>126029</xdr:rowOff>
    </xdr:from>
    <xdr:to>
      <xdr:col>19</xdr:col>
      <xdr:colOff>0</xdr:colOff>
      <xdr:row>304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301</xdr:row>
      <xdr:rowOff>127000</xdr:rowOff>
    </xdr:from>
    <xdr:to>
      <xdr:col>15</xdr:col>
      <xdr:colOff>9072</xdr:colOff>
      <xdr:row>304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301</xdr:row>
      <xdr:rowOff>126029</xdr:rowOff>
    </xdr:from>
    <xdr:to>
      <xdr:col>21</xdr:col>
      <xdr:colOff>0</xdr:colOff>
      <xdr:row>304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301</xdr:row>
      <xdr:rowOff>126029</xdr:rowOff>
    </xdr:from>
    <xdr:to>
      <xdr:col>23</xdr:col>
      <xdr:colOff>0</xdr:colOff>
      <xdr:row>304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293</xdr:row>
      <xdr:rowOff>126029</xdr:rowOff>
    </xdr:from>
    <xdr:to>
      <xdr:col>3</xdr:col>
      <xdr:colOff>0</xdr:colOff>
      <xdr:row>296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293</xdr:row>
      <xdr:rowOff>126029</xdr:rowOff>
    </xdr:from>
    <xdr:to>
      <xdr:col>5</xdr:col>
      <xdr:colOff>0</xdr:colOff>
      <xdr:row>296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293</xdr:row>
      <xdr:rowOff>126029</xdr:rowOff>
    </xdr:from>
    <xdr:to>
      <xdr:col>7</xdr:col>
      <xdr:colOff>0</xdr:colOff>
      <xdr:row>296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293</xdr:row>
      <xdr:rowOff>126029</xdr:rowOff>
    </xdr:from>
    <xdr:to>
      <xdr:col>9</xdr:col>
      <xdr:colOff>0</xdr:colOff>
      <xdr:row>296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293</xdr:row>
      <xdr:rowOff>126029</xdr:rowOff>
    </xdr:from>
    <xdr:to>
      <xdr:col>11</xdr:col>
      <xdr:colOff>0</xdr:colOff>
      <xdr:row>296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293</xdr:row>
      <xdr:rowOff>126029</xdr:rowOff>
    </xdr:from>
    <xdr:to>
      <xdr:col>13</xdr:col>
      <xdr:colOff>0</xdr:colOff>
      <xdr:row>296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293</xdr:row>
      <xdr:rowOff>126029</xdr:rowOff>
    </xdr:from>
    <xdr:to>
      <xdr:col>17</xdr:col>
      <xdr:colOff>0</xdr:colOff>
      <xdr:row>296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293</xdr:row>
      <xdr:rowOff>126029</xdr:rowOff>
    </xdr:from>
    <xdr:to>
      <xdr:col>19</xdr:col>
      <xdr:colOff>0</xdr:colOff>
      <xdr:row>296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293</xdr:row>
      <xdr:rowOff>127000</xdr:rowOff>
    </xdr:from>
    <xdr:to>
      <xdr:col>15</xdr:col>
      <xdr:colOff>9072</xdr:colOff>
      <xdr:row>296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293</xdr:row>
      <xdr:rowOff>126029</xdr:rowOff>
    </xdr:from>
    <xdr:to>
      <xdr:col>21</xdr:col>
      <xdr:colOff>0</xdr:colOff>
      <xdr:row>296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293</xdr:row>
      <xdr:rowOff>126029</xdr:rowOff>
    </xdr:from>
    <xdr:to>
      <xdr:col>23</xdr:col>
      <xdr:colOff>0</xdr:colOff>
      <xdr:row>296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293</xdr:row>
      <xdr:rowOff>126029</xdr:rowOff>
    </xdr:from>
    <xdr:to>
      <xdr:col>1</xdr:col>
      <xdr:colOff>0</xdr:colOff>
      <xdr:row>296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345</xdr:row>
      <xdr:rowOff>126029</xdr:rowOff>
    </xdr:from>
    <xdr:to>
      <xdr:col>3</xdr:col>
      <xdr:colOff>0</xdr:colOff>
      <xdr:row>348</xdr:row>
      <xdr:rowOff>149893</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2011680" y="121444049"/>
          <a:ext cx="102108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345</xdr:row>
      <xdr:rowOff>126029</xdr:rowOff>
    </xdr:from>
    <xdr:to>
      <xdr:col>5</xdr:col>
      <xdr:colOff>0</xdr:colOff>
      <xdr:row>348</xdr:row>
      <xdr:rowOff>149893</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4076700" y="1214440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345</xdr:row>
      <xdr:rowOff>126029</xdr:rowOff>
    </xdr:from>
    <xdr:to>
      <xdr:col>7</xdr:col>
      <xdr:colOff>0</xdr:colOff>
      <xdr:row>348</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345</xdr:row>
      <xdr:rowOff>126029</xdr:rowOff>
    </xdr:from>
    <xdr:to>
      <xdr:col>9</xdr:col>
      <xdr:colOff>0</xdr:colOff>
      <xdr:row>348</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345</xdr:row>
      <xdr:rowOff>138729</xdr:rowOff>
    </xdr:from>
    <xdr:to>
      <xdr:col>11</xdr:col>
      <xdr:colOff>0</xdr:colOff>
      <xdr:row>349</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345</xdr:row>
      <xdr:rowOff>126029</xdr:rowOff>
    </xdr:from>
    <xdr:to>
      <xdr:col>13</xdr:col>
      <xdr:colOff>0</xdr:colOff>
      <xdr:row>348</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12700</xdr:colOff>
      <xdr:row>345</xdr:row>
      <xdr:rowOff>126029</xdr:rowOff>
    </xdr:from>
    <xdr:to>
      <xdr:col>17</xdr:col>
      <xdr:colOff>12700</xdr:colOff>
      <xdr:row>348</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15252700" y="12144404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345</xdr:row>
      <xdr:rowOff>126029</xdr:rowOff>
    </xdr:from>
    <xdr:to>
      <xdr:col>19</xdr:col>
      <xdr:colOff>0</xdr:colOff>
      <xdr:row>348</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345</xdr:row>
      <xdr:rowOff>127000</xdr:rowOff>
    </xdr:from>
    <xdr:to>
      <xdr:col>15</xdr:col>
      <xdr:colOff>9072</xdr:colOff>
      <xdr:row>348</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345</xdr:row>
      <xdr:rowOff>126029</xdr:rowOff>
    </xdr:from>
    <xdr:to>
      <xdr:col>21</xdr:col>
      <xdr:colOff>0</xdr:colOff>
      <xdr:row>348</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345</xdr:row>
      <xdr:rowOff>126029</xdr:rowOff>
    </xdr:from>
    <xdr:to>
      <xdr:col>23</xdr:col>
      <xdr:colOff>0</xdr:colOff>
      <xdr:row>348</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345</xdr:row>
      <xdr:rowOff>126029</xdr:rowOff>
    </xdr:from>
    <xdr:to>
      <xdr:col>1</xdr:col>
      <xdr:colOff>0</xdr:colOff>
      <xdr:row>348</xdr:row>
      <xdr:rowOff>149893</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0" y="121444049"/>
          <a:ext cx="12649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337</xdr:row>
      <xdr:rowOff>126029</xdr:rowOff>
    </xdr:from>
    <xdr:to>
      <xdr:col>3</xdr:col>
      <xdr:colOff>0</xdr:colOff>
      <xdr:row>340</xdr:row>
      <xdr:rowOff>187993</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011680" y="118533209"/>
          <a:ext cx="10210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337</xdr:row>
      <xdr:rowOff>126029</xdr:rowOff>
    </xdr:from>
    <xdr:to>
      <xdr:col>5</xdr:col>
      <xdr:colOff>0</xdr:colOff>
      <xdr:row>340</xdr:row>
      <xdr:rowOff>187993</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4076700" y="11853320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337</xdr:row>
      <xdr:rowOff>126029</xdr:rowOff>
    </xdr:from>
    <xdr:to>
      <xdr:col>7</xdr:col>
      <xdr:colOff>0</xdr:colOff>
      <xdr:row>340</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337</xdr:row>
      <xdr:rowOff>126029</xdr:rowOff>
    </xdr:from>
    <xdr:to>
      <xdr:col>9</xdr:col>
      <xdr:colOff>0</xdr:colOff>
      <xdr:row>340</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337</xdr:row>
      <xdr:rowOff>126029</xdr:rowOff>
    </xdr:from>
    <xdr:to>
      <xdr:col>11</xdr:col>
      <xdr:colOff>0</xdr:colOff>
      <xdr:row>340</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337</xdr:row>
      <xdr:rowOff>126029</xdr:rowOff>
    </xdr:from>
    <xdr:to>
      <xdr:col>13</xdr:col>
      <xdr:colOff>0</xdr:colOff>
      <xdr:row>340</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337</xdr:row>
      <xdr:rowOff>126029</xdr:rowOff>
    </xdr:from>
    <xdr:to>
      <xdr:col>17</xdr:col>
      <xdr:colOff>0</xdr:colOff>
      <xdr:row>340</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337</xdr:row>
      <xdr:rowOff>126029</xdr:rowOff>
    </xdr:from>
    <xdr:to>
      <xdr:col>19</xdr:col>
      <xdr:colOff>0</xdr:colOff>
      <xdr:row>340</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337</xdr:row>
      <xdr:rowOff>127000</xdr:rowOff>
    </xdr:from>
    <xdr:to>
      <xdr:col>15</xdr:col>
      <xdr:colOff>9072</xdr:colOff>
      <xdr:row>340</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337</xdr:row>
      <xdr:rowOff>126029</xdr:rowOff>
    </xdr:from>
    <xdr:to>
      <xdr:col>21</xdr:col>
      <xdr:colOff>0</xdr:colOff>
      <xdr:row>340</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337</xdr:row>
      <xdr:rowOff>126029</xdr:rowOff>
    </xdr:from>
    <xdr:to>
      <xdr:col>23</xdr:col>
      <xdr:colOff>0</xdr:colOff>
      <xdr:row>340</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337</xdr:row>
      <xdr:rowOff>126029</xdr:rowOff>
    </xdr:from>
    <xdr:to>
      <xdr:col>1</xdr:col>
      <xdr:colOff>0</xdr:colOff>
      <xdr:row>340</xdr:row>
      <xdr:rowOff>187993</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0" y="118533209"/>
          <a:ext cx="12649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329</xdr:row>
      <xdr:rowOff>261139</xdr:rowOff>
    </xdr:from>
    <xdr:to>
      <xdr:col>3</xdr:col>
      <xdr:colOff>0</xdr:colOff>
      <xdr:row>332</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4</xdr:col>
      <xdr:colOff>0</xdr:colOff>
      <xdr:row>329</xdr:row>
      <xdr:rowOff>126029</xdr:rowOff>
    </xdr:from>
    <xdr:to>
      <xdr:col>5</xdr:col>
      <xdr:colOff>0</xdr:colOff>
      <xdr:row>332</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329</xdr:row>
      <xdr:rowOff>126029</xdr:rowOff>
    </xdr:from>
    <xdr:to>
      <xdr:col>7</xdr:col>
      <xdr:colOff>0</xdr:colOff>
      <xdr:row>332</xdr:row>
      <xdr:rowOff>195613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6309360" y="1154928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329</xdr:row>
      <xdr:rowOff>126029</xdr:rowOff>
    </xdr:from>
    <xdr:to>
      <xdr:col>9</xdr:col>
      <xdr:colOff>0</xdr:colOff>
      <xdr:row>332</xdr:row>
      <xdr:rowOff>195613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8298180" y="11549282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329</xdr:row>
      <xdr:rowOff>126029</xdr:rowOff>
    </xdr:from>
    <xdr:to>
      <xdr:col>11</xdr:col>
      <xdr:colOff>0</xdr:colOff>
      <xdr:row>332</xdr:row>
      <xdr:rowOff>195613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10195560" y="1154928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329</xdr:row>
      <xdr:rowOff>126029</xdr:rowOff>
    </xdr:from>
    <xdr:to>
      <xdr:col>13</xdr:col>
      <xdr:colOff>0</xdr:colOff>
      <xdr:row>332</xdr:row>
      <xdr:rowOff>195613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11765280" y="1154928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329</xdr:row>
      <xdr:rowOff>126029</xdr:rowOff>
    </xdr:from>
    <xdr:to>
      <xdr:col>17</xdr:col>
      <xdr:colOff>0</xdr:colOff>
      <xdr:row>332</xdr:row>
      <xdr:rowOff>195613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5240000" y="115492829"/>
          <a:ext cx="114300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329</xdr:row>
      <xdr:rowOff>126029</xdr:rowOff>
    </xdr:from>
    <xdr:to>
      <xdr:col>19</xdr:col>
      <xdr:colOff>0</xdr:colOff>
      <xdr:row>332</xdr:row>
      <xdr:rowOff>195613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7007840" y="115492829"/>
          <a:ext cx="998220"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329</xdr:row>
      <xdr:rowOff>127000</xdr:rowOff>
    </xdr:from>
    <xdr:to>
      <xdr:col>15</xdr:col>
      <xdr:colOff>9072</xdr:colOff>
      <xdr:row>332</xdr:row>
      <xdr:rowOff>196584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13555980" y="115493800"/>
          <a:ext cx="1053012" cy="11668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329</xdr:row>
      <xdr:rowOff>126029</xdr:rowOff>
    </xdr:from>
    <xdr:to>
      <xdr:col>21</xdr:col>
      <xdr:colOff>0</xdr:colOff>
      <xdr:row>332</xdr:row>
      <xdr:rowOff>195613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8630900" y="1154928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329</xdr:row>
      <xdr:rowOff>126029</xdr:rowOff>
    </xdr:from>
    <xdr:to>
      <xdr:col>23</xdr:col>
      <xdr:colOff>0</xdr:colOff>
      <xdr:row>332</xdr:row>
      <xdr:rowOff>195613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20589240" y="1154928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329</xdr:row>
      <xdr:rowOff>126029</xdr:rowOff>
    </xdr:from>
    <xdr:to>
      <xdr:col>1</xdr:col>
      <xdr:colOff>0</xdr:colOff>
      <xdr:row>332</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354</xdr:row>
      <xdr:rowOff>126029</xdr:rowOff>
    </xdr:from>
    <xdr:to>
      <xdr:col>3</xdr:col>
      <xdr:colOff>0</xdr:colOff>
      <xdr:row>357</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354</xdr:row>
      <xdr:rowOff>126029</xdr:rowOff>
    </xdr:from>
    <xdr:to>
      <xdr:col>5</xdr:col>
      <xdr:colOff>0</xdr:colOff>
      <xdr:row>357</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354</xdr:row>
      <xdr:rowOff>126029</xdr:rowOff>
    </xdr:from>
    <xdr:to>
      <xdr:col>7</xdr:col>
      <xdr:colOff>0</xdr:colOff>
      <xdr:row>357</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354</xdr:row>
      <xdr:rowOff>138729</xdr:rowOff>
    </xdr:from>
    <xdr:to>
      <xdr:col>9</xdr:col>
      <xdr:colOff>0</xdr:colOff>
      <xdr:row>358</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354</xdr:row>
      <xdr:rowOff>126029</xdr:rowOff>
    </xdr:from>
    <xdr:to>
      <xdr:col>11</xdr:col>
      <xdr:colOff>0</xdr:colOff>
      <xdr:row>357</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354</xdr:row>
      <xdr:rowOff>126029</xdr:rowOff>
    </xdr:from>
    <xdr:to>
      <xdr:col>13</xdr:col>
      <xdr:colOff>0</xdr:colOff>
      <xdr:row>357</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354</xdr:row>
      <xdr:rowOff>126029</xdr:rowOff>
    </xdr:from>
    <xdr:to>
      <xdr:col>17</xdr:col>
      <xdr:colOff>0</xdr:colOff>
      <xdr:row>357</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5240000" y="124629209"/>
          <a:ext cx="1143000" cy="115162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354</xdr:row>
      <xdr:rowOff>126029</xdr:rowOff>
    </xdr:from>
    <xdr:to>
      <xdr:col>19</xdr:col>
      <xdr:colOff>0</xdr:colOff>
      <xdr:row>357</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354</xdr:row>
      <xdr:rowOff>127000</xdr:rowOff>
    </xdr:from>
    <xdr:to>
      <xdr:col>15</xdr:col>
      <xdr:colOff>9072</xdr:colOff>
      <xdr:row>357</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354</xdr:row>
      <xdr:rowOff>126029</xdr:rowOff>
    </xdr:from>
    <xdr:to>
      <xdr:col>21</xdr:col>
      <xdr:colOff>0</xdr:colOff>
      <xdr:row>357</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354</xdr:row>
      <xdr:rowOff>126029</xdr:rowOff>
    </xdr:from>
    <xdr:to>
      <xdr:col>23</xdr:col>
      <xdr:colOff>0</xdr:colOff>
      <xdr:row>357</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0</xdr:colOff>
      <xdr:row>354</xdr:row>
      <xdr:rowOff>138729</xdr:rowOff>
    </xdr:from>
    <xdr:to>
      <xdr:col>1</xdr:col>
      <xdr:colOff>0</xdr:colOff>
      <xdr:row>358</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362</xdr:row>
      <xdr:rowOff>126029</xdr:rowOff>
    </xdr:from>
    <xdr:to>
      <xdr:col>3</xdr:col>
      <xdr:colOff>0</xdr:colOff>
      <xdr:row>365</xdr:row>
      <xdr:rowOff>142273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2011680" y="127532429"/>
          <a:ext cx="102108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362</xdr:row>
      <xdr:rowOff>126029</xdr:rowOff>
    </xdr:from>
    <xdr:to>
      <xdr:col>5</xdr:col>
      <xdr:colOff>0</xdr:colOff>
      <xdr:row>365</xdr:row>
      <xdr:rowOff>142273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4076700" y="127532429"/>
          <a:ext cx="11963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362</xdr:row>
      <xdr:rowOff>126029</xdr:rowOff>
    </xdr:from>
    <xdr:to>
      <xdr:col>7</xdr:col>
      <xdr:colOff>0</xdr:colOff>
      <xdr:row>365</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362</xdr:row>
      <xdr:rowOff>126029</xdr:rowOff>
    </xdr:from>
    <xdr:to>
      <xdr:col>9</xdr:col>
      <xdr:colOff>0</xdr:colOff>
      <xdr:row>365</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362</xdr:row>
      <xdr:rowOff>126029</xdr:rowOff>
    </xdr:from>
    <xdr:to>
      <xdr:col>11</xdr:col>
      <xdr:colOff>0</xdr:colOff>
      <xdr:row>365</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10195560" y="127532429"/>
          <a:ext cx="944880" cy="11135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362</xdr:row>
      <xdr:rowOff>126029</xdr:rowOff>
    </xdr:from>
    <xdr:to>
      <xdr:col>13</xdr:col>
      <xdr:colOff>0</xdr:colOff>
      <xdr:row>365</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362</xdr:row>
      <xdr:rowOff>126029</xdr:rowOff>
    </xdr:from>
    <xdr:to>
      <xdr:col>17</xdr:col>
      <xdr:colOff>0</xdr:colOff>
      <xdr:row>365</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362</xdr:row>
      <xdr:rowOff>126029</xdr:rowOff>
    </xdr:from>
    <xdr:to>
      <xdr:col>19</xdr:col>
      <xdr:colOff>0</xdr:colOff>
      <xdr:row>365</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362</xdr:row>
      <xdr:rowOff>127000</xdr:rowOff>
    </xdr:from>
    <xdr:to>
      <xdr:col>15</xdr:col>
      <xdr:colOff>9072</xdr:colOff>
      <xdr:row>365</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362</xdr:row>
      <xdr:rowOff>126029</xdr:rowOff>
    </xdr:from>
    <xdr:to>
      <xdr:col>21</xdr:col>
      <xdr:colOff>0</xdr:colOff>
      <xdr:row>365</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362</xdr:row>
      <xdr:rowOff>126029</xdr:rowOff>
    </xdr:from>
    <xdr:to>
      <xdr:col>23</xdr:col>
      <xdr:colOff>0</xdr:colOff>
      <xdr:row>365</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0</xdr:colOff>
      <xdr:row>367</xdr:row>
      <xdr:rowOff>0</xdr:rowOff>
    </xdr:from>
    <xdr:to>
      <xdr:col>23</xdr:col>
      <xdr:colOff>134937</xdr:colOff>
      <xdr:row>367</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0</xdr:col>
      <xdr:colOff>0</xdr:colOff>
      <xdr:row>362</xdr:row>
      <xdr:rowOff>126029</xdr:rowOff>
    </xdr:from>
    <xdr:to>
      <xdr:col>1</xdr:col>
      <xdr:colOff>0</xdr:colOff>
      <xdr:row>365</xdr:row>
      <xdr:rowOff>142273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0" y="127532429"/>
          <a:ext cx="12649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19843</xdr:colOff>
      <xdr:row>289</xdr:row>
      <xdr:rowOff>0</xdr:rowOff>
    </xdr:from>
    <xdr:to>
      <xdr:col>13</xdr:col>
      <xdr:colOff>154780</xdr:colOff>
      <xdr:row>289</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32288</xdr:colOff>
      <xdr:row>148</xdr:row>
      <xdr:rowOff>0</xdr:rowOff>
    </xdr:from>
    <xdr:to>
      <xdr:col>19</xdr:col>
      <xdr:colOff>167225</xdr:colOff>
      <xdr:row>148</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21526</xdr:colOff>
      <xdr:row>176</xdr:row>
      <xdr:rowOff>0</xdr:rowOff>
    </xdr:from>
    <xdr:to>
      <xdr:col>5</xdr:col>
      <xdr:colOff>156463</xdr:colOff>
      <xdr:row>176</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10762</xdr:colOff>
      <xdr:row>289</xdr:row>
      <xdr:rowOff>0</xdr:rowOff>
    </xdr:from>
    <xdr:to>
      <xdr:col>15</xdr:col>
      <xdr:colOff>145699</xdr:colOff>
      <xdr:row>289</xdr:row>
      <xdr:rowOff>113279</xdr:rowOff>
    </xdr:to>
    <xdr:sp macro="" textlink="">
      <xdr:nvSpPr>
        <xdr:cNvPr id="549" name="Bent Arrow 809">
          <a:extLst>
            <a:ext uri="{FF2B5EF4-FFF2-40B4-BE49-F238E27FC236}">
              <a16:creationId xmlns:a16="http://schemas.microsoft.com/office/drawing/2014/main" id="{C11F223D-E863-45DE-8F0D-9B898ABD4917}"/>
            </a:ext>
          </a:extLst>
        </xdr:cNvPr>
        <xdr:cNvSpPr/>
      </xdr:nvSpPr>
      <xdr:spPr>
        <a:xfrm rot="5400000">
          <a:off x="14621511" y="100771291"/>
          <a:ext cx="11327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oneCellAnchor>
    <xdr:from>
      <xdr:col>19</xdr:col>
      <xdr:colOff>172203</xdr:colOff>
      <xdr:row>365</xdr:row>
      <xdr:rowOff>32288</xdr:rowOff>
    </xdr:from>
    <xdr:ext cx="284997" cy="940961"/>
    <xdr:pic>
      <xdr:nvPicPr>
        <xdr:cNvPr id="550" name="Picture 1129" descr="LADDER">
          <a:extLst>
            <a:ext uri="{FF2B5EF4-FFF2-40B4-BE49-F238E27FC236}">
              <a16:creationId xmlns:a16="http://schemas.microsoft.com/office/drawing/2014/main" id="{9549B13C-C904-489A-81C9-B42C0B2A3C65}"/>
            </a:ext>
          </a:extLst>
        </xdr:cNvPr>
        <xdr:cNvPicPr>
          <a:picLocks noChangeAspect="1" noChangeArrowheads="1"/>
        </xdr:cNvPicPr>
      </xdr:nvPicPr>
      <xdr:blipFill>
        <a:blip xmlns:r="http://schemas.openxmlformats.org/officeDocument/2006/relationships" r:embed="rId1" cstate="print">
          <a:duotone>
            <a:prstClr val="black"/>
            <a:srgbClr val="7030A0">
              <a:tint val="45000"/>
              <a:satMod val="400000"/>
            </a:srgbClr>
          </a:duotone>
        </a:blip>
        <a:srcRect/>
        <a:stretch>
          <a:fillRect/>
        </a:stretch>
      </xdr:blipFill>
      <xdr:spPr bwMode="auto">
        <a:xfrm>
          <a:off x="18178263" y="128535968"/>
          <a:ext cx="284997" cy="940961"/>
        </a:xfrm>
        <a:prstGeom prst="rect">
          <a:avLst/>
        </a:prstGeom>
        <a:solidFill>
          <a:srgbClr val="00B0F0"/>
        </a:solidFill>
        <a:ln>
          <a:noFill/>
        </a:ln>
      </xdr:spPr>
    </xdr:pic>
    <xdr:clientData/>
  </xdr:oneCellAnchor>
  <xdr:twoCellAnchor editAs="oneCell">
    <xdr:from>
      <xdr:col>23</xdr:col>
      <xdr:colOff>211666</xdr:colOff>
      <xdr:row>365</xdr:row>
      <xdr:rowOff>28271</xdr:rowOff>
    </xdr:from>
    <xdr:to>
      <xdr:col>23</xdr:col>
      <xdr:colOff>423333</xdr:colOff>
      <xdr:row>368</xdr:row>
      <xdr:rowOff>266111</xdr:rowOff>
    </xdr:to>
    <xdr:pic>
      <xdr:nvPicPr>
        <xdr:cNvPr id="551" name="Picture 550">
          <a:extLst>
            <a:ext uri="{FF2B5EF4-FFF2-40B4-BE49-F238E27FC236}">
              <a16:creationId xmlns:a16="http://schemas.microsoft.com/office/drawing/2014/main" id="{83D782F5-ADC2-4D4F-BBB2-AE79266B7C26}"/>
            </a:ext>
          </a:extLst>
        </xdr:cNvPr>
        <xdr:cNvPicPr>
          <a:picLocks noChangeAspect="1"/>
        </xdr:cNvPicPr>
      </xdr:nvPicPr>
      <xdr:blipFill>
        <a:blip xmlns:r="http://schemas.openxmlformats.org/officeDocument/2006/relationships" r:embed="rId4"/>
        <a:stretch>
          <a:fillRect/>
        </a:stretch>
      </xdr:blipFill>
      <xdr:spPr>
        <a:xfrm>
          <a:off x="21814366" y="128531951"/>
          <a:ext cx="211667" cy="687420"/>
        </a:xfrm>
        <a:prstGeom prst="rect">
          <a:avLst/>
        </a:prstGeom>
      </xdr:spPr>
    </xdr:pic>
    <xdr:clientData/>
  </xdr:twoCellAnchor>
  <xdr:twoCellAnchor editAs="oneCell">
    <xdr:from>
      <xdr:col>1</xdr:col>
      <xdr:colOff>292101</xdr:colOff>
      <xdr:row>348</xdr:row>
      <xdr:rowOff>29671</xdr:rowOff>
    </xdr:from>
    <xdr:to>
      <xdr:col>1</xdr:col>
      <xdr:colOff>640081</xdr:colOff>
      <xdr:row>352</xdr:row>
      <xdr:rowOff>159175</xdr:rowOff>
    </xdr:to>
    <xdr:pic>
      <xdr:nvPicPr>
        <xdr:cNvPr id="552" name="Picture 551">
          <a:extLst>
            <a:ext uri="{FF2B5EF4-FFF2-40B4-BE49-F238E27FC236}">
              <a16:creationId xmlns:a16="http://schemas.microsoft.com/office/drawing/2014/main" id="{797BB02A-4B80-42B3-A4FD-A834B0F1795F}"/>
            </a:ext>
          </a:extLst>
        </xdr:cNvPr>
        <xdr:cNvPicPr>
          <a:picLocks noChangeAspect="1"/>
        </xdr:cNvPicPr>
      </xdr:nvPicPr>
      <xdr:blipFill>
        <a:blip xmlns:r="http://schemas.openxmlformats.org/officeDocument/2006/relationships" r:embed="rId4"/>
        <a:stretch>
          <a:fillRect/>
        </a:stretch>
      </xdr:blipFill>
      <xdr:spPr>
        <a:xfrm>
          <a:off x="1557021" y="122444971"/>
          <a:ext cx="355600" cy="761964"/>
        </a:xfrm>
        <a:prstGeom prst="rect">
          <a:avLst/>
        </a:prstGeom>
      </xdr:spPr>
    </xdr:pic>
    <xdr:clientData/>
  </xdr:twoCellAnchor>
  <xdr:twoCellAnchor editAs="oneCell">
    <xdr:from>
      <xdr:col>7</xdr:col>
      <xdr:colOff>345053</xdr:colOff>
      <xdr:row>278</xdr:row>
      <xdr:rowOff>218440</xdr:rowOff>
    </xdr:from>
    <xdr:to>
      <xdr:col>7</xdr:col>
      <xdr:colOff>604147</xdr:colOff>
      <xdr:row>284</xdr:row>
      <xdr:rowOff>133472</xdr:rowOff>
    </xdr:to>
    <xdr:pic>
      <xdr:nvPicPr>
        <xdr:cNvPr id="553" name="Picture 552">
          <a:extLst>
            <a:ext uri="{FF2B5EF4-FFF2-40B4-BE49-F238E27FC236}">
              <a16:creationId xmlns:a16="http://schemas.microsoft.com/office/drawing/2014/main" id="{FCB5029C-77D5-4C65-89F7-7B04E34AE6E2}"/>
            </a:ext>
          </a:extLst>
        </xdr:cNvPr>
        <xdr:cNvPicPr>
          <a:picLocks noChangeAspect="1"/>
        </xdr:cNvPicPr>
      </xdr:nvPicPr>
      <xdr:blipFill>
        <a:blip xmlns:r="http://schemas.openxmlformats.org/officeDocument/2006/relationships" r:embed="rId4"/>
        <a:stretch>
          <a:fillRect/>
        </a:stretch>
      </xdr:blipFill>
      <xdr:spPr>
        <a:xfrm>
          <a:off x="7766933" y="96702880"/>
          <a:ext cx="266714" cy="837052"/>
        </a:xfrm>
        <a:prstGeom prst="rect">
          <a:avLst/>
        </a:prstGeom>
      </xdr:spPr>
    </xdr:pic>
    <xdr:clientData/>
  </xdr:twoCellAnchor>
  <xdr:twoCellAnchor>
    <xdr:from>
      <xdr:col>21</xdr:col>
      <xdr:colOff>215899</xdr:colOff>
      <xdr:row>287</xdr:row>
      <xdr:rowOff>38099</xdr:rowOff>
    </xdr:from>
    <xdr:to>
      <xdr:col>21</xdr:col>
      <xdr:colOff>469898</xdr:colOff>
      <xdr:row>289</xdr:row>
      <xdr:rowOff>187532</xdr:rowOff>
    </xdr:to>
    <xdr:sp macro="" textlink="">
      <xdr:nvSpPr>
        <xdr:cNvPr id="554" name="AutoShape 10734">
          <a:extLst>
            <a:ext uri="{FF2B5EF4-FFF2-40B4-BE49-F238E27FC236}">
              <a16:creationId xmlns:a16="http://schemas.microsoft.com/office/drawing/2014/main" id="{80A2BF39-E6C2-471D-AF79-D8F9604B9B1F}"/>
            </a:ext>
          </a:extLst>
        </xdr:cNvPr>
        <xdr:cNvSpPr>
          <a:spLocks noChangeArrowheads="1"/>
        </xdr:cNvSpPr>
      </xdr:nvSpPr>
      <xdr:spPr bwMode="auto">
        <a:xfrm rot="5400000">
          <a:off x="19470582" y="100287876"/>
          <a:ext cx="1109553" cy="253999"/>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xdr:from>
      <xdr:col>17</xdr:col>
      <xdr:colOff>215254</xdr:colOff>
      <xdr:row>305</xdr:row>
      <xdr:rowOff>0</xdr:rowOff>
    </xdr:from>
    <xdr:to>
      <xdr:col>17</xdr:col>
      <xdr:colOff>495300</xdr:colOff>
      <xdr:row>306</xdr:row>
      <xdr:rowOff>101600</xdr:rowOff>
    </xdr:to>
    <xdr:sp macro="" textlink="">
      <xdr:nvSpPr>
        <xdr:cNvPr id="555" name="AutoShape 10734">
          <a:extLst>
            <a:ext uri="{FF2B5EF4-FFF2-40B4-BE49-F238E27FC236}">
              <a16:creationId xmlns:a16="http://schemas.microsoft.com/office/drawing/2014/main" id="{F47B0DED-085B-4490-B54C-7789DF0EFB33}"/>
            </a:ext>
          </a:extLst>
        </xdr:cNvPr>
        <xdr:cNvSpPr>
          <a:spLocks noChangeArrowheads="1"/>
        </xdr:cNvSpPr>
      </xdr:nvSpPr>
      <xdr:spPr bwMode="auto">
        <a:xfrm rot="5400000">
          <a:off x="16363627" y="88728227"/>
          <a:ext cx="723900" cy="280046"/>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xdr:from>
      <xdr:col>23</xdr:col>
      <xdr:colOff>280909</xdr:colOff>
      <xdr:row>237</xdr:row>
      <xdr:rowOff>281557</xdr:rowOff>
    </xdr:from>
    <xdr:to>
      <xdr:col>23</xdr:col>
      <xdr:colOff>431584</xdr:colOff>
      <xdr:row>239</xdr:row>
      <xdr:rowOff>584201</xdr:rowOff>
    </xdr:to>
    <xdr:sp macro="" textlink="">
      <xdr:nvSpPr>
        <xdr:cNvPr id="556" name="AutoShape 10734">
          <a:extLst>
            <a:ext uri="{FF2B5EF4-FFF2-40B4-BE49-F238E27FC236}">
              <a16:creationId xmlns:a16="http://schemas.microsoft.com/office/drawing/2014/main" id="{425F98EE-CF9B-422C-867A-D66853FAD6F4}"/>
            </a:ext>
          </a:extLst>
        </xdr:cNvPr>
        <xdr:cNvSpPr>
          <a:spLocks noChangeArrowheads="1"/>
        </xdr:cNvSpPr>
      </xdr:nvSpPr>
      <xdr:spPr bwMode="auto">
        <a:xfrm rot="5400000" flipV="1">
          <a:off x="21514255" y="82695451"/>
          <a:ext cx="889384" cy="150675"/>
        </a:xfrm>
        <a:prstGeom prst="rightArrow">
          <a:avLst>
            <a:gd name="adj1" fmla="val 50000"/>
            <a:gd name="adj2" fmla="val 136974"/>
          </a:avLst>
        </a:prstGeom>
        <a:solidFill>
          <a:srgbClr val="9999FF"/>
        </a:solidFill>
        <a:ln w="9525" algn="ctr">
          <a:solidFill>
            <a:srgbClr val="9999FF"/>
          </a:solidFill>
          <a:miter lim="800000"/>
          <a:headEnd/>
          <a:tailEnd/>
        </a:ln>
      </xdr:spPr>
    </xdr:sp>
    <xdr:clientData/>
  </xdr:twoCellAnchor>
  <xdr:twoCellAnchor>
    <xdr:from>
      <xdr:col>1</xdr:col>
      <xdr:colOff>236780</xdr:colOff>
      <xdr:row>157</xdr:row>
      <xdr:rowOff>21527</xdr:rowOff>
    </xdr:from>
    <xdr:to>
      <xdr:col>1</xdr:col>
      <xdr:colOff>382300</xdr:colOff>
      <xdr:row>158</xdr:row>
      <xdr:rowOff>50631</xdr:rowOff>
    </xdr:to>
    <xdr:sp macro="" textlink="">
      <xdr:nvSpPr>
        <xdr:cNvPr id="557" name="AutoShape 10734">
          <a:extLst>
            <a:ext uri="{FF2B5EF4-FFF2-40B4-BE49-F238E27FC236}">
              <a16:creationId xmlns:a16="http://schemas.microsoft.com/office/drawing/2014/main" id="{B331905D-25F2-48FD-A672-29369C53756F}"/>
            </a:ext>
          </a:extLst>
        </xdr:cNvPr>
        <xdr:cNvSpPr>
          <a:spLocks noChangeArrowheads="1"/>
        </xdr:cNvSpPr>
      </xdr:nvSpPr>
      <xdr:spPr bwMode="auto">
        <a:xfrm rot="5400000">
          <a:off x="1308448" y="53996739"/>
          <a:ext cx="532024" cy="145520"/>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xdr:from>
      <xdr:col>13</xdr:col>
      <xdr:colOff>274880</xdr:colOff>
      <xdr:row>357</xdr:row>
      <xdr:rowOff>177800</xdr:rowOff>
    </xdr:from>
    <xdr:to>
      <xdr:col>13</xdr:col>
      <xdr:colOff>508000</xdr:colOff>
      <xdr:row>358</xdr:row>
      <xdr:rowOff>673100</xdr:rowOff>
    </xdr:to>
    <xdr:sp macro="" textlink="">
      <xdr:nvSpPr>
        <xdr:cNvPr id="558" name="AutoShape 10734">
          <a:extLst>
            <a:ext uri="{FF2B5EF4-FFF2-40B4-BE49-F238E27FC236}">
              <a16:creationId xmlns:a16="http://schemas.microsoft.com/office/drawing/2014/main" id="{C0BDCCB1-4C5D-4188-9DC4-BC216AB6DAE2}"/>
            </a:ext>
          </a:extLst>
        </xdr:cNvPr>
        <xdr:cNvSpPr>
          <a:spLocks noChangeArrowheads="1"/>
        </xdr:cNvSpPr>
      </xdr:nvSpPr>
      <xdr:spPr bwMode="auto">
        <a:xfrm rot="5400000">
          <a:off x="12831090" y="126000790"/>
          <a:ext cx="678180" cy="233120"/>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editAs="oneCell">
    <xdr:from>
      <xdr:col>23</xdr:col>
      <xdr:colOff>97694</xdr:colOff>
      <xdr:row>111</xdr:row>
      <xdr:rowOff>24424</xdr:rowOff>
    </xdr:from>
    <xdr:to>
      <xdr:col>23</xdr:col>
      <xdr:colOff>435165</xdr:colOff>
      <xdr:row>114</xdr:row>
      <xdr:rowOff>106449</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5"/>
        <a:stretch>
          <a:fillRect/>
        </a:stretch>
      </xdr:blipFill>
      <xdr:spPr>
        <a:xfrm rot="16200000">
          <a:off x="21553797" y="37021341"/>
          <a:ext cx="630665" cy="337471"/>
        </a:xfrm>
        <a:prstGeom prst="rect">
          <a:avLst/>
        </a:prstGeom>
      </xdr:spPr>
    </xdr:pic>
    <xdr:clientData/>
  </xdr:twoCellAnchor>
  <xdr:twoCellAnchor editAs="oneCell">
    <xdr:from>
      <xdr:col>7</xdr:col>
      <xdr:colOff>213361</xdr:colOff>
      <xdr:row>366</xdr:row>
      <xdr:rowOff>15240</xdr:rowOff>
    </xdr:from>
    <xdr:to>
      <xdr:col>7</xdr:col>
      <xdr:colOff>528877</xdr:colOff>
      <xdr:row>369</xdr:row>
      <xdr:rowOff>172149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5"/>
        <a:stretch>
          <a:fillRect/>
        </a:stretch>
      </xdr:blipFill>
      <xdr:spPr>
        <a:xfrm rot="16200000">
          <a:off x="7489754" y="128809187"/>
          <a:ext cx="606489" cy="315516"/>
        </a:xfrm>
        <a:prstGeom prst="rect">
          <a:avLst/>
        </a:prstGeom>
      </xdr:spPr>
    </xdr:pic>
    <xdr:clientData/>
  </xdr:twoCellAnchor>
  <xdr:twoCellAnchor editAs="oneCell">
    <xdr:from>
      <xdr:col>5</xdr:col>
      <xdr:colOff>355600</xdr:colOff>
      <xdr:row>323</xdr:row>
      <xdr:rowOff>63500</xdr:rowOff>
    </xdr:from>
    <xdr:to>
      <xdr:col>5</xdr:col>
      <xdr:colOff>663496</xdr:colOff>
      <xdr:row>326</xdr:row>
      <xdr:rowOff>205436</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5"/>
        <a:stretch>
          <a:fillRect/>
        </a:stretch>
      </xdr:blipFill>
      <xdr:spPr>
        <a:xfrm rot="16200000">
          <a:off x="5490640" y="113244200"/>
          <a:ext cx="591516" cy="315516"/>
        </a:xfrm>
        <a:prstGeom prst="rect">
          <a:avLst/>
        </a:prstGeom>
      </xdr:spPr>
    </xdr:pic>
    <xdr:clientData/>
  </xdr:twoCellAnchor>
  <xdr:twoCellAnchor editAs="oneCell">
    <xdr:from>
      <xdr:col>5</xdr:col>
      <xdr:colOff>317501</xdr:colOff>
      <xdr:row>101</xdr:row>
      <xdr:rowOff>330200</xdr:rowOff>
    </xdr:from>
    <xdr:to>
      <xdr:col>5</xdr:col>
      <xdr:colOff>647352</xdr:colOff>
      <xdr:row>105</xdr:row>
      <xdr:rowOff>219186</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5"/>
        <a:stretch>
          <a:fillRect/>
        </a:stretch>
      </xdr:blipFill>
      <xdr:spPr>
        <a:xfrm rot="16200000">
          <a:off x="5445214" y="33820647"/>
          <a:ext cx="628126" cy="337471"/>
        </a:xfrm>
        <a:prstGeom prst="rect">
          <a:avLst/>
        </a:prstGeom>
      </xdr:spPr>
    </xdr:pic>
    <xdr:clientData/>
  </xdr:twoCellAnchor>
  <xdr:twoCellAnchor editAs="oneCell">
    <xdr:from>
      <xdr:col>13</xdr:col>
      <xdr:colOff>196908</xdr:colOff>
      <xdr:row>27</xdr:row>
      <xdr:rowOff>126999</xdr:rowOff>
    </xdr:from>
    <xdr:to>
      <xdr:col>13</xdr:col>
      <xdr:colOff>532448</xdr:colOff>
      <xdr:row>31</xdr:row>
      <xdr:rowOff>100330</xdr:rowOff>
    </xdr:to>
    <xdr:pic>
      <xdr:nvPicPr>
        <xdr:cNvPr id="563" name="Picture 562">
          <a:extLst>
            <a:ext uri="{FF2B5EF4-FFF2-40B4-BE49-F238E27FC236}">
              <a16:creationId xmlns:a16="http://schemas.microsoft.com/office/drawing/2014/main" id="{3EE60A08-FEF7-4E9B-9145-41E92768D5DB}"/>
            </a:ext>
          </a:extLst>
        </xdr:cNvPr>
        <xdr:cNvPicPr>
          <a:picLocks noChangeAspect="1"/>
        </xdr:cNvPicPr>
      </xdr:nvPicPr>
      <xdr:blipFill>
        <a:blip xmlns:r="http://schemas.openxmlformats.org/officeDocument/2006/relationships" r:embed="rId4"/>
        <a:stretch>
          <a:fillRect/>
        </a:stretch>
      </xdr:blipFill>
      <xdr:spPr>
        <a:xfrm>
          <a:off x="12975648" y="7152639"/>
          <a:ext cx="335540" cy="605791"/>
        </a:xfrm>
        <a:prstGeom prst="rect">
          <a:avLst/>
        </a:prstGeom>
      </xdr:spPr>
    </xdr:pic>
    <xdr:clientData/>
  </xdr:twoCellAnchor>
  <xdr:twoCellAnchor editAs="oneCell">
    <xdr:from>
      <xdr:col>5</xdr:col>
      <xdr:colOff>431800</xdr:colOff>
      <xdr:row>93</xdr:row>
      <xdr:rowOff>50800</xdr:rowOff>
    </xdr:from>
    <xdr:to>
      <xdr:col>5</xdr:col>
      <xdr:colOff>622360</xdr:colOff>
      <xdr:row>96</xdr:row>
      <xdr:rowOff>213632</xdr:rowOff>
    </xdr:to>
    <xdr:pic>
      <xdr:nvPicPr>
        <xdr:cNvPr id="564" name="Picture 563">
          <a:extLst>
            <a:ext uri="{FF2B5EF4-FFF2-40B4-BE49-F238E27FC236}">
              <a16:creationId xmlns:a16="http://schemas.microsoft.com/office/drawing/2014/main" id="{D3E9818E-613A-46CB-B757-0287FD729CB5}"/>
            </a:ext>
          </a:extLst>
        </xdr:cNvPr>
        <xdr:cNvPicPr>
          <a:picLocks noChangeAspect="1"/>
        </xdr:cNvPicPr>
      </xdr:nvPicPr>
      <xdr:blipFill>
        <a:blip xmlns:r="http://schemas.openxmlformats.org/officeDocument/2006/relationships" r:embed="rId4"/>
        <a:stretch>
          <a:fillRect/>
        </a:stretch>
      </xdr:blipFill>
      <xdr:spPr>
        <a:xfrm>
          <a:off x="5704840" y="30477460"/>
          <a:ext cx="198180" cy="612412"/>
        </a:xfrm>
        <a:prstGeom prst="rect">
          <a:avLst/>
        </a:prstGeom>
      </xdr:spPr>
    </xdr:pic>
    <xdr:clientData/>
  </xdr:twoCellAnchor>
  <xdr:twoCellAnchor editAs="oneCell">
    <xdr:from>
      <xdr:col>9</xdr:col>
      <xdr:colOff>177800</xdr:colOff>
      <xdr:row>93</xdr:row>
      <xdr:rowOff>38100</xdr:rowOff>
    </xdr:from>
    <xdr:to>
      <xdr:col>9</xdr:col>
      <xdr:colOff>375980</xdr:colOff>
      <xdr:row>96</xdr:row>
      <xdr:rowOff>200932</xdr:rowOff>
    </xdr:to>
    <xdr:pic>
      <xdr:nvPicPr>
        <xdr:cNvPr id="565" name="Picture 564">
          <a:extLst>
            <a:ext uri="{FF2B5EF4-FFF2-40B4-BE49-F238E27FC236}">
              <a16:creationId xmlns:a16="http://schemas.microsoft.com/office/drawing/2014/main" id="{31019327-3F4B-4F9F-90A1-C238A4177157}"/>
            </a:ext>
          </a:extLst>
        </xdr:cNvPr>
        <xdr:cNvPicPr>
          <a:picLocks noChangeAspect="1"/>
        </xdr:cNvPicPr>
      </xdr:nvPicPr>
      <xdr:blipFill>
        <a:blip xmlns:r="http://schemas.openxmlformats.org/officeDocument/2006/relationships" r:embed="rId4"/>
        <a:stretch>
          <a:fillRect/>
        </a:stretch>
      </xdr:blipFill>
      <xdr:spPr>
        <a:xfrm>
          <a:off x="9748520" y="30464760"/>
          <a:ext cx="198180" cy="612412"/>
        </a:xfrm>
        <a:prstGeom prst="rect">
          <a:avLst/>
        </a:prstGeom>
      </xdr:spPr>
    </xdr:pic>
    <xdr:clientData/>
  </xdr:twoCellAnchor>
  <xdr:twoCellAnchor>
    <xdr:from>
      <xdr:col>17</xdr:col>
      <xdr:colOff>268654</xdr:colOff>
      <xdr:row>19</xdr:row>
      <xdr:rowOff>36634</xdr:rowOff>
    </xdr:from>
    <xdr:to>
      <xdr:col>17</xdr:col>
      <xdr:colOff>366346</xdr:colOff>
      <xdr:row>21</xdr:row>
      <xdr:rowOff>0</xdr:rowOff>
    </xdr:to>
    <xdr:sp macro="" textlink="">
      <xdr:nvSpPr>
        <xdr:cNvPr id="566" name="AutoShape 10734">
          <a:extLst>
            <a:ext uri="{FF2B5EF4-FFF2-40B4-BE49-F238E27FC236}">
              <a16:creationId xmlns:a16="http://schemas.microsoft.com/office/drawing/2014/main" id="{01FAC2F2-2D9C-4C4F-8679-29D8A1E3F87B}"/>
            </a:ext>
          </a:extLst>
        </xdr:cNvPr>
        <xdr:cNvSpPr>
          <a:spLocks noChangeArrowheads="1"/>
        </xdr:cNvSpPr>
      </xdr:nvSpPr>
      <xdr:spPr bwMode="auto">
        <a:xfrm rot="5400000">
          <a:off x="16364487" y="4804361"/>
          <a:ext cx="672026" cy="97692"/>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xdr:from>
      <xdr:col>7</xdr:col>
      <xdr:colOff>299916</xdr:colOff>
      <xdr:row>136</xdr:row>
      <xdr:rowOff>11238</xdr:rowOff>
    </xdr:from>
    <xdr:to>
      <xdr:col>7</xdr:col>
      <xdr:colOff>483090</xdr:colOff>
      <xdr:row>137</xdr:row>
      <xdr:rowOff>482600</xdr:rowOff>
    </xdr:to>
    <xdr:sp macro="" textlink="">
      <xdr:nvSpPr>
        <xdr:cNvPr id="567" name="AutoShape 10734">
          <a:extLst>
            <a:ext uri="{FF2B5EF4-FFF2-40B4-BE49-F238E27FC236}">
              <a16:creationId xmlns:a16="http://schemas.microsoft.com/office/drawing/2014/main" id="{D5F8E0FC-3239-4F26-9FD7-2F954699A847}"/>
            </a:ext>
          </a:extLst>
        </xdr:cNvPr>
        <xdr:cNvSpPr>
          <a:spLocks noChangeArrowheads="1"/>
        </xdr:cNvSpPr>
      </xdr:nvSpPr>
      <xdr:spPr bwMode="auto">
        <a:xfrm rot="5400000" flipV="1">
          <a:off x="7471022" y="46523032"/>
          <a:ext cx="684722" cy="183174"/>
        </a:xfrm>
        <a:prstGeom prst="rightArrow">
          <a:avLst>
            <a:gd name="adj1" fmla="val 50000"/>
            <a:gd name="adj2" fmla="val 140822"/>
          </a:avLst>
        </a:prstGeom>
        <a:solidFill>
          <a:srgbClr val="9999FF"/>
        </a:solidFill>
        <a:ln w="9525" algn="ctr">
          <a:solidFill>
            <a:srgbClr val="9999FF"/>
          </a:solidFill>
          <a:miter lim="800000"/>
          <a:headEnd/>
          <a:tailEnd/>
        </a:ln>
      </xdr:spPr>
    </xdr:sp>
    <xdr:clientData/>
  </xdr:twoCellAnchor>
  <xdr:twoCellAnchor editAs="oneCell">
    <xdr:from>
      <xdr:col>3</xdr:col>
      <xdr:colOff>311642</xdr:colOff>
      <xdr:row>263</xdr:row>
      <xdr:rowOff>60570</xdr:rowOff>
    </xdr:from>
    <xdr:to>
      <xdr:col>3</xdr:col>
      <xdr:colOff>779783</xdr:colOff>
      <xdr:row>267</xdr:row>
      <xdr:rowOff>45920</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5"/>
        <a:stretch>
          <a:fillRect/>
        </a:stretch>
      </xdr:blipFill>
      <xdr:spPr>
        <a:xfrm rot="16200000">
          <a:off x="3269568" y="91262984"/>
          <a:ext cx="625430" cy="475761"/>
        </a:xfrm>
        <a:prstGeom prst="rect">
          <a:avLst/>
        </a:prstGeom>
      </xdr:spPr>
    </xdr:pic>
    <xdr:clientData/>
  </xdr:twoCellAnchor>
  <xdr:twoCellAnchor>
    <xdr:from>
      <xdr:col>7</xdr:col>
      <xdr:colOff>419100</xdr:colOff>
      <xdr:row>2</xdr:row>
      <xdr:rowOff>292100</xdr:rowOff>
    </xdr:from>
    <xdr:to>
      <xdr:col>7</xdr:col>
      <xdr:colOff>431800</xdr:colOff>
      <xdr:row>6</xdr:row>
      <xdr:rowOff>139700</xdr:rowOff>
    </xdr:to>
    <xdr:cxnSp macro="">
      <xdr:nvCxnSpPr>
        <xdr:cNvPr id="569" name="Straight Arrow Connector 568">
          <a:extLst>
            <a:ext uri="{FF2B5EF4-FFF2-40B4-BE49-F238E27FC236}">
              <a16:creationId xmlns:a16="http://schemas.microsoft.com/office/drawing/2014/main" id="{C8003E2F-70EF-4A96-9A97-B6F7E58A4A8B}"/>
            </a:ext>
          </a:extLst>
        </xdr:cNvPr>
        <xdr:cNvCxnSpPr/>
      </xdr:nvCxnSpPr>
      <xdr:spPr>
        <a:xfrm flipV="1">
          <a:off x="7840980" y="764540"/>
          <a:ext cx="12700" cy="944880"/>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23</xdr:col>
      <xdr:colOff>0</xdr:colOff>
      <xdr:row>221</xdr:row>
      <xdr:rowOff>0</xdr:rowOff>
    </xdr:from>
    <xdr:to>
      <xdr:col>23</xdr:col>
      <xdr:colOff>134937</xdr:colOff>
      <xdr:row>221</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273</xdr:row>
      <xdr:rowOff>0</xdr:rowOff>
    </xdr:from>
    <xdr:to>
      <xdr:col>13</xdr:col>
      <xdr:colOff>134937</xdr:colOff>
      <xdr:row>273</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256</xdr:row>
      <xdr:rowOff>0</xdr:rowOff>
    </xdr:from>
    <xdr:to>
      <xdr:col>5</xdr:col>
      <xdr:colOff>134937</xdr:colOff>
      <xdr:row>256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248</xdr:row>
      <xdr:rowOff>0</xdr:rowOff>
    </xdr:from>
    <xdr:to>
      <xdr:col>21</xdr:col>
      <xdr:colOff>134937</xdr:colOff>
      <xdr:row>248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230</xdr:row>
      <xdr:rowOff>0</xdr:rowOff>
    </xdr:from>
    <xdr:to>
      <xdr:col>5</xdr:col>
      <xdr:colOff>134937</xdr:colOff>
      <xdr:row>230</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350</xdr:row>
      <xdr:rowOff>0</xdr:rowOff>
    </xdr:from>
    <xdr:to>
      <xdr:col>23</xdr:col>
      <xdr:colOff>134937</xdr:colOff>
      <xdr:row>350</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221</xdr:row>
      <xdr:rowOff>0</xdr:rowOff>
    </xdr:from>
    <xdr:to>
      <xdr:col>3</xdr:col>
      <xdr:colOff>134937</xdr:colOff>
      <xdr:row>221</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212</xdr:row>
      <xdr:rowOff>0</xdr:rowOff>
    </xdr:from>
    <xdr:to>
      <xdr:col>23</xdr:col>
      <xdr:colOff>134937</xdr:colOff>
      <xdr:row>212</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230</xdr:row>
      <xdr:rowOff>0</xdr:rowOff>
    </xdr:from>
    <xdr:to>
      <xdr:col>3</xdr:col>
      <xdr:colOff>134937</xdr:colOff>
      <xdr:row>230</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248</xdr:row>
      <xdr:rowOff>0</xdr:rowOff>
    </xdr:from>
    <xdr:to>
      <xdr:col>11</xdr:col>
      <xdr:colOff>134937</xdr:colOff>
      <xdr:row>248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350</xdr:row>
      <xdr:rowOff>0</xdr:rowOff>
    </xdr:from>
    <xdr:to>
      <xdr:col>19</xdr:col>
      <xdr:colOff>134937</xdr:colOff>
      <xdr:row>350</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xdr:col>
      <xdr:colOff>0</xdr:colOff>
      <xdr:row>359</xdr:row>
      <xdr:rowOff>0</xdr:rowOff>
    </xdr:from>
    <xdr:to>
      <xdr:col>1</xdr:col>
      <xdr:colOff>134937</xdr:colOff>
      <xdr:row>359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359</xdr:row>
      <xdr:rowOff>0</xdr:rowOff>
    </xdr:from>
    <xdr:to>
      <xdr:col>9</xdr:col>
      <xdr:colOff>134937</xdr:colOff>
      <xdr:row>359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16</xdr:col>
      <xdr:colOff>863600</xdr:colOff>
      <xdr:row>229</xdr:row>
      <xdr:rowOff>469901</xdr:rowOff>
    </xdr:from>
    <xdr:to>
      <xdr:col>17</xdr:col>
      <xdr:colOff>122237</xdr:colOff>
      <xdr:row>229</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359</xdr:row>
      <xdr:rowOff>0</xdr:rowOff>
    </xdr:from>
    <xdr:to>
      <xdr:col>11</xdr:col>
      <xdr:colOff>134937</xdr:colOff>
      <xdr:row>359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350</xdr:row>
      <xdr:rowOff>0</xdr:rowOff>
    </xdr:from>
    <xdr:to>
      <xdr:col>15</xdr:col>
      <xdr:colOff>134937</xdr:colOff>
      <xdr:row>350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350</xdr:row>
      <xdr:rowOff>0</xdr:rowOff>
    </xdr:from>
    <xdr:to>
      <xdr:col>13</xdr:col>
      <xdr:colOff>134937</xdr:colOff>
      <xdr:row>350</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248</xdr:row>
      <xdr:rowOff>0</xdr:rowOff>
    </xdr:from>
    <xdr:to>
      <xdr:col>5</xdr:col>
      <xdr:colOff>134937</xdr:colOff>
      <xdr:row>248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212</xdr:row>
      <xdr:rowOff>0</xdr:rowOff>
    </xdr:from>
    <xdr:to>
      <xdr:col>11</xdr:col>
      <xdr:colOff>134937</xdr:colOff>
      <xdr:row>212</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315</xdr:row>
      <xdr:rowOff>0</xdr:rowOff>
    </xdr:from>
    <xdr:to>
      <xdr:col>19</xdr:col>
      <xdr:colOff>134937</xdr:colOff>
      <xdr:row>315</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248</xdr:row>
      <xdr:rowOff>0</xdr:rowOff>
    </xdr:from>
    <xdr:to>
      <xdr:col>3</xdr:col>
      <xdr:colOff>134937</xdr:colOff>
      <xdr:row>248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325</xdr:row>
      <xdr:rowOff>0</xdr:rowOff>
    </xdr:from>
    <xdr:to>
      <xdr:col>3</xdr:col>
      <xdr:colOff>134937</xdr:colOff>
      <xdr:row>325</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221</xdr:row>
      <xdr:rowOff>0</xdr:rowOff>
    </xdr:from>
    <xdr:to>
      <xdr:col>7</xdr:col>
      <xdr:colOff>134937</xdr:colOff>
      <xdr:row>221</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256</xdr:row>
      <xdr:rowOff>0</xdr:rowOff>
    </xdr:from>
    <xdr:to>
      <xdr:col>21</xdr:col>
      <xdr:colOff>134937</xdr:colOff>
      <xdr:row>256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315</xdr:row>
      <xdr:rowOff>0</xdr:rowOff>
    </xdr:from>
    <xdr:to>
      <xdr:col>13</xdr:col>
      <xdr:colOff>134937</xdr:colOff>
      <xdr:row>315</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212</xdr:row>
      <xdr:rowOff>0</xdr:rowOff>
    </xdr:from>
    <xdr:to>
      <xdr:col>7</xdr:col>
      <xdr:colOff>134937</xdr:colOff>
      <xdr:row>212</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230</xdr:row>
      <xdr:rowOff>0</xdr:rowOff>
    </xdr:from>
    <xdr:to>
      <xdr:col>7</xdr:col>
      <xdr:colOff>134937</xdr:colOff>
      <xdr:row>230</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315</xdr:row>
      <xdr:rowOff>0</xdr:rowOff>
    </xdr:from>
    <xdr:to>
      <xdr:col>15</xdr:col>
      <xdr:colOff>134937</xdr:colOff>
      <xdr:row>315</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xdr:col>
      <xdr:colOff>0</xdr:colOff>
      <xdr:row>350</xdr:row>
      <xdr:rowOff>0</xdr:rowOff>
    </xdr:from>
    <xdr:to>
      <xdr:col>1</xdr:col>
      <xdr:colOff>134937</xdr:colOff>
      <xdr:row>350</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350</xdr:row>
      <xdr:rowOff>0</xdr:rowOff>
    </xdr:from>
    <xdr:to>
      <xdr:col>9</xdr:col>
      <xdr:colOff>134937</xdr:colOff>
      <xdr:row>350</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342</xdr:row>
      <xdr:rowOff>0</xdr:rowOff>
    </xdr:from>
    <xdr:to>
      <xdr:col>19</xdr:col>
      <xdr:colOff>134937</xdr:colOff>
      <xdr:row>342</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342</xdr:row>
      <xdr:rowOff>0</xdr:rowOff>
    </xdr:from>
    <xdr:to>
      <xdr:col>21</xdr:col>
      <xdr:colOff>134937</xdr:colOff>
      <xdr:row>342</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342</xdr:row>
      <xdr:rowOff>0</xdr:rowOff>
    </xdr:from>
    <xdr:to>
      <xdr:col>23</xdr:col>
      <xdr:colOff>134937</xdr:colOff>
      <xdr:row>342</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350</xdr:row>
      <xdr:rowOff>0</xdr:rowOff>
    </xdr:from>
    <xdr:to>
      <xdr:col>3</xdr:col>
      <xdr:colOff>134937</xdr:colOff>
      <xdr:row>350</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265</xdr:row>
      <xdr:rowOff>0</xdr:rowOff>
    </xdr:from>
    <xdr:to>
      <xdr:col>21</xdr:col>
      <xdr:colOff>134937</xdr:colOff>
      <xdr:row>265</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xdr:col>
      <xdr:colOff>0</xdr:colOff>
      <xdr:row>256</xdr:row>
      <xdr:rowOff>0</xdr:rowOff>
    </xdr:from>
    <xdr:to>
      <xdr:col>1</xdr:col>
      <xdr:colOff>134937</xdr:colOff>
      <xdr:row>256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256</xdr:row>
      <xdr:rowOff>0</xdr:rowOff>
    </xdr:from>
    <xdr:to>
      <xdr:col>15</xdr:col>
      <xdr:colOff>134937</xdr:colOff>
      <xdr:row>256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342</xdr:row>
      <xdr:rowOff>0</xdr:rowOff>
    </xdr:from>
    <xdr:to>
      <xdr:col>11</xdr:col>
      <xdr:colOff>134937</xdr:colOff>
      <xdr:row>342</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342</xdr:row>
      <xdr:rowOff>0</xdr:rowOff>
    </xdr:from>
    <xdr:to>
      <xdr:col>3</xdr:col>
      <xdr:colOff>134937</xdr:colOff>
      <xdr:row>342</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342</xdr:row>
      <xdr:rowOff>0</xdr:rowOff>
    </xdr:from>
    <xdr:to>
      <xdr:col>13</xdr:col>
      <xdr:colOff>134937</xdr:colOff>
      <xdr:row>342</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325</xdr:row>
      <xdr:rowOff>0</xdr:rowOff>
    </xdr:from>
    <xdr:to>
      <xdr:col>15</xdr:col>
      <xdr:colOff>134937</xdr:colOff>
      <xdr:row>325</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298</xdr:row>
      <xdr:rowOff>0</xdr:rowOff>
    </xdr:from>
    <xdr:to>
      <xdr:col>11</xdr:col>
      <xdr:colOff>134937</xdr:colOff>
      <xdr:row>298</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298</xdr:row>
      <xdr:rowOff>0</xdr:rowOff>
    </xdr:from>
    <xdr:to>
      <xdr:col>9</xdr:col>
      <xdr:colOff>134937</xdr:colOff>
      <xdr:row>298</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298</xdr:row>
      <xdr:rowOff>0</xdr:rowOff>
    </xdr:from>
    <xdr:to>
      <xdr:col>17</xdr:col>
      <xdr:colOff>134937</xdr:colOff>
      <xdr:row>298</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298</xdr:row>
      <xdr:rowOff>0</xdr:rowOff>
    </xdr:from>
    <xdr:to>
      <xdr:col>19</xdr:col>
      <xdr:colOff>134937</xdr:colOff>
      <xdr:row>298</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298</xdr:row>
      <xdr:rowOff>0</xdr:rowOff>
    </xdr:from>
    <xdr:to>
      <xdr:col>21</xdr:col>
      <xdr:colOff>134937</xdr:colOff>
      <xdr:row>298</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359</xdr:row>
      <xdr:rowOff>0</xdr:rowOff>
    </xdr:from>
    <xdr:to>
      <xdr:col>19</xdr:col>
      <xdr:colOff>134937</xdr:colOff>
      <xdr:row>359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359</xdr:row>
      <xdr:rowOff>0</xdr:rowOff>
    </xdr:from>
    <xdr:to>
      <xdr:col>21</xdr:col>
      <xdr:colOff>134937</xdr:colOff>
      <xdr:row>359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221</xdr:row>
      <xdr:rowOff>0</xdr:rowOff>
    </xdr:from>
    <xdr:to>
      <xdr:col>9</xdr:col>
      <xdr:colOff>134937</xdr:colOff>
      <xdr:row>221</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273</xdr:row>
      <xdr:rowOff>0</xdr:rowOff>
    </xdr:from>
    <xdr:to>
      <xdr:col>17</xdr:col>
      <xdr:colOff>134937</xdr:colOff>
      <xdr:row>273</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xdr:col>
      <xdr:colOff>0</xdr:colOff>
      <xdr:row>203</xdr:row>
      <xdr:rowOff>0</xdr:rowOff>
    </xdr:from>
    <xdr:to>
      <xdr:col>1</xdr:col>
      <xdr:colOff>134937</xdr:colOff>
      <xdr:row>203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xdr:col>
      <xdr:colOff>0</xdr:colOff>
      <xdr:row>289</xdr:row>
      <xdr:rowOff>0</xdr:rowOff>
    </xdr:from>
    <xdr:to>
      <xdr:col>1</xdr:col>
      <xdr:colOff>134937</xdr:colOff>
      <xdr:row>289</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xdr:col>
      <xdr:colOff>0</xdr:colOff>
      <xdr:row>265</xdr:row>
      <xdr:rowOff>0</xdr:rowOff>
    </xdr:from>
    <xdr:to>
      <xdr:col>1</xdr:col>
      <xdr:colOff>134937</xdr:colOff>
      <xdr:row>265</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325</xdr:row>
      <xdr:rowOff>0</xdr:rowOff>
    </xdr:from>
    <xdr:to>
      <xdr:col>19</xdr:col>
      <xdr:colOff>134937</xdr:colOff>
      <xdr:row>325</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325</xdr:row>
      <xdr:rowOff>0</xdr:rowOff>
    </xdr:from>
    <xdr:to>
      <xdr:col>17</xdr:col>
      <xdr:colOff>134937</xdr:colOff>
      <xdr:row>325</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xdr:col>
      <xdr:colOff>0</xdr:colOff>
      <xdr:row>325</xdr:row>
      <xdr:rowOff>0</xdr:rowOff>
    </xdr:from>
    <xdr:to>
      <xdr:col>1</xdr:col>
      <xdr:colOff>134937</xdr:colOff>
      <xdr:row>325</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315</xdr:row>
      <xdr:rowOff>0</xdr:rowOff>
    </xdr:from>
    <xdr:to>
      <xdr:col>21</xdr:col>
      <xdr:colOff>134937</xdr:colOff>
      <xdr:row>315</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334</xdr:row>
      <xdr:rowOff>0</xdr:rowOff>
    </xdr:from>
    <xdr:to>
      <xdr:col>21</xdr:col>
      <xdr:colOff>134937</xdr:colOff>
      <xdr:row>334</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334</xdr:row>
      <xdr:rowOff>0</xdr:rowOff>
    </xdr:from>
    <xdr:to>
      <xdr:col>23</xdr:col>
      <xdr:colOff>134937</xdr:colOff>
      <xdr:row>334</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6</xdr:col>
      <xdr:colOff>0</xdr:colOff>
      <xdr:row>372</xdr:row>
      <xdr:rowOff>126029</xdr:rowOff>
    </xdr:from>
    <xdr:to>
      <xdr:col>7</xdr:col>
      <xdr:colOff>0</xdr:colOff>
      <xdr:row>375</xdr:row>
      <xdr:rowOff>165133</xdr:rowOff>
    </xdr:to>
    <xdr:sp macro="" textlink="">
      <xdr:nvSpPr>
        <xdr:cNvPr id="634" name="Isosceles Triangle 633">
          <a:extLst>
            <a:ext uri="{FF2B5EF4-FFF2-40B4-BE49-F238E27FC236}">
              <a16:creationId xmlns:a16="http://schemas.microsoft.com/office/drawing/2014/main" id="{B990D29C-A230-4245-9A68-4DD6FCF73405}"/>
            </a:ext>
          </a:extLst>
        </xdr:cNvPr>
        <xdr:cNvSpPr/>
      </xdr:nvSpPr>
      <xdr:spPr>
        <a:xfrm>
          <a:off x="6309360" y="131243369"/>
          <a:ext cx="111252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372</xdr:row>
      <xdr:rowOff>126029</xdr:rowOff>
    </xdr:from>
    <xdr:to>
      <xdr:col>9</xdr:col>
      <xdr:colOff>0</xdr:colOff>
      <xdr:row>375</xdr:row>
      <xdr:rowOff>165133</xdr:rowOff>
    </xdr:to>
    <xdr:sp macro="" textlink="">
      <xdr:nvSpPr>
        <xdr:cNvPr id="635" name="Isosceles Triangle 634">
          <a:extLst>
            <a:ext uri="{FF2B5EF4-FFF2-40B4-BE49-F238E27FC236}">
              <a16:creationId xmlns:a16="http://schemas.microsoft.com/office/drawing/2014/main" id="{0E691155-C780-434C-9EB0-0C3FD7CF49E8}"/>
            </a:ext>
          </a:extLst>
        </xdr:cNvPr>
        <xdr:cNvSpPr/>
      </xdr:nvSpPr>
      <xdr:spPr>
        <a:xfrm>
          <a:off x="8298180" y="131243369"/>
          <a:ext cx="1272540" cy="113638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7</xdr:col>
      <xdr:colOff>255154</xdr:colOff>
      <xdr:row>374</xdr:row>
      <xdr:rowOff>323273</xdr:rowOff>
    </xdr:from>
    <xdr:to>
      <xdr:col>7</xdr:col>
      <xdr:colOff>524222</xdr:colOff>
      <xdr:row>379</xdr:row>
      <xdr:rowOff>91419</xdr:rowOff>
    </xdr:to>
    <xdr:pic>
      <xdr:nvPicPr>
        <xdr:cNvPr id="636" name="Picture 635">
          <a:extLst>
            <a:ext uri="{FF2B5EF4-FFF2-40B4-BE49-F238E27FC236}">
              <a16:creationId xmlns:a16="http://schemas.microsoft.com/office/drawing/2014/main" id="{A3F04BFA-F3BB-4AC2-BB09-72DED57DB293}"/>
            </a:ext>
          </a:extLst>
        </xdr:cNvPr>
        <xdr:cNvPicPr>
          <a:picLocks noChangeAspect="1"/>
        </xdr:cNvPicPr>
      </xdr:nvPicPr>
      <xdr:blipFill>
        <a:blip xmlns:r="http://schemas.openxmlformats.org/officeDocument/2006/relationships" r:embed="rId4"/>
        <a:stretch>
          <a:fillRect/>
        </a:stretch>
      </xdr:blipFill>
      <xdr:spPr>
        <a:xfrm>
          <a:off x="7677034" y="132172133"/>
          <a:ext cx="269068" cy="857806"/>
        </a:xfrm>
        <a:prstGeom prst="rect">
          <a:avLst/>
        </a:prstGeom>
      </xdr:spPr>
    </xdr:pic>
    <xdr:clientData/>
  </xdr:twoCellAnchor>
  <xdr:twoCellAnchor>
    <xdr:from>
      <xdr:col>16</xdr:col>
      <xdr:colOff>0</xdr:colOff>
      <xdr:row>354</xdr:row>
      <xdr:rowOff>113329</xdr:rowOff>
    </xdr:from>
    <xdr:to>
      <xdr:col>17</xdr:col>
      <xdr:colOff>9072</xdr:colOff>
      <xdr:row>358</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0</xdr:colOff>
      <xdr:row>325</xdr:row>
      <xdr:rowOff>0</xdr:rowOff>
    </xdr:from>
    <xdr:to>
      <xdr:col>11</xdr:col>
      <xdr:colOff>134937</xdr:colOff>
      <xdr:row>325</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325</xdr:row>
      <xdr:rowOff>0</xdr:rowOff>
    </xdr:from>
    <xdr:to>
      <xdr:col>9</xdr:col>
      <xdr:colOff>134937</xdr:colOff>
      <xdr:row>325</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xdr:col>
      <xdr:colOff>0</xdr:colOff>
      <xdr:row>166</xdr:row>
      <xdr:rowOff>0</xdr:rowOff>
    </xdr:from>
    <xdr:to>
      <xdr:col>1</xdr:col>
      <xdr:colOff>134937</xdr:colOff>
      <xdr:row>166</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221</xdr:row>
      <xdr:rowOff>0</xdr:rowOff>
    </xdr:from>
    <xdr:to>
      <xdr:col>13</xdr:col>
      <xdr:colOff>134937</xdr:colOff>
      <xdr:row>221</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166</xdr:row>
      <xdr:rowOff>0</xdr:rowOff>
    </xdr:from>
    <xdr:to>
      <xdr:col>3</xdr:col>
      <xdr:colOff>134937</xdr:colOff>
      <xdr:row>166</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166</xdr:row>
      <xdr:rowOff>0</xdr:rowOff>
    </xdr:from>
    <xdr:to>
      <xdr:col>5</xdr:col>
      <xdr:colOff>134937</xdr:colOff>
      <xdr:row>166</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334</xdr:row>
      <xdr:rowOff>0</xdr:rowOff>
    </xdr:from>
    <xdr:to>
      <xdr:col>11</xdr:col>
      <xdr:colOff>134937</xdr:colOff>
      <xdr:row>334</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334</xdr:row>
      <xdr:rowOff>0</xdr:rowOff>
    </xdr:from>
    <xdr:to>
      <xdr:col>9</xdr:col>
      <xdr:colOff>134937</xdr:colOff>
      <xdr:row>334</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334</xdr:row>
      <xdr:rowOff>0</xdr:rowOff>
    </xdr:from>
    <xdr:to>
      <xdr:col>7</xdr:col>
      <xdr:colOff>134937</xdr:colOff>
      <xdr:row>334</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334</xdr:row>
      <xdr:rowOff>0</xdr:rowOff>
    </xdr:from>
    <xdr:to>
      <xdr:col>5</xdr:col>
      <xdr:colOff>134937</xdr:colOff>
      <xdr:row>334</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253999</xdr:colOff>
      <xdr:row>6</xdr:row>
      <xdr:rowOff>171824</xdr:rowOff>
    </xdr:from>
    <xdr:to>
      <xdr:col>9</xdr:col>
      <xdr:colOff>303023</xdr:colOff>
      <xdr:row>8</xdr:row>
      <xdr:rowOff>3139</xdr:rowOff>
    </xdr:to>
    <xdr:sp macro="" textlink="">
      <xdr:nvSpPr>
        <xdr:cNvPr id="648" name="Freeform 60">
          <a:extLst>
            <a:ext uri="{FF2B5EF4-FFF2-40B4-BE49-F238E27FC236}">
              <a16:creationId xmlns:a16="http://schemas.microsoft.com/office/drawing/2014/main" id="{1F7ED8D0-62B1-4CC0-8846-19B59473BD42}"/>
            </a:ext>
          </a:extLst>
        </xdr:cNvPr>
        <xdr:cNvSpPr>
          <a:spLocks/>
        </xdr:cNvSpPr>
      </xdr:nvSpPr>
      <xdr:spPr bwMode="auto">
        <a:xfrm>
          <a:off x="7675879" y="1741544"/>
          <a:ext cx="2197864" cy="2275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448236</xdr:colOff>
      <xdr:row>4</xdr:row>
      <xdr:rowOff>0</xdr:rowOff>
    </xdr:from>
    <xdr:to>
      <xdr:col>8</xdr:col>
      <xdr:colOff>470648</xdr:colOff>
      <xdr:row>7</xdr:row>
      <xdr:rowOff>52295</xdr:rowOff>
    </xdr:to>
    <xdr:cxnSp macro="">
      <xdr:nvCxnSpPr>
        <xdr:cNvPr id="649" name="Straight Arrow Connector 648">
          <a:extLst>
            <a:ext uri="{FF2B5EF4-FFF2-40B4-BE49-F238E27FC236}">
              <a16:creationId xmlns:a16="http://schemas.microsoft.com/office/drawing/2014/main" id="{25D98500-AC0E-481C-BD58-5989AE387131}"/>
            </a:ext>
          </a:extLst>
        </xdr:cNvPr>
        <xdr:cNvCxnSpPr/>
      </xdr:nvCxnSpPr>
      <xdr:spPr>
        <a:xfrm flipV="1">
          <a:off x="8746416" y="1173480"/>
          <a:ext cx="22412" cy="646655"/>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558053</xdr:colOff>
      <xdr:row>4</xdr:row>
      <xdr:rowOff>2540</xdr:rowOff>
    </xdr:from>
    <xdr:to>
      <xdr:col>10</xdr:col>
      <xdr:colOff>177800</xdr:colOff>
      <xdr:row>8</xdr:row>
      <xdr:rowOff>89647</xdr:rowOff>
    </xdr:to>
    <xdr:cxnSp macro="">
      <xdr:nvCxnSpPr>
        <xdr:cNvPr id="650" name="Straight Arrow Connector 649">
          <a:extLst>
            <a:ext uri="{FF2B5EF4-FFF2-40B4-BE49-F238E27FC236}">
              <a16:creationId xmlns:a16="http://schemas.microsoft.com/office/drawing/2014/main" id="{0B6AAD37-D42C-444A-8918-B24FE00BF265}"/>
            </a:ext>
          </a:extLst>
        </xdr:cNvPr>
        <xdr:cNvCxnSpPr/>
      </xdr:nvCxnSpPr>
      <xdr:spPr>
        <a:xfrm flipV="1">
          <a:off x="8856233" y="1176020"/>
          <a:ext cx="1517127" cy="879587"/>
        </a:xfrm>
        <a:prstGeom prst="straightConnector1">
          <a:avLst/>
        </a:prstGeom>
        <a:ln w="9525">
          <a:solidFill>
            <a:sysClr val="windowText" lastClr="000000"/>
          </a:solidFill>
          <a:tailEnd type="arrow"/>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19</xdr:col>
      <xdr:colOff>0</xdr:colOff>
      <xdr:row>175</xdr:row>
      <xdr:rowOff>63500</xdr:rowOff>
    </xdr:from>
    <xdr:to>
      <xdr:col>19</xdr:col>
      <xdr:colOff>299110</xdr:colOff>
      <xdr:row>184</xdr:row>
      <xdr:rowOff>42244</xdr:rowOff>
    </xdr:to>
    <xdr:pic>
      <xdr:nvPicPr>
        <xdr:cNvPr id="651" name="Picture 650">
          <a:extLst>
            <a:ext uri="{FF2B5EF4-FFF2-40B4-BE49-F238E27FC236}">
              <a16:creationId xmlns:a16="http://schemas.microsoft.com/office/drawing/2014/main" id="{195823CF-E8E9-4FCE-9E17-65A997672C2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59979560"/>
          <a:ext cx="299110" cy="1220804"/>
        </a:xfrm>
        <a:prstGeom prst="rect">
          <a:avLst/>
        </a:prstGeom>
      </xdr:spPr>
    </xdr:pic>
    <xdr:clientData/>
  </xdr:twoCellAnchor>
  <xdr:twoCellAnchor editAs="oneCell">
    <xdr:from>
      <xdr:col>21</xdr:col>
      <xdr:colOff>63500</xdr:colOff>
      <xdr:row>175</xdr:row>
      <xdr:rowOff>101600</xdr:rowOff>
    </xdr:from>
    <xdr:to>
      <xdr:col>21</xdr:col>
      <xdr:colOff>362610</xdr:colOff>
      <xdr:row>184</xdr:row>
      <xdr:rowOff>80344</xdr:rowOff>
    </xdr:to>
    <xdr:pic>
      <xdr:nvPicPr>
        <xdr:cNvPr id="652" name="Picture 651">
          <a:extLst>
            <a:ext uri="{FF2B5EF4-FFF2-40B4-BE49-F238E27FC236}">
              <a16:creationId xmlns:a16="http://schemas.microsoft.com/office/drawing/2014/main" id="{911DFB93-BE5F-4827-B1BA-2CDF9F2D7EA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745960" y="60017660"/>
          <a:ext cx="299110" cy="1220804"/>
        </a:xfrm>
        <a:prstGeom prst="rect">
          <a:avLst/>
        </a:prstGeom>
      </xdr:spPr>
    </xdr:pic>
    <xdr:clientData/>
  </xdr:twoCellAnchor>
  <xdr:twoCellAnchor editAs="oneCell">
    <xdr:from>
      <xdr:col>1</xdr:col>
      <xdr:colOff>31750</xdr:colOff>
      <xdr:row>184</xdr:row>
      <xdr:rowOff>243417</xdr:rowOff>
    </xdr:from>
    <xdr:to>
      <xdr:col>1</xdr:col>
      <xdr:colOff>330860</xdr:colOff>
      <xdr:row>193</xdr:row>
      <xdr:rowOff>231012</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96670" y="63420837"/>
          <a:ext cx="299110" cy="1267755"/>
        </a:xfrm>
        <a:prstGeom prst="rect">
          <a:avLst/>
        </a:prstGeom>
      </xdr:spPr>
    </xdr:pic>
    <xdr:clientData/>
  </xdr:twoCellAnchor>
  <xdr:twoCellAnchor editAs="oneCell">
    <xdr:from>
      <xdr:col>3</xdr:col>
      <xdr:colOff>31750</xdr:colOff>
      <xdr:row>184</xdr:row>
      <xdr:rowOff>211668</xdr:rowOff>
    </xdr:from>
    <xdr:to>
      <xdr:col>3</xdr:col>
      <xdr:colOff>330860</xdr:colOff>
      <xdr:row>193</xdr:row>
      <xdr:rowOff>229743</xdr:rowOff>
    </xdr:to>
    <xdr:pic>
      <xdr:nvPicPr>
        <xdr:cNvPr id="654" name="Picture 653">
          <a:extLst>
            <a:ext uri="{FF2B5EF4-FFF2-40B4-BE49-F238E27FC236}">
              <a16:creationId xmlns:a16="http://schemas.microsoft.com/office/drawing/2014/main" id="{0EA388AA-08A4-438F-BFC0-0B1F9DB3108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64510" y="63389088"/>
          <a:ext cx="299110" cy="1267755"/>
        </a:xfrm>
        <a:prstGeom prst="rect">
          <a:avLst/>
        </a:prstGeom>
      </xdr:spPr>
    </xdr:pic>
    <xdr:clientData/>
  </xdr:twoCellAnchor>
  <xdr:oneCellAnchor>
    <xdr:from>
      <xdr:col>23</xdr:col>
      <xdr:colOff>12700</xdr:colOff>
      <xdr:row>201</xdr:row>
      <xdr:rowOff>177800</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15400" y="69649340"/>
          <a:ext cx="299110" cy="1004825"/>
        </a:xfrm>
        <a:prstGeom prst="rect">
          <a:avLst/>
        </a:prstGeom>
      </xdr:spPr>
    </xdr:pic>
    <xdr:clientData/>
  </xdr:oneCellAnchor>
  <xdr:oneCellAnchor>
    <xdr:from>
      <xdr:col>21</xdr:col>
      <xdr:colOff>2540</xdr:colOff>
      <xdr:row>202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17</xdr:col>
      <xdr:colOff>63500</xdr:colOff>
      <xdr:row>202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19</xdr:col>
      <xdr:colOff>0</xdr:colOff>
      <xdr:row>202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7</xdr:col>
      <xdr:colOff>13853</xdr:colOff>
      <xdr:row>202</xdr:row>
      <xdr:rowOff>177800</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35733" y="69855080"/>
          <a:ext cx="299110" cy="1004825"/>
        </a:xfrm>
        <a:prstGeom prst="rect">
          <a:avLst/>
        </a:prstGeom>
      </xdr:spPr>
    </xdr:pic>
    <xdr:clientData/>
  </xdr:oneCellAnchor>
  <xdr:oneCellAnchor>
    <xdr:from>
      <xdr:col>3</xdr:col>
      <xdr:colOff>50800</xdr:colOff>
      <xdr:row>202</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1</xdr:col>
      <xdr:colOff>12700</xdr:colOff>
      <xdr:row>202</xdr:row>
      <xdr:rowOff>88900</xdr:rowOff>
    </xdr:from>
    <xdr:ext cx="299110" cy="1004825"/>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620" y="69766180"/>
          <a:ext cx="299110" cy="1004825"/>
        </a:xfrm>
        <a:prstGeom prst="rect">
          <a:avLst/>
        </a:prstGeom>
      </xdr:spPr>
    </xdr:pic>
    <xdr:clientData/>
  </xdr:oneCellAnchor>
  <xdr:twoCellAnchor editAs="oneCell">
    <xdr:from>
      <xdr:col>3</xdr:col>
      <xdr:colOff>0</xdr:colOff>
      <xdr:row>211</xdr:row>
      <xdr:rowOff>88900</xdr:rowOff>
    </xdr:from>
    <xdr:to>
      <xdr:col>3</xdr:col>
      <xdr:colOff>286410</xdr:colOff>
      <xdr:row>219</xdr:row>
      <xdr:rowOff>178596</xdr:rowOff>
    </xdr:to>
    <xdr:pic>
      <xdr:nvPicPr>
        <xdr:cNvPr id="662" name="Picture 661">
          <a:extLst>
            <a:ext uri="{FF2B5EF4-FFF2-40B4-BE49-F238E27FC236}">
              <a16:creationId xmlns:a16="http://schemas.microsoft.com/office/drawing/2014/main" id="{E75D11D1-0259-4157-91B4-9CA2D1ABEED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72981820"/>
          <a:ext cx="286410" cy="1240316"/>
        </a:xfrm>
        <a:prstGeom prst="rect">
          <a:avLst/>
        </a:prstGeom>
      </xdr:spPr>
    </xdr:pic>
    <xdr:clientData/>
  </xdr:twoCellAnchor>
  <xdr:twoCellAnchor editAs="oneCell">
    <xdr:from>
      <xdr:col>21</xdr:col>
      <xdr:colOff>12700</xdr:colOff>
      <xdr:row>211</xdr:row>
      <xdr:rowOff>165100</xdr:rowOff>
    </xdr:from>
    <xdr:to>
      <xdr:col>21</xdr:col>
      <xdr:colOff>311810</xdr:colOff>
      <xdr:row>220</xdr:row>
      <xdr:rowOff>64296</xdr:rowOff>
    </xdr:to>
    <xdr:pic>
      <xdr:nvPicPr>
        <xdr:cNvPr id="663" name="Picture 662">
          <a:extLst>
            <a:ext uri="{FF2B5EF4-FFF2-40B4-BE49-F238E27FC236}">
              <a16:creationId xmlns:a16="http://schemas.microsoft.com/office/drawing/2014/main" id="{2DC75E65-268E-487A-B6E2-5BD4E7F38A7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95160" y="73058020"/>
          <a:ext cx="299110" cy="1240316"/>
        </a:xfrm>
        <a:prstGeom prst="rect">
          <a:avLst/>
        </a:prstGeom>
      </xdr:spPr>
    </xdr:pic>
    <xdr:clientData/>
  </xdr:twoCellAnchor>
  <xdr:twoCellAnchor editAs="oneCell">
    <xdr:from>
      <xdr:col>12</xdr:col>
      <xdr:colOff>1016000</xdr:colOff>
      <xdr:row>211</xdr:row>
      <xdr:rowOff>101600</xdr:rowOff>
    </xdr:from>
    <xdr:to>
      <xdr:col>13</xdr:col>
      <xdr:colOff>286410</xdr:colOff>
      <xdr:row>220</xdr:row>
      <xdr:rowOff>796</xdr:rowOff>
    </xdr:to>
    <xdr:pic>
      <xdr:nvPicPr>
        <xdr:cNvPr id="664" name="Picture 663">
          <a:extLst>
            <a:ext uri="{FF2B5EF4-FFF2-40B4-BE49-F238E27FC236}">
              <a16:creationId xmlns:a16="http://schemas.microsoft.com/office/drawing/2014/main" id="{CF2698F7-D192-40FF-9B4E-D50FC0D3B21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81280" y="72994520"/>
          <a:ext cx="283870" cy="1240316"/>
        </a:xfrm>
        <a:prstGeom prst="rect">
          <a:avLst/>
        </a:prstGeom>
      </xdr:spPr>
    </xdr:pic>
    <xdr:clientData/>
  </xdr:twoCellAnchor>
  <xdr:twoCellAnchor editAs="oneCell">
    <xdr:from>
      <xdr:col>19</xdr:col>
      <xdr:colOff>0</xdr:colOff>
      <xdr:row>211</xdr:row>
      <xdr:rowOff>88900</xdr:rowOff>
    </xdr:from>
    <xdr:to>
      <xdr:col>19</xdr:col>
      <xdr:colOff>299110</xdr:colOff>
      <xdr:row>219</xdr:row>
      <xdr:rowOff>178596</xdr:rowOff>
    </xdr:to>
    <xdr:pic>
      <xdr:nvPicPr>
        <xdr:cNvPr id="665" name="Picture 664">
          <a:extLst>
            <a:ext uri="{FF2B5EF4-FFF2-40B4-BE49-F238E27FC236}">
              <a16:creationId xmlns:a16="http://schemas.microsoft.com/office/drawing/2014/main" id="{DCFB54D0-8E2E-4FB6-ABD1-576B6479936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72981820"/>
          <a:ext cx="299110" cy="1240316"/>
        </a:xfrm>
        <a:prstGeom prst="rect">
          <a:avLst/>
        </a:prstGeom>
      </xdr:spPr>
    </xdr:pic>
    <xdr:clientData/>
  </xdr:twoCellAnchor>
  <xdr:twoCellAnchor editAs="oneCell">
    <xdr:from>
      <xdr:col>17</xdr:col>
      <xdr:colOff>38100</xdr:colOff>
      <xdr:row>211</xdr:row>
      <xdr:rowOff>88900</xdr:rowOff>
    </xdr:from>
    <xdr:to>
      <xdr:col>17</xdr:col>
      <xdr:colOff>337210</xdr:colOff>
      <xdr:row>219</xdr:row>
      <xdr:rowOff>178596</xdr:rowOff>
    </xdr:to>
    <xdr:pic>
      <xdr:nvPicPr>
        <xdr:cNvPr id="666" name="Picture 665">
          <a:extLst>
            <a:ext uri="{FF2B5EF4-FFF2-40B4-BE49-F238E27FC236}">
              <a16:creationId xmlns:a16="http://schemas.microsoft.com/office/drawing/2014/main" id="{4443FFCC-BC14-41C3-8DF0-461C7B56C9B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421100" y="72981820"/>
          <a:ext cx="299110" cy="1240316"/>
        </a:xfrm>
        <a:prstGeom prst="rect">
          <a:avLst/>
        </a:prstGeom>
      </xdr:spPr>
    </xdr:pic>
    <xdr:clientData/>
  </xdr:twoCellAnchor>
  <xdr:twoCellAnchor editAs="oneCell">
    <xdr:from>
      <xdr:col>15</xdr:col>
      <xdr:colOff>12700</xdr:colOff>
      <xdr:row>211</xdr:row>
      <xdr:rowOff>114300</xdr:rowOff>
    </xdr:from>
    <xdr:to>
      <xdr:col>15</xdr:col>
      <xdr:colOff>311810</xdr:colOff>
      <xdr:row>220</xdr:row>
      <xdr:rowOff>13496</xdr:rowOff>
    </xdr:to>
    <xdr:pic>
      <xdr:nvPicPr>
        <xdr:cNvPr id="667" name="Picture 666">
          <a:extLst>
            <a:ext uri="{FF2B5EF4-FFF2-40B4-BE49-F238E27FC236}">
              <a16:creationId xmlns:a16="http://schemas.microsoft.com/office/drawing/2014/main" id="{E1F9825A-ABA6-4495-A668-5CD46390627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12620" y="73007220"/>
          <a:ext cx="299110" cy="1240316"/>
        </a:xfrm>
        <a:prstGeom prst="rect">
          <a:avLst/>
        </a:prstGeom>
      </xdr:spPr>
    </xdr:pic>
    <xdr:clientData/>
  </xdr:twoCellAnchor>
  <xdr:twoCellAnchor editAs="oneCell">
    <xdr:from>
      <xdr:col>9</xdr:col>
      <xdr:colOff>12700</xdr:colOff>
      <xdr:row>211</xdr:row>
      <xdr:rowOff>63500</xdr:rowOff>
    </xdr:from>
    <xdr:to>
      <xdr:col>9</xdr:col>
      <xdr:colOff>311810</xdr:colOff>
      <xdr:row>219</xdr:row>
      <xdr:rowOff>146846</xdr:rowOff>
    </xdr:to>
    <xdr:pic>
      <xdr:nvPicPr>
        <xdr:cNvPr id="668" name="Picture 667">
          <a:extLst>
            <a:ext uri="{FF2B5EF4-FFF2-40B4-BE49-F238E27FC236}">
              <a16:creationId xmlns:a16="http://schemas.microsoft.com/office/drawing/2014/main" id="{66C09654-B3E1-46B3-8CDC-6B40CBA75E3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83420" y="72956420"/>
          <a:ext cx="299110" cy="1233966"/>
        </a:xfrm>
        <a:prstGeom prst="rect">
          <a:avLst/>
        </a:prstGeom>
      </xdr:spPr>
    </xdr:pic>
    <xdr:clientData/>
  </xdr:twoCellAnchor>
  <xdr:twoCellAnchor editAs="oneCell">
    <xdr:from>
      <xdr:col>7</xdr:col>
      <xdr:colOff>63500</xdr:colOff>
      <xdr:row>211</xdr:row>
      <xdr:rowOff>44450</xdr:rowOff>
    </xdr:from>
    <xdr:to>
      <xdr:col>7</xdr:col>
      <xdr:colOff>362610</xdr:colOff>
      <xdr:row>218</xdr:row>
      <xdr:rowOff>31911</xdr:rowOff>
    </xdr:to>
    <xdr:pic>
      <xdr:nvPicPr>
        <xdr:cNvPr id="669" name="Picture 668">
          <a:extLst>
            <a:ext uri="{FF2B5EF4-FFF2-40B4-BE49-F238E27FC236}">
              <a16:creationId xmlns:a16="http://schemas.microsoft.com/office/drawing/2014/main" id="{23045DC6-47B9-4753-A722-18AD6562E8C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85380" y="72937370"/>
          <a:ext cx="299110" cy="1054261"/>
        </a:xfrm>
        <a:prstGeom prst="rect">
          <a:avLst/>
        </a:prstGeom>
      </xdr:spPr>
    </xdr:pic>
    <xdr:clientData/>
  </xdr:twoCellAnchor>
  <xdr:twoCellAnchor editAs="oneCell">
    <xdr:from>
      <xdr:col>11</xdr:col>
      <xdr:colOff>25400</xdr:colOff>
      <xdr:row>220</xdr:row>
      <xdr:rowOff>25401</xdr:rowOff>
    </xdr:from>
    <xdr:to>
      <xdr:col>11</xdr:col>
      <xdr:colOff>266223</xdr:colOff>
      <xdr:row>226</xdr:row>
      <xdr:rowOff>144781</xdr:rowOff>
    </xdr:to>
    <xdr:pic>
      <xdr:nvPicPr>
        <xdr:cNvPr id="670" name="Picture 669">
          <a:extLst>
            <a:ext uri="{FF2B5EF4-FFF2-40B4-BE49-F238E27FC236}">
              <a16:creationId xmlns:a16="http://schemas.microsoft.com/office/drawing/2014/main" id="{0308055F-3C7C-4A89-B5E3-AC5BCFD784E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65840" y="75890121"/>
          <a:ext cx="240823" cy="1003300"/>
        </a:xfrm>
        <a:prstGeom prst="rect">
          <a:avLst/>
        </a:prstGeom>
      </xdr:spPr>
    </xdr:pic>
    <xdr:clientData/>
  </xdr:twoCellAnchor>
  <xdr:twoCellAnchor editAs="oneCell">
    <xdr:from>
      <xdr:col>17</xdr:col>
      <xdr:colOff>38100</xdr:colOff>
      <xdr:row>220</xdr:row>
      <xdr:rowOff>1</xdr:rowOff>
    </xdr:from>
    <xdr:to>
      <xdr:col>17</xdr:col>
      <xdr:colOff>279400</xdr:colOff>
      <xdr:row>226</xdr:row>
      <xdr:rowOff>121393</xdr:rowOff>
    </xdr:to>
    <xdr:pic>
      <xdr:nvPicPr>
        <xdr:cNvPr id="671" name="Picture 670">
          <a:extLst>
            <a:ext uri="{FF2B5EF4-FFF2-40B4-BE49-F238E27FC236}">
              <a16:creationId xmlns:a16="http://schemas.microsoft.com/office/drawing/2014/main" id="{9CD073F7-EACF-4689-B24A-B613B13F9A6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421100" y="75864721"/>
          <a:ext cx="241300" cy="1005312"/>
        </a:xfrm>
        <a:prstGeom prst="rect">
          <a:avLst/>
        </a:prstGeom>
      </xdr:spPr>
    </xdr:pic>
    <xdr:clientData/>
  </xdr:twoCellAnchor>
  <xdr:twoCellAnchor editAs="oneCell">
    <xdr:from>
      <xdr:col>7</xdr:col>
      <xdr:colOff>31750</xdr:colOff>
      <xdr:row>229</xdr:row>
      <xdr:rowOff>141817</xdr:rowOff>
    </xdr:from>
    <xdr:to>
      <xdr:col>7</xdr:col>
      <xdr:colOff>330860</xdr:colOff>
      <xdr:row>237</xdr:row>
      <xdr:rowOff>90331</xdr:rowOff>
    </xdr:to>
    <xdr:pic>
      <xdr:nvPicPr>
        <xdr:cNvPr id="672" name="Picture 671">
          <a:extLst>
            <a:ext uri="{FF2B5EF4-FFF2-40B4-BE49-F238E27FC236}">
              <a16:creationId xmlns:a16="http://schemas.microsoft.com/office/drawing/2014/main" id="{50ECB645-E5B6-409E-8A36-9A4D51472BA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53630" y="79115497"/>
          <a:ext cx="299110" cy="1083894"/>
        </a:xfrm>
        <a:prstGeom prst="rect">
          <a:avLst/>
        </a:prstGeom>
      </xdr:spPr>
    </xdr:pic>
    <xdr:clientData/>
  </xdr:twoCellAnchor>
  <xdr:twoCellAnchor editAs="oneCell">
    <xdr:from>
      <xdr:col>19</xdr:col>
      <xdr:colOff>50800</xdr:colOff>
      <xdr:row>239</xdr:row>
      <xdr:rowOff>101600</xdr:rowOff>
    </xdr:from>
    <xdr:to>
      <xdr:col>19</xdr:col>
      <xdr:colOff>349910</xdr:colOff>
      <xdr:row>247</xdr:row>
      <xdr:rowOff>292433</xdr:rowOff>
    </xdr:to>
    <xdr:pic>
      <xdr:nvPicPr>
        <xdr:cNvPr id="673" name="Picture 672">
          <a:extLst>
            <a:ext uri="{FF2B5EF4-FFF2-40B4-BE49-F238E27FC236}">
              <a16:creationId xmlns:a16="http://schemas.microsoft.com/office/drawing/2014/main" id="{79B88441-6697-413C-A4EA-AF2BCA8B12F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56860" y="82732880"/>
          <a:ext cx="299110" cy="1227153"/>
        </a:xfrm>
        <a:prstGeom prst="rect">
          <a:avLst/>
        </a:prstGeom>
      </xdr:spPr>
    </xdr:pic>
    <xdr:clientData/>
  </xdr:twoCellAnchor>
  <xdr:twoCellAnchor editAs="oneCell">
    <xdr:from>
      <xdr:col>13</xdr:col>
      <xdr:colOff>98124</xdr:colOff>
      <xdr:row>247</xdr:row>
      <xdr:rowOff>50801</xdr:rowOff>
    </xdr:from>
    <xdr:to>
      <xdr:col>13</xdr:col>
      <xdr:colOff>266700</xdr:colOff>
      <xdr:row>251</xdr:row>
      <xdr:rowOff>215900</xdr:rowOff>
    </xdr:to>
    <xdr:pic>
      <xdr:nvPicPr>
        <xdr:cNvPr id="674" name="Picture 673">
          <a:extLst>
            <a:ext uri="{FF2B5EF4-FFF2-40B4-BE49-F238E27FC236}">
              <a16:creationId xmlns:a16="http://schemas.microsoft.com/office/drawing/2014/main" id="{D7C772F3-FED8-472E-99B0-261DA4327F6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876864" y="85486241"/>
          <a:ext cx="168576" cy="698499"/>
        </a:xfrm>
        <a:prstGeom prst="rect">
          <a:avLst/>
        </a:prstGeom>
      </xdr:spPr>
    </xdr:pic>
    <xdr:clientData/>
  </xdr:twoCellAnchor>
  <xdr:twoCellAnchor editAs="oneCell">
    <xdr:from>
      <xdr:col>5</xdr:col>
      <xdr:colOff>76200</xdr:colOff>
      <xdr:row>247</xdr:row>
      <xdr:rowOff>127000</xdr:rowOff>
    </xdr:from>
    <xdr:to>
      <xdr:col>5</xdr:col>
      <xdr:colOff>292100</xdr:colOff>
      <xdr:row>252</xdr:row>
      <xdr:rowOff>39421</xdr:rowOff>
    </xdr:to>
    <xdr:pic>
      <xdr:nvPicPr>
        <xdr:cNvPr id="675" name="Picture 674">
          <a:extLst>
            <a:ext uri="{FF2B5EF4-FFF2-40B4-BE49-F238E27FC236}">
              <a16:creationId xmlns:a16="http://schemas.microsoft.com/office/drawing/2014/main" id="{24298A95-2BB1-47FD-B591-210E42B95D1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349240" y="85562440"/>
          <a:ext cx="215900" cy="712521"/>
        </a:xfrm>
        <a:prstGeom prst="rect">
          <a:avLst/>
        </a:prstGeom>
      </xdr:spPr>
    </xdr:pic>
    <xdr:clientData/>
  </xdr:twoCellAnchor>
  <xdr:twoCellAnchor editAs="oneCell">
    <xdr:from>
      <xdr:col>1</xdr:col>
      <xdr:colOff>25400</xdr:colOff>
      <xdr:row>255</xdr:row>
      <xdr:rowOff>25400</xdr:rowOff>
    </xdr:from>
    <xdr:to>
      <xdr:col>1</xdr:col>
      <xdr:colOff>324510</xdr:colOff>
      <xdr:row>262</xdr:row>
      <xdr:rowOff>159546</xdr:rowOff>
    </xdr:to>
    <xdr:pic>
      <xdr:nvPicPr>
        <xdr:cNvPr id="676" name="Picture 675">
          <a:extLst>
            <a:ext uri="{FF2B5EF4-FFF2-40B4-BE49-F238E27FC236}">
              <a16:creationId xmlns:a16="http://schemas.microsoft.com/office/drawing/2014/main" id="{2768C85E-CBD1-4FC3-B853-9F719172855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90320" y="88242140"/>
          <a:ext cx="299110" cy="1101886"/>
        </a:xfrm>
        <a:prstGeom prst="rect">
          <a:avLst/>
        </a:prstGeom>
      </xdr:spPr>
    </xdr:pic>
    <xdr:clientData/>
  </xdr:twoCellAnchor>
  <xdr:twoCellAnchor editAs="oneCell">
    <xdr:from>
      <xdr:col>15</xdr:col>
      <xdr:colOff>76200</xdr:colOff>
      <xdr:row>255</xdr:row>
      <xdr:rowOff>76201</xdr:rowOff>
    </xdr:from>
    <xdr:to>
      <xdr:col>15</xdr:col>
      <xdr:colOff>355600</xdr:colOff>
      <xdr:row>262</xdr:row>
      <xdr:rowOff>131303</xdr:rowOff>
    </xdr:to>
    <xdr:pic>
      <xdr:nvPicPr>
        <xdr:cNvPr id="677" name="Picture 676">
          <a:extLst>
            <a:ext uri="{FF2B5EF4-FFF2-40B4-BE49-F238E27FC236}">
              <a16:creationId xmlns:a16="http://schemas.microsoft.com/office/drawing/2014/main" id="{2D72CCC7-5868-4A42-BB5B-A4B154F4152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76120" y="88292941"/>
          <a:ext cx="279400" cy="1022842"/>
        </a:xfrm>
        <a:prstGeom prst="rect">
          <a:avLst/>
        </a:prstGeom>
      </xdr:spPr>
    </xdr:pic>
    <xdr:clientData/>
  </xdr:twoCellAnchor>
  <xdr:twoCellAnchor editAs="oneCell">
    <xdr:from>
      <xdr:col>21</xdr:col>
      <xdr:colOff>74748</xdr:colOff>
      <xdr:row>264</xdr:row>
      <xdr:rowOff>50800</xdr:rowOff>
    </xdr:from>
    <xdr:to>
      <xdr:col>21</xdr:col>
      <xdr:colOff>304799</xdr:colOff>
      <xdr:row>269</xdr:row>
      <xdr:rowOff>99060</xdr:rowOff>
    </xdr:to>
    <xdr:pic>
      <xdr:nvPicPr>
        <xdr:cNvPr id="678" name="Picture 677">
          <a:extLst>
            <a:ext uri="{FF2B5EF4-FFF2-40B4-BE49-F238E27FC236}">
              <a16:creationId xmlns:a16="http://schemas.microsoft.com/office/drawing/2014/main" id="{9581A6CA-0F2A-4ED8-B26A-3B8EBC2E735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757208" y="91391740"/>
          <a:ext cx="230051" cy="848360"/>
        </a:xfrm>
        <a:prstGeom prst="rect">
          <a:avLst/>
        </a:prstGeom>
      </xdr:spPr>
    </xdr:pic>
    <xdr:clientData/>
  </xdr:twoCellAnchor>
  <xdr:twoCellAnchor editAs="oneCell">
    <xdr:from>
      <xdr:col>9</xdr:col>
      <xdr:colOff>55880</xdr:colOff>
      <xdr:row>280</xdr:row>
      <xdr:rowOff>83820</xdr:rowOff>
    </xdr:from>
    <xdr:to>
      <xdr:col>9</xdr:col>
      <xdr:colOff>354990</xdr:colOff>
      <xdr:row>288</xdr:row>
      <xdr:rowOff>58117</xdr:rowOff>
    </xdr:to>
    <xdr:pic>
      <xdr:nvPicPr>
        <xdr:cNvPr id="679" name="Picture 678">
          <a:extLst>
            <a:ext uri="{FF2B5EF4-FFF2-40B4-BE49-F238E27FC236}">
              <a16:creationId xmlns:a16="http://schemas.microsoft.com/office/drawing/2014/main" id="{DF7EB2B1-7047-43A1-93B2-BFF71A02F56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626600" y="97086420"/>
          <a:ext cx="299110" cy="1041097"/>
        </a:xfrm>
        <a:prstGeom prst="rect">
          <a:avLst/>
        </a:prstGeom>
      </xdr:spPr>
    </xdr:pic>
    <xdr:clientData/>
  </xdr:twoCellAnchor>
  <xdr:twoCellAnchor editAs="oneCell">
    <xdr:from>
      <xdr:col>19</xdr:col>
      <xdr:colOff>0</xdr:colOff>
      <xdr:row>280</xdr:row>
      <xdr:rowOff>0</xdr:rowOff>
    </xdr:from>
    <xdr:to>
      <xdr:col>19</xdr:col>
      <xdr:colOff>299110</xdr:colOff>
      <xdr:row>286</xdr:row>
      <xdr:rowOff>256237</xdr:rowOff>
    </xdr:to>
    <xdr:pic>
      <xdr:nvPicPr>
        <xdr:cNvPr id="680" name="Picture 679">
          <a:extLst>
            <a:ext uri="{FF2B5EF4-FFF2-40B4-BE49-F238E27FC236}">
              <a16:creationId xmlns:a16="http://schemas.microsoft.com/office/drawing/2014/main" id="{7872FD15-B82B-4EAA-905D-D8547EA4D0E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97002600"/>
          <a:ext cx="299110" cy="1041097"/>
        </a:xfrm>
        <a:prstGeom prst="rect">
          <a:avLst/>
        </a:prstGeom>
      </xdr:spPr>
    </xdr:pic>
    <xdr:clientData/>
  </xdr:twoCellAnchor>
  <xdr:twoCellAnchor editAs="oneCell">
    <xdr:from>
      <xdr:col>11</xdr:col>
      <xdr:colOff>15240</xdr:colOff>
      <xdr:row>288</xdr:row>
      <xdr:rowOff>123190</xdr:rowOff>
    </xdr:from>
    <xdr:to>
      <xdr:col>11</xdr:col>
      <xdr:colOff>314350</xdr:colOff>
      <xdr:row>294</xdr:row>
      <xdr:rowOff>102029</xdr:rowOff>
    </xdr:to>
    <xdr:pic>
      <xdr:nvPicPr>
        <xdr:cNvPr id="681" name="Picture 680">
          <a:extLst>
            <a:ext uri="{FF2B5EF4-FFF2-40B4-BE49-F238E27FC236}">
              <a16:creationId xmlns:a16="http://schemas.microsoft.com/office/drawing/2014/main" id="{B98D3D4A-060F-44D9-BA05-672FA3A3614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55680" y="100143310"/>
          <a:ext cx="299110" cy="961819"/>
        </a:xfrm>
        <a:prstGeom prst="rect">
          <a:avLst/>
        </a:prstGeom>
      </xdr:spPr>
    </xdr:pic>
    <xdr:clientData/>
  </xdr:twoCellAnchor>
  <xdr:twoCellAnchor editAs="oneCell">
    <xdr:from>
      <xdr:col>9</xdr:col>
      <xdr:colOff>0</xdr:colOff>
      <xdr:row>305</xdr:row>
      <xdr:rowOff>0</xdr:rowOff>
    </xdr:from>
    <xdr:to>
      <xdr:col>9</xdr:col>
      <xdr:colOff>299110</xdr:colOff>
      <xdr:row>311</xdr:row>
      <xdr:rowOff>193625</xdr:rowOff>
    </xdr:to>
    <xdr:pic>
      <xdr:nvPicPr>
        <xdr:cNvPr id="682" name="Picture 681">
          <a:extLst>
            <a:ext uri="{FF2B5EF4-FFF2-40B4-BE49-F238E27FC236}">
              <a16:creationId xmlns:a16="http://schemas.microsoft.com/office/drawing/2014/main" id="{752091C2-1288-4761-8CD8-D6BD8B99F97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106169460"/>
          <a:ext cx="299110" cy="1077545"/>
        </a:xfrm>
        <a:prstGeom prst="rect">
          <a:avLst/>
        </a:prstGeom>
      </xdr:spPr>
    </xdr:pic>
    <xdr:clientData/>
  </xdr:twoCellAnchor>
  <xdr:twoCellAnchor editAs="oneCell">
    <xdr:from>
      <xdr:col>19</xdr:col>
      <xdr:colOff>45720</xdr:colOff>
      <xdr:row>314</xdr:row>
      <xdr:rowOff>229235</xdr:rowOff>
    </xdr:from>
    <xdr:to>
      <xdr:col>19</xdr:col>
      <xdr:colOff>344830</xdr:colOff>
      <xdr:row>322</xdr:row>
      <xdr:rowOff>73184</xdr:rowOff>
    </xdr:to>
    <xdr:pic>
      <xdr:nvPicPr>
        <xdr:cNvPr id="683" name="Picture 682">
          <a:extLst>
            <a:ext uri="{FF2B5EF4-FFF2-40B4-BE49-F238E27FC236}">
              <a16:creationId xmlns:a16="http://schemas.microsoft.com/office/drawing/2014/main" id="{721EB8B5-FCC5-457A-9689-B7AF2937980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51780" y="109606715"/>
          <a:ext cx="299110" cy="1025049"/>
        </a:xfrm>
        <a:prstGeom prst="rect">
          <a:avLst/>
        </a:prstGeom>
      </xdr:spPr>
    </xdr:pic>
    <xdr:clientData/>
  </xdr:twoCellAnchor>
  <xdr:twoCellAnchor editAs="oneCell">
    <xdr:from>
      <xdr:col>12</xdr:col>
      <xdr:colOff>1016000</xdr:colOff>
      <xdr:row>314</xdr:row>
      <xdr:rowOff>117475</xdr:rowOff>
    </xdr:from>
    <xdr:to>
      <xdr:col>13</xdr:col>
      <xdr:colOff>286410</xdr:colOff>
      <xdr:row>322</xdr:row>
      <xdr:rowOff>80804</xdr:rowOff>
    </xdr:to>
    <xdr:pic>
      <xdr:nvPicPr>
        <xdr:cNvPr id="684" name="Picture 683">
          <a:extLst>
            <a:ext uri="{FF2B5EF4-FFF2-40B4-BE49-F238E27FC236}">
              <a16:creationId xmlns:a16="http://schemas.microsoft.com/office/drawing/2014/main" id="{391D87C5-606E-48C4-8423-463242EC5B4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81280" y="109494955"/>
          <a:ext cx="283870" cy="1098709"/>
        </a:xfrm>
        <a:prstGeom prst="rect">
          <a:avLst/>
        </a:prstGeom>
      </xdr:spPr>
    </xdr:pic>
    <xdr:clientData/>
  </xdr:twoCellAnchor>
  <xdr:twoCellAnchor editAs="oneCell">
    <xdr:from>
      <xdr:col>15</xdr:col>
      <xdr:colOff>12700</xdr:colOff>
      <xdr:row>314</xdr:row>
      <xdr:rowOff>50800</xdr:rowOff>
    </xdr:from>
    <xdr:to>
      <xdr:col>15</xdr:col>
      <xdr:colOff>311810</xdr:colOff>
      <xdr:row>322</xdr:row>
      <xdr:rowOff>14129</xdr:rowOff>
    </xdr:to>
    <xdr:pic>
      <xdr:nvPicPr>
        <xdr:cNvPr id="685" name="Picture 684">
          <a:extLst>
            <a:ext uri="{FF2B5EF4-FFF2-40B4-BE49-F238E27FC236}">
              <a16:creationId xmlns:a16="http://schemas.microsoft.com/office/drawing/2014/main" id="{BD82B5BC-4176-4645-8292-16742E8DEE0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12620" y="109428280"/>
          <a:ext cx="299110" cy="1098709"/>
        </a:xfrm>
        <a:prstGeom prst="rect">
          <a:avLst/>
        </a:prstGeom>
      </xdr:spPr>
    </xdr:pic>
    <xdr:clientData/>
  </xdr:twoCellAnchor>
  <xdr:twoCellAnchor editAs="oneCell">
    <xdr:from>
      <xdr:col>21</xdr:col>
      <xdr:colOff>0</xdr:colOff>
      <xdr:row>342</xdr:row>
      <xdr:rowOff>0</xdr:rowOff>
    </xdr:from>
    <xdr:to>
      <xdr:col>21</xdr:col>
      <xdr:colOff>299110</xdr:colOff>
      <xdr:row>349</xdr:row>
      <xdr:rowOff>108110</xdr:rowOff>
    </xdr:to>
    <xdr:pic>
      <xdr:nvPicPr>
        <xdr:cNvPr id="686" name="Picture 685">
          <a:extLst>
            <a:ext uri="{FF2B5EF4-FFF2-40B4-BE49-F238E27FC236}">
              <a16:creationId xmlns:a16="http://schemas.microsoft.com/office/drawing/2014/main" id="{3CB5F4C9-9533-485F-B7E0-ECF98C7BF1B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120388380"/>
          <a:ext cx="299110" cy="1045370"/>
        </a:xfrm>
        <a:prstGeom prst="rect">
          <a:avLst/>
        </a:prstGeom>
      </xdr:spPr>
    </xdr:pic>
    <xdr:clientData/>
  </xdr:twoCellAnchor>
  <xdr:twoCellAnchor editAs="oneCell">
    <xdr:from>
      <xdr:col>19</xdr:col>
      <xdr:colOff>31750</xdr:colOff>
      <xdr:row>341</xdr:row>
      <xdr:rowOff>146050</xdr:rowOff>
    </xdr:from>
    <xdr:to>
      <xdr:col>19</xdr:col>
      <xdr:colOff>330860</xdr:colOff>
      <xdr:row>349</xdr:row>
      <xdr:rowOff>64507</xdr:rowOff>
    </xdr:to>
    <xdr:pic>
      <xdr:nvPicPr>
        <xdr:cNvPr id="687" name="Picture 686">
          <a:extLst>
            <a:ext uri="{FF2B5EF4-FFF2-40B4-BE49-F238E27FC236}">
              <a16:creationId xmlns:a16="http://schemas.microsoft.com/office/drawing/2014/main" id="{23AFDB40-8E13-4E47-9303-B5E6B14C873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37810" y="119841010"/>
          <a:ext cx="299110" cy="1038597"/>
        </a:xfrm>
        <a:prstGeom prst="rect">
          <a:avLst/>
        </a:prstGeom>
      </xdr:spPr>
    </xdr:pic>
    <xdr:clientData/>
  </xdr:twoCellAnchor>
  <xdr:twoCellAnchor editAs="oneCell">
    <xdr:from>
      <xdr:col>11</xdr:col>
      <xdr:colOff>21167</xdr:colOff>
      <xdr:row>341</xdr:row>
      <xdr:rowOff>179916</xdr:rowOff>
    </xdr:from>
    <xdr:to>
      <xdr:col>11</xdr:col>
      <xdr:colOff>320277</xdr:colOff>
      <xdr:row>349</xdr:row>
      <xdr:rowOff>104723</xdr:rowOff>
    </xdr:to>
    <xdr:pic>
      <xdr:nvPicPr>
        <xdr:cNvPr id="688" name="Picture 687">
          <a:extLst>
            <a:ext uri="{FF2B5EF4-FFF2-40B4-BE49-F238E27FC236}">
              <a16:creationId xmlns:a16="http://schemas.microsoft.com/office/drawing/2014/main" id="{44562DCD-1C9A-43EB-BF2D-7A7EC8B6505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61607" y="119874876"/>
          <a:ext cx="299110" cy="1044947"/>
        </a:xfrm>
        <a:prstGeom prst="rect">
          <a:avLst/>
        </a:prstGeom>
      </xdr:spPr>
    </xdr:pic>
    <xdr:clientData/>
  </xdr:twoCellAnchor>
  <xdr:twoCellAnchor editAs="oneCell">
    <xdr:from>
      <xdr:col>1</xdr:col>
      <xdr:colOff>31750</xdr:colOff>
      <xdr:row>349</xdr:row>
      <xdr:rowOff>95250</xdr:rowOff>
    </xdr:from>
    <xdr:to>
      <xdr:col>1</xdr:col>
      <xdr:colOff>292100</xdr:colOff>
      <xdr:row>355</xdr:row>
      <xdr:rowOff>39534</xdr:rowOff>
    </xdr:to>
    <xdr:pic>
      <xdr:nvPicPr>
        <xdr:cNvPr id="689" name="Picture 688">
          <a:extLst>
            <a:ext uri="{FF2B5EF4-FFF2-40B4-BE49-F238E27FC236}">
              <a16:creationId xmlns:a16="http://schemas.microsoft.com/office/drawing/2014/main" id="{6CF0CE65-50D7-4A28-84DD-03392B2397B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96670" y="122662950"/>
          <a:ext cx="260350" cy="927264"/>
        </a:xfrm>
        <a:prstGeom prst="rect">
          <a:avLst/>
        </a:prstGeom>
      </xdr:spPr>
    </xdr:pic>
    <xdr:clientData/>
  </xdr:twoCellAnchor>
  <xdr:twoCellAnchor editAs="oneCell">
    <xdr:from>
      <xdr:col>9</xdr:col>
      <xdr:colOff>21167</xdr:colOff>
      <xdr:row>349</xdr:row>
      <xdr:rowOff>116416</xdr:rowOff>
    </xdr:from>
    <xdr:to>
      <xdr:col>9</xdr:col>
      <xdr:colOff>320277</xdr:colOff>
      <xdr:row>356</xdr:row>
      <xdr:rowOff>115306</xdr:rowOff>
    </xdr:to>
    <xdr:pic>
      <xdr:nvPicPr>
        <xdr:cNvPr id="690" name="Picture 689">
          <a:extLst>
            <a:ext uri="{FF2B5EF4-FFF2-40B4-BE49-F238E27FC236}">
              <a16:creationId xmlns:a16="http://schemas.microsoft.com/office/drawing/2014/main" id="{F13AD2CF-D285-4189-89F1-C1A180FEBEB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91887" y="122684116"/>
          <a:ext cx="299110" cy="1065690"/>
        </a:xfrm>
        <a:prstGeom prst="rect">
          <a:avLst/>
        </a:prstGeom>
      </xdr:spPr>
    </xdr:pic>
    <xdr:clientData/>
  </xdr:twoCellAnchor>
  <xdr:twoCellAnchor editAs="oneCell">
    <xdr:from>
      <xdr:col>3</xdr:col>
      <xdr:colOff>4233</xdr:colOff>
      <xdr:row>349</xdr:row>
      <xdr:rowOff>148167</xdr:rowOff>
    </xdr:from>
    <xdr:to>
      <xdr:col>3</xdr:col>
      <xdr:colOff>307576</xdr:colOff>
      <xdr:row>356</xdr:row>
      <xdr:rowOff>147057</xdr:rowOff>
    </xdr:to>
    <xdr:pic>
      <xdr:nvPicPr>
        <xdr:cNvPr id="691" name="Picture 690">
          <a:extLst>
            <a:ext uri="{FF2B5EF4-FFF2-40B4-BE49-F238E27FC236}">
              <a16:creationId xmlns:a16="http://schemas.microsoft.com/office/drawing/2014/main" id="{86A95940-DCA9-49DA-98E7-367DE6DA969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6993" y="122715867"/>
          <a:ext cx="303343" cy="1065690"/>
        </a:xfrm>
        <a:prstGeom prst="rect">
          <a:avLst/>
        </a:prstGeom>
      </xdr:spPr>
    </xdr:pic>
    <xdr:clientData/>
  </xdr:twoCellAnchor>
  <xdr:twoCellAnchor>
    <xdr:from>
      <xdr:col>2</xdr:col>
      <xdr:colOff>-1</xdr:colOff>
      <xdr:row>226</xdr:row>
      <xdr:rowOff>20196</xdr:rowOff>
    </xdr:from>
    <xdr:to>
      <xdr:col>3</xdr:col>
      <xdr:colOff>42333</xdr:colOff>
      <xdr:row>229</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011679" y="78094716"/>
          <a:ext cx="1063414" cy="8789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8</xdr:col>
      <xdr:colOff>9896</xdr:colOff>
      <xdr:row>225</xdr:row>
      <xdr:rowOff>99269</xdr:rowOff>
    </xdr:from>
    <xdr:to>
      <xdr:col>9</xdr:col>
      <xdr:colOff>9896</xdr:colOff>
      <xdr:row>228</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462</xdr:colOff>
      <xdr:row>225</xdr:row>
      <xdr:rowOff>127000</xdr:rowOff>
    </xdr:from>
    <xdr:to>
      <xdr:col>15</xdr:col>
      <xdr:colOff>9534</xdr:colOff>
      <xdr:row>229</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xdr:col>
      <xdr:colOff>0</xdr:colOff>
      <xdr:row>251</xdr:row>
      <xdr:rowOff>103910</xdr:rowOff>
    </xdr:from>
    <xdr:to>
      <xdr:col>3</xdr:col>
      <xdr:colOff>0</xdr:colOff>
      <xdr:row>254</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16</xdr:col>
      <xdr:colOff>9005</xdr:colOff>
      <xdr:row>276</xdr:row>
      <xdr:rowOff>81001</xdr:rowOff>
    </xdr:from>
    <xdr:to>
      <xdr:col>17</xdr:col>
      <xdr:colOff>9005</xdr:colOff>
      <xdr:row>279</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28634</xdr:colOff>
      <xdr:row>337</xdr:row>
      <xdr:rowOff>117952</xdr:rowOff>
    </xdr:from>
    <xdr:to>
      <xdr:col>10</xdr:col>
      <xdr:colOff>917634</xdr:colOff>
      <xdr:row>340</xdr:row>
      <xdr:rowOff>186843</xdr:rowOff>
    </xdr:to>
    <xdr:sp macro="" textlink="">
      <xdr:nvSpPr>
        <xdr:cNvPr id="697" name="Isosceles Triangle 696">
          <a:extLst>
            <a:ext uri="{FF2B5EF4-FFF2-40B4-BE49-F238E27FC236}">
              <a16:creationId xmlns:a16="http://schemas.microsoft.com/office/drawing/2014/main" id="{986E60D3-7F89-4944-9330-F52E30F5C65A}"/>
            </a:ext>
          </a:extLst>
        </xdr:cNvPr>
        <xdr:cNvSpPr/>
      </xdr:nvSpPr>
      <xdr:spPr>
        <a:xfrm>
          <a:off x="10224194" y="118525132"/>
          <a:ext cx="889000" cy="116617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6734</xdr:colOff>
      <xdr:row>251</xdr:row>
      <xdr:rowOff>130850</xdr:rowOff>
    </xdr:from>
    <xdr:to>
      <xdr:col>3</xdr:col>
      <xdr:colOff>6734</xdr:colOff>
      <xdr:row>255</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7</xdr:col>
      <xdr:colOff>201083</xdr:colOff>
      <xdr:row>19</xdr:row>
      <xdr:rowOff>84666</xdr:rowOff>
    </xdr:from>
    <xdr:to>
      <xdr:col>7</xdr:col>
      <xdr:colOff>559762</xdr:colOff>
      <xdr:row>23</xdr:row>
      <xdr:rowOff>5926</xdr:rowOff>
    </xdr:to>
    <xdr:pic>
      <xdr:nvPicPr>
        <xdr:cNvPr id="699" name="Picture 698">
          <a:extLst>
            <a:ext uri="{FF2B5EF4-FFF2-40B4-BE49-F238E27FC236}">
              <a16:creationId xmlns:a16="http://schemas.microsoft.com/office/drawing/2014/main" id="{75F1CED1-461D-463A-83AF-B942B66A23F4}"/>
            </a:ext>
          </a:extLst>
        </xdr:cNvPr>
        <xdr:cNvPicPr>
          <a:picLocks noChangeAspect="1"/>
        </xdr:cNvPicPr>
      </xdr:nvPicPr>
      <xdr:blipFill>
        <a:blip xmlns:r="http://schemas.openxmlformats.org/officeDocument/2006/relationships" r:embed="rId4"/>
        <a:stretch>
          <a:fillRect/>
        </a:stretch>
      </xdr:blipFill>
      <xdr:spPr>
        <a:xfrm>
          <a:off x="7622963" y="4565226"/>
          <a:ext cx="358679" cy="645160"/>
        </a:xfrm>
        <a:prstGeom prst="rect">
          <a:avLst/>
        </a:prstGeom>
      </xdr:spPr>
    </xdr:pic>
    <xdr:clientData/>
  </xdr:twoCellAnchor>
  <xdr:oneCellAnchor>
    <xdr:from>
      <xdr:col>13</xdr:col>
      <xdr:colOff>0</xdr:colOff>
      <xdr:row>202</xdr:row>
      <xdr:rowOff>0</xdr:rowOff>
    </xdr:from>
    <xdr:ext cx="299110" cy="1004825"/>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69677280"/>
          <a:ext cx="299110" cy="1004825"/>
        </a:xfrm>
        <a:prstGeom prst="rect">
          <a:avLst/>
        </a:prstGeom>
      </xdr:spPr>
    </xdr:pic>
    <xdr:clientData/>
  </xdr:oneCellAnchor>
  <xdr:oneCellAnchor>
    <xdr:from>
      <xdr:col>11</xdr:col>
      <xdr:colOff>0</xdr:colOff>
      <xdr:row>202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9</xdr:col>
      <xdr:colOff>0</xdr:colOff>
      <xdr:row>202</xdr:row>
      <xdr:rowOff>0</xdr:rowOff>
    </xdr:from>
    <xdr:ext cx="299110" cy="1004825"/>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69677280"/>
          <a:ext cx="299110" cy="1004825"/>
        </a:xfrm>
        <a:prstGeom prst="rect">
          <a:avLst/>
        </a:prstGeom>
      </xdr:spPr>
    </xdr:pic>
    <xdr:clientData/>
  </xdr:oneCellAnchor>
  <xdr:twoCellAnchor>
    <xdr:from>
      <xdr:col>7</xdr:col>
      <xdr:colOff>864680</xdr:colOff>
      <xdr:row>207</xdr:row>
      <xdr:rowOff>139700</xdr:rowOff>
    </xdr:from>
    <xdr:to>
      <xdr:col>9</xdr:col>
      <xdr:colOff>12699</xdr:colOff>
      <xdr:row>211</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0</xdr:col>
      <xdr:colOff>76200</xdr:colOff>
      <xdr:row>301</xdr:row>
      <xdr:rowOff>177800</xdr:rowOff>
    </xdr:from>
    <xdr:to>
      <xdr:col>1</xdr:col>
      <xdr:colOff>0</xdr:colOff>
      <xdr:row>304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76200" y="105067100"/>
          <a:ext cx="1188720" cy="1097280"/>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7</xdr:col>
      <xdr:colOff>0</xdr:colOff>
      <xdr:row>281</xdr:row>
      <xdr:rowOff>0</xdr:rowOff>
    </xdr:from>
    <xdr:ext cx="908050" cy="374650"/>
    <xdr:pic>
      <xdr:nvPicPr>
        <xdr:cNvPr id="705" name="Picture 704">
          <a:extLst>
            <a:ext uri="{FF2B5EF4-FFF2-40B4-BE49-F238E27FC236}">
              <a16:creationId xmlns:a16="http://schemas.microsoft.com/office/drawing/2014/main" id="{A8C63A70-428C-480B-A52D-677AECB5EEE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421880" y="97619820"/>
          <a:ext cx="908050" cy="374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13</xdr:col>
      <xdr:colOff>30480</xdr:colOff>
      <xdr:row>264</xdr:row>
      <xdr:rowOff>289560</xdr:rowOff>
    </xdr:from>
    <xdr:to>
      <xdr:col>13</xdr:col>
      <xdr:colOff>309880</xdr:colOff>
      <xdr:row>272</xdr:row>
      <xdr:rowOff>39862</xdr:rowOff>
    </xdr:to>
    <xdr:pic>
      <xdr:nvPicPr>
        <xdr:cNvPr id="706" name="Picture 705">
          <a:extLst>
            <a:ext uri="{FF2B5EF4-FFF2-40B4-BE49-F238E27FC236}">
              <a16:creationId xmlns:a16="http://schemas.microsoft.com/office/drawing/2014/main" id="{08C0FCC5-CD6D-4C7E-A273-56FC00027DB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809220" y="91630500"/>
          <a:ext cx="279400" cy="999982"/>
        </a:xfrm>
        <a:prstGeom prst="rect">
          <a:avLst/>
        </a:prstGeom>
      </xdr:spPr>
    </xdr:pic>
    <xdr:clientData/>
  </xdr:twoCellAnchor>
  <xdr:twoCellAnchor editAs="oneCell">
    <xdr:from>
      <xdr:col>19</xdr:col>
      <xdr:colOff>0</xdr:colOff>
      <xdr:row>264</xdr:row>
      <xdr:rowOff>0</xdr:rowOff>
    </xdr:from>
    <xdr:to>
      <xdr:col>19</xdr:col>
      <xdr:colOff>279400</xdr:colOff>
      <xdr:row>270</xdr:row>
      <xdr:rowOff>123682</xdr:rowOff>
    </xdr:to>
    <xdr:pic>
      <xdr:nvPicPr>
        <xdr:cNvPr id="707" name="Picture 706">
          <a:extLst>
            <a:ext uri="{FF2B5EF4-FFF2-40B4-BE49-F238E27FC236}">
              <a16:creationId xmlns:a16="http://schemas.microsoft.com/office/drawing/2014/main" id="{9B5F8DE7-4AFD-40C6-8B1C-EE5B3E420C5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91340940"/>
          <a:ext cx="279400" cy="1007602"/>
        </a:xfrm>
        <a:prstGeom prst="rect">
          <a:avLst/>
        </a:prstGeom>
      </xdr:spPr>
    </xdr:pic>
    <xdr:clientData/>
  </xdr:twoCellAnchor>
  <xdr:twoCellAnchor editAs="oneCell">
    <xdr:from>
      <xdr:col>9</xdr:col>
      <xdr:colOff>0</xdr:colOff>
      <xdr:row>272</xdr:row>
      <xdr:rowOff>0</xdr:rowOff>
    </xdr:from>
    <xdr:to>
      <xdr:col>9</xdr:col>
      <xdr:colOff>279400</xdr:colOff>
      <xdr:row>278</xdr:row>
      <xdr:rowOff>123682</xdr:rowOff>
    </xdr:to>
    <xdr:pic>
      <xdr:nvPicPr>
        <xdr:cNvPr id="708" name="Picture 707">
          <a:extLst>
            <a:ext uri="{FF2B5EF4-FFF2-40B4-BE49-F238E27FC236}">
              <a16:creationId xmlns:a16="http://schemas.microsoft.com/office/drawing/2014/main" id="{6D2F5AF5-3066-4AA9-B2AC-1BFCC35E21A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94175580"/>
          <a:ext cx="279400" cy="1007602"/>
        </a:xfrm>
        <a:prstGeom prst="rect">
          <a:avLst/>
        </a:prstGeom>
      </xdr:spPr>
    </xdr:pic>
    <xdr:clientData/>
  </xdr:twoCellAnchor>
  <xdr:twoCellAnchor editAs="oneCell">
    <xdr:from>
      <xdr:col>11</xdr:col>
      <xdr:colOff>0</xdr:colOff>
      <xdr:row>272</xdr:row>
      <xdr:rowOff>0</xdr:rowOff>
    </xdr:from>
    <xdr:to>
      <xdr:col>11</xdr:col>
      <xdr:colOff>279400</xdr:colOff>
      <xdr:row>278</xdr:row>
      <xdr:rowOff>123682</xdr:rowOff>
    </xdr:to>
    <xdr:pic>
      <xdr:nvPicPr>
        <xdr:cNvPr id="709" name="Picture 708">
          <a:extLst>
            <a:ext uri="{FF2B5EF4-FFF2-40B4-BE49-F238E27FC236}">
              <a16:creationId xmlns:a16="http://schemas.microsoft.com/office/drawing/2014/main" id="{121CAB72-57FF-4BAD-AA61-95313AD82B8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94175580"/>
          <a:ext cx="279400" cy="1007602"/>
        </a:xfrm>
        <a:prstGeom prst="rect">
          <a:avLst/>
        </a:prstGeom>
      </xdr:spPr>
    </xdr:pic>
    <xdr:clientData/>
  </xdr:twoCellAnchor>
  <xdr:twoCellAnchor editAs="oneCell">
    <xdr:from>
      <xdr:col>13</xdr:col>
      <xdr:colOff>0</xdr:colOff>
      <xdr:row>272</xdr:row>
      <xdr:rowOff>0</xdr:rowOff>
    </xdr:from>
    <xdr:to>
      <xdr:col>13</xdr:col>
      <xdr:colOff>279400</xdr:colOff>
      <xdr:row>278</xdr:row>
      <xdr:rowOff>123682</xdr:rowOff>
    </xdr:to>
    <xdr:pic>
      <xdr:nvPicPr>
        <xdr:cNvPr id="710" name="Picture 709">
          <a:extLst>
            <a:ext uri="{FF2B5EF4-FFF2-40B4-BE49-F238E27FC236}">
              <a16:creationId xmlns:a16="http://schemas.microsoft.com/office/drawing/2014/main" id="{222BB2EF-9224-4600-872F-9E84832F7EF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94175580"/>
          <a:ext cx="279400" cy="1007602"/>
        </a:xfrm>
        <a:prstGeom prst="rect">
          <a:avLst/>
        </a:prstGeom>
      </xdr:spPr>
    </xdr:pic>
    <xdr:clientData/>
  </xdr:twoCellAnchor>
  <xdr:twoCellAnchor editAs="oneCell">
    <xdr:from>
      <xdr:col>15</xdr:col>
      <xdr:colOff>0</xdr:colOff>
      <xdr:row>272</xdr:row>
      <xdr:rowOff>0</xdr:rowOff>
    </xdr:from>
    <xdr:to>
      <xdr:col>15</xdr:col>
      <xdr:colOff>279400</xdr:colOff>
      <xdr:row>278</xdr:row>
      <xdr:rowOff>123682</xdr:rowOff>
    </xdr:to>
    <xdr:pic>
      <xdr:nvPicPr>
        <xdr:cNvPr id="711" name="Picture 710">
          <a:extLst>
            <a:ext uri="{FF2B5EF4-FFF2-40B4-BE49-F238E27FC236}">
              <a16:creationId xmlns:a16="http://schemas.microsoft.com/office/drawing/2014/main" id="{D7234E7B-9B4D-4CE8-9F7F-469A92D41BB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94175580"/>
          <a:ext cx="279400" cy="1007602"/>
        </a:xfrm>
        <a:prstGeom prst="rect">
          <a:avLst/>
        </a:prstGeom>
      </xdr:spPr>
    </xdr:pic>
    <xdr:clientData/>
  </xdr:twoCellAnchor>
  <xdr:twoCellAnchor editAs="oneCell">
    <xdr:from>
      <xdr:col>17</xdr:col>
      <xdr:colOff>0</xdr:colOff>
      <xdr:row>272</xdr:row>
      <xdr:rowOff>0</xdr:rowOff>
    </xdr:from>
    <xdr:to>
      <xdr:col>17</xdr:col>
      <xdr:colOff>279400</xdr:colOff>
      <xdr:row>278</xdr:row>
      <xdr:rowOff>123682</xdr:rowOff>
    </xdr:to>
    <xdr:pic>
      <xdr:nvPicPr>
        <xdr:cNvPr id="712" name="Picture 711">
          <a:extLst>
            <a:ext uri="{FF2B5EF4-FFF2-40B4-BE49-F238E27FC236}">
              <a16:creationId xmlns:a16="http://schemas.microsoft.com/office/drawing/2014/main" id="{2DFA883C-47AC-49B8-BC86-E71BDE4A78D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94175580"/>
          <a:ext cx="279400" cy="1007602"/>
        </a:xfrm>
        <a:prstGeom prst="rect">
          <a:avLst/>
        </a:prstGeom>
      </xdr:spPr>
    </xdr:pic>
    <xdr:clientData/>
  </xdr:twoCellAnchor>
  <xdr:twoCellAnchor editAs="oneCell">
    <xdr:from>
      <xdr:col>3</xdr:col>
      <xdr:colOff>0</xdr:colOff>
      <xdr:row>280</xdr:row>
      <xdr:rowOff>0</xdr:rowOff>
    </xdr:from>
    <xdr:to>
      <xdr:col>3</xdr:col>
      <xdr:colOff>279400</xdr:colOff>
      <xdr:row>286</xdr:row>
      <xdr:rowOff>222742</xdr:rowOff>
    </xdr:to>
    <xdr:pic>
      <xdr:nvPicPr>
        <xdr:cNvPr id="713" name="Picture 712">
          <a:extLst>
            <a:ext uri="{FF2B5EF4-FFF2-40B4-BE49-F238E27FC236}">
              <a16:creationId xmlns:a16="http://schemas.microsoft.com/office/drawing/2014/main" id="{4B68820D-4806-4659-BA96-3ADE6812B90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97002600"/>
          <a:ext cx="279400" cy="1007602"/>
        </a:xfrm>
        <a:prstGeom prst="rect">
          <a:avLst/>
        </a:prstGeom>
      </xdr:spPr>
    </xdr:pic>
    <xdr:clientData/>
  </xdr:twoCellAnchor>
  <xdr:twoCellAnchor editAs="oneCell">
    <xdr:from>
      <xdr:col>5</xdr:col>
      <xdr:colOff>0</xdr:colOff>
      <xdr:row>280</xdr:row>
      <xdr:rowOff>0</xdr:rowOff>
    </xdr:from>
    <xdr:to>
      <xdr:col>5</xdr:col>
      <xdr:colOff>279400</xdr:colOff>
      <xdr:row>286</xdr:row>
      <xdr:rowOff>222742</xdr:rowOff>
    </xdr:to>
    <xdr:pic>
      <xdr:nvPicPr>
        <xdr:cNvPr id="714" name="Picture 713">
          <a:extLst>
            <a:ext uri="{FF2B5EF4-FFF2-40B4-BE49-F238E27FC236}">
              <a16:creationId xmlns:a16="http://schemas.microsoft.com/office/drawing/2014/main" id="{8A598758-AE05-45AA-ADCA-2B1A9018884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97002600"/>
          <a:ext cx="279400" cy="1007602"/>
        </a:xfrm>
        <a:prstGeom prst="rect">
          <a:avLst/>
        </a:prstGeom>
      </xdr:spPr>
    </xdr:pic>
    <xdr:clientData/>
  </xdr:twoCellAnchor>
  <xdr:twoCellAnchor editAs="oneCell">
    <xdr:from>
      <xdr:col>7</xdr:col>
      <xdr:colOff>30480</xdr:colOff>
      <xdr:row>280</xdr:row>
      <xdr:rowOff>0</xdr:rowOff>
    </xdr:from>
    <xdr:to>
      <xdr:col>7</xdr:col>
      <xdr:colOff>309880</xdr:colOff>
      <xdr:row>286</xdr:row>
      <xdr:rowOff>222742</xdr:rowOff>
    </xdr:to>
    <xdr:pic>
      <xdr:nvPicPr>
        <xdr:cNvPr id="715" name="Picture 714">
          <a:extLst>
            <a:ext uri="{FF2B5EF4-FFF2-40B4-BE49-F238E27FC236}">
              <a16:creationId xmlns:a16="http://schemas.microsoft.com/office/drawing/2014/main" id="{AA324D2D-B665-4B1F-AE60-680138E827C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52360" y="97002600"/>
          <a:ext cx="279400" cy="1007602"/>
        </a:xfrm>
        <a:prstGeom prst="rect">
          <a:avLst/>
        </a:prstGeom>
      </xdr:spPr>
    </xdr:pic>
    <xdr:clientData/>
  </xdr:twoCellAnchor>
  <xdr:twoCellAnchor editAs="oneCell">
    <xdr:from>
      <xdr:col>13</xdr:col>
      <xdr:colOff>45720</xdr:colOff>
      <xdr:row>280</xdr:row>
      <xdr:rowOff>0</xdr:rowOff>
    </xdr:from>
    <xdr:to>
      <xdr:col>13</xdr:col>
      <xdr:colOff>325120</xdr:colOff>
      <xdr:row>286</xdr:row>
      <xdr:rowOff>222742</xdr:rowOff>
    </xdr:to>
    <xdr:pic>
      <xdr:nvPicPr>
        <xdr:cNvPr id="716" name="Picture 715">
          <a:extLst>
            <a:ext uri="{FF2B5EF4-FFF2-40B4-BE49-F238E27FC236}">
              <a16:creationId xmlns:a16="http://schemas.microsoft.com/office/drawing/2014/main" id="{14C134C1-AC8C-4B18-B837-C86D2051C50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824460" y="97002600"/>
          <a:ext cx="279400" cy="1007602"/>
        </a:xfrm>
        <a:prstGeom prst="rect">
          <a:avLst/>
        </a:prstGeom>
      </xdr:spPr>
    </xdr:pic>
    <xdr:clientData/>
  </xdr:twoCellAnchor>
  <xdr:twoCellAnchor editAs="oneCell">
    <xdr:from>
      <xdr:col>15</xdr:col>
      <xdr:colOff>0</xdr:colOff>
      <xdr:row>280</xdr:row>
      <xdr:rowOff>0</xdr:rowOff>
    </xdr:from>
    <xdr:to>
      <xdr:col>15</xdr:col>
      <xdr:colOff>279400</xdr:colOff>
      <xdr:row>286</xdr:row>
      <xdr:rowOff>222742</xdr:rowOff>
    </xdr:to>
    <xdr:pic>
      <xdr:nvPicPr>
        <xdr:cNvPr id="717" name="Picture 716">
          <a:extLst>
            <a:ext uri="{FF2B5EF4-FFF2-40B4-BE49-F238E27FC236}">
              <a16:creationId xmlns:a16="http://schemas.microsoft.com/office/drawing/2014/main" id="{8F68C4D4-73B7-4A7A-8390-CD81A52B2A4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97002600"/>
          <a:ext cx="279400" cy="1007602"/>
        </a:xfrm>
        <a:prstGeom prst="rect">
          <a:avLst/>
        </a:prstGeom>
      </xdr:spPr>
    </xdr:pic>
    <xdr:clientData/>
  </xdr:twoCellAnchor>
  <xdr:twoCellAnchor editAs="oneCell">
    <xdr:from>
      <xdr:col>17</xdr:col>
      <xdr:colOff>0</xdr:colOff>
      <xdr:row>280</xdr:row>
      <xdr:rowOff>0</xdr:rowOff>
    </xdr:from>
    <xdr:to>
      <xdr:col>17</xdr:col>
      <xdr:colOff>279400</xdr:colOff>
      <xdr:row>286</xdr:row>
      <xdr:rowOff>222742</xdr:rowOff>
    </xdr:to>
    <xdr:pic>
      <xdr:nvPicPr>
        <xdr:cNvPr id="718" name="Picture 717">
          <a:extLst>
            <a:ext uri="{FF2B5EF4-FFF2-40B4-BE49-F238E27FC236}">
              <a16:creationId xmlns:a16="http://schemas.microsoft.com/office/drawing/2014/main" id="{E58DEECA-E1CB-4559-A414-6CB71E841AA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97002600"/>
          <a:ext cx="279400" cy="1007602"/>
        </a:xfrm>
        <a:prstGeom prst="rect">
          <a:avLst/>
        </a:prstGeom>
      </xdr:spPr>
    </xdr:pic>
    <xdr:clientData/>
  </xdr:twoCellAnchor>
  <xdr:twoCellAnchor editAs="oneCell">
    <xdr:from>
      <xdr:col>21</xdr:col>
      <xdr:colOff>0</xdr:colOff>
      <xdr:row>280</xdr:row>
      <xdr:rowOff>0</xdr:rowOff>
    </xdr:from>
    <xdr:to>
      <xdr:col>21</xdr:col>
      <xdr:colOff>279400</xdr:colOff>
      <xdr:row>286</xdr:row>
      <xdr:rowOff>222742</xdr:rowOff>
    </xdr:to>
    <xdr:pic>
      <xdr:nvPicPr>
        <xdr:cNvPr id="719" name="Picture 718">
          <a:extLst>
            <a:ext uri="{FF2B5EF4-FFF2-40B4-BE49-F238E27FC236}">
              <a16:creationId xmlns:a16="http://schemas.microsoft.com/office/drawing/2014/main" id="{DFD5B228-397D-453D-AE52-EB6B726E070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97002600"/>
          <a:ext cx="279400" cy="1007602"/>
        </a:xfrm>
        <a:prstGeom prst="rect">
          <a:avLst/>
        </a:prstGeom>
      </xdr:spPr>
    </xdr:pic>
    <xdr:clientData/>
  </xdr:twoCellAnchor>
  <xdr:twoCellAnchor editAs="oneCell">
    <xdr:from>
      <xdr:col>23</xdr:col>
      <xdr:colOff>0</xdr:colOff>
      <xdr:row>280</xdr:row>
      <xdr:rowOff>0</xdr:rowOff>
    </xdr:from>
    <xdr:to>
      <xdr:col>23</xdr:col>
      <xdr:colOff>279400</xdr:colOff>
      <xdr:row>286</xdr:row>
      <xdr:rowOff>222742</xdr:rowOff>
    </xdr:to>
    <xdr:pic>
      <xdr:nvPicPr>
        <xdr:cNvPr id="720" name="Picture 719">
          <a:extLst>
            <a:ext uri="{FF2B5EF4-FFF2-40B4-BE49-F238E27FC236}">
              <a16:creationId xmlns:a16="http://schemas.microsoft.com/office/drawing/2014/main" id="{5940FF76-13BD-472E-8427-44D4A3043B3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97002600"/>
          <a:ext cx="279400" cy="1007602"/>
        </a:xfrm>
        <a:prstGeom prst="rect">
          <a:avLst/>
        </a:prstGeom>
      </xdr:spPr>
    </xdr:pic>
    <xdr:clientData/>
  </xdr:twoCellAnchor>
  <xdr:twoCellAnchor editAs="oneCell">
    <xdr:from>
      <xdr:col>1</xdr:col>
      <xdr:colOff>0</xdr:colOff>
      <xdr:row>288</xdr:row>
      <xdr:rowOff>0</xdr:rowOff>
    </xdr:from>
    <xdr:to>
      <xdr:col>1</xdr:col>
      <xdr:colOff>279400</xdr:colOff>
      <xdr:row>294</xdr:row>
      <xdr:rowOff>39862</xdr:rowOff>
    </xdr:to>
    <xdr:pic>
      <xdr:nvPicPr>
        <xdr:cNvPr id="721" name="Picture 720">
          <a:extLst>
            <a:ext uri="{FF2B5EF4-FFF2-40B4-BE49-F238E27FC236}">
              <a16:creationId xmlns:a16="http://schemas.microsoft.com/office/drawing/2014/main" id="{F9BCC893-389C-4B89-9DEF-5F30A33915F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100020120"/>
          <a:ext cx="279400" cy="1022842"/>
        </a:xfrm>
        <a:prstGeom prst="rect">
          <a:avLst/>
        </a:prstGeom>
      </xdr:spPr>
    </xdr:pic>
    <xdr:clientData/>
  </xdr:twoCellAnchor>
  <xdr:twoCellAnchor editAs="oneCell">
    <xdr:from>
      <xdr:col>13</xdr:col>
      <xdr:colOff>0</xdr:colOff>
      <xdr:row>288</xdr:row>
      <xdr:rowOff>0</xdr:rowOff>
    </xdr:from>
    <xdr:to>
      <xdr:col>13</xdr:col>
      <xdr:colOff>279400</xdr:colOff>
      <xdr:row>294</xdr:row>
      <xdr:rowOff>39862</xdr:rowOff>
    </xdr:to>
    <xdr:pic>
      <xdr:nvPicPr>
        <xdr:cNvPr id="722" name="Picture 721">
          <a:extLst>
            <a:ext uri="{FF2B5EF4-FFF2-40B4-BE49-F238E27FC236}">
              <a16:creationId xmlns:a16="http://schemas.microsoft.com/office/drawing/2014/main" id="{C545D228-BF86-4D27-9508-18CEEC36F04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100020120"/>
          <a:ext cx="279400" cy="1022842"/>
        </a:xfrm>
        <a:prstGeom prst="rect">
          <a:avLst/>
        </a:prstGeom>
      </xdr:spPr>
    </xdr:pic>
    <xdr:clientData/>
  </xdr:twoCellAnchor>
  <xdr:twoCellAnchor editAs="oneCell">
    <xdr:from>
      <xdr:col>15</xdr:col>
      <xdr:colOff>0</xdr:colOff>
      <xdr:row>288</xdr:row>
      <xdr:rowOff>0</xdr:rowOff>
    </xdr:from>
    <xdr:to>
      <xdr:col>15</xdr:col>
      <xdr:colOff>279400</xdr:colOff>
      <xdr:row>294</xdr:row>
      <xdr:rowOff>39862</xdr:rowOff>
    </xdr:to>
    <xdr:pic>
      <xdr:nvPicPr>
        <xdr:cNvPr id="723" name="Picture 722">
          <a:extLst>
            <a:ext uri="{FF2B5EF4-FFF2-40B4-BE49-F238E27FC236}">
              <a16:creationId xmlns:a16="http://schemas.microsoft.com/office/drawing/2014/main" id="{BCE450C2-F326-4AD3-8334-37BABF3C46F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100020120"/>
          <a:ext cx="279400" cy="1022842"/>
        </a:xfrm>
        <a:prstGeom prst="rect">
          <a:avLst/>
        </a:prstGeom>
      </xdr:spPr>
    </xdr:pic>
    <xdr:clientData/>
  </xdr:twoCellAnchor>
  <xdr:twoCellAnchor editAs="oneCell">
    <xdr:from>
      <xdr:col>19</xdr:col>
      <xdr:colOff>0</xdr:colOff>
      <xdr:row>288</xdr:row>
      <xdr:rowOff>0</xdr:rowOff>
    </xdr:from>
    <xdr:to>
      <xdr:col>19</xdr:col>
      <xdr:colOff>279400</xdr:colOff>
      <xdr:row>294</xdr:row>
      <xdr:rowOff>39862</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100020120"/>
          <a:ext cx="279400" cy="1022842"/>
        </a:xfrm>
        <a:prstGeom prst="rect">
          <a:avLst/>
        </a:prstGeom>
      </xdr:spPr>
    </xdr:pic>
    <xdr:clientData/>
  </xdr:twoCellAnchor>
  <xdr:twoCellAnchor editAs="oneCell">
    <xdr:from>
      <xdr:col>9</xdr:col>
      <xdr:colOff>0</xdr:colOff>
      <xdr:row>297</xdr:row>
      <xdr:rowOff>0</xdr:rowOff>
    </xdr:from>
    <xdr:to>
      <xdr:col>9</xdr:col>
      <xdr:colOff>228600</xdr:colOff>
      <xdr:row>302</xdr:row>
      <xdr:rowOff>24763</xdr:rowOff>
    </xdr:to>
    <xdr:pic>
      <xdr:nvPicPr>
        <xdr:cNvPr id="725" name="Picture 724">
          <a:extLst>
            <a:ext uri="{FF2B5EF4-FFF2-40B4-BE49-F238E27FC236}">
              <a16:creationId xmlns:a16="http://schemas.microsoft.com/office/drawing/2014/main" id="{257881E2-71CE-470D-888D-B4206992737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5800" y="86106000"/>
          <a:ext cx="228600" cy="1713863"/>
        </a:xfrm>
        <a:prstGeom prst="rect">
          <a:avLst/>
        </a:prstGeom>
      </xdr:spPr>
    </xdr:pic>
    <xdr:clientData/>
  </xdr:twoCellAnchor>
  <xdr:twoCellAnchor editAs="oneCell">
    <xdr:from>
      <xdr:col>11</xdr:col>
      <xdr:colOff>0</xdr:colOff>
      <xdr:row>297</xdr:row>
      <xdr:rowOff>0</xdr:rowOff>
    </xdr:from>
    <xdr:to>
      <xdr:col>11</xdr:col>
      <xdr:colOff>228600</xdr:colOff>
      <xdr:row>302</xdr:row>
      <xdr:rowOff>24763</xdr:rowOff>
    </xdr:to>
    <xdr:pic>
      <xdr:nvPicPr>
        <xdr:cNvPr id="726" name="Picture 725">
          <a:extLst>
            <a:ext uri="{FF2B5EF4-FFF2-40B4-BE49-F238E27FC236}">
              <a16:creationId xmlns:a16="http://schemas.microsoft.com/office/drawing/2014/main" id="{49B7DFDF-D717-489B-BF06-CD6A5890281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37900" y="86106000"/>
          <a:ext cx="228600" cy="1713863"/>
        </a:xfrm>
        <a:prstGeom prst="rect">
          <a:avLst/>
        </a:prstGeom>
      </xdr:spPr>
    </xdr:pic>
    <xdr:clientData/>
  </xdr:twoCellAnchor>
  <xdr:twoCellAnchor editAs="oneCell">
    <xdr:from>
      <xdr:col>13</xdr:col>
      <xdr:colOff>0</xdr:colOff>
      <xdr:row>297</xdr:row>
      <xdr:rowOff>0</xdr:rowOff>
    </xdr:from>
    <xdr:to>
      <xdr:col>13</xdr:col>
      <xdr:colOff>247318</xdr:colOff>
      <xdr:row>302</xdr:row>
      <xdr:rowOff>165100</xdr:rowOff>
    </xdr:to>
    <xdr:pic>
      <xdr:nvPicPr>
        <xdr:cNvPr id="727" name="Picture 726">
          <a:extLst>
            <a:ext uri="{FF2B5EF4-FFF2-40B4-BE49-F238E27FC236}">
              <a16:creationId xmlns:a16="http://schemas.microsoft.com/office/drawing/2014/main" id="{AFC84EAB-E1A9-473A-AAE8-D77376C1B28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6200" y="86106000"/>
          <a:ext cx="247318" cy="1854200"/>
        </a:xfrm>
        <a:prstGeom prst="rect">
          <a:avLst/>
        </a:prstGeom>
      </xdr:spPr>
    </xdr:pic>
    <xdr:clientData/>
  </xdr:twoCellAnchor>
  <xdr:twoCellAnchor editAs="oneCell">
    <xdr:from>
      <xdr:col>15</xdr:col>
      <xdr:colOff>60960</xdr:colOff>
      <xdr:row>297</xdr:row>
      <xdr:rowOff>289560</xdr:rowOff>
    </xdr:from>
    <xdr:to>
      <xdr:col>15</xdr:col>
      <xdr:colOff>265160</xdr:colOff>
      <xdr:row>302</xdr:row>
      <xdr:rowOff>177800</xdr:rowOff>
    </xdr:to>
    <xdr:pic>
      <xdr:nvPicPr>
        <xdr:cNvPr id="728" name="Picture 727">
          <a:extLst>
            <a:ext uri="{FF2B5EF4-FFF2-40B4-BE49-F238E27FC236}">
              <a16:creationId xmlns:a16="http://schemas.microsoft.com/office/drawing/2014/main" id="{43F13ACA-4BAD-4AFD-97D1-0604BF7AC42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53260" y="86395560"/>
          <a:ext cx="204200" cy="1577340"/>
        </a:xfrm>
        <a:prstGeom prst="rect">
          <a:avLst/>
        </a:prstGeom>
      </xdr:spPr>
    </xdr:pic>
    <xdr:clientData/>
  </xdr:twoCellAnchor>
  <xdr:twoCellAnchor editAs="oneCell">
    <xdr:from>
      <xdr:col>17</xdr:col>
      <xdr:colOff>0</xdr:colOff>
      <xdr:row>297</xdr:row>
      <xdr:rowOff>0</xdr:rowOff>
    </xdr:from>
    <xdr:to>
      <xdr:col>17</xdr:col>
      <xdr:colOff>218521</xdr:colOff>
      <xdr:row>301</xdr:row>
      <xdr:rowOff>215900</xdr:rowOff>
    </xdr:to>
    <xdr:pic>
      <xdr:nvPicPr>
        <xdr:cNvPr id="729" name="Picture 728">
          <a:extLst>
            <a:ext uri="{FF2B5EF4-FFF2-40B4-BE49-F238E27FC236}">
              <a16:creationId xmlns:a16="http://schemas.microsoft.com/office/drawing/2014/main" id="{D8A863EA-C61D-4A9A-A9B8-7392FB4CB2C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70300" y="86106000"/>
          <a:ext cx="218521" cy="1638300"/>
        </a:xfrm>
        <a:prstGeom prst="rect">
          <a:avLst/>
        </a:prstGeom>
      </xdr:spPr>
    </xdr:pic>
    <xdr:clientData/>
  </xdr:twoCellAnchor>
  <xdr:twoCellAnchor editAs="oneCell">
    <xdr:from>
      <xdr:col>19</xdr:col>
      <xdr:colOff>0</xdr:colOff>
      <xdr:row>297</xdr:row>
      <xdr:rowOff>0</xdr:rowOff>
    </xdr:from>
    <xdr:to>
      <xdr:col>19</xdr:col>
      <xdr:colOff>220215</xdr:colOff>
      <xdr:row>301</xdr:row>
      <xdr:rowOff>228600</xdr:rowOff>
    </xdr:to>
    <xdr:pic>
      <xdr:nvPicPr>
        <xdr:cNvPr id="730" name="Picture 729">
          <a:extLst>
            <a:ext uri="{FF2B5EF4-FFF2-40B4-BE49-F238E27FC236}">
              <a16:creationId xmlns:a16="http://schemas.microsoft.com/office/drawing/2014/main" id="{096AB6F8-C001-4F3D-8B94-B464BFC7681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7995900" y="86106000"/>
          <a:ext cx="220215" cy="1651000"/>
        </a:xfrm>
        <a:prstGeom prst="rect">
          <a:avLst/>
        </a:prstGeom>
      </xdr:spPr>
    </xdr:pic>
    <xdr:clientData/>
  </xdr:twoCellAnchor>
  <xdr:twoCellAnchor editAs="oneCell">
    <xdr:from>
      <xdr:col>21</xdr:col>
      <xdr:colOff>0</xdr:colOff>
      <xdr:row>297</xdr:row>
      <xdr:rowOff>0</xdr:rowOff>
    </xdr:from>
    <xdr:to>
      <xdr:col>21</xdr:col>
      <xdr:colOff>243931</xdr:colOff>
      <xdr:row>302</xdr:row>
      <xdr:rowOff>139700</xdr:rowOff>
    </xdr:to>
    <xdr:pic>
      <xdr:nvPicPr>
        <xdr:cNvPr id="731" name="Picture 730">
          <a:extLst>
            <a:ext uri="{FF2B5EF4-FFF2-40B4-BE49-F238E27FC236}">
              <a16:creationId xmlns:a16="http://schemas.microsoft.com/office/drawing/2014/main" id="{FFCF9A4B-5A94-4860-B57F-C68636FC26B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72300" y="86106000"/>
          <a:ext cx="243931" cy="1828800"/>
        </a:xfrm>
        <a:prstGeom prst="rect">
          <a:avLst/>
        </a:prstGeom>
      </xdr:spPr>
    </xdr:pic>
    <xdr:clientData/>
  </xdr:twoCellAnchor>
  <xdr:twoCellAnchor editAs="oneCell">
    <xdr:from>
      <xdr:col>5</xdr:col>
      <xdr:colOff>0</xdr:colOff>
      <xdr:row>305</xdr:row>
      <xdr:rowOff>0</xdr:rowOff>
    </xdr:from>
    <xdr:to>
      <xdr:col>5</xdr:col>
      <xdr:colOff>279400</xdr:colOff>
      <xdr:row>311</xdr:row>
      <xdr:rowOff>131302</xdr:rowOff>
    </xdr:to>
    <xdr:pic>
      <xdr:nvPicPr>
        <xdr:cNvPr id="732" name="Picture 731">
          <a:extLst>
            <a:ext uri="{FF2B5EF4-FFF2-40B4-BE49-F238E27FC236}">
              <a16:creationId xmlns:a16="http://schemas.microsoft.com/office/drawing/2014/main" id="{49A5544B-AFEE-4917-BA74-A04CC242522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106169460"/>
          <a:ext cx="279400" cy="1015222"/>
        </a:xfrm>
        <a:prstGeom prst="rect">
          <a:avLst/>
        </a:prstGeom>
      </xdr:spPr>
    </xdr:pic>
    <xdr:clientData/>
  </xdr:twoCellAnchor>
  <xdr:twoCellAnchor editAs="oneCell">
    <xdr:from>
      <xdr:col>11</xdr:col>
      <xdr:colOff>45720</xdr:colOff>
      <xdr:row>305</xdr:row>
      <xdr:rowOff>76200</xdr:rowOff>
    </xdr:from>
    <xdr:to>
      <xdr:col>11</xdr:col>
      <xdr:colOff>325120</xdr:colOff>
      <xdr:row>311</xdr:row>
      <xdr:rowOff>207502</xdr:rowOff>
    </xdr:to>
    <xdr:pic>
      <xdr:nvPicPr>
        <xdr:cNvPr id="733" name="Picture 732">
          <a:extLst>
            <a:ext uri="{FF2B5EF4-FFF2-40B4-BE49-F238E27FC236}">
              <a16:creationId xmlns:a16="http://schemas.microsoft.com/office/drawing/2014/main" id="{041171CC-5A61-40CB-9E24-18F499F9FB9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86160" y="106245660"/>
          <a:ext cx="279400" cy="1015222"/>
        </a:xfrm>
        <a:prstGeom prst="rect">
          <a:avLst/>
        </a:prstGeom>
      </xdr:spPr>
    </xdr:pic>
    <xdr:clientData/>
  </xdr:twoCellAnchor>
  <xdr:twoCellAnchor editAs="oneCell">
    <xdr:from>
      <xdr:col>13</xdr:col>
      <xdr:colOff>0</xdr:colOff>
      <xdr:row>305</xdr:row>
      <xdr:rowOff>0</xdr:rowOff>
    </xdr:from>
    <xdr:to>
      <xdr:col>13</xdr:col>
      <xdr:colOff>279400</xdr:colOff>
      <xdr:row>311</xdr:row>
      <xdr:rowOff>131302</xdr:rowOff>
    </xdr:to>
    <xdr:pic>
      <xdr:nvPicPr>
        <xdr:cNvPr id="734" name="Picture 733">
          <a:extLst>
            <a:ext uri="{FF2B5EF4-FFF2-40B4-BE49-F238E27FC236}">
              <a16:creationId xmlns:a16="http://schemas.microsoft.com/office/drawing/2014/main" id="{05D3EBA4-E0A3-421A-B473-645714B9E46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106169460"/>
          <a:ext cx="279400" cy="1015222"/>
        </a:xfrm>
        <a:prstGeom prst="rect">
          <a:avLst/>
        </a:prstGeom>
      </xdr:spPr>
    </xdr:pic>
    <xdr:clientData/>
  </xdr:twoCellAnchor>
  <xdr:twoCellAnchor editAs="oneCell">
    <xdr:from>
      <xdr:col>15</xdr:col>
      <xdr:colOff>0</xdr:colOff>
      <xdr:row>305</xdr:row>
      <xdr:rowOff>0</xdr:rowOff>
    </xdr:from>
    <xdr:to>
      <xdr:col>15</xdr:col>
      <xdr:colOff>279400</xdr:colOff>
      <xdr:row>311</xdr:row>
      <xdr:rowOff>131302</xdr:rowOff>
    </xdr:to>
    <xdr:pic>
      <xdr:nvPicPr>
        <xdr:cNvPr id="735" name="Picture 734">
          <a:extLst>
            <a:ext uri="{FF2B5EF4-FFF2-40B4-BE49-F238E27FC236}">
              <a16:creationId xmlns:a16="http://schemas.microsoft.com/office/drawing/2014/main" id="{C3E9C34B-7358-4D7D-A483-6FB5FDA4A04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106169460"/>
          <a:ext cx="279400" cy="1015222"/>
        </a:xfrm>
        <a:prstGeom prst="rect">
          <a:avLst/>
        </a:prstGeom>
      </xdr:spPr>
    </xdr:pic>
    <xdr:clientData/>
  </xdr:twoCellAnchor>
  <xdr:twoCellAnchor editAs="oneCell">
    <xdr:from>
      <xdr:col>17</xdr:col>
      <xdr:colOff>0</xdr:colOff>
      <xdr:row>305</xdr:row>
      <xdr:rowOff>0</xdr:rowOff>
    </xdr:from>
    <xdr:to>
      <xdr:col>17</xdr:col>
      <xdr:colOff>114300</xdr:colOff>
      <xdr:row>306</xdr:row>
      <xdr:rowOff>215925</xdr:rowOff>
    </xdr:to>
    <xdr:pic>
      <xdr:nvPicPr>
        <xdr:cNvPr id="736" name="Picture 735">
          <a:extLst>
            <a:ext uri="{FF2B5EF4-FFF2-40B4-BE49-F238E27FC236}">
              <a16:creationId xmlns:a16="http://schemas.microsoft.com/office/drawing/2014/main" id="{C700D6CB-DE70-4B88-9A14-BF9C322557A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70300" y="88506300"/>
          <a:ext cx="114300" cy="838225"/>
        </a:xfrm>
        <a:prstGeom prst="rect">
          <a:avLst/>
        </a:prstGeom>
      </xdr:spPr>
    </xdr:pic>
    <xdr:clientData/>
  </xdr:twoCellAnchor>
  <xdr:twoCellAnchor editAs="oneCell">
    <xdr:from>
      <xdr:col>19</xdr:col>
      <xdr:colOff>0</xdr:colOff>
      <xdr:row>305</xdr:row>
      <xdr:rowOff>0</xdr:rowOff>
    </xdr:from>
    <xdr:to>
      <xdr:col>19</xdr:col>
      <xdr:colOff>279400</xdr:colOff>
      <xdr:row>311</xdr:row>
      <xdr:rowOff>131302</xdr:rowOff>
    </xdr:to>
    <xdr:pic>
      <xdr:nvPicPr>
        <xdr:cNvPr id="737" name="Picture 736">
          <a:extLst>
            <a:ext uri="{FF2B5EF4-FFF2-40B4-BE49-F238E27FC236}">
              <a16:creationId xmlns:a16="http://schemas.microsoft.com/office/drawing/2014/main" id="{070CAFB0-6F2D-4F76-A87A-8746BB3EF8D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106169460"/>
          <a:ext cx="279400" cy="1015222"/>
        </a:xfrm>
        <a:prstGeom prst="rect">
          <a:avLst/>
        </a:prstGeom>
      </xdr:spPr>
    </xdr:pic>
    <xdr:clientData/>
  </xdr:twoCellAnchor>
  <xdr:twoCellAnchor editAs="oneCell">
    <xdr:from>
      <xdr:col>21</xdr:col>
      <xdr:colOff>0</xdr:colOff>
      <xdr:row>305</xdr:row>
      <xdr:rowOff>0</xdr:rowOff>
    </xdr:from>
    <xdr:to>
      <xdr:col>21</xdr:col>
      <xdr:colOff>279400</xdr:colOff>
      <xdr:row>311</xdr:row>
      <xdr:rowOff>131302</xdr:rowOff>
    </xdr:to>
    <xdr:pic>
      <xdr:nvPicPr>
        <xdr:cNvPr id="738" name="Picture 737">
          <a:extLst>
            <a:ext uri="{FF2B5EF4-FFF2-40B4-BE49-F238E27FC236}">
              <a16:creationId xmlns:a16="http://schemas.microsoft.com/office/drawing/2014/main" id="{2B7F3678-6DFC-4049-835A-EF0CA27C95C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106169460"/>
          <a:ext cx="279400" cy="1015222"/>
        </a:xfrm>
        <a:prstGeom prst="rect">
          <a:avLst/>
        </a:prstGeom>
      </xdr:spPr>
    </xdr:pic>
    <xdr:clientData/>
  </xdr:twoCellAnchor>
  <xdr:twoCellAnchor editAs="oneCell">
    <xdr:from>
      <xdr:col>23</xdr:col>
      <xdr:colOff>0</xdr:colOff>
      <xdr:row>305</xdr:row>
      <xdr:rowOff>0</xdr:rowOff>
    </xdr:from>
    <xdr:to>
      <xdr:col>23</xdr:col>
      <xdr:colOff>279400</xdr:colOff>
      <xdr:row>311</xdr:row>
      <xdr:rowOff>131302</xdr:rowOff>
    </xdr:to>
    <xdr:pic>
      <xdr:nvPicPr>
        <xdr:cNvPr id="739" name="Picture 738">
          <a:extLst>
            <a:ext uri="{FF2B5EF4-FFF2-40B4-BE49-F238E27FC236}">
              <a16:creationId xmlns:a16="http://schemas.microsoft.com/office/drawing/2014/main" id="{9C7E65B6-9FE8-4221-BE09-6168ADCD5CF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106169460"/>
          <a:ext cx="279400" cy="1015222"/>
        </a:xfrm>
        <a:prstGeom prst="rect">
          <a:avLst/>
        </a:prstGeom>
      </xdr:spPr>
    </xdr:pic>
    <xdr:clientData/>
  </xdr:twoCellAnchor>
  <xdr:twoCellAnchor editAs="oneCell">
    <xdr:from>
      <xdr:col>3</xdr:col>
      <xdr:colOff>0</xdr:colOff>
      <xdr:row>314</xdr:row>
      <xdr:rowOff>0</xdr:rowOff>
    </xdr:from>
    <xdr:to>
      <xdr:col>3</xdr:col>
      <xdr:colOff>279400</xdr:colOff>
      <xdr:row>320</xdr:row>
      <xdr:rowOff>237982</xdr:rowOff>
    </xdr:to>
    <xdr:pic>
      <xdr:nvPicPr>
        <xdr:cNvPr id="740" name="Picture 739">
          <a:extLst>
            <a:ext uri="{FF2B5EF4-FFF2-40B4-BE49-F238E27FC236}">
              <a16:creationId xmlns:a16="http://schemas.microsoft.com/office/drawing/2014/main" id="{2E558F64-A023-48E9-A41E-BABD7AA7FC8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109377480"/>
          <a:ext cx="279400" cy="1022842"/>
        </a:xfrm>
        <a:prstGeom prst="rect">
          <a:avLst/>
        </a:prstGeom>
      </xdr:spPr>
    </xdr:pic>
    <xdr:clientData/>
  </xdr:twoCellAnchor>
  <xdr:twoCellAnchor editAs="oneCell">
    <xdr:from>
      <xdr:col>7</xdr:col>
      <xdr:colOff>0</xdr:colOff>
      <xdr:row>314</xdr:row>
      <xdr:rowOff>0</xdr:rowOff>
    </xdr:from>
    <xdr:to>
      <xdr:col>7</xdr:col>
      <xdr:colOff>279400</xdr:colOff>
      <xdr:row>320</xdr:row>
      <xdr:rowOff>237982</xdr:rowOff>
    </xdr:to>
    <xdr:pic>
      <xdr:nvPicPr>
        <xdr:cNvPr id="741" name="Picture 740">
          <a:extLst>
            <a:ext uri="{FF2B5EF4-FFF2-40B4-BE49-F238E27FC236}">
              <a16:creationId xmlns:a16="http://schemas.microsoft.com/office/drawing/2014/main" id="{5A9F84E8-0947-476E-B07D-864459BDF9C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109377480"/>
          <a:ext cx="279400" cy="1022842"/>
        </a:xfrm>
        <a:prstGeom prst="rect">
          <a:avLst/>
        </a:prstGeom>
      </xdr:spPr>
    </xdr:pic>
    <xdr:clientData/>
  </xdr:twoCellAnchor>
  <xdr:twoCellAnchor editAs="oneCell">
    <xdr:from>
      <xdr:col>17</xdr:col>
      <xdr:colOff>0</xdr:colOff>
      <xdr:row>314</xdr:row>
      <xdr:rowOff>0</xdr:rowOff>
    </xdr:from>
    <xdr:to>
      <xdr:col>17</xdr:col>
      <xdr:colOff>279400</xdr:colOff>
      <xdr:row>320</xdr:row>
      <xdr:rowOff>237982</xdr:rowOff>
    </xdr:to>
    <xdr:pic>
      <xdr:nvPicPr>
        <xdr:cNvPr id="742" name="Picture 741">
          <a:extLst>
            <a:ext uri="{FF2B5EF4-FFF2-40B4-BE49-F238E27FC236}">
              <a16:creationId xmlns:a16="http://schemas.microsoft.com/office/drawing/2014/main" id="{540517BB-5AB8-4B29-B02F-C8136B336CA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109377480"/>
          <a:ext cx="279400" cy="1022842"/>
        </a:xfrm>
        <a:prstGeom prst="rect">
          <a:avLst/>
        </a:prstGeom>
      </xdr:spPr>
    </xdr:pic>
    <xdr:clientData/>
  </xdr:twoCellAnchor>
  <xdr:twoCellAnchor editAs="oneCell">
    <xdr:from>
      <xdr:col>21</xdr:col>
      <xdr:colOff>0</xdr:colOff>
      <xdr:row>314</xdr:row>
      <xdr:rowOff>0</xdr:rowOff>
    </xdr:from>
    <xdr:to>
      <xdr:col>21</xdr:col>
      <xdr:colOff>279400</xdr:colOff>
      <xdr:row>320</xdr:row>
      <xdr:rowOff>237982</xdr:rowOff>
    </xdr:to>
    <xdr:pic>
      <xdr:nvPicPr>
        <xdr:cNvPr id="743" name="Picture 742">
          <a:extLst>
            <a:ext uri="{FF2B5EF4-FFF2-40B4-BE49-F238E27FC236}">
              <a16:creationId xmlns:a16="http://schemas.microsoft.com/office/drawing/2014/main" id="{39418ABD-99B2-4BD1-AFDC-03116671240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109377480"/>
          <a:ext cx="279400" cy="1022842"/>
        </a:xfrm>
        <a:prstGeom prst="rect">
          <a:avLst/>
        </a:prstGeom>
      </xdr:spPr>
    </xdr:pic>
    <xdr:clientData/>
  </xdr:twoCellAnchor>
  <xdr:twoCellAnchor editAs="oneCell">
    <xdr:from>
      <xdr:col>1</xdr:col>
      <xdr:colOff>0</xdr:colOff>
      <xdr:row>324</xdr:row>
      <xdr:rowOff>0</xdr:rowOff>
    </xdr:from>
    <xdr:to>
      <xdr:col>1</xdr:col>
      <xdr:colOff>279400</xdr:colOff>
      <xdr:row>330</xdr:row>
      <xdr:rowOff>131302</xdr:rowOff>
    </xdr:to>
    <xdr:pic>
      <xdr:nvPicPr>
        <xdr:cNvPr id="744" name="Picture 743">
          <a:extLst>
            <a:ext uri="{FF2B5EF4-FFF2-40B4-BE49-F238E27FC236}">
              <a16:creationId xmlns:a16="http://schemas.microsoft.com/office/drawing/2014/main" id="{C784C619-F9B7-401E-B7A5-F111F930435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113248440"/>
          <a:ext cx="279400" cy="1015222"/>
        </a:xfrm>
        <a:prstGeom prst="rect">
          <a:avLst/>
        </a:prstGeom>
      </xdr:spPr>
    </xdr:pic>
    <xdr:clientData/>
  </xdr:twoCellAnchor>
  <xdr:twoCellAnchor editAs="oneCell">
    <xdr:from>
      <xdr:col>3</xdr:col>
      <xdr:colOff>0</xdr:colOff>
      <xdr:row>324</xdr:row>
      <xdr:rowOff>0</xdr:rowOff>
    </xdr:from>
    <xdr:to>
      <xdr:col>3</xdr:col>
      <xdr:colOff>279400</xdr:colOff>
      <xdr:row>330</xdr:row>
      <xdr:rowOff>131302</xdr:rowOff>
    </xdr:to>
    <xdr:pic>
      <xdr:nvPicPr>
        <xdr:cNvPr id="745" name="Picture 744">
          <a:extLst>
            <a:ext uri="{FF2B5EF4-FFF2-40B4-BE49-F238E27FC236}">
              <a16:creationId xmlns:a16="http://schemas.microsoft.com/office/drawing/2014/main" id="{30A777FA-A9AA-436B-AABE-356F72CCA47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113248440"/>
          <a:ext cx="279400" cy="1015222"/>
        </a:xfrm>
        <a:prstGeom prst="rect">
          <a:avLst/>
        </a:prstGeom>
      </xdr:spPr>
    </xdr:pic>
    <xdr:clientData/>
  </xdr:twoCellAnchor>
  <xdr:twoCellAnchor editAs="oneCell">
    <xdr:from>
      <xdr:col>23</xdr:col>
      <xdr:colOff>0</xdr:colOff>
      <xdr:row>314</xdr:row>
      <xdr:rowOff>0</xdr:rowOff>
    </xdr:from>
    <xdr:to>
      <xdr:col>23</xdr:col>
      <xdr:colOff>279400</xdr:colOff>
      <xdr:row>320</xdr:row>
      <xdr:rowOff>237982</xdr:rowOff>
    </xdr:to>
    <xdr:pic>
      <xdr:nvPicPr>
        <xdr:cNvPr id="746" name="Picture 745">
          <a:extLst>
            <a:ext uri="{FF2B5EF4-FFF2-40B4-BE49-F238E27FC236}">
              <a16:creationId xmlns:a16="http://schemas.microsoft.com/office/drawing/2014/main" id="{66974335-4694-4904-AAC8-99A58BCAC18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109377480"/>
          <a:ext cx="279400" cy="1022842"/>
        </a:xfrm>
        <a:prstGeom prst="rect">
          <a:avLst/>
        </a:prstGeom>
      </xdr:spPr>
    </xdr:pic>
    <xdr:clientData/>
  </xdr:twoCellAnchor>
  <xdr:twoCellAnchor editAs="oneCell">
    <xdr:from>
      <xdr:col>5</xdr:col>
      <xdr:colOff>0</xdr:colOff>
      <xdr:row>324</xdr:row>
      <xdr:rowOff>0</xdr:rowOff>
    </xdr:from>
    <xdr:to>
      <xdr:col>5</xdr:col>
      <xdr:colOff>279400</xdr:colOff>
      <xdr:row>330</xdr:row>
      <xdr:rowOff>131302</xdr:rowOff>
    </xdr:to>
    <xdr:pic>
      <xdr:nvPicPr>
        <xdr:cNvPr id="747" name="Picture 746">
          <a:extLst>
            <a:ext uri="{FF2B5EF4-FFF2-40B4-BE49-F238E27FC236}">
              <a16:creationId xmlns:a16="http://schemas.microsoft.com/office/drawing/2014/main" id="{BAF16579-7714-48F0-B69E-2230005D4C6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113248440"/>
          <a:ext cx="279400" cy="1015222"/>
        </a:xfrm>
        <a:prstGeom prst="rect">
          <a:avLst/>
        </a:prstGeom>
      </xdr:spPr>
    </xdr:pic>
    <xdr:clientData/>
  </xdr:twoCellAnchor>
  <xdr:twoCellAnchor editAs="oneCell">
    <xdr:from>
      <xdr:col>7</xdr:col>
      <xdr:colOff>0</xdr:colOff>
      <xdr:row>324</xdr:row>
      <xdr:rowOff>0</xdr:rowOff>
    </xdr:from>
    <xdr:to>
      <xdr:col>7</xdr:col>
      <xdr:colOff>279400</xdr:colOff>
      <xdr:row>330</xdr:row>
      <xdr:rowOff>131302</xdr:rowOff>
    </xdr:to>
    <xdr:pic>
      <xdr:nvPicPr>
        <xdr:cNvPr id="748" name="Picture 747">
          <a:extLst>
            <a:ext uri="{FF2B5EF4-FFF2-40B4-BE49-F238E27FC236}">
              <a16:creationId xmlns:a16="http://schemas.microsoft.com/office/drawing/2014/main" id="{FB7417B8-8DF1-4A42-9078-402BA51C648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113248440"/>
          <a:ext cx="279400" cy="1015222"/>
        </a:xfrm>
        <a:prstGeom prst="rect">
          <a:avLst/>
        </a:prstGeom>
      </xdr:spPr>
    </xdr:pic>
    <xdr:clientData/>
  </xdr:twoCellAnchor>
  <xdr:twoCellAnchor editAs="oneCell">
    <xdr:from>
      <xdr:col>9</xdr:col>
      <xdr:colOff>0</xdr:colOff>
      <xdr:row>324</xdr:row>
      <xdr:rowOff>0</xdr:rowOff>
    </xdr:from>
    <xdr:to>
      <xdr:col>9</xdr:col>
      <xdr:colOff>279400</xdr:colOff>
      <xdr:row>330</xdr:row>
      <xdr:rowOff>131302</xdr:rowOff>
    </xdr:to>
    <xdr:pic>
      <xdr:nvPicPr>
        <xdr:cNvPr id="749" name="Picture 748">
          <a:extLst>
            <a:ext uri="{FF2B5EF4-FFF2-40B4-BE49-F238E27FC236}">
              <a16:creationId xmlns:a16="http://schemas.microsoft.com/office/drawing/2014/main" id="{5998B5F9-E902-40DC-B8D7-E84A79F3DB7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113248440"/>
          <a:ext cx="279400" cy="1015222"/>
        </a:xfrm>
        <a:prstGeom prst="rect">
          <a:avLst/>
        </a:prstGeom>
      </xdr:spPr>
    </xdr:pic>
    <xdr:clientData/>
  </xdr:twoCellAnchor>
  <xdr:twoCellAnchor editAs="oneCell">
    <xdr:from>
      <xdr:col>11</xdr:col>
      <xdr:colOff>0</xdr:colOff>
      <xdr:row>324</xdr:row>
      <xdr:rowOff>0</xdr:rowOff>
    </xdr:from>
    <xdr:to>
      <xdr:col>11</xdr:col>
      <xdr:colOff>279400</xdr:colOff>
      <xdr:row>330</xdr:row>
      <xdr:rowOff>131302</xdr:rowOff>
    </xdr:to>
    <xdr:pic>
      <xdr:nvPicPr>
        <xdr:cNvPr id="750" name="Picture 749">
          <a:extLst>
            <a:ext uri="{FF2B5EF4-FFF2-40B4-BE49-F238E27FC236}">
              <a16:creationId xmlns:a16="http://schemas.microsoft.com/office/drawing/2014/main" id="{547CDC20-9691-4AD4-9532-4A3FDDFDEF6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113248440"/>
          <a:ext cx="279400" cy="1015222"/>
        </a:xfrm>
        <a:prstGeom prst="rect">
          <a:avLst/>
        </a:prstGeom>
      </xdr:spPr>
    </xdr:pic>
    <xdr:clientData/>
  </xdr:twoCellAnchor>
  <xdr:twoCellAnchor editAs="oneCell">
    <xdr:from>
      <xdr:col>15</xdr:col>
      <xdr:colOff>68248</xdr:colOff>
      <xdr:row>324</xdr:row>
      <xdr:rowOff>2</xdr:rowOff>
    </xdr:from>
    <xdr:to>
      <xdr:col>15</xdr:col>
      <xdr:colOff>221289</xdr:colOff>
      <xdr:row>326</xdr:row>
      <xdr:rowOff>162129</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675950" y="92818087"/>
          <a:ext cx="153041" cy="1199744"/>
        </a:xfrm>
        <a:prstGeom prst="rect">
          <a:avLst/>
        </a:prstGeom>
      </xdr:spPr>
    </xdr:pic>
    <xdr:clientData/>
  </xdr:twoCellAnchor>
  <xdr:twoCellAnchor editAs="oneCell">
    <xdr:from>
      <xdr:col>17</xdr:col>
      <xdr:colOff>0</xdr:colOff>
      <xdr:row>324</xdr:row>
      <xdr:rowOff>0</xdr:rowOff>
    </xdr:from>
    <xdr:to>
      <xdr:col>17</xdr:col>
      <xdr:colOff>279400</xdr:colOff>
      <xdr:row>330</xdr:row>
      <xdr:rowOff>131302</xdr:rowOff>
    </xdr:to>
    <xdr:pic>
      <xdr:nvPicPr>
        <xdr:cNvPr id="752" name="Picture 751">
          <a:extLst>
            <a:ext uri="{FF2B5EF4-FFF2-40B4-BE49-F238E27FC236}">
              <a16:creationId xmlns:a16="http://schemas.microsoft.com/office/drawing/2014/main" id="{346C25A5-598A-472B-95D4-85F56183775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113248440"/>
          <a:ext cx="279400" cy="1015222"/>
        </a:xfrm>
        <a:prstGeom prst="rect">
          <a:avLst/>
        </a:prstGeom>
      </xdr:spPr>
    </xdr:pic>
    <xdr:clientData/>
  </xdr:twoCellAnchor>
  <xdr:twoCellAnchor editAs="oneCell">
    <xdr:from>
      <xdr:col>19</xdr:col>
      <xdr:colOff>0</xdr:colOff>
      <xdr:row>324</xdr:row>
      <xdr:rowOff>0</xdr:rowOff>
    </xdr:from>
    <xdr:to>
      <xdr:col>19</xdr:col>
      <xdr:colOff>279400</xdr:colOff>
      <xdr:row>330</xdr:row>
      <xdr:rowOff>131302</xdr:rowOff>
    </xdr:to>
    <xdr:pic>
      <xdr:nvPicPr>
        <xdr:cNvPr id="753" name="Picture 752">
          <a:extLst>
            <a:ext uri="{FF2B5EF4-FFF2-40B4-BE49-F238E27FC236}">
              <a16:creationId xmlns:a16="http://schemas.microsoft.com/office/drawing/2014/main" id="{48BB1EA1-21EE-4628-AC91-EC72A665ED4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113248440"/>
          <a:ext cx="279400" cy="1015222"/>
        </a:xfrm>
        <a:prstGeom prst="rect">
          <a:avLst/>
        </a:prstGeom>
      </xdr:spPr>
    </xdr:pic>
    <xdr:clientData/>
  </xdr:twoCellAnchor>
  <xdr:twoCellAnchor editAs="oneCell">
    <xdr:from>
      <xdr:col>1</xdr:col>
      <xdr:colOff>0</xdr:colOff>
      <xdr:row>333</xdr:row>
      <xdr:rowOff>0</xdr:rowOff>
    </xdr:from>
    <xdr:to>
      <xdr:col>1</xdr:col>
      <xdr:colOff>279400</xdr:colOff>
      <xdr:row>339</xdr:row>
      <xdr:rowOff>138922</xdr:rowOff>
    </xdr:to>
    <xdr:pic>
      <xdr:nvPicPr>
        <xdr:cNvPr id="754" name="Picture 753">
          <a:extLst>
            <a:ext uri="{FF2B5EF4-FFF2-40B4-BE49-F238E27FC236}">
              <a16:creationId xmlns:a16="http://schemas.microsoft.com/office/drawing/2014/main" id="{C421AE7F-5B63-42E6-B6B7-00CAF54C25C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116677440"/>
          <a:ext cx="279400" cy="1022842"/>
        </a:xfrm>
        <a:prstGeom prst="rect">
          <a:avLst/>
        </a:prstGeom>
      </xdr:spPr>
    </xdr:pic>
    <xdr:clientData/>
  </xdr:twoCellAnchor>
  <xdr:twoCellAnchor editAs="oneCell">
    <xdr:from>
      <xdr:col>3</xdr:col>
      <xdr:colOff>0</xdr:colOff>
      <xdr:row>333</xdr:row>
      <xdr:rowOff>0</xdr:rowOff>
    </xdr:from>
    <xdr:to>
      <xdr:col>3</xdr:col>
      <xdr:colOff>279400</xdr:colOff>
      <xdr:row>339</xdr:row>
      <xdr:rowOff>138922</xdr:rowOff>
    </xdr:to>
    <xdr:pic>
      <xdr:nvPicPr>
        <xdr:cNvPr id="755" name="Picture 754">
          <a:extLst>
            <a:ext uri="{FF2B5EF4-FFF2-40B4-BE49-F238E27FC236}">
              <a16:creationId xmlns:a16="http://schemas.microsoft.com/office/drawing/2014/main" id="{D32596F5-3047-496D-8D42-B436A5DE083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116677440"/>
          <a:ext cx="279400" cy="1022842"/>
        </a:xfrm>
        <a:prstGeom prst="rect">
          <a:avLst/>
        </a:prstGeom>
      </xdr:spPr>
    </xdr:pic>
    <xdr:clientData/>
  </xdr:twoCellAnchor>
  <xdr:twoCellAnchor editAs="oneCell">
    <xdr:from>
      <xdr:col>5</xdr:col>
      <xdr:colOff>0</xdr:colOff>
      <xdr:row>333</xdr:row>
      <xdr:rowOff>0</xdr:rowOff>
    </xdr:from>
    <xdr:to>
      <xdr:col>5</xdr:col>
      <xdr:colOff>279400</xdr:colOff>
      <xdr:row>339</xdr:row>
      <xdr:rowOff>138922</xdr:rowOff>
    </xdr:to>
    <xdr:pic>
      <xdr:nvPicPr>
        <xdr:cNvPr id="756" name="Picture 755">
          <a:extLst>
            <a:ext uri="{FF2B5EF4-FFF2-40B4-BE49-F238E27FC236}">
              <a16:creationId xmlns:a16="http://schemas.microsoft.com/office/drawing/2014/main" id="{7FF87ACF-615E-4AD8-8FB5-F22BEB5ED81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116677440"/>
          <a:ext cx="279400" cy="1022842"/>
        </a:xfrm>
        <a:prstGeom prst="rect">
          <a:avLst/>
        </a:prstGeom>
      </xdr:spPr>
    </xdr:pic>
    <xdr:clientData/>
  </xdr:twoCellAnchor>
  <xdr:twoCellAnchor editAs="oneCell">
    <xdr:from>
      <xdr:col>7</xdr:col>
      <xdr:colOff>0</xdr:colOff>
      <xdr:row>333</xdr:row>
      <xdr:rowOff>0</xdr:rowOff>
    </xdr:from>
    <xdr:to>
      <xdr:col>7</xdr:col>
      <xdr:colOff>279400</xdr:colOff>
      <xdr:row>339</xdr:row>
      <xdr:rowOff>138922</xdr:rowOff>
    </xdr:to>
    <xdr:pic>
      <xdr:nvPicPr>
        <xdr:cNvPr id="757" name="Picture 756">
          <a:extLst>
            <a:ext uri="{FF2B5EF4-FFF2-40B4-BE49-F238E27FC236}">
              <a16:creationId xmlns:a16="http://schemas.microsoft.com/office/drawing/2014/main" id="{B9341C45-A1A1-4EB3-AC7A-51BB687ADAC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116677440"/>
          <a:ext cx="279400" cy="1022842"/>
        </a:xfrm>
        <a:prstGeom prst="rect">
          <a:avLst/>
        </a:prstGeom>
      </xdr:spPr>
    </xdr:pic>
    <xdr:clientData/>
  </xdr:twoCellAnchor>
  <xdr:twoCellAnchor editAs="oneCell">
    <xdr:from>
      <xdr:col>9</xdr:col>
      <xdr:colOff>0</xdr:colOff>
      <xdr:row>333</xdr:row>
      <xdr:rowOff>0</xdr:rowOff>
    </xdr:from>
    <xdr:to>
      <xdr:col>9</xdr:col>
      <xdr:colOff>279400</xdr:colOff>
      <xdr:row>339</xdr:row>
      <xdr:rowOff>138922</xdr:rowOff>
    </xdr:to>
    <xdr:pic>
      <xdr:nvPicPr>
        <xdr:cNvPr id="758" name="Picture 757">
          <a:extLst>
            <a:ext uri="{FF2B5EF4-FFF2-40B4-BE49-F238E27FC236}">
              <a16:creationId xmlns:a16="http://schemas.microsoft.com/office/drawing/2014/main" id="{19E90790-B9DD-40B2-B9FD-C26E5FF365B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116677440"/>
          <a:ext cx="279400" cy="1022842"/>
        </a:xfrm>
        <a:prstGeom prst="rect">
          <a:avLst/>
        </a:prstGeom>
      </xdr:spPr>
    </xdr:pic>
    <xdr:clientData/>
  </xdr:twoCellAnchor>
  <xdr:twoCellAnchor editAs="oneCell">
    <xdr:from>
      <xdr:col>11</xdr:col>
      <xdr:colOff>0</xdr:colOff>
      <xdr:row>333</xdr:row>
      <xdr:rowOff>0</xdr:rowOff>
    </xdr:from>
    <xdr:to>
      <xdr:col>11</xdr:col>
      <xdr:colOff>279400</xdr:colOff>
      <xdr:row>339</xdr:row>
      <xdr:rowOff>138922</xdr:rowOff>
    </xdr:to>
    <xdr:pic>
      <xdr:nvPicPr>
        <xdr:cNvPr id="759" name="Picture 758">
          <a:extLst>
            <a:ext uri="{FF2B5EF4-FFF2-40B4-BE49-F238E27FC236}">
              <a16:creationId xmlns:a16="http://schemas.microsoft.com/office/drawing/2014/main" id="{739D1DA0-D54D-47A5-8F4B-DD7FB12D52C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116677440"/>
          <a:ext cx="279400" cy="1022842"/>
        </a:xfrm>
        <a:prstGeom prst="rect">
          <a:avLst/>
        </a:prstGeom>
      </xdr:spPr>
    </xdr:pic>
    <xdr:clientData/>
  </xdr:twoCellAnchor>
  <xdr:twoCellAnchor editAs="oneCell">
    <xdr:from>
      <xdr:col>13</xdr:col>
      <xdr:colOff>60960</xdr:colOff>
      <xdr:row>333</xdr:row>
      <xdr:rowOff>182879</xdr:rowOff>
    </xdr:from>
    <xdr:to>
      <xdr:col>13</xdr:col>
      <xdr:colOff>274320</xdr:colOff>
      <xdr:row>339</xdr:row>
      <xdr:rowOff>191621</xdr:rowOff>
    </xdr:to>
    <xdr:pic>
      <xdr:nvPicPr>
        <xdr:cNvPr id="760" name="Picture 759">
          <a:extLst>
            <a:ext uri="{FF2B5EF4-FFF2-40B4-BE49-F238E27FC236}">
              <a16:creationId xmlns:a16="http://schemas.microsoft.com/office/drawing/2014/main" id="{8D03EB00-1554-4B48-9B8D-A9E1F12A1CF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839700" y="116860319"/>
          <a:ext cx="213360" cy="892662"/>
        </a:xfrm>
        <a:prstGeom prst="rect">
          <a:avLst/>
        </a:prstGeom>
      </xdr:spPr>
    </xdr:pic>
    <xdr:clientData/>
  </xdr:twoCellAnchor>
  <xdr:twoCellAnchor editAs="oneCell">
    <xdr:from>
      <xdr:col>21</xdr:col>
      <xdr:colOff>0</xdr:colOff>
      <xdr:row>333</xdr:row>
      <xdr:rowOff>0</xdr:rowOff>
    </xdr:from>
    <xdr:to>
      <xdr:col>21</xdr:col>
      <xdr:colOff>279400</xdr:colOff>
      <xdr:row>339</xdr:row>
      <xdr:rowOff>138922</xdr:rowOff>
    </xdr:to>
    <xdr:pic>
      <xdr:nvPicPr>
        <xdr:cNvPr id="761" name="Picture 760">
          <a:extLst>
            <a:ext uri="{FF2B5EF4-FFF2-40B4-BE49-F238E27FC236}">
              <a16:creationId xmlns:a16="http://schemas.microsoft.com/office/drawing/2014/main" id="{86653201-1DF4-4AEF-BB42-97AC35EB896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116677440"/>
          <a:ext cx="279400" cy="1022842"/>
        </a:xfrm>
        <a:prstGeom prst="rect">
          <a:avLst/>
        </a:prstGeom>
      </xdr:spPr>
    </xdr:pic>
    <xdr:clientData/>
  </xdr:twoCellAnchor>
  <xdr:twoCellAnchor editAs="oneCell">
    <xdr:from>
      <xdr:col>23</xdr:col>
      <xdr:colOff>0</xdr:colOff>
      <xdr:row>333</xdr:row>
      <xdr:rowOff>0</xdr:rowOff>
    </xdr:from>
    <xdr:to>
      <xdr:col>23</xdr:col>
      <xdr:colOff>279400</xdr:colOff>
      <xdr:row>339</xdr:row>
      <xdr:rowOff>138922</xdr:rowOff>
    </xdr:to>
    <xdr:pic>
      <xdr:nvPicPr>
        <xdr:cNvPr id="762" name="Picture 761">
          <a:extLst>
            <a:ext uri="{FF2B5EF4-FFF2-40B4-BE49-F238E27FC236}">
              <a16:creationId xmlns:a16="http://schemas.microsoft.com/office/drawing/2014/main" id="{306E3823-1D93-41A9-BCBC-C2C537D2F77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116677440"/>
          <a:ext cx="279400" cy="1022842"/>
        </a:xfrm>
        <a:prstGeom prst="rect">
          <a:avLst/>
        </a:prstGeom>
      </xdr:spPr>
    </xdr:pic>
    <xdr:clientData/>
  </xdr:twoCellAnchor>
  <xdr:twoCellAnchor editAs="oneCell">
    <xdr:from>
      <xdr:col>1</xdr:col>
      <xdr:colOff>0</xdr:colOff>
      <xdr:row>341</xdr:row>
      <xdr:rowOff>0</xdr:rowOff>
    </xdr:from>
    <xdr:to>
      <xdr:col>1</xdr:col>
      <xdr:colOff>279400</xdr:colOff>
      <xdr:row>347</xdr:row>
      <xdr:rowOff>131302</xdr:rowOff>
    </xdr:to>
    <xdr:pic>
      <xdr:nvPicPr>
        <xdr:cNvPr id="763" name="Picture 762">
          <a:extLst>
            <a:ext uri="{FF2B5EF4-FFF2-40B4-BE49-F238E27FC236}">
              <a16:creationId xmlns:a16="http://schemas.microsoft.com/office/drawing/2014/main" id="{83BE6254-371B-48E4-B756-9B197E69C7C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119694960"/>
          <a:ext cx="279400" cy="1015222"/>
        </a:xfrm>
        <a:prstGeom prst="rect">
          <a:avLst/>
        </a:prstGeom>
      </xdr:spPr>
    </xdr:pic>
    <xdr:clientData/>
  </xdr:twoCellAnchor>
  <xdr:twoCellAnchor editAs="oneCell">
    <xdr:from>
      <xdr:col>3</xdr:col>
      <xdr:colOff>0</xdr:colOff>
      <xdr:row>341</xdr:row>
      <xdr:rowOff>0</xdr:rowOff>
    </xdr:from>
    <xdr:to>
      <xdr:col>3</xdr:col>
      <xdr:colOff>279400</xdr:colOff>
      <xdr:row>347</xdr:row>
      <xdr:rowOff>131302</xdr:rowOff>
    </xdr:to>
    <xdr:pic>
      <xdr:nvPicPr>
        <xdr:cNvPr id="764" name="Picture 763">
          <a:extLst>
            <a:ext uri="{FF2B5EF4-FFF2-40B4-BE49-F238E27FC236}">
              <a16:creationId xmlns:a16="http://schemas.microsoft.com/office/drawing/2014/main" id="{3827BE56-2677-4E93-8FF8-5EF3D9236B6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119694960"/>
          <a:ext cx="279400" cy="1015222"/>
        </a:xfrm>
        <a:prstGeom prst="rect">
          <a:avLst/>
        </a:prstGeom>
      </xdr:spPr>
    </xdr:pic>
    <xdr:clientData/>
  </xdr:twoCellAnchor>
  <xdr:twoCellAnchor editAs="oneCell">
    <xdr:from>
      <xdr:col>5</xdr:col>
      <xdr:colOff>0</xdr:colOff>
      <xdr:row>341</xdr:row>
      <xdr:rowOff>0</xdr:rowOff>
    </xdr:from>
    <xdr:to>
      <xdr:col>5</xdr:col>
      <xdr:colOff>279400</xdr:colOff>
      <xdr:row>347</xdr:row>
      <xdr:rowOff>131302</xdr:rowOff>
    </xdr:to>
    <xdr:pic>
      <xdr:nvPicPr>
        <xdr:cNvPr id="765" name="Picture 764">
          <a:extLst>
            <a:ext uri="{FF2B5EF4-FFF2-40B4-BE49-F238E27FC236}">
              <a16:creationId xmlns:a16="http://schemas.microsoft.com/office/drawing/2014/main" id="{8F3F6583-57A1-4C29-87FA-60B5B974246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119694960"/>
          <a:ext cx="279400" cy="1015222"/>
        </a:xfrm>
        <a:prstGeom prst="rect">
          <a:avLst/>
        </a:prstGeom>
      </xdr:spPr>
    </xdr:pic>
    <xdr:clientData/>
  </xdr:twoCellAnchor>
  <xdr:twoCellAnchor editAs="oneCell">
    <xdr:from>
      <xdr:col>7</xdr:col>
      <xdr:colOff>0</xdr:colOff>
      <xdr:row>341</xdr:row>
      <xdr:rowOff>0</xdr:rowOff>
    </xdr:from>
    <xdr:to>
      <xdr:col>7</xdr:col>
      <xdr:colOff>279400</xdr:colOff>
      <xdr:row>347</xdr:row>
      <xdr:rowOff>131302</xdr:rowOff>
    </xdr:to>
    <xdr:pic>
      <xdr:nvPicPr>
        <xdr:cNvPr id="766" name="Picture 765">
          <a:extLst>
            <a:ext uri="{FF2B5EF4-FFF2-40B4-BE49-F238E27FC236}">
              <a16:creationId xmlns:a16="http://schemas.microsoft.com/office/drawing/2014/main" id="{64313C33-A13D-4B30-8A45-D28E8AB6F1A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119694960"/>
          <a:ext cx="279400" cy="1015222"/>
        </a:xfrm>
        <a:prstGeom prst="rect">
          <a:avLst/>
        </a:prstGeom>
      </xdr:spPr>
    </xdr:pic>
    <xdr:clientData/>
  </xdr:twoCellAnchor>
  <xdr:twoCellAnchor editAs="oneCell">
    <xdr:from>
      <xdr:col>9</xdr:col>
      <xdr:colOff>0</xdr:colOff>
      <xdr:row>341</xdr:row>
      <xdr:rowOff>0</xdr:rowOff>
    </xdr:from>
    <xdr:to>
      <xdr:col>9</xdr:col>
      <xdr:colOff>279400</xdr:colOff>
      <xdr:row>347</xdr:row>
      <xdr:rowOff>131302</xdr:rowOff>
    </xdr:to>
    <xdr:pic>
      <xdr:nvPicPr>
        <xdr:cNvPr id="767" name="Picture 766">
          <a:extLst>
            <a:ext uri="{FF2B5EF4-FFF2-40B4-BE49-F238E27FC236}">
              <a16:creationId xmlns:a16="http://schemas.microsoft.com/office/drawing/2014/main" id="{E5DEF8A9-FFE0-4860-853A-7D956A88745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119694960"/>
          <a:ext cx="279400" cy="1015222"/>
        </a:xfrm>
        <a:prstGeom prst="rect">
          <a:avLst/>
        </a:prstGeom>
      </xdr:spPr>
    </xdr:pic>
    <xdr:clientData/>
  </xdr:twoCellAnchor>
  <xdr:twoCellAnchor editAs="oneCell">
    <xdr:from>
      <xdr:col>13</xdr:col>
      <xdr:colOff>0</xdr:colOff>
      <xdr:row>341</xdr:row>
      <xdr:rowOff>0</xdr:rowOff>
    </xdr:from>
    <xdr:to>
      <xdr:col>13</xdr:col>
      <xdr:colOff>279400</xdr:colOff>
      <xdr:row>347</xdr:row>
      <xdr:rowOff>131302</xdr:rowOff>
    </xdr:to>
    <xdr:pic>
      <xdr:nvPicPr>
        <xdr:cNvPr id="768" name="Picture 767">
          <a:extLst>
            <a:ext uri="{FF2B5EF4-FFF2-40B4-BE49-F238E27FC236}">
              <a16:creationId xmlns:a16="http://schemas.microsoft.com/office/drawing/2014/main" id="{402AF866-761F-42F5-989D-89B7E2A0C31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119694960"/>
          <a:ext cx="279400" cy="1015222"/>
        </a:xfrm>
        <a:prstGeom prst="rect">
          <a:avLst/>
        </a:prstGeom>
      </xdr:spPr>
    </xdr:pic>
    <xdr:clientData/>
  </xdr:twoCellAnchor>
  <xdr:twoCellAnchor editAs="oneCell">
    <xdr:from>
      <xdr:col>15</xdr:col>
      <xdr:colOff>0</xdr:colOff>
      <xdr:row>341</xdr:row>
      <xdr:rowOff>0</xdr:rowOff>
    </xdr:from>
    <xdr:to>
      <xdr:col>15</xdr:col>
      <xdr:colOff>279400</xdr:colOff>
      <xdr:row>347</xdr:row>
      <xdr:rowOff>131302</xdr:rowOff>
    </xdr:to>
    <xdr:pic>
      <xdr:nvPicPr>
        <xdr:cNvPr id="769" name="Picture 768">
          <a:extLst>
            <a:ext uri="{FF2B5EF4-FFF2-40B4-BE49-F238E27FC236}">
              <a16:creationId xmlns:a16="http://schemas.microsoft.com/office/drawing/2014/main" id="{D3C0113E-DC61-4BFE-9402-EAAD6E86070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119694960"/>
          <a:ext cx="279400" cy="1015222"/>
        </a:xfrm>
        <a:prstGeom prst="rect">
          <a:avLst/>
        </a:prstGeom>
      </xdr:spPr>
    </xdr:pic>
    <xdr:clientData/>
  </xdr:twoCellAnchor>
  <xdr:twoCellAnchor editAs="oneCell">
    <xdr:from>
      <xdr:col>17</xdr:col>
      <xdr:colOff>0</xdr:colOff>
      <xdr:row>341</xdr:row>
      <xdr:rowOff>0</xdr:rowOff>
    </xdr:from>
    <xdr:to>
      <xdr:col>17</xdr:col>
      <xdr:colOff>279400</xdr:colOff>
      <xdr:row>347</xdr:row>
      <xdr:rowOff>131302</xdr:rowOff>
    </xdr:to>
    <xdr:pic>
      <xdr:nvPicPr>
        <xdr:cNvPr id="770" name="Picture 769">
          <a:extLst>
            <a:ext uri="{FF2B5EF4-FFF2-40B4-BE49-F238E27FC236}">
              <a16:creationId xmlns:a16="http://schemas.microsoft.com/office/drawing/2014/main" id="{E1F4C148-A2C9-42B6-93DF-72C089AF706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119694960"/>
          <a:ext cx="279400" cy="1015222"/>
        </a:xfrm>
        <a:prstGeom prst="rect">
          <a:avLst/>
        </a:prstGeom>
      </xdr:spPr>
    </xdr:pic>
    <xdr:clientData/>
  </xdr:twoCellAnchor>
  <xdr:twoCellAnchor editAs="oneCell">
    <xdr:from>
      <xdr:col>23</xdr:col>
      <xdr:colOff>0</xdr:colOff>
      <xdr:row>341</xdr:row>
      <xdr:rowOff>0</xdr:rowOff>
    </xdr:from>
    <xdr:to>
      <xdr:col>23</xdr:col>
      <xdr:colOff>279400</xdr:colOff>
      <xdr:row>347</xdr:row>
      <xdr:rowOff>131302</xdr:rowOff>
    </xdr:to>
    <xdr:pic>
      <xdr:nvPicPr>
        <xdr:cNvPr id="771" name="Picture 770">
          <a:extLst>
            <a:ext uri="{FF2B5EF4-FFF2-40B4-BE49-F238E27FC236}">
              <a16:creationId xmlns:a16="http://schemas.microsoft.com/office/drawing/2014/main" id="{49DF3BD0-76D3-4B8D-8F4E-3FB65B82ACC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119694960"/>
          <a:ext cx="279400" cy="1015222"/>
        </a:xfrm>
        <a:prstGeom prst="rect">
          <a:avLst/>
        </a:prstGeom>
      </xdr:spPr>
    </xdr:pic>
    <xdr:clientData/>
  </xdr:twoCellAnchor>
  <xdr:twoCellAnchor editAs="oneCell">
    <xdr:from>
      <xdr:col>5</xdr:col>
      <xdr:colOff>0</xdr:colOff>
      <xdr:row>349</xdr:row>
      <xdr:rowOff>0</xdr:rowOff>
    </xdr:from>
    <xdr:to>
      <xdr:col>5</xdr:col>
      <xdr:colOff>279400</xdr:colOff>
      <xdr:row>355</xdr:row>
      <xdr:rowOff>24622</xdr:rowOff>
    </xdr:to>
    <xdr:pic>
      <xdr:nvPicPr>
        <xdr:cNvPr id="772" name="Picture 771">
          <a:extLst>
            <a:ext uri="{FF2B5EF4-FFF2-40B4-BE49-F238E27FC236}">
              <a16:creationId xmlns:a16="http://schemas.microsoft.com/office/drawing/2014/main" id="{90BFF344-9EA2-4552-80AD-00A48215C33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122567700"/>
          <a:ext cx="279400" cy="1007602"/>
        </a:xfrm>
        <a:prstGeom prst="rect">
          <a:avLst/>
        </a:prstGeom>
      </xdr:spPr>
    </xdr:pic>
    <xdr:clientData/>
  </xdr:twoCellAnchor>
  <xdr:twoCellAnchor editAs="oneCell">
    <xdr:from>
      <xdr:col>7</xdr:col>
      <xdr:colOff>0</xdr:colOff>
      <xdr:row>349</xdr:row>
      <xdr:rowOff>0</xdr:rowOff>
    </xdr:from>
    <xdr:to>
      <xdr:col>7</xdr:col>
      <xdr:colOff>279400</xdr:colOff>
      <xdr:row>355</xdr:row>
      <xdr:rowOff>24622</xdr:rowOff>
    </xdr:to>
    <xdr:pic>
      <xdr:nvPicPr>
        <xdr:cNvPr id="773" name="Picture 772">
          <a:extLst>
            <a:ext uri="{FF2B5EF4-FFF2-40B4-BE49-F238E27FC236}">
              <a16:creationId xmlns:a16="http://schemas.microsoft.com/office/drawing/2014/main" id="{E7DA6C8A-23E5-4BEC-A454-4A77BD059A5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122567700"/>
          <a:ext cx="279400" cy="1007602"/>
        </a:xfrm>
        <a:prstGeom prst="rect">
          <a:avLst/>
        </a:prstGeom>
      </xdr:spPr>
    </xdr:pic>
    <xdr:clientData/>
  </xdr:twoCellAnchor>
  <xdr:twoCellAnchor editAs="oneCell">
    <xdr:from>
      <xdr:col>11</xdr:col>
      <xdr:colOff>0</xdr:colOff>
      <xdr:row>349</xdr:row>
      <xdr:rowOff>0</xdr:rowOff>
    </xdr:from>
    <xdr:to>
      <xdr:col>11</xdr:col>
      <xdr:colOff>279400</xdr:colOff>
      <xdr:row>355</xdr:row>
      <xdr:rowOff>24622</xdr:rowOff>
    </xdr:to>
    <xdr:pic>
      <xdr:nvPicPr>
        <xdr:cNvPr id="774" name="Picture 773">
          <a:extLst>
            <a:ext uri="{FF2B5EF4-FFF2-40B4-BE49-F238E27FC236}">
              <a16:creationId xmlns:a16="http://schemas.microsoft.com/office/drawing/2014/main" id="{A8028011-79A9-4BEB-8807-20D0F030EE3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122567700"/>
          <a:ext cx="279400" cy="1007602"/>
        </a:xfrm>
        <a:prstGeom prst="rect">
          <a:avLst/>
        </a:prstGeom>
      </xdr:spPr>
    </xdr:pic>
    <xdr:clientData/>
  </xdr:twoCellAnchor>
  <xdr:twoCellAnchor editAs="oneCell">
    <xdr:from>
      <xdr:col>13</xdr:col>
      <xdr:colOff>30480</xdr:colOff>
      <xdr:row>349</xdr:row>
      <xdr:rowOff>152399</xdr:rowOff>
    </xdr:from>
    <xdr:to>
      <xdr:col>13</xdr:col>
      <xdr:colOff>288584</xdr:colOff>
      <xdr:row>355</xdr:row>
      <xdr:rowOff>99060</xdr:rowOff>
    </xdr:to>
    <xdr:pic>
      <xdr:nvPicPr>
        <xdr:cNvPr id="775" name="Picture 774">
          <a:extLst>
            <a:ext uri="{FF2B5EF4-FFF2-40B4-BE49-F238E27FC236}">
              <a16:creationId xmlns:a16="http://schemas.microsoft.com/office/drawing/2014/main" id="{38AC35FF-53F5-40A5-9B90-4805F426D68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809220" y="122720099"/>
          <a:ext cx="258104" cy="929641"/>
        </a:xfrm>
        <a:prstGeom prst="rect">
          <a:avLst/>
        </a:prstGeom>
      </xdr:spPr>
    </xdr:pic>
    <xdr:clientData/>
  </xdr:twoCellAnchor>
  <xdr:twoCellAnchor editAs="oneCell">
    <xdr:from>
      <xdr:col>15</xdr:col>
      <xdr:colOff>0</xdr:colOff>
      <xdr:row>349</xdr:row>
      <xdr:rowOff>0</xdr:rowOff>
    </xdr:from>
    <xdr:to>
      <xdr:col>15</xdr:col>
      <xdr:colOff>279400</xdr:colOff>
      <xdr:row>355</xdr:row>
      <xdr:rowOff>24622</xdr:rowOff>
    </xdr:to>
    <xdr:pic>
      <xdr:nvPicPr>
        <xdr:cNvPr id="776" name="Picture 775">
          <a:extLst>
            <a:ext uri="{FF2B5EF4-FFF2-40B4-BE49-F238E27FC236}">
              <a16:creationId xmlns:a16="http://schemas.microsoft.com/office/drawing/2014/main" id="{121D3CA4-9C62-4F4A-88C2-4D082AE0F78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122567700"/>
          <a:ext cx="279400" cy="1007602"/>
        </a:xfrm>
        <a:prstGeom prst="rect">
          <a:avLst/>
        </a:prstGeom>
      </xdr:spPr>
    </xdr:pic>
    <xdr:clientData/>
  </xdr:twoCellAnchor>
  <xdr:twoCellAnchor editAs="oneCell">
    <xdr:from>
      <xdr:col>19</xdr:col>
      <xdr:colOff>0</xdr:colOff>
      <xdr:row>349</xdr:row>
      <xdr:rowOff>0</xdr:rowOff>
    </xdr:from>
    <xdr:to>
      <xdr:col>19</xdr:col>
      <xdr:colOff>279400</xdr:colOff>
      <xdr:row>355</xdr:row>
      <xdr:rowOff>24622</xdr:rowOff>
    </xdr:to>
    <xdr:pic>
      <xdr:nvPicPr>
        <xdr:cNvPr id="777" name="Picture 776">
          <a:extLst>
            <a:ext uri="{FF2B5EF4-FFF2-40B4-BE49-F238E27FC236}">
              <a16:creationId xmlns:a16="http://schemas.microsoft.com/office/drawing/2014/main" id="{1984D18C-3D0D-4B05-B7F8-5F6E33C28B9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122567700"/>
          <a:ext cx="279400" cy="1007602"/>
        </a:xfrm>
        <a:prstGeom prst="rect">
          <a:avLst/>
        </a:prstGeom>
      </xdr:spPr>
    </xdr:pic>
    <xdr:clientData/>
  </xdr:twoCellAnchor>
  <xdr:twoCellAnchor editAs="oneCell">
    <xdr:from>
      <xdr:col>21</xdr:col>
      <xdr:colOff>0</xdr:colOff>
      <xdr:row>349</xdr:row>
      <xdr:rowOff>0</xdr:rowOff>
    </xdr:from>
    <xdr:to>
      <xdr:col>21</xdr:col>
      <xdr:colOff>279400</xdr:colOff>
      <xdr:row>355</xdr:row>
      <xdr:rowOff>24622</xdr:rowOff>
    </xdr:to>
    <xdr:pic>
      <xdr:nvPicPr>
        <xdr:cNvPr id="778" name="Picture 777">
          <a:extLst>
            <a:ext uri="{FF2B5EF4-FFF2-40B4-BE49-F238E27FC236}">
              <a16:creationId xmlns:a16="http://schemas.microsoft.com/office/drawing/2014/main" id="{8B3B2622-1B23-4668-A59E-D89058351D2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122567700"/>
          <a:ext cx="279400" cy="1007602"/>
        </a:xfrm>
        <a:prstGeom prst="rect">
          <a:avLst/>
        </a:prstGeom>
      </xdr:spPr>
    </xdr:pic>
    <xdr:clientData/>
  </xdr:twoCellAnchor>
  <xdr:twoCellAnchor editAs="oneCell">
    <xdr:from>
      <xdr:col>23</xdr:col>
      <xdr:colOff>0</xdr:colOff>
      <xdr:row>349</xdr:row>
      <xdr:rowOff>0</xdr:rowOff>
    </xdr:from>
    <xdr:to>
      <xdr:col>23</xdr:col>
      <xdr:colOff>279400</xdr:colOff>
      <xdr:row>355</xdr:row>
      <xdr:rowOff>24622</xdr:rowOff>
    </xdr:to>
    <xdr:pic>
      <xdr:nvPicPr>
        <xdr:cNvPr id="779" name="Picture 778">
          <a:extLst>
            <a:ext uri="{FF2B5EF4-FFF2-40B4-BE49-F238E27FC236}">
              <a16:creationId xmlns:a16="http://schemas.microsoft.com/office/drawing/2014/main" id="{802DDBEB-6EB1-4C53-999D-1CEBABF0B96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122567700"/>
          <a:ext cx="279400" cy="1007602"/>
        </a:xfrm>
        <a:prstGeom prst="rect">
          <a:avLst/>
        </a:prstGeom>
      </xdr:spPr>
    </xdr:pic>
    <xdr:clientData/>
  </xdr:twoCellAnchor>
  <xdr:twoCellAnchor editAs="oneCell">
    <xdr:from>
      <xdr:col>1</xdr:col>
      <xdr:colOff>0</xdr:colOff>
      <xdr:row>358</xdr:row>
      <xdr:rowOff>0</xdr:rowOff>
    </xdr:from>
    <xdr:to>
      <xdr:col>1</xdr:col>
      <xdr:colOff>279400</xdr:colOff>
      <xdr:row>364</xdr:row>
      <xdr:rowOff>131302</xdr:rowOff>
    </xdr:to>
    <xdr:pic>
      <xdr:nvPicPr>
        <xdr:cNvPr id="780" name="Picture 779">
          <a:extLst>
            <a:ext uri="{FF2B5EF4-FFF2-40B4-BE49-F238E27FC236}">
              <a16:creationId xmlns:a16="http://schemas.microsoft.com/office/drawing/2014/main" id="{A099EA49-63D3-4917-9715-584E57320B4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125783340"/>
          <a:ext cx="279400" cy="1015222"/>
        </a:xfrm>
        <a:prstGeom prst="rect">
          <a:avLst/>
        </a:prstGeom>
      </xdr:spPr>
    </xdr:pic>
    <xdr:clientData/>
  </xdr:twoCellAnchor>
  <xdr:twoCellAnchor editAs="oneCell">
    <xdr:from>
      <xdr:col>3</xdr:col>
      <xdr:colOff>0</xdr:colOff>
      <xdr:row>358</xdr:row>
      <xdr:rowOff>0</xdr:rowOff>
    </xdr:from>
    <xdr:to>
      <xdr:col>3</xdr:col>
      <xdr:colOff>279400</xdr:colOff>
      <xdr:row>364</xdr:row>
      <xdr:rowOff>131302</xdr:rowOff>
    </xdr:to>
    <xdr:pic>
      <xdr:nvPicPr>
        <xdr:cNvPr id="781" name="Picture 780">
          <a:extLst>
            <a:ext uri="{FF2B5EF4-FFF2-40B4-BE49-F238E27FC236}">
              <a16:creationId xmlns:a16="http://schemas.microsoft.com/office/drawing/2014/main" id="{852D39E5-0087-4A23-B253-1B23FCAB6AF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125783340"/>
          <a:ext cx="279400" cy="1015222"/>
        </a:xfrm>
        <a:prstGeom prst="rect">
          <a:avLst/>
        </a:prstGeom>
      </xdr:spPr>
    </xdr:pic>
    <xdr:clientData/>
  </xdr:twoCellAnchor>
  <xdr:twoCellAnchor editAs="oneCell">
    <xdr:from>
      <xdr:col>7</xdr:col>
      <xdr:colOff>0</xdr:colOff>
      <xdr:row>358</xdr:row>
      <xdr:rowOff>0</xdr:rowOff>
    </xdr:from>
    <xdr:to>
      <xdr:col>7</xdr:col>
      <xdr:colOff>279400</xdr:colOff>
      <xdr:row>364</xdr:row>
      <xdr:rowOff>131302</xdr:rowOff>
    </xdr:to>
    <xdr:pic>
      <xdr:nvPicPr>
        <xdr:cNvPr id="782" name="Picture 781">
          <a:extLst>
            <a:ext uri="{FF2B5EF4-FFF2-40B4-BE49-F238E27FC236}">
              <a16:creationId xmlns:a16="http://schemas.microsoft.com/office/drawing/2014/main" id="{2906346D-0AB2-4D07-A4A2-D1EF35B54A7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125783340"/>
          <a:ext cx="279400" cy="1015222"/>
        </a:xfrm>
        <a:prstGeom prst="rect">
          <a:avLst/>
        </a:prstGeom>
      </xdr:spPr>
    </xdr:pic>
    <xdr:clientData/>
  </xdr:twoCellAnchor>
  <xdr:twoCellAnchor editAs="oneCell">
    <xdr:from>
      <xdr:col>9</xdr:col>
      <xdr:colOff>0</xdr:colOff>
      <xdr:row>358</xdr:row>
      <xdr:rowOff>0</xdr:rowOff>
    </xdr:from>
    <xdr:to>
      <xdr:col>9</xdr:col>
      <xdr:colOff>279400</xdr:colOff>
      <xdr:row>364</xdr:row>
      <xdr:rowOff>131302</xdr:rowOff>
    </xdr:to>
    <xdr:pic>
      <xdr:nvPicPr>
        <xdr:cNvPr id="783" name="Picture 782">
          <a:extLst>
            <a:ext uri="{FF2B5EF4-FFF2-40B4-BE49-F238E27FC236}">
              <a16:creationId xmlns:a16="http://schemas.microsoft.com/office/drawing/2014/main" id="{897533F6-85AB-4BD2-B8C4-A0C3BFBD25F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125783340"/>
          <a:ext cx="279400" cy="1015222"/>
        </a:xfrm>
        <a:prstGeom prst="rect">
          <a:avLst/>
        </a:prstGeom>
      </xdr:spPr>
    </xdr:pic>
    <xdr:clientData/>
  </xdr:twoCellAnchor>
  <xdr:twoCellAnchor editAs="oneCell">
    <xdr:from>
      <xdr:col>11</xdr:col>
      <xdr:colOff>0</xdr:colOff>
      <xdr:row>358</xdr:row>
      <xdr:rowOff>0</xdr:rowOff>
    </xdr:from>
    <xdr:to>
      <xdr:col>11</xdr:col>
      <xdr:colOff>279400</xdr:colOff>
      <xdr:row>364</xdr:row>
      <xdr:rowOff>131302</xdr:rowOff>
    </xdr:to>
    <xdr:pic>
      <xdr:nvPicPr>
        <xdr:cNvPr id="784" name="Picture 783">
          <a:extLst>
            <a:ext uri="{FF2B5EF4-FFF2-40B4-BE49-F238E27FC236}">
              <a16:creationId xmlns:a16="http://schemas.microsoft.com/office/drawing/2014/main" id="{6AD14B7E-28C0-4090-BD84-A1BECD01925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125783340"/>
          <a:ext cx="279400" cy="1015222"/>
        </a:xfrm>
        <a:prstGeom prst="rect">
          <a:avLst/>
        </a:prstGeom>
      </xdr:spPr>
    </xdr:pic>
    <xdr:clientData/>
  </xdr:twoCellAnchor>
  <xdr:twoCellAnchor editAs="oneCell">
    <xdr:from>
      <xdr:col>13</xdr:col>
      <xdr:colOff>0</xdr:colOff>
      <xdr:row>358</xdr:row>
      <xdr:rowOff>0</xdr:rowOff>
    </xdr:from>
    <xdr:to>
      <xdr:col>13</xdr:col>
      <xdr:colOff>279400</xdr:colOff>
      <xdr:row>364</xdr:row>
      <xdr:rowOff>131302</xdr:rowOff>
    </xdr:to>
    <xdr:pic>
      <xdr:nvPicPr>
        <xdr:cNvPr id="785" name="Picture 784">
          <a:extLst>
            <a:ext uri="{FF2B5EF4-FFF2-40B4-BE49-F238E27FC236}">
              <a16:creationId xmlns:a16="http://schemas.microsoft.com/office/drawing/2014/main" id="{B17C1AB4-219C-474B-A6DB-3C656485ACF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125783340"/>
          <a:ext cx="279400" cy="1015222"/>
        </a:xfrm>
        <a:prstGeom prst="rect">
          <a:avLst/>
        </a:prstGeom>
      </xdr:spPr>
    </xdr:pic>
    <xdr:clientData/>
  </xdr:twoCellAnchor>
  <xdr:twoCellAnchor editAs="oneCell">
    <xdr:from>
      <xdr:col>17</xdr:col>
      <xdr:colOff>58282</xdr:colOff>
      <xdr:row>358</xdr:row>
      <xdr:rowOff>213360</xdr:rowOff>
    </xdr:from>
    <xdr:to>
      <xdr:col>17</xdr:col>
      <xdr:colOff>279400</xdr:colOff>
      <xdr:row>364</xdr:row>
      <xdr:rowOff>100822</xdr:rowOff>
    </xdr:to>
    <xdr:pic>
      <xdr:nvPicPr>
        <xdr:cNvPr id="786" name="Picture 785">
          <a:extLst>
            <a:ext uri="{FF2B5EF4-FFF2-40B4-BE49-F238E27FC236}">
              <a16:creationId xmlns:a16="http://schemas.microsoft.com/office/drawing/2014/main" id="{CED7CFD3-2A11-42D4-B090-81A8D83661E2}"/>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441282" y="125996700"/>
          <a:ext cx="221118" cy="801862"/>
        </a:xfrm>
        <a:prstGeom prst="rect">
          <a:avLst/>
        </a:prstGeom>
      </xdr:spPr>
    </xdr:pic>
    <xdr:clientData/>
  </xdr:twoCellAnchor>
  <xdr:twoCellAnchor editAs="oneCell">
    <xdr:from>
      <xdr:col>19</xdr:col>
      <xdr:colOff>15240</xdr:colOff>
      <xdr:row>358</xdr:row>
      <xdr:rowOff>137160</xdr:rowOff>
    </xdr:from>
    <xdr:to>
      <xdr:col>19</xdr:col>
      <xdr:colOff>279400</xdr:colOff>
      <xdr:row>364</xdr:row>
      <xdr:rowOff>205051</xdr:rowOff>
    </xdr:to>
    <xdr:pic>
      <xdr:nvPicPr>
        <xdr:cNvPr id="787" name="Picture 786">
          <a:extLst>
            <a:ext uri="{FF2B5EF4-FFF2-40B4-BE49-F238E27FC236}">
              <a16:creationId xmlns:a16="http://schemas.microsoft.com/office/drawing/2014/main" id="{DDC3D6C3-551B-474F-8C94-1677B7808BF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21300" y="125920500"/>
          <a:ext cx="264160" cy="951811"/>
        </a:xfrm>
        <a:prstGeom prst="rect">
          <a:avLst/>
        </a:prstGeom>
      </xdr:spPr>
    </xdr:pic>
    <xdr:clientData/>
  </xdr:twoCellAnchor>
  <xdr:twoCellAnchor editAs="oneCell">
    <xdr:from>
      <xdr:col>21</xdr:col>
      <xdr:colOff>0</xdr:colOff>
      <xdr:row>358</xdr:row>
      <xdr:rowOff>137160</xdr:rowOff>
    </xdr:from>
    <xdr:to>
      <xdr:col>21</xdr:col>
      <xdr:colOff>276572</xdr:colOff>
      <xdr:row>364</xdr:row>
      <xdr:rowOff>129540</xdr:rowOff>
    </xdr:to>
    <xdr:pic>
      <xdr:nvPicPr>
        <xdr:cNvPr id="788" name="Picture 787">
          <a:extLst>
            <a:ext uri="{FF2B5EF4-FFF2-40B4-BE49-F238E27FC236}">
              <a16:creationId xmlns:a16="http://schemas.microsoft.com/office/drawing/2014/main" id="{4CEF6CF3-F0EF-447E-9BFB-A9F49AFF4E9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125920500"/>
          <a:ext cx="276572" cy="876300"/>
        </a:xfrm>
        <a:prstGeom prst="rect">
          <a:avLst/>
        </a:prstGeom>
      </xdr:spPr>
    </xdr:pic>
    <xdr:clientData/>
  </xdr:twoCellAnchor>
  <xdr:twoCellAnchor editAs="oneCell">
    <xdr:from>
      <xdr:col>23</xdr:col>
      <xdr:colOff>0</xdr:colOff>
      <xdr:row>358</xdr:row>
      <xdr:rowOff>30480</xdr:rowOff>
    </xdr:from>
    <xdr:to>
      <xdr:col>23</xdr:col>
      <xdr:colOff>279400</xdr:colOff>
      <xdr:row>364</xdr:row>
      <xdr:rowOff>161782</xdr:rowOff>
    </xdr:to>
    <xdr:pic>
      <xdr:nvPicPr>
        <xdr:cNvPr id="789" name="Picture 788">
          <a:extLst>
            <a:ext uri="{FF2B5EF4-FFF2-40B4-BE49-F238E27FC236}">
              <a16:creationId xmlns:a16="http://schemas.microsoft.com/office/drawing/2014/main" id="{B87894DA-F327-45AD-8614-2959BEE63FE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125813820"/>
          <a:ext cx="279400" cy="1015222"/>
        </a:xfrm>
        <a:prstGeom prst="rect">
          <a:avLst/>
        </a:prstGeom>
      </xdr:spPr>
    </xdr:pic>
    <xdr:clientData/>
  </xdr:twoCellAnchor>
  <xdr:twoCellAnchor editAs="oneCell">
    <xdr:from>
      <xdr:col>1</xdr:col>
      <xdr:colOff>0</xdr:colOff>
      <xdr:row>366</xdr:row>
      <xdr:rowOff>0</xdr:rowOff>
    </xdr:from>
    <xdr:to>
      <xdr:col>1</xdr:col>
      <xdr:colOff>279400</xdr:colOff>
      <xdr:row>372</xdr:row>
      <xdr:rowOff>131302</xdr:rowOff>
    </xdr:to>
    <xdr:pic>
      <xdr:nvPicPr>
        <xdr:cNvPr id="790" name="Picture 789">
          <a:extLst>
            <a:ext uri="{FF2B5EF4-FFF2-40B4-BE49-F238E27FC236}">
              <a16:creationId xmlns:a16="http://schemas.microsoft.com/office/drawing/2014/main" id="{0D736323-CF97-4D45-AF28-F327E503E27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128648460"/>
          <a:ext cx="279400" cy="1015222"/>
        </a:xfrm>
        <a:prstGeom prst="rect">
          <a:avLst/>
        </a:prstGeom>
      </xdr:spPr>
    </xdr:pic>
    <xdr:clientData/>
  </xdr:twoCellAnchor>
  <xdr:twoCellAnchor editAs="oneCell">
    <xdr:from>
      <xdr:col>3</xdr:col>
      <xdr:colOff>0</xdr:colOff>
      <xdr:row>366</xdr:row>
      <xdr:rowOff>0</xdr:rowOff>
    </xdr:from>
    <xdr:to>
      <xdr:col>3</xdr:col>
      <xdr:colOff>279400</xdr:colOff>
      <xdr:row>372</xdr:row>
      <xdr:rowOff>131302</xdr:rowOff>
    </xdr:to>
    <xdr:pic>
      <xdr:nvPicPr>
        <xdr:cNvPr id="791" name="Picture 790">
          <a:extLst>
            <a:ext uri="{FF2B5EF4-FFF2-40B4-BE49-F238E27FC236}">
              <a16:creationId xmlns:a16="http://schemas.microsoft.com/office/drawing/2014/main" id="{F773E396-41A4-42CE-93EB-6AD4505862E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128648460"/>
          <a:ext cx="279400" cy="1015222"/>
        </a:xfrm>
        <a:prstGeom prst="rect">
          <a:avLst/>
        </a:prstGeom>
      </xdr:spPr>
    </xdr:pic>
    <xdr:clientData/>
  </xdr:twoCellAnchor>
  <xdr:twoCellAnchor editAs="oneCell">
    <xdr:from>
      <xdr:col>5</xdr:col>
      <xdr:colOff>0</xdr:colOff>
      <xdr:row>366</xdr:row>
      <xdr:rowOff>0</xdr:rowOff>
    </xdr:from>
    <xdr:to>
      <xdr:col>5</xdr:col>
      <xdr:colOff>279400</xdr:colOff>
      <xdr:row>372</xdr:row>
      <xdr:rowOff>131302</xdr:rowOff>
    </xdr:to>
    <xdr:pic>
      <xdr:nvPicPr>
        <xdr:cNvPr id="792" name="Picture 791">
          <a:extLst>
            <a:ext uri="{FF2B5EF4-FFF2-40B4-BE49-F238E27FC236}">
              <a16:creationId xmlns:a16="http://schemas.microsoft.com/office/drawing/2014/main" id="{FDC981C9-E9E9-46A6-B707-44B61003B8B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128648460"/>
          <a:ext cx="279400" cy="1015222"/>
        </a:xfrm>
        <a:prstGeom prst="rect">
          <a:avLst/>
        </a:prstGeom>
      </xdr:spPr>
    </xdr:pic>
    <xdr:clientData/>
  </xdr:twoCellAnchor>
  <xdr:twoCellAnchor editAs="oneCell">
    <xdr:from>
      <xdr:col>6</xdr:col>
      <xdr:colOff>1097280</xdr:colOff>
      <xdr:row>366</xdr:row>
      <xdr:rowOff>76200</xdr:rowOff>
    </xdr:from>
    <xdr:to>
      <xdr:col>7</xdr:col>
      <xdr:colOff>142953</xdr:colOff>
      <xdr:row>369</xdr:row>
      <xdr:rowOff>205740</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06640" y="128724660"/>
          <a:ext cx="158193" cy="579120"/>
        </a:xfrm>
        <a:prstGeom prst="rect">
          <a:avLst/>
        </a:prstGeom>
      </xdr:spPr>
    </xdr:pic>
    <xdr:clientData/>
  </xdr:twoCellAnchor>
  <xdr:twoCellAnchor editAs="oneCell">
    <xdr:from>
      <xdr:col>9</xdr:col>
      <xdr:colOff>0</xdr:colOff>
      <xdr:row>366</xdr:row>
      <xdr:rowOff>0</xdr:rowOff>
    </xdr:from>
    <xdr:to>
      <xdr:col>9</xdr:col>
      <xdr:colOff>279400</xdr:colOff>
      <xdr:row>372</xdr:row>
      <xdr:rowOff>131302</xdr:rowOff>
    </xdr:to>
    <xdr:pic>
      <xdr:nvPicPr>
        <xdr:cNvPr id="794" name="Picture 793">
          <a:extLst>
            <a:ext uri="{FF2B5EF4-FFF2-40B4-BE49-F238E27FC236}">
              <a16:creationId xmlns:a16="http://schemas.microsoft.com/office/drawing/2014/main" id="{C38719A4-5558-489D-9983-759F8C58E2C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128648460"/>
          <a:ext cx="279400" cy="1015222"/>
        </a:xfrm>
        <a:prstGeom prst="rect">
          <a:avLst/>
        </a:prstGeom>
      </xdr:spPr>
    </xdr:pic>
    <xdr:clientData/>
  </xdr:twoCellAnchor>
  <xdr:twoCellAnchor editAs="oneCell">
    <xdr:from>
      <xdr:col>11</xdr:col>
      <xdr:colOff>0</xdr:colOff>
      <xdr:row>366</xdr:row>
      <xdr:rowOff>0</xdr:rowOff>
    </xdr:from>
    <xdr:to>
      <xdr:col>11</xdr:col>
      <xdr:colOff>279400</xdr:colOff>
      <xdr:row>372</xdr:row>
      <xdr:rowOff>131302</xdr:rowOff>
    </xdr:to>
    <xdr:pic>
      <xdr:nvPicPr>
        <xdr:cNvPr id="795" name="Picture 794">
          <a:extLst>
            <a:ext uri="{FF2B5EF4-FFF2-40B4-BE49-F238E27FC236}">
              <a16:creationId xmlns:a16="http://schemas.microsoft.com/office/drawing/2014/main" id="{E06BA258-8DB3-463A-A256-6833666174F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128648460"/>
          <a:ext cx="279400" cy="1015222"/>
        </a:xfrm>
        <a:prstGeom prst="rect">
          <a:avLst/>
        </a:prstGeom>
      </xdr:spPr>
    </xdr:pic>
    <xdr:clientData/>
  </xdr:twoCellAnchor>
  <xdr:twoCellAnchor editAs="oneCell">
    <xdr:from>
      <xdr:col>13</xdr:col>
      <xdr:colOff>0</xdr:colOff>
      <xdr:row>366</xdr:row>
      <xdr:rowOff>0</xdr:rowOff>
    </xdr:from>
    <xdr:to>
      <xdr:col>13</xdr:col>
      <xdr:colOff>279400</xdr:colOff>
      <xdr:row>372</xdr:row>
      <xdr:rowOff>131302</xdr:rowOff>
    </xdr:to>
    <xdr:pic>
      <xdr:nvPicPr>
        <xdr:cNvPr id="796" name="Picture 795">
          <a:extLst>
            <a:ext uri="{FF2B5EF4-FFF2-40B4-BE49-F238E27FC236}">
              <a16:creationId xmlns:a16="http://schemas.microsoft.com/office/drawing/2014/main" id="{4BA8FDE2-8232-463E-A553-36F26A9EE3A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128648460"/>
          <a:ext cx="279400" cy="1015222"/>
        </a:xfrm>
        <a:prstGeom prst="rect">
          <a:avLst/>
        </a:prstGeom>
      </xdr:spPr>
    </xdr:pic>
    <xdr:clientData/>
  </xdr:twoCellAnchor>
  <xdr:twoCellAnchor editAs="oneCell">
    <xdr:from>
      <xdr:col>15</xdr:col>
      <xdr:colOff>0</xdr:colOff>
      <xdr:row>366</xdr:row>
      <xdr:rowOff>0</xdr:rowOff>
    </xdr:from>
    <xdr:to>
      <xdr:col>15</xdr:col>
      <xdr:colOff>279400</xdr:colOff>
      <xdr:row>372</xdr:row>
      <xdr:rowOff>131302</xdr:rowOff>
    </xdr:to>
    <xdr:pic>
      <xdr:nvPicPr>
        <xdr:cNvPr id="797" name="Picture 796">
          <a:extLst>
            <a:ext uri="{FF2B5EF4-FFF2-40B4-BE49-F238E27FC236}">
              <a16:creationId xmlns:a16="http://schemas.microsoft.com/office/drawing/2014/main" id="{D469BDC6-D857-462F-886A-6989094233C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128648460"/>
          <a:ext cx="279400" cy="1015222"/>
        </a:xfrm>
        <a:prstGeom prst="rect">
          <a:avLst/>
        </a:prstGeom>
      </xdr:spPr>
    </xdr:pic>
    <xdr:clientData/>
  </xdr:twoCellAnchor>
  <xdr:twoCellAnchor editAs="oneCell">
    <xdr:from>
      <xdr:col>17</xdr:col>
      <xdr:colOff>0</xdr:colOff>
      <xdr:row>366</xdr:row>
      <xdr:rowOff>0</xdr:rowOff>
    </xdr:from>
    <xdr:to>
      <xdr:col>17</xdr:col>
      <xdr:colOff>279400</xdr:colOff>
      <xdr:row>372</xdr:row>
      <xdr:rowOff>131302</xdr:rowOff>
    </xdr:to>
    <xdr:pic>
      <xdr:nvPicPr>
        <xdr:cNvPr id="798" name="Picture 797">
          <a:extLst>
            <a:ext uri="{FF2B5EF4-FFF2-40B4-BE49-F238E27FC236}">
              <a16:creationId xmlns:a16="http://schemas.microsoft.com/office/drawing/2014/main" id="{846D2A78-4BF2-4FE0-BE3B-A614510AA26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128648460"/>
          <a:ext cx="279400" cy="1015222"/>
        </a:xfrm>
        <a:prstGeom prst="rect">
          <a:avLst/>
        </a:prstGeom>
      </xdr:spPr>
    </xdr:pic>
    <xdr:clientData/>
  </xdr:twoCellAnchor>
  <xdr:twoCellAnchor editAs="oneCell">
    <xdr:from>
      <xdr:col>3</xdr:col>
      <xdr:colOff>0</xdr:colOff>
      <xdr:row>376</xdr:row>
      <xdr:rowOff>0</xdr:rowOff>
    </xdr:from>
    <xdr:to>
      <xdr:col>3</xdr:col>
      <xdr:colOff>279400</xdr:colOff>
      <xdr:row>380</xdr:row>
      <xdr:rowOff>199882</xdr:rowOff>
    </xdr:to>
    <xdr:pic>
      <xdr:nvPicPr>
        <xdr:cNvPr id="799" name="Picture 798">
          <a:extLst>
            <a:ext uri="{FF2B5EF4-FFF2-40B4-BE49-F238E27FC236}">
              <a16:creationId xmlns:a16="http://schemas.microsoft.com/office/drawing/2014/main" id="{E0CC5BD7-34AD-4DD8-BD91-AA72E53E524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132382260"/>
          <a:ext cx="279400" cy="1015222"/>
        </a:xfrm>
        <a:prstGeom prst="rect">
          <a:avLst/>
        </a:prstGeom>
      </xdr:spPr>
    </xdr:pic>
    <xdr:clientData/>
  </xdr:twoCellAnchor>
  <xdr:twoCellAnchor editAs="oneCell">
    <xdr:from>
      <xdr:col>9</xdr:col>
      <xdr:colOff>0</xdr:colOff>
      <xdr:row>264</xdr:row>
      <xdr:rowOff>0</xdr:rowOff>
    </xdr:from>
    <xdr:to>
      <xdr:col>9</xdr:col>
      <xdr:colOff>279400</xdr:colOff>
      <xdr:row>270</xdr:row>
      <xdr:rowOff>123682</xdr:rowOff>
    </xdr:to>
    <xdr:pic>
      <xdr:nvPicPr>
        <xdr:cNvPr id="800" name="Picture 799">
          <a:extLst>
            <a:ext uri="{FF2B5EF4-FFF2-40B4-BE49-F238E27FC236}">
              <a16:creationId xmlns:a16="http://schemas.microsoft.com/office/drawing/2014/main" id="{C0333827-FF98-47D5-BD6E-376ECBF1155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91340940"/>
          <a:ext cx="279400" cy="1007602"/>
        </a:xfrm>
        <a:prstGeom prst="rect">
          <a:avLst/>
        </a:prstGeom>
      </xdr:spPr>
    </xdr:pic>
    <xdr:clientData/>
  </xdr:twoCellAnchor>
  <xdr:twoCellAnchor editAs="oneCell">
    <xdr:from>
      <xdr:col>1</xdr:col>
      <xdr:colOff>0</xdr:colOff>
      <xdr:row>264</xdr:row>
      <xdr:rowOff>0</xdr:rowOff>
    </xdr:from>
    <xdr:to>
      <xdr:col>1</xdr:col>
      <xdr:colOff>279400</xdr:colOff>
      <xdr:row>270</xdr:row>
      <xdr:rowOff>123682</xdr:rowOff>
    </xdr:to>
    <xdr:pic>
      <xdr:nvPicPr>
        <xdr:cNvPr id="801" name="Picture 800">
          <a:extLst>
            <a:ext uri="{FF2B5EF4-FFF2-40B4-BE49-F238E27FC236}">
              <a16:creationId xmlns:a16="http://schemas.microsoft.com/office/drawing/2014/main" id="{36FF6906-D4C6-47FD-9ECD-906E7D21B2F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91340940"/>
          <a:ext cx="279400" cy="1007602"/>
        </a:xfrm>
        <a:prstGeom prst="rect">
          <a:avLst/>
        </a:prstGeom>
      </xdr:spPr>
    </xdr:pic>
    <xdr:clientData/>
  </xdr:twoCellAnchor>
  <xdr:twoCellAnchor editAs="oneCell">
    <xdr:from>
      <xdr:col>23</xdr:col>
      <xdr:colOff>0</xdr:colOff>
      <xdr:row>255</xdr:row>
      <xdr:rowOff>0</xdr:rowOff>
    </xdr:from>
    <xdr:to>
      <xdr:col>23</xdr:col>
      <xdr:colOff>279400</xdr:colOff>
      <xdr:row>261</xdr:row>
      <xdr:rowOff>138922</xdr:rowOff>
    </xdr:to>
    <xdr:pic>
      <xdr:nvPicPr>
        <xdr:cNvPr id="802" name="Picture 801">
          <a:extLst>
            <a:ext uri="{FF2B5EF4-FFF2-40B4-BE49-F238E27FC236}">
              <a16:creationId xmlns:a16="http://schemas.microsoft.com/office/drawing/2014/main" id="{D0114A6C-A8A5-4250-9DD2-6F5A9BE6098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88216740"/>
          <a:ext cx="279400" cy="1022842"/>
        </a:xfrm>
        <a:prstGeom prst="rect">
          <a:avLst/>
        </a:prstGeom>
      </xdr:spPr>
    </xdr:pic>
    <xdr:clientData/>
  </xdr:twoCellAnchor>
  <xdr:twoCellAnchor editAs="oneCell">
    <xdr:from>
      <xdr:col>21</xdr:col>
      <xdr:colOff>0</xdr:colOff>
      <xdr:row>255</xdr:row>
      <xdr:rowOff>0</xdr:rowOff>
    </xdr:from>
    <xdr:to>
      <xdr:col>21</xdr:col>
      <xdr:colOff>279400</xdr:colOff>
      <xdr:row>261</xdr:row>
      <xdr:rowOff>138922</xdr:rowOff>
    </xdr:to>
    <xdr:pic>
      <xdr:nvPicPr>
        <xdr:cNvPr id="803" name="Picture 802">
          <a:extLst>
            <a:ext uri="{FF2B5EF4-FFF2-40B4-BE49-F238E27FC236}">
              <a16:creationId xmlns:a16="http://schemas.microsoft.com/office/drawing/2014/main" id="{7570D332-668E-4D4F-BB61-4EABF09CF55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88216740"/>
          <a:ext cx="279400" cy="1022842"/>
        </a:xfrm>
        <a:prstGeom prst="rect">
          <a:avLst/>
        </a:prstGeom>
      </xdr:spPr>
    </xdr:pic>
    <xdr:clientData/>
  </xdr:twoCellAnchor>
  <xdr:twoCellAnchor editAs="oneCell">
    <xdr:from>
      <xdr:col>19</xdr:col>
      <xdr:colOff>0</xdr:colOff>
      <xdr:row>255</xdr:row>
      <xdr:rowOff>0</xdr:rowOff>
    </xdr:from>
    <xdr:to>
      <xdr:col>19</xdr:col>
      <xdr:colOff>279400</xdr:colOff>
      <xdr:row>261</xdr:row>
      <xdr:rowOff>138922</xdr:rowOff>
    </xdr:to>
    <xdr:pic>
      <xdr:nvPicPr>
        <xdr:cNvPr id="804" name="Picture 803">
          <a:extLst>
            <a:ext uri="{FF2B5EF4-FFF2-40B4-BE49-F238E27FC236}">
              <a16:creationId xmlns:a16="http://schemas.microsoft.com/office/drawing/2014/main" id="{E93ADAE6-E256-4254-BCB6-7B3F193CC22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88216740"/>
          <a:ext cx="279400" cy="1022842"/>
        </a:xfrm>
        <a:prstGeom prst="rect">
          <a:avLst/>
        </a:prstGeom>
      </xdr:spPr>
    </xdr:pic>
    <xdr:clientData/>
  </xdr:twoCellAnchor>
  <xdr:twoCellAnchor editAs="oneCell">
    <xdr:from>
      <xdr:col>9</xdr:col>
      <xdr:colOff>0</xdr:colOff>
      <xdr:row>255</xdr:row>
      <xdr:rowOff>0</xdr:rowOff>
    </xdr:from>
    <xdr:to>
      <xdr:col>9</xdr:col>
      <xdr:colOff>279400</xdr:colOff>
      <xdr:row>261</xdr:row>
      <xdr:rowOff>138922</xdr:rowOff>
    </xdr:to>
    <xdr:pic>
      <xdr:nvPicPr>
        <xdr:cNvPr id="805" name="Picture 804">
          <a:extLst>
            <a:ext uri="{FF2B5EF4-FFF2-40B4-BE49-F238E27FC236}">
              <a16:creationId xmlns:a16="http://schemas.microsoft.com/office/drawing/2014/main" id="{9AD9C528-A1D8-4B8A-9F53-871B39DE6F1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88216740"/>
          <a:ext cx="279400" cy="1022842"/>
        </a:xfrm>
        <a:prstGeom prst="rect">
          <a:avLst/>
        </a:prstGeom>
      </xdr:spPr>
    </xdr:pic>
    <xdr:clientData/>
  </xdr:twoCellAnchor>
  <xdr:twoCellAnchor editAs="oneCell">
    <xdr:from>
      <xdr:col>7</xdr:col>
      <xdr:colOff>0</xdr:colOff>
      <xdr:row>255</xdr:row>
      <xdr:rowOff>0</xdr:rowOff>
    </xdr:from>
    <xdr:to>
      <xdr:col>7</xdr:col>
      <xdr:colOff>279400</xdr:colOff>
      <xdr:row>261</xdr:row>
      <xdr:rowOff>138922</xdr:rowOff>
    </xdr:to>
    <xdr:pic>
      <xdr:nvPicPr>
        <xdr:cNvPr id="806" name="Picture 805">
          <a:extLst>
            <a:ext uri="{FF2B5EF4-FFF2-40B4-BE49-F238E27FC236}">
              <a16:creationId xmlns:a16="http://schemas.microsoft.com/office/drawing/2014/main" id="{66701FD2-5A25-451A-8106-B1A03349C1A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88216740"/>
          <a:ext cx="279400" cy="1022842"/>
        </a:xfrm>
        <a:prstGeom prst="rect">
          <a:avLst/>
        </a:prstGeom>
      </xdr:spPr>
    </xdr:pic>
    <xdr:clientData/>
  </xdr:twoCellAnchor>
  <xdr:twoCellAnchor editAs="oneCell">
    <xdr:from>
      <xdr:col>5</xdr:col>
      <xdr:colOff>0</xdr:colOff>
      <xdr:row>255</xdr:row>
      <xdr:rowOff>0</xdr:rowOff>
    </xdr:from>
    <xdr:to>
      <xdr:col>5</xdr:col>
      <xdr:colOff>279400</xdr:colOff>
      <xdr:row>261</xdr:row>
      <xdr:rowOff>138922</xdr:rowOff>
    </xdr:to>
    <xdr:pic>
      <xdr:nvPicPr>
        <xdr:cNvPr id="807" name="Picture 806">
          <a:extLst>
            <a:ext uri="{FF2B5EF4-FFF2-40B4-BE49-F238E27FC236}">
              <a16:creationId xmlns:a16="http://schemas.microsoft.com/office/drawing/2014/main" id="{0801F638-43E3-40A1-8597-0876ACC5320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88216740"/>
          <a:ext cx="279400" cy="1022842"/>
        </a:xfrm>
        <a:prstGeom prst="rect">
          <a:avLst/>
        </a:prstGeom>
      </xdr:spPr>
    </xdr:pic>
    <xdr:clientData/>
  </xdr:twoCellAnchor>
  <xdr:twoCellAnchor editAs="oneCell">
    <xdr:from>
      <xdr:col>3</xdr:col>
      <xdr:colOff>0</xdr:colOff>
      <xdr:row>255</xdr:row>
      <xdr:rowOff>0</xdr:rowOff>
    </xdr:from>
    <xdr:to>
      <xdr:col>3</xdr:col>
      <xdr:colOff>279400</xdr:colOff>
      <xdr:row>261</xdr:row>
      <xdr:rowOff>138922</xdr:rowOff>
    </xdr:to>
    <xdr:pic>
      <xdr:nvPicPr>
        <xdr:cNvPr id="808" name="Picture 807">
          <a:extLst>
            <a:ext uri="{FF2B5EF4-FFF2-40B4-BE49-F238E27FC236}">
              <a16:creationId xmlns:a16="http://schemas.microsoft.com/office/drawing/2014/main" id="{38E47457-5CAA-4F50-96D3-E978E320B4E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88216740"/>
          <a:ext cx="279400" cy="1022842"/>
        </a:xfrm>
        <a:prstGeom prst="rect">
          <a:avLst/>
        </a:prstGeom>
      </xdr:spPr>
    </xdr:pic>
    <xdr:clientData/>
  </xdr:twoCellAnchor>
  <xdr:twoCellAnchor editAs="oneCell">
    <xdr:from>
      <xdr:col>23</xdr:col>
      <xdr:colOff>0</xdr:colOff>
      <xdr:row>247</xdr:row>
      <xdr:rowOff>0</xdr:rowOff>
    </xdr:from>
    <xdr:to>
      <xdr:col>23</xdr:col>
      <xdr:colOff>279400</xdr:colOff>
      <xdr:row>253</xdr:row>
      <xdr:rowOff>131302</xdr:rowOff>
    </xdr:to>
    <xdr:pic>
      <xdr:nvPicPr>
        <xdr:cNvPr id="809" name="Picture 808">
          <a:extLst>
            <a:ext uri="{FF2B5EF4-FFF2-40B4-BE49-F238E27FC236}">
              <a16:creationId xmlns:a16="http://schemas.microsoft.com/office/drawing/2014/main" id="{B08CEE83-E70D-4F91-AD54-805CD310C9D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85435440"/>
          <a:ext cx="279400" cy="1015222"/>
        </a:xfrm>
        <a:prstGeom prst="rect">
          <a:avLst/>
        </a:prstGeom>
      </xdr:spPr>
    </xdr:pic>
    <xdr:clientData/>
  </xdr:twoCellAnchor>
  <xdr:twoCellAnchor editAs="oneCell">
    <xdr:from>
      <xdr:col>21</xdr:col>
      <xdr:colOff>0</xdr:colOff>
      <xdr:row>247</xdr:row>
      <xdr:rowOff>0</xdr:rowOff>
    </xdr:from>
    <xdr:to>
      <xdr:col>21</xdr:col>
      <xdr:colOff>279400</xdr:colOff>
      <xdr:row>253</xdr:row>
      <xdr:rowOff>131302</xdr:rowOff>
    </xdr:to>
    <xdr:pic>
      <xdr:nvPicPr>
        <xdr:cNvPr id="810" name="Picture 809">
          <a:extLst>
            <a:ext uri="{FF2B5EF4-FFF2-40B4-BE49-F238E27FC236}">
              <a16:creationId xmlns:a16="http://schemas.microsoft.com/office/drawing/2014/main" id="{0BF3DF4E-03B5-4429-8D9E-E4DAA390884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85435440"/>
          <a:ext cx="279400" cy="1015222"/>
        </a:xfrm>
        <a:prstGeom prst="rect">
          <a:avLst/>
        </a:prstGeom>
      </xdr:spPr>
    </xdr:pic>
    <xdr:clientData/>
  </xdr:twoCellAnchor>
  <xdr:twoCellAnchor editAs="oneCell">
    <xdr:from>
      <xdr:col>19</xdr:col>
      <xdr:colOff>0</xdr:colOff>
      <xdr:row>247</xdr:row>
      <xdr:rowOff>0</xdr:rowOff>
    </xdr:from>
    <xdr:to>
      <xdr:col>19</xdr:col>
      <xdr:colOff>279400</xdr:colOff>
      <xdr:row>253</xdr:row>
      <xdr:rowOff>131302</xdr:rowOff>
    </xdr:to>
    <xdr:pic>
      <xdr:nvPicPr>
        <xdr:cNvPr id="811" name="Picture 810">
          <a:extLst>
            <a:ext uri="{FF2B5EF4-FFF2-40B4-BE49-F238E27FC236}">
              <a16:creationId xmlns:a16="http://schemas.microsoft.com/office/drawing/2014/main" id="{AA7518C0-4C44-43A0-AAC9-D6499317CEC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85435440"/>
          <a:ext cx="279400" cy="1015222"/>
        </a:xfrm>
        <a:prstGeom prst="rect">
          <a:avLst/>
        </a:prstGeom>
      </xdr:spPr>
    </xdr:pic>
    <xdr:clientData/>
  </xdr:twoCellAnchor>
  <xdr:twoCellAnchor editAs="oneCell">
    <xdr:from>
      <xdr:col>17</xdr:col>
      <xdr:colOff>0</xdr:colOff>
      <xdr:row>247</xdr:row>
      <xdr:rowOff>0</xdr:rowOff>
    </xdr:from>
    <xdr:to>
      <xdr:col>17</xdr:col>
      <xdr:colOff>279400</xdr:colOff>
      <xdr:row>253</xdr:row>
      <xdr:rowOff>131302</xdr:rowOff>
    </xdr:to>
    <xdr:pic>
      <xdr:nvPicPr>
        <xdr:cNvPr id="812" name="Picture 811">
          <a:extLst>
            <a:ext uri="{FF2B5EF4-FFF2-40B4-BE49-F238E27FC236}">
              <a16:creationId xmlns:a16="http://schemas.microsoft.com/office/drawing/2014/main" id="{B5FC0979-8E3F-4C44-B4C7-612A9B254B2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85435440"/>
          <a:ext cx="279400" cy="1015222"/>
        </a:xfrm>
        <a:prstGeom prst="rect">
          <a:avLst/>
        </a:prstGeom>
      </xdr:spPr>
    </xdr:pic>
    <xdr:clientData/>
  </xdr:twoCellAnchor>
  <xdr:twoCellAnchor editAs="oneCell">
    <xdr:from>
      <xdr:col>15</xdr:col>
      <xdr:colOff>0</xdr:colOff>
      <xdr:row>247</xdr:row>
      <xdr:rowOff>0</xdr:rowOff>
    </xdr:from>
    <xdr:to>
      <xdr:col>15</xdr:col>
      <xdr:colOff>279400</xdr:colOff>
      <xdr:row>253</xdr:row>
      <xdr:rowOff>131302</xdr:rowOff>
    </xdr:to>
    <xdr:pic>
      <xdr:nvPicPr>
        <xdr:cNvPr id="813" name="Picture 812">
          <a:extLst>
            <a:ext uri="{FF2B5EF4-FFF2-40B4-BE49-F238E27FC236}">
              <a16:creationId xmlns:a16="http://schemas.microsoft.com/office/drawing/2014/main" id="{40BA6F69-9AE8-4FAF-90BE-169518A9108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85435440"/>
          <a:ext cx="279400" cy="1015222"/>
        </a:xfrm>
        <a:prstGeom prst="rect">
          <a:avLst/>
        </a:prstGeom>
      </xdr:spPr>
    </xdr:pic>
    <xdr:clientData/>
  </xdr:twoCellAnchor>
  <xdr:twoCellAnchor editAs="oneCell">
    <xdr:from>
      <xdr:col>13</xdr:col>
      <xdr:colOff>0</xdr:colOff>
      <xdr:row>247</xdr:row>
      <xdr:rowOff>0</xdr:rowOff>
    </xdr:from>
    <xdr:to>
      <xdr:col>13</xdr:col>
      <xdr:colOff>279400</xdr:colOff>
      <xdr:row>253</xdr:row>
      <xdr:rowOff>131302</xdr:rowOff>
    </xdr:to>
    <xdr:pic>
      <xdr:nvPicPr>
        <xdr:cNvPr id="814" name="Picture 813">
          <a:extLst>
            <a:ext uri="{FF2B5EF4-FFF2-40B4-BE49-F238E27FC236}">
              <a16:creationId xmlns:a16="http://schemas.microsoft.com/office/drawing/2014/main" id="{5C3C9539-2556-4DFD-8F00-E32BBE947E7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85435440"/>
          <a:ext cx="279400" cy="1015222"/>
        </a:xfrm>
        <a:prstGeom prst="rect">
          <a:avLst/>
        </a:prstGeom>
      </xdr:spPr>
    </xdr:pic>
    <xdr:clientData/>
  </xdr:twoCellAnchor>
  <xdr:twoCellAnchor editAs="oneCell">
    <xdr:from>
      <xdr:col>11</xdr:col>
      <xdr:colOff>0</xdr:colOff>
      <xdr:row>247</xdr:row>
      <xdr:rowOff>0</xdr:rowOff>
    </xdr:from>
    <xdr:to>
      <xdr:col>11</xdr:col>
      <xdr:colOff>279400</xdr:colOff>
      <xdr:row>253</xdr:row>
      <xdr:rowOff>131302</xdr:rowOff>
    </xdr:to>
    <xdr:pic>
      <xdr:nvPicPr>
        <xdr:cNvPr id="815" name="Picture 814">
          <a:extLst>
            <a:ext uri="{FF2B5EF4-FFF2-40B4-BE49-F238E27FC236}">
              <a16:creationId xmlns:a16="http://schemas.microsoft.com/office/drawing/2014/main" id="{2406F798-36E0-4295-9C07-DB882AFEF22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85435440"/>
          <a:ext cx="279400" cy="1015222"/>
        </a:xfrm>
        <a:prstGeom prst="rect">
          <a:avLst/>
        </a:prstGeom>
      </xdr:spPr>
    </xdr:pic>
    <xdr:clientData/>
  </xdr:twoCellAnchor>
  <xdr:twoCellAnchor editAs="oneCell">
    <xdr:from>
      <xdr:col>9</xdr:col>
      <xdr:colOff>0</xdr:colOff>
      <xdr:row>247</xdr:row>
      <xdr:rowOff>0</xdr:rowOff>
    </xdr:from>
    <xdr:to>
      <xdr:col>9</xdr:col>
      <xdr:colOff>279400</xdr:colOff>
      <xdr:row>253</xdr:row>
      <xdr:rowOff>131302</xdr:rowOff>
    </xdr:to>
    <xdr:pic>
      <xdr:nvPicPr>
        <xdr:cNvPr id="816" name="Picture 815">
          <a:extLst>
            <a:ext uri="{FF2B5EF4-FFF2-40B4-BE49-F238E27FC236}">
              <a16:creationId xmlns:a16="http://schemas.microsoft.com/office/drawing/2014/main" id="{1D933E5C-3DA2-453F-8B34-25704DF417B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85435440"/>
          <a:ext cx="279400" cy="1015222"/>
        </a:xfrm>
        <a:prstGeom prst="rect">
          <a:avLst/>
        </a:prstGeom>
      </xdr:spPr>
    </xdr:pic>
    <xdr:clientData/>
  </xdr:twoCellAnchor>
  <xdr:twoCellAnchor editAs="oneCell">
    <xdr:from>
      <xdr:col>7</xdr:col>
      <xdr:colOff>0</xdr:colOff>
      <xdr:row>247</xdr:row>
      <xdr:rowOff>0</xdr:rowOff>
    </xdr:from>
    <xdr:to>
      <xdr:col>7</xdr:col>
      <xdr:colOff>279400</xdr:colOff>
      <xdr:row>253</xdr:row>
      <xdr:rowOff>131302</xdr:rowOff>
    </xdr:to>
    <xdr:pic>
      <xdr:nvPicPr>
        <xdr:cNvPr id="817" name="Picture 816">
          <a:extLst>
            <a:ext uri="{FF2B5EF4-FFF2-40B4-BE49-F238E27FC236}">
              <a16:creationId xmlns:a16="http://schemas.microsoft.com/office/drawing/2014/main" id="{F905A650-4A42-4FBA-8D6C-C789EAB9B2B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85435440"/>
          <a:ext cx="279400" cy="1015222"/>
        </a:xfrm>
        <a:prstGeom prst="rect">
          <a:avLst/>
        </a:prstGeom>
      </xdr:spPr>
    </xdr:pic>
    <xdr:clientData/>
  </xdr:twoCellAnchor>
  <xdr:twoCellAnchor editAs="oneCell">
    <xdr:from>
      <xdr:col>3</xdr:col>
      <xdr:colOff>0</xdr:colOff>
      <xdr:row>247</xdr:row>
      <xdr:rowOff>0</xdr:rowOff>
    </xdr:from>
    <xdr:to>
      <xdr:col>3</xdr:col>
      <xdr:colOff>279400</xdr:colOff>
      <xdr:row>253</xdr:row>
      <xdr:rowOff>131302</xdr:rowOff>
    </xdr:to>
    <xdr:pic>
      <xdr:nvPicPr>
        <xdr:cNvPr id="818" name="Picture 817">
          <a:extLst>
            <a:ext uri="{FF2B5EF4-FFF2-40B4-BE49-F238E27FC236}">
              <a16:creationId xmlns:a16="http://schemas.microsoft.com/office/drawing/2014/main" id="{E5C352F3-04BF-4371-AF1A-8D1DCEB5616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85435440"/>
          <a:ext cx="279400" cy="1015222"/>
        </a:xfrm>
        <a:prstGeom prst="rect">
          <a:avLst/>
        </a:prstGeom>
      </xdr:spPr>
    </xdr:pic>
    <xdr:clientData/>
  </xdr:twoCellAnchor>
  <xdr:twoCellAnchor editAs="oneCell">
    <xdr:from>
      <xdr:col>17</xdr:col>
      <xdr:colOff>0</xdr:colOff>
      <xdr:row>239</xdr:row>
      <xdr:rowOff>0</xdr:rowOff>
    </xdr:from>
    <xdr:to>
      <xdr:col>17</xdr:col>
      <xdr:colOff>279400</xdr:colOff>
      <xdr:row>245</xdr:row>
      <xdr:rowOff>39862</xdr:rowOff>
    </xdr:to>
    <xdr:pic>
      <xdr:nvPicPr>
        <xdr:cNvPr id="819" name="Picture 818">
          <a:extLst>
            <a:ext uri="{FF2B5EF4-FFF2-40B4-BE49-F238E27FC236}">
              <a16:creationId xmlns:a16="http://schemas.microsoft.com/office/drawing/2014/main" id="{08CFEE72-B2B2-4F03-8714-462AF933877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82631280"/>
          <a:ext cx="279400" cy="1022842"/>
        </a:xfrm>
        <a:prstGeom prst="rect">
          <a:avLst/>
        </a:prstGeom>
      </xdr:spPr>
    </xdr:pic>
    <xdr:clientData/>
  </xdr:twoCellAnchor>
  <xdr:twoCellAnchor editAs="oneCell">
    <xdr:from>
      <xdr:col>3</xdr:col>
      <xdr:colOff>0</xdr:colOff>
      <xdr:row>239</xdr:row>
      <xdr:rowOff>0</xdr:rowOff>
    </xdr:from>
    <xdr:to>
      <xdr:col>3</xdr:col>
      <xdr:colOff>279400</xdr:colOff>
      <xdr:row>245</xdr:row>
      <xdr:rowOff>39862</xdr:rowOff>
    </xdr:to>
    <xdr:pic>
      <xdr:nvPicPr>
        <xdr:cNvPr id="820" name="Picture 819">
          <a:extLst>
            <a:ext uri="{FF2B5EF4-FFF2-40B4-BE49-F238E27FC236}">
              <a16:creationId xmlns:a16="http://schemas.microsoft.com/office/drawing/2014/main" id="{54519330-83D3-4214-B3C6-A58525A3B49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82631280"/>
          <a:ext cx="279400" cy="1022842"/>
        </a:xfrm>
        <a:prstGeom prst="rect">
          <a:avLst/>
        </a:prstGeom>
      </xdr:spPr>
    </xdr:pic>
    <xdr:clientData/>
  </xdr:twoCellAnchor>
  <xdr:twoCellAnchor editAs="oneCell">
    <xdr:from>
      <xdr:col>1</xdr:col>
      <xdr:colOff>0</xdr:colOff>
      <xdr:row>239</xdr:row>
      <xdr:rowOff>0</xdr:rowOff>
    </xdr:from>
    <xdr:to>
      <xdr:col>1</xdr:col>
      <xdr:colOff>279400</xdr:colOff>
      <xdr:row>245</xdr:row>
      <xdr:rowOff>39862</xdr:rowOff>
    </xdr:to>
    <xdr:pic>
      <xdr:nvPicPr>
        <xdr:cNvPr id="821" name="Picture 820">
          <a:extLst>
            <a:ext uri="{FF2B5EF4-FFF2-40B4-BE49-F238E27FC236}">
              <a16:creationId xmlns:a16="http://schemas.microsoft.com/office/drawing/2014/main" id="{219DED23-2483-4395-AC04-7B946EB6B6F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82631280"/>
          <a:ext cx="279400" cy="1022842"/>
        </a:xfrm>
        <a:prstGeom prst="rect">
          <a:avLst/>
        </a:prstGeom>
      </xdr:spPr>
    </xdr:pic>
    <xdr:clientData/>
  </xdr:twoCellAnchor>
  <xdr:twoCellAnchor editAs="oneCell">
    <xdr:from>
      <xdr:col>15</xdr:col>
      <xdr:colOff>0</xdr:colOff>
      <xdr:row>229</xdr:row>
      <xdr:rowOff>0</xdr:rowOff>
    </xdr:from>
    <xdr:to>
      <xdr:col>15</xdr:col>
      <xdr:colOff>299110</xdr:colOff>
      <xdr:row>236</xdr:row>
      <xdr:rowOff>32334</xdr:rowOff>
    </xdr:to>
    <xdr:pic>
      <xdr:nvPicPr>
        <xdr:cNvPr id="822" name="Picture 821">
          <a:extLst>
            <a:ext uri="{FF2B5EF4-FFF2-40B4-BE49-F238E27FC236}">
              <a16:creationId xmlns:a16="http://schemas.microsoft.com/office/drawing/2014/main" id="{7C715B0D-5866-467F-B585-C8F7A8B953B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78973680"/>
          <a:ext cx="299110" cy="1083894"/>
        </a:xfrm>
        <a:prstGeom prst="rect">
          <a:avLst/>
        </a:prstGeom>
      </xdr:spPr>
    </xdr:pic>
    <xdr:clientData/>
  </xdr:twoCellAnchor>
  <xdr:twoCellAnchor editAs="oneCell">
    <xdr:from>
      <xdr:col>17</xdr:col>
      <xdr:colOff>76200</xdr:colOff>
      <xdr:row>229</xdr:row>
      <xdr:rowOff>-1</xdr:rowOff>
    </xdr:from>
    <xdr:to>
      <xdr:col>17</xdr:col>
      <xdr:colOff>335280</xdr:colOff>
      <xdr:row>235</xdr:row>
      <xdr:rowOff>239324</xdr:rowOff>
    </xdr:to>
    <xdr:pic>
      <xdr:nvPicPr>
        <xdr:cNvPr id="823" name="Picture 822">
          <a:extLst>
            <a:ext uri="{FF2B5EF4-FFF2-40B4-BE49-F238E27FC236}">
              <a16:creationId xmlns:a16="http://schemas.microsoft.com/office/drawing/2014/main" id="{8A959F7E-D592-4D71-98A0-2513574D29E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459200" y="78973679"/>
          <a:ext cx="259080" cy="1024185"/>
        </a:xfrm>
        <a:prstGeom prst="rect">
          <a:avLst/>
        </a:prstGeom>
      </xdr:spPr>
    </xdr:pic>
    <xdr:clientData/>
  </xdr:twoCellAnchor>
  <xdr:twoCellAnchor editAs="oneCell">
    <xdr:from>
      <xdr:col>5</xdr:col>
      <xdr:colOff>0</xdr:colOff>
      <xdr:row>229</xdr:row>
      <xdr:rowOff>0</xdr:rowOff>
    </xdr:from>
    <xdr:to>
      <xdr:col>5</xdr:col>
      <xdr:colOff>259080</xdr:colOff>
      <xdr:row>235</xdr:row>
      <xdr:rowOff>239325</xdr:rowOff>
    </xdr:to>
    <xdr:pic>
      <xdr:nvPicPr>
        <xdr:cNvPr id="824" name="Picture 823">
          <a:extLst>
            <a:ext uri="{FF2B5EF4-FFF2-40B4-BE49-F238E27FC236}">
              <a16:creationId xmlns:a16="http://schemas.microsoft.com/office/drawing/2014/main" id="{E624F934-FE4B-4822-B927-CCFAAFCC531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78973680"/>
          <a:ext cx="259080" cy="1024185"/>
        </a:xfrm>
        <a:prstGeom prst="rect">
          <a:avLst/>
        </a:prstGeom>
      </xdr:spPr>
    </xdr:pic>
    <xdr:clientData/>
  </xdr:twoCellAnchor>
  <xdr:twoCellAnchor editAs="oneCell">
    <xdr:from>
      <xdr:col>3</xdr:col>
      <xdr:colOff>0</xdr:colOff>
      <xdr:row>229</xdr:row>
      <xdr:rowOff>0</xdr:rowOff>
    </xdr:from>
    <xdr:to>
      <xdr:col>3</xdr:col>
      <xdr:colOff>259080</xdr:colOff>
      <xdr:row>235</xdr:row>
      <xdr:rowOff>239325</xdr:rowOff>
    </xdr:to>
    <xdr:pic>
      <xdr:nvPicPr>
        <xdr:cNvPr id="825" name="Picture 824">
          <a:extLst>
            <a:ext uri="{FF2B5EF4-FFF2-40B4-BE49-F238E27FC236}">
              <a16:creationId xmlns:a16="http://schemas.microsoft.com/office/drawing/2014/main" id="{F42C074F-3D27-4C8F-B165-255F49C7318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78973680"/>
          <a:ext cx="259080" cy="1024185"/>
        </a:xfrm>
        <a:prstGeom prst="rect">
          <a:avLst/>
        </a:prstGeom>
      </xdr:spPr>
    </xdr:pic>
    <xdr:clientData/>
  </xdr:twoCellAnchor>
  <xdr:twoCellAnchor editAs="oneCell">
    <xdr:from>
      <xdr:col>1</xdr:col>
      <xdr:colOff>0</xdr:colOff>
      <xdr:row>229</xdr:row>
      <xdr:rowOff>0</xdr:rowOff>
    </xdr:from>
    <xdr:to>
      <xdr:col>1</xdr:col>
      <xdr:colOff>259080</xdr:colOff>
      <xdr:row>235</xdr:row>
      <xdr:rowOff>239325</xdr:rowOff>
    </xdr:to>
    <xdr:pic>
      <xdr:nvPicPr>
        <xdr:cNvPr id="826" name="Picture 825">
          <a:extLst>
            <a:ext uri="{FF2B5EF4-FFF2-40B4-BE49-F238E27FC236}">
              <a16:creationId xmlns:a16="http://schemas.microsoft.com/office/drawing/2014/main" id="{97525A83-7F2B-47FF-9C81-E4037EE38E5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78973680"/>
          <a:ext cx="259080" cy="1024185"/>
        </a:xfrm>
        <a:prstGeom prst="rect">
          <a:avLst/>
        </a:prstGeom>
      </xdr:spPr>
    </xdr:pic>
    <xdr:clientData/>
  </xdr:twoCellAnchor>
  <xdr:twoCellAnchor editAs="oneCell">
    <xdr:from>
      <xdr:col>13</xdr:col>
      <xdr:colOff>0</xdr:colOff>
      <xdr:row>220</xdr:row>
      <xdr:rowOff>0</xdr:rowOff>
    </xdr:from>
    <xdr:to>
      <xdr:col>13</xdr:col>
      <xdr:colOff>259080</xdr:colOff>
      <xdr:row>226</xdr:row>
      <xdr:rowOff>132645</xdr:rowOff>
    </xdr:to>
    <xdr:pic>
      <xdr:nvPicPr>
        <xdr:cNvPr id="827" name="Picture 826">
          <a:extLst>
            <a:ext uri="{FF2B5EF4-FFF2-40B4-BE49-F238E27FC236}">
              <a16:creationId xmlns:a16="http://schemas.microsoft.com/office/drawing/2014/main" id="{F6FDCE54-B561-4767-8765-DDB26BD93E8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75864720"/>
          <a:ext cx="259080" cy="1016565"/>
        </a:xfrm>
        <a:prstGeom prst="rect">
          <a:avLst/>
        </a:prstGeom>
      </xdr:spPr>
    </xdr:pic>
    <xdr:clientData/>
  </xdr:twoCellAnchor>
  <xdr:twoCellAnchor editAs="oneCell">
    <xdr:from>
      <xdr:col>19</xdr:col>
      <xdr:colOff>0</xdr:colOff>
      <xdr:row>220</xdr:row>
      <xdr:rowOff>0</xdr:rowOff>
    </xdr:from>
    <xdr:to>
      <xdr:col>19</xdr:col>
      <xdr:colOff>259080</xdr:colOff>
      <xdr:row>226</xdr:row>
      <xdr:rowOff>132645</xdr:rowOff>
    </xdr:to>
    <xdr:pic>
      <xdr:nvPicPr>
        <xdr:cNvPr id="828" name="Picture 827">
          <a:extLst>
            <a:ext uri="{FF2B5EF4-FFF2-40B4-BE49-F238E27FC236}">
              <a16:creationId xmlns:a16="http://schemas.microsoft.com/office/drawing/2014/main" id="{92DAA2DC-12CE-4E42-B4FC-6599C0826D3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75864720"/>
          <a:ext cx="259080" cy="1016565"/>
        </a:xfrm>
        <a:prstGeom prst="rect">
          <a:avLst/>
        </a:prstGeom>
      </xdr:spPr>
    </xdr:pic>
    <xdr:clientData/>
  </xdr:twoCellAnchor>
  <xdr:twoCellAnchor editAs="oneCell">
    <xdr:from>
      <xdr:col>21</xdr:col>
      <xdr:colOff>0</xdr:colOff>
      <xdr:row>220</xdr:row>
      <xdr:rowOff>0</xdr:rowOff>
    </xdr:from>
    <xdr:to>
      <xdr:col>21</xdr:col>
      <xdr:colOff>259080</xdr:colOff>
      <xdr:row>226</xdr:row>
      <xdr:rowOff>132645</xdr:rowOff>
    </xdr:to>
    <xdr:pic>
      <xdr:nvPicPr>
        <xdr:cNvPr id="829" name="Picture 828">
          <a:extLst>
            <a:ext uri="{FF2B5EF4-FFF2-40B4-BE49-F238E27FC236}">
              <a16:creationId xmlns:a16="http://schemas.microsoft.com/office/drawing/2014/main" id="{6AD5C427-1128-4220-B4BF-C24FD072925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75864720"/>
          <a:ext cx="259080" cy="1016565"/>
        </a:xfrm>
        <a:prstGeom prst="rect">
          <a:avLst/>
        </a:prstGeom>
      </xdr:spPr>
    </xdr:pic>
    <xdr:clientData/>
  </xdr:twoCellAnchor>
  <xdr:twoCellAnchor editAs="oneCell">
    <xdr:from>
      <xdr:col>23</xdr:col>
      <xdr:colOff>0</xdr:colOff>
      <xdr:row>220</xdr:row>
      <xdr:rowOff>0</xdr:rowOff>
    </xdr:from>
    <xdr:to>
      <xdr:col>23</xdr:col>
      <xdr:colOff>259080</xdr:colOff>
      <xdr:row>226</xdr:row>
      <xdr:rowOff>132645</xdr:rowOff>
    </xdr:to>
    <xdr:pic>
      <xdr:nvPicPr>
        <xdr:cNvPr id="830" name="Picture 829">
          <a:extLst>
            <a:ext uri="{FF2B5EF4-FFF2-40B4-BE49-F238E27FC236}">
              <a16:creationId xmlns:a16="http://schemas.microsoft.com/office/drawing/2014/main" id="{5C0ACDB4-1418-46F8-AEED-D48D2D1FA10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75864720"/>
          <a:ext cx="259080" cy="1016565"/>
        </a:xfrm>
        <a:prstGeom prst="rect">
          <a:avLst/>
        </a:prstGeom>
      </xdr:spPr>
    </xdr:pic>
    <xdr:clientData/>
  </xdr:twoCellAnchor>
  <xdr:twoCellAnchor editAs="oneCell">
    <xdr:from>
      <xdr:col>9</xdr:col>
      <xdr:colOff>0</xdr:colOff>
      <xdr:row>220</xdr:row>
      <xdr:rowOff>0</xdr:rowOff>
    </xdr:from>
    <xdr:to>
      <xdr:col>9</xdr:col>
      <xdr:colOff>259080</xdr:colOff>
      <xdr:row>226</xdr:row>
      <xdr:rowOff>132645</xdr:rowOff>
    </xdr:to>
    <xdr:pic>
      <xdr:nvPicPr>
        <xdr:cNvPr id="831" name="Picture 830">
          <a:extLst>
            <a:ext uri="{FF2B5EF4-FFF2-40B4-BE49-F238E27FC236}">
              <a16:creationId xmlns:a16="http://schemas.microsoft.com/office/drawing/2014/main" id="{FE9606D0-A9DD-4F36-90AD-292C8601082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9570720" y="75864720"/>
          <a:ext cx="259080" cy="1016565"/>
        </a:xfrm>
        <a:prstGeom prst="rect">
          <a:avLst/>
        </a:prstGeom>
      </xdr:spPr>
    </xdr:pic>
    <xdr:clientData/>
  </xdr:twoCellAnchor>
  <xdr:twoCellAnchor editAs="oneCell">
    <xdr:from>
      <xdr:col>7</xdr:col>
      <xdr:colOff>0</xdr:colOff>
      <xdr:row>220</xdr:row>
      <xdr:rowOff>0</xdr:rowOff>
    </xdr:from>
    <xdr:to>
      <xdr:col>7</xdr:col>
      <xdr:colOff>259080</xdr:colOff>
      <xdr:row>226</xdr:row>
      <xdr:rowOff>132645</xdr:rowOff>
    </xdr:to>
    <xdr:pic>
      <xdr:nvPicPr>
        <xdr:cNvPr id="832" name="Picture 831">
          <a:extLst>
            <a:ext uri="{FF2B5EF4-FFF2-40B4-BE49-F238E27FC236}">
              <a16:creationId xmlns:a16="http://schemas.microsoft.com/office/drawing/2014/main" id="{9E9576F8-9087-4152-BD6B-E4B1E6CDB02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75864720"/>
          <a:ext cx="259080" cy="1016565"/>
        </a:xfrm>
        <a:prstGeom prst="rect">
          <a:avLst/>
        </a:prstGeom>
      </xdr:spPr>
    </xdr:pic>
    <xdr:clientData/>
  </xdr:twoCellAnchor>
  <xdr:twoCellAnchor editAs="oneCell">
    <xdr:from>
      <xdr:col>5</xdr:col>
      <xdr:colOff>0</xdr:colOff>
      <xdr:row>220</xdr:row>
      <xdr:rowOff>0</xdr:rowOff>
    </xdr:from>
    <xdr:to>
      <xdr:col>5</xdr:col>
      <xdr:colOff>259080</xdr:colOff>
      <xdr:row>226</xdr:row>
      <xdr:rowOff>132645</xdr:rowOff>
    </xdr:to>
    <xdr:pic>
      <xdr:nvPicPr>
        <xdr:cNvPr id="833" name="Picture 832">
          <a:extLst>
            <a:ext uri="{FF2B5EF4-FFF2-40B4-BE49-F238E27FC236}">
              <a16:creationId xmlns:a16="http://schemas.microsoft.com/office/drawing/2014/main" id="{B0A7A6D8-8BC4-499A-8610-DFB586C2D90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75864720"/>
          <a:ext cx="259080" cy="1016565"/>
        </a:xfrm>
        <a:prstGeom prst="rect">
          <a:avLst/>
        </a:prstGeom>
      </xdr:spPr>
    </xdr:pic>
    <xdr:clientData/>
  </xdr:twoCellAnchor>
  <xdr:twoCellAnchor editAs="oneCell">
    <xdr:from>
      <xdr:col>3</xdr:col>
      <xdr:colOff>0</xdr:colOff>
      <xdr:row>220</xdr:row>
      <xdr:rowOff>0</xdr:rowOff>
    </xdr:from>
    <xdr:to>
      <xdr:col>3</xdr:col>
      <xdr:colOff>259080</xdr:colOff>
      <xdr:row>226</xdr:row>
      <xdr:rowOff>132645</xdr:rowOff>
    </xdr:to>
    <xdr:pic>
      <xdr:nvPicPr>
        <xdr:cNvPr id="834" name="Picture 833">
          <a:extLst>
            <a:ext uri="{FF2B5EF4-FFF2-40B4-BE49-F238E27FC236}">
              <a16:creationId xmlns:a16="http://schemas.microsoft.com/office/drawing/2014/main" id="{6B12754B-DBB2-4BFB-AA41-7975E784D2A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75864720"/>
          <a:ext cx="259080" cy="1016565"/>
        </a:xfrm>
        <a:prstGeom prst="rect">
          <a:avLst/>
        </a:prstGeom>
      </xdr:spPr>
    </xdr:pic>
    <xdr:clientData/>
  </xdr:twoCellAnchor>
  <xdr:twoCellAnchor editAs="oneCell">
    <xdr:from>
      <xdr:col>23</xdr:col>
      <xdr:colOff>0</xdr:colOff>
      <xdr:row>211</xdr:row>
      <xdr:rowOff>0</xdr:rowOff>
    </xdr:from>
    <xdr:to>
      <xdr:col>23</xdr:col>
      <xdr:colOff>259080</xdr:colOff>
      <xdr:row>217</xdr:row>
      <xdr:rowOff>41205</xdr:rowOff>
    </xdr:to>
    <xdr:pic>
      <xdr:nvPicPr>
        <xdr:cNvPr id="835" name="Picture 834">
          <a:extLst>
            <a:ext uri="{FF2B5EF4-FFF2-40B4-BE49-F238E27FC236}">
              <a16:creationId xmlns:a16="http://schemas.microsoft.com/office/drawing/2014/main" id="{5BEAB619-65A0-46B3-938D-879135DC551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72892920"/>
          <a:ext cx="259080" cy="1024185"/>
        </a:xfrm>
        <a:prstGeom prst="rect">
          <a:avLst/>
        </a:prstGeom>
      </xdr:spPr>
    </xdr:pic>
    <xdr:clientData/>
  </xdr:twoCellAnchor>
  <xdr:twoCellAnchor editAs="oneCell">
    <xdr:from>
      <xdr:col>11</xdr:col>
      <xdr:colOff>0</xdr:colOff>
      <xdr:row>211</xdr:row>
      <xdr:rowOff>0</xdr:rowOff>
    </xdr:from>
    <xdr:to>
      <xdr:col>11</xdr:col>
      <xdr:colOff>259080</xdr:colOff>
      <xdr:row>217</xdr:row>
      <xdr:rowOff>41205</xdr:rowOff>
    </xdr:to>
    <xdr:pic>
      <xdr:nvPicPr>
        <xdr:cNvPr id="836" name="Picture 835">
          <a:extLst>
            <a:ext uri="{FF2B5EF4-FFF2-40B4-BE49-F238E27FC236}">
              <a16:creationId xmlns:a16="http://schemas.microsoft.com/office/drawing/2014/main" id="{F30ACE25-BBCA-4BF1-BE09-08B27D21A9A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72892920"/>
          <a:ext cx="259080" cy="1024185"/>
        </a:xfrm>
        <a:prstGeom prst="rect">
          <a:avLst/>
        </a:prstGeom>
      </xdr:spPr>
    </xdr:pic>
    <xdr:clientData/>
  </xdr:twoCellAnchor>
  <xdr:twoCellAnchor editAs="oneCell">
    <xdr:from>
      <xdr:col>5</xdr:col>
      <xdr:colOff>0</xdr:colOff>
      <xdr:row>211</xdr:row>
      <xdr:rowOff>0</xdr:rowOff>
    </xdr:from>
    <xdr:to>
      <xdr:col>5</xdr:col>
      <xdr:colOff>299110</xdr:colOff>
      <xdr:row>217</xdr:row>
      <xdr:rowOff>71281</xdr:rowOff>
    </xdr:to>
    <xdr:pic>
      <xdr:nvPicPr>
        <xdr:cNvPr id="837" name="Picture 836">
          <a:extLst>
            <a:ext uri="{FF2B5EF4-FFF2-40B4-BE49-F238E27FC236}">
              <a16:creationId xmlns:a16="http://schemas.microsoft.com/office/drawing/2014/main" id="{2FF1EDA1-2F8B-4AED-BDC4-17F11B4106B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72892920"/>
          <a:ext cx="299110" cy="1054261"/>
        </a:xfrm>
        <a:prstGeom prst="rect">
          <a:avLst/>
        </a:prstGeom>
      </xdr:spPr>
    </xdr:pic>
    <xdr:clientData/>
  </xdr:twoCellAnchor>
  <xdr:twoCellAnchor editAs="oneCell">
    <xdr:from>
      <xdr:col>23</xdr:col>
      <xdr:colOff>0</xdr:colOff>
      <xdr:row>193</xdr:row>
      <xdr:rowOff>0</xdr:rowOff>
    </xdr:from>
    <xdr:to>
      <xdr:col>23</xdr:col>
      <xdr:colOff>299110</xdr:colOff>
      <xdr:row>199</xdr:row>
      <xdr:rowOff>71281</xdr:rowOff>
    </xdr:to>
    <xdr:pic>
      <xdr:nvPicPr>
        <xdr:cNvPr id="838" name="Picture 837">
          <a:extLst>
            <a:ext uri="{FF2B5EF4-FFF2-40B4-BE49-F238E27FC236}">
              <a16:creationId xmlns:a16="http://schemas.microsoft.com/office/drawing/2014/main" id="{7ECD4B5E-1605-4CEF-A96C-9AE3DE17592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66476880"/>
          <a:ext cx="299110" cy="1054261"/>
        </a:xfrm>
        <a:prstGeom prst="rect">
          <a:avLst/>
        </a:prstGeom>
      </xdr:spPr>
    </xdr:pic>
    <xdr:clientData/>
  </xdr:twoCellAnchor>
  <xdr:twoCellAnchor editAs="oneCell">
    <xdr:from>
      <xdr:col>13</xdr:col>
      <xdr:colOff>0</xdr:colOff>
      <xdr:row>175</xdr:row>
      <xdr:rowOff>0</xdr:rowOff>
    </xdr:from>
    <xdr:to>
      <xdr:col>13</xdr:col>
      <xdr:colOff>299110</xdr:colOff>
      <xdr:row>181</xdr:row>
      <xdr:rowOff>170341</xdr:rowOff>
    </xdr:to>
    <xdr:pic>
      <xdr:nvPicPr>
        <xdr:cNvPr id="839" name="Picture 838">
          <a:extLst>
            <a:ext uri="{FF2B5EF4-FFF2-40B4-BE49-F238E27FC236}">
              <a16:creationId xmlns:a16="http://schemas.microsoft.com/office/drawing/2014/main" id="{FD4A08FC-D146-498B-9AA2-B4D2B625714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778740" y="59916060"/>
          <a:ext cx="299110" cy="1054261"/>
        </a:xfrm>
        <a:prstGeom prst="rect">
          <a:avLst/>
        </a:prstGeom>
      </xdr:spPr>
    </xdr:pic>
    <xdr:clientData/>
  </xdr:twoCellAnchor>
  <xdr:twoCellAnchor editAs="oneCell">
    <xdr:from>
      <xdr:col>23</xdr:col>
      <xdr:colOff>0</xdr:colOff>
      <xdr:row>175</xdr:row>
      <xdr:rowOff>0</xdr:rowOff>
    </xdr:from>
    <xdr:to>
      <xdr:col>23</xdr:col>
      <xdr:colOff>299110</xdr:colOff>
      <xdr:row>181</xdr:row>
      <xdr:rowOff>170341</xdr:rowOff>
    </xdr:to>
    <xdr:pic>
      <xdr:nvPicPr>
        <xdr:cNvPr id="840" name="Picture 839">
          <a:extLst>
            <a:ext uri="{FF2B5EF4-FFF2-40B4-BE49-F238E27FC236}">
              <a16:creationId xmlns:a16="http://schemas.microsoft.com/office/drawing/2014/main" id="{1E289444-8374-47A7-86BF-EB2A240AEF7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59916060"/>
          <a:ext cx="299110" cy="1054261"/>
        </a:xfrm>
        <a:prstGeom prst="rect">
          <a:avLst/>
        </a:prstGeom>
      </xdr:spPr>
    </xdr:pic>
    <xdr:clientData/>
  </xdr:twoCellAnchor>
  <xdr:twoCellAnchor editAs="oneCell">
    <xdr:from>
      <xdr:col>11</xdr:col>
      <xdr:colOff>0</xdr:colOff>
      <xdr:row>175</xdr:row>
      <xdr:rowOff>0</xdr:rowOff>
    </xdr:from>
    <xdr:to>
      <xdr:col>11</xdr:col>
      <xdr:colOff>299110</xdr:colOff>
      <xdr:row>181</xdr:row>
      <xdr:rowOff>170341</xdr:rowOff>
    </xdr:to>
    <xdr:pic>
      <xdr:nvPicPr>
        <xdr:cNvPr id="841" name="Picture 840">
          <a:extLst>
            <a:ext uri="{FF2B5EF4-FFF2-40B4-BE49-F238E27FC236}">
              <a16:creationId xmlns:a16="http://schemas.microsoft.com/office/drawing/2014/main" id="{C5C8B016-5227-4A9E-93BC-6C3202F05BE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1140440" y="59916060"/>
          <a:ext cx="299110" cy="1054261"/>
        </a:xfrm>
        <a:prstGeom prst="rect">
          <a:avLst/>
        </a:prstGeom>
      </xdr:spPr>
    </xdr:pic>
    <xdr:clientData/>
  </xdr:twoCellAnchor>
  <xdr:twoCellAnchor editAs="oneCell">
    <xdr:from>
      <xdr:col>5</xdr:col>
      <xdr:colOff>0</xdr:colOff>
      <xdr:row>175</xdr:row>
      <xdr:rowOff>0</xdr:rowOff>
    </xdr:from>
    <xdr:to>
      <xdr:col>5</xdr:col>
      <xdr:colOff>299110</xdr:colOff>
      <xdr:row>181</xdr:row>
      <xdr:rowOff>170341</xdr:rowOff>
    </xdr:to>
    <xdr:pic>
      <xdr:nvPicPr>
        <xdr:cNvPr id="842" name="Picture 841">
          <a:extLst>
            <a:ext uri="{FF2B5EF4-FFF2-40B4-BE49-F238E27FC236}">
              <a16:creationId xmlns:a16="http://schemas.microsoft.com/office/drawing/2014/main" id="{01363805-EF72-4484-B357-357D3961E3A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59916060"/>
          <a:ext cx="299110" cy="1054261"/>
        </a:xfrm>
        <a:prstGeom prst="rect">
          <a:avLst/>
        </a:prstGeom>
      </xdr:spPr>
    </xdr:pic>
    <xdr:clientData/>
  </xdr:twoCellAnchor>
  <xdr:twoCellAnchor editAs="oneCell">
    <xdr:from>
      <xdr:col>7</xdr:col>
      <xdr:colOff>0</xdr:colOff>
      <xdr:row>175</xdr:row>
      <xdr:rowOff>0</xdr:rowOff>
    </xdr:from>
    <xdr:to>
      <xdr:col>7</xdr:col>
      <xdr:colOff>299110</xdr:colOff>
      <xdr:row>181</xdr:row>
      <xdr:rowOff>170341</xdr:rowOff>
    </xdr:to>
    <xdr:pic>
      <xdr:nvPicPr>
        <xdr:cNvPr id="843" name="Picture 842">
          <a:extLst>
            <a:ext uri="{FF2B5EF4-FFF2-40B4-BE49-F238E27FC236}">
              <a16:creationId xmlns:a16="http://schemas.microsoft.com/office/drawing/2014/main" id="{E174F7DC-3083-4E1A-BB78-905B86380A6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421880" y="59916060"/>
          <a:ext cx="299110" cy="1054261"/>
        </a:xfrm>
        <a:prstGeom prst="rect">
          <a:avLst/>
        </a:prstGeom>
      </xdr:spPr>
    </xdr:pic>
    <xdr:clientData/>
  </xdr:twoCellAnchor>
  <xdr:twoCellAnchor editAs="oneCell">
    <xdr:from>
      <xdr:col>5</xdr:col>
      <xdr:colOff>0</xdr:colOff>
      <xdr:row>165</xdr:row>
      <xdr:rowOff>0</xdr:rowOff>
    </xdr:from>
    <xdr:to>
      <xdr:col>5</xdr:col>
      <xdr:colOff>299110</xdr:colOff>
      <xdr:row>171</xdr:row>
      <xdr:rowOff>170341</xdr:rowOff>
    </xdr:to>
    <xdr:pic>
      <xdr:nvPicPr>
        <xdr:cNvPr id="844" name="Picture 843">
          <a:extLst>
            <a:ext uri="{FF2B5EF4-FFF2-40B4-BE49-F238E27FC236}">
              <a16:creationId xmlns:a16="http://schemas.microsoft.com/office/drawing/2014/main" id="{F6B9C8BB-792A-4516-9027-EC5012B2758E}"/>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273040" y="56441340"/>
          <a:ext cx="299110" cy="1054261"/>
        </a:xfrm>
        <a:prstGeom prst="rect">
          <a:avLst/>
        </a:prstGeom>
      </xdr:spPr>
    </xdr:pic>
    <xdr:clientData/>
  </xdr:twoCellAnchor>
  <xdr:twoCellAnchor editAs="oneCell">
    <xdr:from>
      <xdr:col>3</xdr:col>
      <xdr:colOff>0</xdr:colOff>
      <xdr:row>165</xdr:row>
      <xdr:rowOff>0</xdr:rowOff>
    </xdr:from>
    <xdr:to>
      <xdr:col>3</xdr:col>
      <xdr:colOff>299110</xdr:colOff>
      <xdr:row>171</xdr:row>
      <xdr:rowOff>170341</xdr:rowOff>
    </xdr:to>
    <xdr:pic>
      <xdr:nvPicPr>
        <xdr:cNvPr id="845" name="Picture 844">
          <a:extLst>
            <a:ext uri="{FF2B5EF4-FFF2-40B4-BE49-F238E27FC236}">
              <a16:creationId xmlns:a16="http://schemas.microsoft.com/office/drawing/2014/main" id="{9452AB50-76E8-4FCB-A15D-13D58CF4E476}"/>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032760" y="56441340"/>
          <a:ext cx="299110" cy="1054261"/>
        </a:xfrm>
        <a:prstGeom prst="rect">
          <a:avLst/>
        </a:prstGeom>
      </xdr:spPr>
    </xdr:pic>
    <xdr:clientData/>
  </xdr:twoCellAnchor>
  <xdr:twoCellAnchor editAs="oneCell">
    <xdr:from>
      <xdr:col>1</xdr:col>
      <xdr:colOff>0</xdr:colOff>
      <xdr:row>165</xdr:row>
      <xdr:rowOff>0</xdr:rowOff>
    </xdr:from>
    <xdr:to>
      <xdr:col>1</xdr:col>
      <xdr:colOff>299110</xdr:colOff>
      <xdr:row>171</xdr:row>
      <xdr:rowOff>170341</xdr:rowOff>
    </xdr:to>
    <xdr:pic>
      <xdr:nvPicPr>
        <xdr:cNvPr id="846" name="Picture 845">
          <a:extLst>
            <a:ext uri="{FF2B5EF4-FFF2-40B4-BE49-F238E27FC236}">
              <a16:creationId xmlns:a16="http://schemas.microsoft.com/office/drawing/2014/main" id="{A169BBB0-E66D-46BC-8B16-FBDD27321F3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264920" y="56441340"/>
          <a:ext cx="299110" cy="1054261"/>
        </a:xfrm>
        <a:prstGeom prst="rect">
          <a:avLst/>
        </a:prstGeom>
      </xdr:spPr>
    </xdr:pic>
    <xdr:clientData/>
  </xdr:twoCellAnchor>
  <xdr:twoCellAnchor editAs="oneCell">
    <xdr:from>
      <xdr:col>17</xdr:col>
      <xdr:colOff>0</xdr:colOff>
      <xdr:row>157</xdr:row>
      <xdr:rowOff>0</xdr:rowOff>
    </xdr:from>
    <xdr:to>
      <xdr:col>17</xdr:col>
      <xdr:colOff>299110</xdr:colOff>
      <xdr:row>163</xdr:row>
      <xdr:rowOff>63661</xdr:rowOff>
    </xdr:to>
    <xdr:pic>
      <xdr:nvPicPr>
        <xdr:cNvPr id="847" name="Picture 846">
          <a:extLst>
            <a:ext uri="{FF2B5EF4-FFF2-40B4-BE49-F238E27FC236}">
              <a16:creationId xmlns:a16="http://schemas.microsoft.com/office/drawing/2014/main" id="{198A49CB-FAE3-4C45-B742-AC586A14458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53781960"/>
          <a:ext cx="299110" cy="1046641"/>
        </a:xfrm>
        <a:prstGeom prst="rect">
          <a:avLst/>
        </a:prstGeom>
      </xdr:spPr>
    </xdr:pic>
    <xdr:clientData/>
  </xdr:twoCellAnchor>
  <xdr:twoCellAnchor editAs="oneCell">
    <xdr:from>
      <xdr:col>15</xdr:col>
      <xdr:colOff>0</xdr:colOff>
      <xdr:row>157</xdr:row>
      <xdr:rowOff>0</xdr:rowOff>
    </xdr:from>
    <xdr:to>
      <xdr:col>15</xdr:col>
      <xdr:colOff>299110</xdr:colOff>
      <xdr:row>163</xdr:row>
      <xdr:rowOff>63661</xdr:rowOff>
    </xdr:to>
    <xdr:pic>
      <xdr:nvPicPr>
        <xdr:cNvPr id="848" name="Picture 847">
          <a:extLst>
            <a:ext uri="{FF2B5EF4-FFF2-40B4-BE49-F238E27FC236}">
              <a16:creationId xmlns:a16="http://schemas.microsoft.com/office/drawing/2014/main" id="{3234A4DD-7E18-4A68-934C-EEC3F23AAB3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4599920" y="53781960"/>
          <a:ext cx="299110" cy="1046641"/>
        </a:xfrm>
        <a:prstGeom prst="rect">
          <a:avLst/>
        </a:prstGeom>
      </xdr:spPr>
    </xdr:pic>
    <xdr:clientData/>
  </xdr:twoCellAnchor>
  <xdr:twoCellAnchor editAs="oneCell">
    <xdr:from>
      <xdr:col>21</xdr:col>
      <xdr:colOff>0</xdr:colOff>
      <xdr:row>157</xdr:row>
      <xdr:rowOff>0</xdr:rowOff>
    </xdr:from>
    <xdr:to>
      <xdr:col>21</xdr:col>
      <xdr:colOff>299110</xdr:colOff>
      <xdr:row>163</xdr:row>
      <xdr:rowOff>63661</xdr:rowOff>
    </xdr:to>
    <xdr:pic>
      <xdr:nvPicPr>
        <xdr:cNvPr id="849" name="Picture 848">
          <a:extLst>
            <a:ext uri="{FF2B5EF4-FFF2-40B4-BE49-F238E27FC236}">
              <a16:creationId xmlns:a16="http://schemas.microsoft.com/office/drawing/2014/main" id="{67C93F12-19DD-4417-9E3F-B19871CBB0C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682460" y="53781960"/>
          <a:ext cx="299110" cy="1046641"/>
        </a:xfrm>
        <a:prstGeom prst="rect">
          <a:avLst/>
        </a:prstGeom>
      </xdr:spPr>
    </xdr:pic>
    <xdr:clientData/>
  </xdr:twoCellAnchor>
  <xdr:twoCellAnchor editAs="oneCell">
    <xdr:from>
      <xdr:col>23</xdr:col>
      <xdr:colOff>0</xdr:colOff>
      <xdr:row>157</xdr:row>
      <xdr:rowOff>0</xdr:rowOff>
    </xdr:from>
    <xdr:to>
      <xdr:col>23</xdr:col>
      <xdr:colOff>299110</xdr:colOff>
      <xdr:row>163</xdr:row>
      <xdr:rowOff>63661</xdr:rowOff>
    </xdr:to>
    <xdr:pic>
      <xdr:nvPicPr>
        <xdr:cNvPr id="850" name="Picture 849">
          <a:extLst>
            <a:ext uri="{FF2B5EF4-FFF2-40B4-BE49-F238E27FC236}">
              <a16:creationId xmlns:a16="http://schemas.microsoft.com/office/drawing/2014/main" id="{57441D95-A4FA-4188-9636-1F6DC98369D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1602700" y="53781960"/>
          <a:ext cx="299110" cy="1046641"/>
        </a:xfrm>
        <a:prstGeom prst="rect">
          <a:avLst/>
        </a:prstGeom>
      </xdr:spPr>
    </xdr:pic>
    <xdr:clientData/>
  </xdr:twoCellAnchor>
  <xdr:twoCellAnchor editAs="oneCell">
    <xdr:from>
      <xdr:col>17</xdr:col>
      <xdr:colOff>0</xdr:colOff>
      <xdr:row>147</xdr:row>
      <xdr:rowOff>0</xdr:rowOff>
    </xdr:from>
    <xdr:to>
      <xdr:col>17</xdr:col>
      <xdr:colOff>299110</xdr:colOff>
      <xdr:row>154</xdr:row>
      <xdr:rowOff>2377</xdr:rowOff>
    </xdr:to>
    <xdr:pic>
      <xdr:nvPicPr>
        <xdr:cNvPr id="851" name="Picture 850">
          <a:extLst>
            <a:ext uri="{FF2B5EF4-FFF2-40B4-BE49-F238E27FC236}">
              <a16:creationId xmlns:a16="http://schemas.microsoft.com/office/drawing/2014/main" id="{568E1D9D-04DC-4554-97A4-226DEED4945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383000" y="50093880"/>
          <a:ext cx="299110" cy="1046641"/>
        </a:xfrm>
        <a:prstGeom prst="rect">
          <a:avLst/>
        </a:prstGeom>
      </xdr:spPr>
    </xdr:pic>
    <xdr:clientData/>
  </xdr:twoCellAnchor>
  <xdr:twoCellAnchor editAs="oneCell">
    <xdr:from>
      <xdr:col>19</xdr:col>
      <xdr:colOff>0</xdr:colOff>
      <xdr:row>147</xdr:row>
      <xdr:rowOff>0</xdr:rowOff>
    </xdr:from>
    <xdr:to>
      <xdr:col>19</xdr:col>
      <xdr:colOff>299110</xdr:colOff>
      <xdr:row>154</xdr:row>
      <xdr:rowOff>2377</xdr:rowOff>
    </xdr:to>
    <xdr:pic>
      <xdr:nvPicPr>
        <xdr:cNvPr id="852" name="Picture 851">
          <a:extLst>
            <a:ext uri="{FF2B5EF4-FFF2-40B4-BE49-F238E27FC236}">
              <a16:creationId xmlns:a16="http://schemas.microsoft.com/office/drawing/2014/main" id="{CD161F72-9F66-4946-AAC1-F423851933F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006060" y="50093880"/>
          <a:ext cx="299110" cy="104664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hyperlink" Target="mailto:GST@18"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D15"/>
  <sheetViews>
    <sheetView showGridLines="0" showRowColHeaders="0" topLeftCell="D1" zoomScale="87" zoomScaleNormal="208" workbookViewId="0">
      <pane xSplit="2" topLeftCell="F1" activePane="topRight" state="frozen"/>
      <selection pane="topRight" activeCell="G1" sqref="G1"/>
    </sheetView>
  </sheetViews>
  <sheetFormatPr defaultColWidth="10.81640625" defaultRowHeight="14.5"/>
  <cols>
    <col min="1" max="1" width="24.81640625" style="363" customWidth="1"/>
    <col min="2" max="2" width="12.81640625" customWidth="1"/>
    <col min="3" max="3" width="6.81640625" customWidth="1"/>
    <col min="4" max="4" width="12.81640625" customWidth="1"/>
    <col min="5" max="5" width="6.1796875" customWidth="1"/>
    <col min="6" max="6" width="12.81640625" customWidth="1"/>
    <col min="9" max="9" width="6.1796875" customWidth="1"/>
    <col min="11" max="12" width="6.81640625" customWidth="1"/>
    <col min="22" max="22" width="1.81640625" customWidth="1"/>
  </cols>
  <sheetData>
    <row r="1" spans="1:4" s="380" customFormat="1" ht="125.15" customHeight="1">
      <c r="A1" s="381" t="s">
        <v>0</v>
      </c>
      <c r="B1" s="1363"/>
      <c r="C1" s="1363"/>
    </row>
    <row r="2" spans="1:4" s="380" customFormat="1" ht="125.15" customHeight="1">
      <c r="A2" s="381" t="s">
        <v>1</v>
      </c>
      <c r="B2" s="1363"/>
      <c r="C2" s="1363"/>
    </row>
    <row r="3" spans="1:4" s="380" customFormat="1" ht="125.15" customHeight="1">
      <c r="A3" s="381" t="s">
        <v>2</v>
      </c>
      <c r="B3" s="1363"/>
      <c r="C3" s="1363"/>
    </row>
    <row r="4" spans="1:4" s="380" customFormat="1" ht="125.15" customHeight="1">
      <c r="A4" s="381" t="s">
        <v>3</v>
      </c>
      <c r="B4" s="1363"/>
      <c r="C4" s="1363"/>
    </row>
    <row r="5" spans="1:4" s="380" customFormat="1" ht="125.15" customHeight="1">
      <c r="A5" s="381" t="s">
        <v>4</v>
      </c>
      <c r="B5" s="1363"/>
      <c r="C5" s="1363"/>
    </row>
    <row r="6" spans="1:4" s="380" customFormat="1" ht="125.15" customHeight="1">
      <c r="A6" s="381" t="s">
        <v>5</v>
      </c>
      <c r="B6" s="1363"/>
      <c r="C6" s="1363"/>
    </row>
    <row r="7" spans="1:4" s="380" customFormat="1" ht="125.15" customHeight="1">
      <c r="A7" s="381" t="s">
        <v>6</v>
      </c>
      <c r="B7" s="1363"/>
      <c r="C7" s="1363"/>
    </row>
    <row r="8" spans="1:4" s="380" customFormat="1" ht="125.15" customHeight="1">
      <c r="A8" s="381" t="s">
        <v>7</v>
      </c>
      <c r="B8" s="1363"/>
      <c r="C8" s="1363"/>
    </row>
    <row r="9" spans="1:4" s="380" customFormat="1" ht="125.15" customHeight="1">
      <c r="A9" s="381" t="s">
        <v>8</v>
      </c>
      <c r="B9" s="1363"/>
      <c r="C9" s="1363"/>
    </row>
    <row r="10" spans="1:4" s="380" customFormat="1" ht="125.15" customHeight="1">
      <c r="A10" s="381" t="s">
        <v>9</v>
      </c>
      <c r="B10" s="1363"/>
      <c r="C10" s="1363"/>
      <c r="D10" s="382"/>
    </row>
    <row r="11" spans="1:4" s="380" customFormat="1" ht="125.15" customHeight="1">
      <c r="A11" s="381" t="s">
        <v>10</v>
      </c>
      <c r="B11" s="1363"/>
      <c r="C11" s="1363"/>
    </row>
    <row r="12" spans="1:4" s="380" customFormat="1" ht="125.15" customHeight="1">
      <c r="A12" s="381" t="s">
        <v>11</v>
      </c>
      <c r="B12" s="1363"/>
      <c r="C12" s="1363"/>
    </row>
    <row r="13" spans="1:4" s="380" customFormat="1" ht="125.15" customHeight="1">
      <c r="A13" s="381" t="s">
        <v>12</v>
      </c>
      <c r="B13" s="1363"/>
      <c r="C13" s="1363"/>
    </row>
    <row r="14" spans="1:4" s="380" customFormat="1" ht="125.15" customHeight="1">
      <c r="A14" s="381" t="s">
        <v>13</v>
      </c>
      <c r="B14" s="1363"/>
      <c r="C14" s="1363"/>
    </row>
    <row r="15" spans="1:4" ht="125.15" customHeight="1"/>
  </sheetData>
  <sheetProtection algorithmName="SHA-512" hashValue="FgFi8m7I7TY3G+lYDAU46nb3DEBFpGsy+mkrnmHcp6BsjGl/Ls5ph1ycv815TA22eauTsishx41hAorqVRoSgQ==" saltValue="iGhqdCFzvOJZskloywtQrQ==" spinCount="100000" sheet="1" objects="1" scenarios="1"/>
  <mergeCells count="14">
    <mergeCell ref="B11:C11"/>
    <mergeCell ref="B12:C12"/>
    <mergeCell ref="B13:C13"/>
    <mergeCell ref="B14:C14"/>
    <mergeCell ref="B6:C6"/>
    <mergeCell ref="B7:C7"/>
    <mergeCell ref="B8:C8"/>
    <mergeCell ref="B9:C9"/>
    <mergeCell ref="B10:C10"/>
    <mergeCell ref="B1:C1"/>
    <mergeCell ref="B2:C2"/>
    <mergeCell ref="B3:C3"/>
    <mergeCell ref="B4:C4"/>
    <mergeCell ref="B5:C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64"/>
  <sheetViews>
    <sheetView view="pageBreakPreview" topLeftCell="A53" zoomScale="70" zoomScaleNormal="70" zoomScaleSheetLayoutView="70" workbookViewId="0">
      <selection sqref="A1:M5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8.81640625" bestFit="1" customWidth="1"/>
    <col min="10" max="11" width="12.6328125" bestFit="1" customWidth="1"/>
    <col min="12" max="12" width="14.08984375" customWidth="1"/>
    <col min="13" max="13" width="23.90625" customWidth="1"/>
  </cols>
  <sheetData>
    <row r="1" spans="1:13">
      <c r="A1" s="962"/>
      <c r="B1" s="1367"/>
      <c r="C1" s="1367"/>
      <c r="D1" s="1367"/>
      <c r="E1" s="1367"/>
      <c r="F1" s="1367"/>
      <c r="G1" s="1367"/>
      <c r="H1" s="1367"/>
      <c r="I1" s="1367"/>
      <c r="J1" s="1367"/>
      <c r="K1" s="1367"/>
      <c r="L1" s="1368"/>
      <c r="M1" s="375"/>
    </row>
    <row r="2" spans="1:13">
      <c r="A2" s="962"/>
      <c r="B2" s="1369"/>
      <c r="C2" s="1369"/>
      <c r="D2" s="1369"/>
      <c r="E2" s="1369"/>
      <c r="F2" s="1369"/>
      <c r="G2" s="1369"/>
      <c r="H2" s="1369"/>
      <c r="I2" s="1369"/>
      <c r="J2" s="1369"/>
      <c r="K2" s="1369"/>
      <c r="L2" s="1370"/>
      <c r="M2" s="375"/>
    </row>
    <row r="3" spans="1:13" ht="25.5">
      <c r="A3" s="1371"/>
      <c r="B3" s="1371"/>
      <c r="C3" s="364" t="s">
        <v>14</v>
      </c>
      <c r="D3" s="1372" t="s">
        <v>15</v>
      </c>
      <c r="E3" s="1372"/>
      <c r="F3" s="1372"/>
      <c r="G3" s="1372"/>
      <c r="H3" s="1372"/>
      <c r="I3" s="1372"/>
      <c r="J3" s="1372"/>
      <c r="K3" s="1372"/>
      <c r="L3" s="1373"/>
      <c r="M3" s="374">
        <f ca="1">NOW()-1</f>
        <v>45969.45282233796</v>
      </c>
    </row>
    <row r="4" spans="1:13">
      <c r="A4" s="365" t="s">
        <v>16</v>
      </c>
      <c r="B4" s="365"/>
      <c r="C4" s="366">
        <v>45632</v>
      </c>
      <c r="D4" s="1374" t="s">
        <v>17</v>
      </c>
      <c r="E4" s="1375"/>
      <c r="F4" s="1375"/>
      <c r="G4" s="1375"/>
      <c r="H4" s="1375"/>
      <c r="I4" s="1375"/>
      <c r="J4" s="1375"/>
      <c r="K4" s="1375"/>
      <c r="L4" s="1375"/>
      <c r="M4" s="1376"/>
    </row>
    <row r="5" spans="1:13">
      <c r="A5" s="365" t="s">
        <v>18</v>
      </c>
      <c r="B5" s="365"/>
      <c r="C5" s="366">
        <v>46178</v>
      </c>
      <c r="D5" s="1377"/>
      <c r="E5" s="1378"/>
      <c r="F5" s="1378"/>
      <c r="G5" s="1378"/>
      <c r="H5" s="1378"/>
      <c r="I5" s="1378"/>
      <c r="J5" s="1378"/>
      <c r="K5" s="1378"/>
      <c r="L5" s="1378"/>
      <c r="M5" s="1379"/>
    </row>
    <row r="6" spans="1:13" ht="19">
      <c r="A6" s="365" t="s">
        <v>19</v>
      </c>
      <c r="B6" s="365"/>
      <c r="C6" s="366"/>
      <c r="D6" s="367" t="s">
        <v>20</v>
      </c>
      <c r="E6" s="368"/>
      <c r="F6" s="368"/>
      <c r="G6" s="369"/>
      <c r="H6" s="369"/>
      <c r="I6" s="369"/>
      <c r="J6" s="369"/>
      <c r="K6" s="369"/>
      <c r="L6" s="369"/>
      <c r="M6" s="375"/>
    </row>
    <row r="7" spans="1:13" ht="19">
      <c r="A7" s="365" t="s">
        <v>21</v>
      </c>
      <c r="B7" s="365"/>
      <c r="C7" s="370"/>
      <c r="D7" s="400" t="s">
        <v>22</v>
      </c>
      <c r="E7" s="368"/>
      <c r="F7" s="368"/>
      <c r="G7" s="369"/>
      <c r="H7" s="369"/>
      <c r="I7" s="369"/>
      <c r="J7" s="369"/>
      <c r="K7" s="369"/>
      <c r="L7" s="369"/>
      <c r="M7" s="375"/>
    </row>
    <row r="8" spans="1:13" ht="19">
      <c r="A8" s="365" t="s">
        <v>23</v>
      </c>
      <c r="B8" s="365"/>
      <c r="C8" s="370"/>
      <c r="D8" s="367" t="s">
        <v>24</v>
      </c>
      <c r="E8" s="368"/>
      <c r="F8" s="368"/>
      <c r="G8" s="369"/>
      <c r="H8" s="369"/>
      <c r="I8" s="369"/>
      <c r="J8" s="369"/>
      <c r="K8" s="369"/>
      <c r="L8" s="369"/>
      <c r="M8" s="375"/>
    </row>
    <row r="9" spans="1:13" ht="15.5">
      <c r="A9" s="1380" t="s">
        <v>25</v>
      </c>
      <c r="B9" s="1380"/>
      <c r="C9" s="1380"/>
      <c r="D9" s="1380"/>
      <c r="E9" s="1380"/>
      <c r="F9" s="1380"/>
      <c r="G9" s="1380"/>
      <c r="H9" s="1380"/>
      <c r="I9" s="1380"/>
      <c r="J9" s="1380"/>
      <c r="K9" s="1380"/>
      <c r="L9" s="1380"/>
      <c r="M9" s="376">
        <f ca="1">M3</f>
        <v>45969.45282233796</v>
      </c>
    </row>
    <row r="10" spans="1:13" ht="78.5" customHeight="1">
      <c r="A10" s="371" t="s">
        <v>26</v>
      </c>
      <c r="B10" s="1" t="s">
        <v>27</v>
      </c>
      <c r="C10" s="1" t="s">
        <v>28</v>
      </c>
      <c r="D10" s="1" t="s">
        <v>29</v>
      </c>
      <c r="E10" s="1" t="s">
        <v>30</v>
      </c>
      <c r="F10" s="1" t="s">
        <v>1877</v>
      </c>
      <c r="G10" s="1" t="s">
        <v>1878</v>
      </c>
      <c r="H10" s="1" t="s">
        <v>278</v>
      </c>
      <c r="I10" s="372" t="s">
        <v>31</v>
      </c>
      <c r="J10" s="1" t="s">
        <v>32</v>
      </c>
      <c r="K10" s="377" t="s">
        <v>33</v>
      </c>
      <c r="L10" s="1" t="str">
        <f ca="1">"Gangs working "&amp;CHAR(10)&amp;TEXT(M3,"mmm-yy")</f>
        <v>Gangs working 
Nov-25</v>
      </c>
      <c r="M10" s="378" t="s">
        <v>34</v>
      </c>
    </row>
    <row r="11" spans="1:13" ht="123" customHeight="1">
      <c r="A11" s="963" t="s">
        <v>35</v>
      </c>
      <c r="B11" s="964" t="s">
        <v>36</v>
      </c>
      <c r="C11" s="965">
        <v>184</v>
      </c>
      <c r="D11" s="965">
        <v>188.44399999999999</v>
      </c>
      <c r="E11" s="965"/>
      <c r="F11" s="965"/>
      <c r="G11" s="965"/>
      <c r="H11" s="965"/>
      <c r="I11" s="965"/>
      <c r="J11" s="965">
        <v>188.44399999999999</v>
      </c>
      <c r="K11" s="965">
        <f>D11-J11</f>
        <v>0</v>
      </c>
      <c r="L11" s="965"/>
      <c r="M11" s="966" t="s">
        <v>37</v>
      </c>
    </row>
    <row r="12" spans="1:13" ht="69" customHeight="1">
      <c r="A12" s="967" t="s">
        <v>38</v>
      </c>
      <c r="B12" s="968" t="s">
        <v>39</v>
      </c>
      <c r="C12" s="969">
        <v>184</v>
      </c>
      <c r="D12" s="965">
        <v>188.44399999999999</v>
      </c>
      <c r="E12" s="969">
        <v>188.44399999999999</v>
      </c>
      <c r="F12" s="969"/>
      <c r="G12" s="969">
        <f>D12-E12</f>
        <v>0</v>
      </c>
      <c r="H12" s="969"/>
      <c r="I12" s="969"/>
      <c r="J12" s="969">
        <v>188.44399999999999</v>
      </c>
      <c r="K12" s="969">
        <f>D12-J12</f>
        <v>0</v>
      </c>
      <c r="L12" s="970"/>
      <c r="M12" s="966"/>
    </row>
    <row r="13" spans="1:13" ht="20.5">
      <c r="A13" s="967" t="s">
        <v>40</v>
      </c>
      <c r="B13" s="968" t="s">
        <v>41</v>
      </c>
      <c r="C13" s="969">
        <v>184</v>
      </c>
      <c r="D13" s="965">
        <v>188.44399999999999</v>
      </c>
      <c r="E13" s="969">
        <v>174.786</v>
      </c>
      <c r="F13" s="969">
        <f>188.444-E13</f>
        <v>13.657999999999987</v>
      </c>
      <c r="G13" s="969"/>
      <c r="H13" s="969"/>
      <c r="I13" s="971"/>
      <c r="J13" s="969">
        <v>178.07499999999999</v>
      </c>
      <c r="K13" s="969">
        <f>D13-J13</f>
        <v>10.369</v>
      </c>
      <c r="L13" s="972">
        <v>1</v>
      </c>
      <c r="M13" s="998" t="s">
        <v>1664</v>
      </c>
    </row>
    <row r="14" spans="1:13" ht="41">
      <c r="A14" s="967" t="s">
        <v>42</v>
      </c>
      <c r="B14" s="968" t="s">
        <v>43</v>
      </c>
      <c r="C14" s="972">
        <v>73</v>
      </c>
      <c r="D14" s="972">
        <v>73</v>
      </c>
      <c r="E14" s="972">
        <v>73</v>
      </c>
      <c r="F14" s="972"/>
      <c r="G14" s="972"/>
      <c r="H14" s="972"/>
      <c r="I14" s="972"/>
      <c r="J14" s="972">
        <v>73</v>
      </c>
      <c r="K14" s="972">
        <v>0</v>
      </c>
      <c r="L14" s="972"/>
      <c r="M14" s="973"/>
    </row>
    <row r="15" spans="1:13" ht="107" customHeight="1">
      <c r="A15" s="974" t="s">
        <v>1760</v>
      </c>
      <c r="B15" s="975" t="s">
        <v>45</v>
      </c>
      <c r="C15" s="976">
        <v>508</v>
      </c>
      <c r="D15" s="976">
        <v>512</v>
      </c>
      <c r="E15" s="976">
        <v>215</v>
      </c>
      <c r="F15" s="976">
        <v>51</v>
      </c>
      <c r="G15" s="977">
        <v>4</v>
      </c>
      <c r="H15" s="977">
        <v>6</v>
      </c>
      <c r="I15" s="977">
        <v>2</v>
      </c>
      <c r="J15" s="976">
        <f>E15+G15</f>
        <v>219</v>
      </c>
      <c r="K15" s="976">
        <f t="shared" ref="K15:K23" si="0">D15-J15</f>
        <v>293</v>
      </c>
      <c r="L15" s="977">
        <v>6</v>
      </c>
      <c r="M15" s="1057" t="s">
        <v>1765</v>
      </c>
    </row>
    <row r="16" spans="1:13" ht="20.5">
      <c r="A16" s="967" t="s">
        <v>44</v>
      </c>
      <c r="B16" s="968" t="s">
        <v>47</v>
      </c>
      <c r="C16" s="972">
        <v>508</v>
      </c>
      <c r="D16" s="972">
        <v>512</v>
      </c>
      <c r="E16" s="972">
        <v>191</v>
      </c>
      <c r="F16" s="972">
        <v>208</v>
      </c>
      <c r="G16" s="972">
        <v>0</v>
      </c>
      <c r="H16" s="972"/>
      <c r="I16" s="972"/>
      <c r="J16" s="972">
        <f>E16+G16</f>
        <v>191</v>
      </c>
      <c r="K16" s="978">
        <f t="shared" si="0"/>
        <v>321</v>
      </c>
      <c r="L16" s="972"/>
      <c r="M16" s="972"/>
    </row>
    <row r="17" spans="1:13" ht="20.5">
      <c r="A17" s="974" t="s">
        <v>46</v>
      </c>
      <c r="B17" s="975" t="s">
        <v>48</v>
      </c>
      <c r="C17" s="976">
        <v>508</v>
      </c>
      <c r="D17" s="976">
        <v>512</v>
      </c>
      <c r="E17" s="976">
        <v>104</v>
      </c>
      <c r="F17" s="976">
        <v>46</v>
      </c>
      <c r="G17" s="976">
        <v>10</v>
      </c>
      <c r="H17" s="976">
        <v>7</v>
      </c>
      <c r="I17" s="976">
        <v>1</v>
      </c>
      <c r="J17" s="976">
        <f>E17+G17</f>
        <v>114</v>
      </c>
      <c r="K17" s="976">
        <f t="shared" si="0"/>
        <v>398</v>
      </c>
      <c r="L17" s="976">
        <v>6</v>
      </c>
      <c r="M17" s="1057"/>
    </row>
    <row r="18" spans="1:13" ht="20.5">
      <c r="A18" s="967" t="s">
        <v>1761</v>
      </c>
      <c r="B18" s="968" t="s">
        <v>49</v>
      </c>
      <c r="C18" s="972">
        <v>508</v>
      </c>
      <c r="D18" s="972">
        <v>512</v>
      </c>
      <c r="E18" s="972"/>
      <c r="F18" s="972"/>
      <c r="G18" s="972"/>
      <c r="H18" s="972"/>
      <c r="I18" s="972"/>
      <c r="J18" s="972">
        <f>E18+G18</f>
        <v>0</v>
      </c>
      <c r="K18" s="978">
        <f t="shared" si="0"/>
        <v>512</v>
      </c>
      <c r="L18" s="972"/>
      <c r="M18" s="972"/>
    </row>
    <row r="19" spans="1:13" ht="20.5">
      <c r="A19" s="967" t="s">
        <v>1762</v>
      </c>
      <c r="B19" s="968" t="s">
        <v>50</v>
      </c>
      <c r="C19" s="972"/>
      <c r="D19" s="972"/>
      <c r="E19" s="972"/>
      <c r="F19" s="972"/>
      <c r="G19" s="972"/>
      <c r="H19" s="972"/>
      <c r="I19" s="979"/>
      <c r="J19" s="972"/>
      <c r="K19" s="978">
        <f t="shared" si="0"/>
        <v>0</v>
      </c>
      <c r="L19" s="972"/>
      <c r="M19" s="972"/>
    </row>
    <row r="20" spans="1:13" ht="20.5">
      <c r="A20" s="974" t="s">
        <v>51</v>
      </c>
      <c r="B20" s="975" t="s">
        <v>52</v>
      </c>
      <c r="C20" s="980">
        <v>184</v>
      </c>
      <c r="D20" s="965">
        <v>188.44399999999999</v>
      </c>
      <c r="E20" s="980">
        <v>0</v>
      </c>
      <c r="F20" s="980"/>
      <c r="G20" s="980"/>
      <c r="H20" s="980"/>
      <c r="I20" s="980"/>
      <c r="J20" s="980">
        <f>E20+G20</f>
        <v>0</v>
      </c>
      <c r="K20" s="980">
        <f t="shared" si="0"/>
        <v>188.44399999999999</v>
      </c>
      <c r="L20" s="980"/>
      <c r="M20" s="981"/>
    </row>
    <row r="21" spans="1:13" ht="20.5">
      <c r="A21" s="974" t="s">
        <v>38</v>
      </c>
      <c r="B21" s="975" t="s">
        <v>53</v>
      </c>
      <c r="C21" s="980">
        <v>184</v>
      </c>
      <c r="D21" s="965">
        <v>188.44399999999999</v>
      </c>
      <c r="E21" s="980">
        <v>0</v>
      </c>
      <c r="F21" s="980"/>
      <c r="G21" s="980"/>
      <c r="H21" s="980"/>
      <c r="I21" s="980"/>
      <c r="J21" s="980">
        <f>E21+G21</f>
        <v>0</v>
      </c>
      <c r="K21" s="980">
        <f t="shared" si="0"/>
        <v>188.44399999999999</v>
      </c>
      <c r="L21" s="980"/>
      <c r="M21" s="981"/>
    </row>
    <row r="22" spans="1:13" ht="41">
      <c r="A22" s="967" t="s">
        <v>54</v>
      </c>
      <c r="B22" s="968" t="s">
        <v>55</v>
      </c>
      <c r="C22" s="969">
        <v>184</v>
      </c>
      <c r="D22" s="965">
        <v>188.44399999999999</v>
      </c>
      <c r="E22" s="969">
        <v>0</v>
      </c>
      <c r="F22" s="969"/>
      <c r="G22" s="969"/>
      <c r="H22" s="969"/>
      <c r="I22" s="969"/>
      <c r="J22" s="969">
        <f>E22+G22</f>
        <v>0</v>
      </c>
      <c r="K22" s="982">
        <f t="shared" si="0"/>
        <v>188.44399999999999</v>
      </c>
      <c r="L22" s="969"/>
      <c r="M22" s="969"/>
    </row>
    <row r="23" spans="1:13" ht="20.5">
      <c r="A23" s="983"/>
      <c r="B23" s="983"/>
      <c r="C23" s="983"/>
      <c r="D23" s="983"/>
      <c r="E23" s="983"/>
      <c r="F23" s="983"/>
      <c r="G23" s="983"/>
      <c r="H23" s="983"/>
      <c r="I23" s="983"/>
      <c r="J23" s="983"/>
      <c r="K23" s="984">
        <f t="shared" si="0"/>
        <v>0</v>
      </c>
      <c r="L23" s="983"/>
      <c r="M23" s="983"/>
    </row>
    <row r="24" spans="1:13" ht="20.5">
      <c r="A24" s="985" t="s">
        <v>26</v>
      </c>
      <c r="B24" s="985" t="s">
        <v>56</v>
      </c>
      <c r="C24" s="985" t="s">
        <v>57</v>
      </c>
      <c r="D24" s="1381" t="s">
        <v>58</v>
      </c>
      <c r="E24" s="1383"/>
      <c r="F24" s="985"/>
      <c r="G24" s="1381" t="s">
        <v>59</v>
      </c>
      <c r="H24" s="1382"/>
      <c r="I24" s="1383"/>
      <c r="J24" s="1381" t="s">
        <v>34</v>
      </c>
      <c r="K24" s="1382"/>
      <c r="L24" s="1382"/>
      <c r="M24" s="1383"/>
    </row>
    <row r="25" spans="1:13" ht="41">
      <c r="A25" s="986" t="s">
        <v>60</v>
      </c>
      <c r="B25" s="987" t="s">
        <v>61</v>
      </c>
      <c r="C25" s="987"/>
      <c r="D25" s="1384"/>
      <c r="E25" s="1384"/>
      <c r="F25" s="988"/>
      <c r="G25" s="1385"/>
      <c r="H25" s="1386"/>
      <c r="I25" s="1387"/>
      <c r="J25" s="990"/>
      <c r="K25" s="990"/>
      <c r="L25" s="990"/>
      <c r="M25" s="991"/>
    </row>
    <row r="26" spans="1:13" ht="32" customHeight="1">
      <c r="A26" s="1073">
        <v>1</v>
      </c>
      <c r="B26" s="1073" t="s">
        <v>1755</v>
      </c>
      <c r="C26" s="1073" t="s">
        <v>1581</v>
      </c>
      <c r="D26" s="1073" t="s">
        <v>1559</v>
      </c>
      <c r="E26" s="1073" t="s">
        <v>1558</v>
      </c>
      <c r="F26" s="1073" t="s">
        <v>1769</v>
      </c>
      <c r="G26" s="1074" t="s">
        <v>1794</v>
      </c>
      <c r="H26" s="1073"/>
      <c r="I26" s="1073"/>
      <c r="J26" s="1364"/>
      <c r="K26" s="1365"/>
      <c r="L26" s="1365"/>
      <c r="M26" s="1366"/>
    </row>
    <row r="27" spans="1:13" ht="32" customHeight="1">
      <c r="A27" s="1073">
        <v>2</v>
      </c>
      <c r="B27" s="1073" t="s">
        <v>1756</v>
      </c>
      <c r="C27" s="1073" t="s">
        <v>1582</v>
      </c>
      <c r="D27" s="1073" t="s">
        <v>1337</v>
      </c>
      <c r="E27" s="1073" t="s">
        <v>1558</v>
      </c>
      <c r="F27" s="1073" t="s">
        <v>1769</v>
      </c>
      <c r="G27" s="1074" t="s">
        <v>1794</v>
      </c>
      <c r="H27" s="1073"/>
      <c r="I27" s="1073"/>
      <c r="J27" s="1364"/>
      <c r="K27" s="1365"/>
      <c r="L27" s="1365"/>
      <c r="M27" s="1366"/>
    </row>
    <row r="28" spans="1:13" ht="32" customHeight="1">
      <c r="A28" s="1073">
        <v>3</v>
      </c>
      <c r="B28" s="1073" t="s">
        <v>1757</v>
      </c>
      <c r="C28" s="1073" t="s">
        <v>1583</v>
      </c>
      <c r="D28" s="1073" t="s">
        <v>1337</v>
      </c>
      <c r="E28" s="1073" t="s">
        <v>1558</v>
      </c>
      <c r="F28" s="1073" t="s">
        <v>1769</v>
      </c>
      <c r="G28" s="1074" t="s">
        <v>1794</v>
      </c>
      <c r="H28" s="1073"/>
      <c r="I28" s="1073"/>
      <c r="J28" s="1364"/>
      <c r="K28" s="1365"/>
      <c r="L28" s="1365"/>
      <c r="M28" s="1366"/>
    </row>
    <row r="29" spans="1:13" ht="44.5" customHeight="1">
      <c r="A29" s="1073">
        <v>4</v>
      </c>
      <c r="B29" s="1073" t="s">
        <v>1560</v>
      </c>
      <c r="C29" s="1073" t="s">
        <v>1584</v>
      </c>
      <c r="D29" s="1073" t="s">
        <v>1337</v>
      </c>
      <c r="E29" s="1073" t="s">
        <v>1594</v>
      </c>
      <c r="F29" s="1073" t="s">
        <v>1768</v>
      </c>
      <c r="G29" s="1388" t="s">
        <v>1766</v>
      </c>
      <c r="H29" s="1389"/>
      <c r="I29" s="1390"/>
      <c r="J29" s="1364"/>
      <c r="K29" s="1365"/>
      <c r="L29" s="1365"/>
      <c r="M29" s="1366"/>
    </row>
    <row r="30" spans="1:13" ht="43.5" customHeight="1">
      <c r="A30" s="1073">
        <v>5</v>
      </c>
      <c r="B30" s="1073" t="s">
        <v>1561</v>
      </c>
      <c r="C30" s="1073" t="s">
        <v>1585</v>
      </c>
      <c r="D30" s="1073" t="s">
        <v>1337</v>
      </c>
      <c r="E30" s="1073"/>
      <c r="F30" s="1073" t="s">
        <v>1592</v>
      </c>
      <c r="G30" s="1391" t="s">
        <v>1771</v>
      </c>
      <c r="H30" s="1392"/>
      <c r="I30" s="1392"/>
      <c r="J30" s="1392"/>
      <c r="K30" s="1392"/>
      <c r="L30" s="1392"/>
      <c r="M30" s="1393"/>
    </row>
    <row r="31" spans="1:13" ht="43.5" customHeight="1">
      <c r="A31" s="1073">
        <v>6</v>
      </c>
      <c r="B31" s="1073" t="s">
        <v>1562</v>
      </c>
      <c r="C31" s="1073" t="s">
        <v>1586</v>
      </c>
      <c r="D31" s="1073" t="s">
        <v>1337</v>
      </c>
      <c r="E31" s="1073"/>
      <c r="F31" s="1073" t="s">
        <v>1592</v>
      </c>
      <c r="G31" s="1394"/>
      <c r="H31" s="1395"/>
      <c r="I31" s="1395"/>
      <c r="J31" s="1395"/>
      <c r="K31" s="1395"/>
      <c r="L31" s="1395"/>
      <c r="M31" s="1396"/>
    </row>
    <row r="32" spans="1:13" ht="31" customHeight="1">
      <c r="A32" s="1073">
        <v>7</v>
      </c>
      <c r="B32" s="1073" t="s">
        <v>1563</v>
      </c>
      <c r="C32" s="1073" t="s">
        <v>1587</v>
      </c>
      <c r="D32" s="1073" t="s">
        <v>1337</v>
      </c>
      <c r="E32" s="1073"/>
      <c r="F32" s="1073" t="s">
        <v>1592</v>
      </c>
      <c r="G32" s="1397"/>
      <c r="H32" s="1398"/>
      <c r="I32" s="1398"/>
      <c r="J32" s="1398"/>
      <c r="K32" s="1398"/>
      <c r="L32" s="1398"/>
      <c r="M32" s="1399"/>
    </row>
    <row r="33" spans="1:17" ht="62" customHeight="1">
      <c r="A33" s="1073">
        <v>8</v>
      </c>
      <c r="B33" s="1073" t="s">
        <v>1564</v>
      </c>
      <c r="C33" s="1073" t="s">
        <v>1588</v>
      </c>
      <c r="D33" s="1073" t="s">
        <v>1337</v>
      </c>
      <c r="E33" s="1073"/>
      <c r="F33" s="1073" t="s">
        <v>1592</v>
      </c>
      <c r="G33" s="1388" t="s">
        <v>1792</v>
      </c>
      <c r="H33" s="1389"/>
      <c r="I33" s="1389"/>
      <c r="J33" s="1389"/>
      <c r="K33" s="1389"/>
      <c r="L33" s="1389"/>
      <c r="M33" s="1390"/>
    </row>
    <row r="34" spans="1:17" ht="32.5" customHeight="1">
      <c r="A34" s="1073">
        <v>9</v>
      </c>
      <c r="B34" s="1073" t="s">
        <v>1565</v>
      </c>
      <c r="C34" s="1073" t="s">
        <v>1589</v>
      </c>
      <c r="D34" s="1073" t="s">
        <v>1337</v>
      </c>
      <c r="E34" s="1073"/>
      <c r="F34" s="1073" t="s">
        <v>1592</v>
      </c>
      <c r="G34" s="1364"/>
      <c r="H34" s="1365"/>
      <c r="I34" s="1365"/>
      <c r="J34" s="1365"/>
      <c r="K34" s="1365"/>
      <c r="L34" s="1365"/>
      <c r="M34" s="1366"/>
    </row>
    <row r="35" spans="1:17" ht="62" customHeight="1">
      <c r="A35" s="1073">
        <v>10</v>
      </c>
      <c r="B35" s="1073" t="s">
        <v>1566</v>
      </c>
      <c r="C35" s="1073" t="s">
        <v>1590</v>
      </c>
      <c r="D35" s="1073" t="s">
        <v>1567</v>
      </c>
      <c r="E35" s="1073"/>
      <c r="F35" s="1073" t="s">
        <v>1592</v>
      </c>
      <c r="G35" s="1364"/>
      <c r="H35" s="1365"/>
      <c r="I35" s="1365"/>
      <c r="J35" s="1365"/>
      <c r="K35" s="1365"/>
      <c r="L35" s="1365"/>
      <c r="M35" s="1366"/>
    </row>
    <row r="36" spans="1:17" ht="49" customHeight="1">
      <c r="A36" s="1073">
        <v>11</v>
      </c>
      <c r="B36" s="1073" t="s">
        <v>1568</v>
      </c>
      <c r="C36" s="1073" t="s">
        <v>1591</v>
      </c>
      <c r="D36" s="1073" t="s">
        <v>1567</v>
      </c>
      <c r="E36" s="1073" t="s">
        <v>1594</v>
      </c>
      <c r="F36" s="1073" t="s">
        <v>1767</v>
      </c>
      <c r="G36" s="1364" t="s">
        <v>1772</v>
      </c>
      <c r="H36" s="1365"/>
      <c r="I36" s="1365"/>
      <c r="J36" s="1365"/>
      <c r="K36" s="1365"/>
      <c r="L36" s="1365"/>
      <c r="M36" s="1366"/>
    </row>
    <row r="37" spans="1:17" ht="15.5">
      <c r="A37" s="1073" t="s">
        <v>63</v>
      </c>
      <c r="B37" s="1073" t="s">
        <v>64</v>
      </c>
      <c r="C37" s="1073"/>
      <c r="D37" s="1073"/>
      <c r="E37" s="1073"/>
      <c r="F37" s="1073"/>
      <c r="G37" s="1364"/>
      <c r="H37" s="1365"/>
      <c r="I37" s="1365"/>
      <c r="J37" s="1365"/>
      <c r="K37" s="1365"/>
      <c r="L37" s="1365"/>
      <c r="M37" s="1366"/>
    </row>
    <row r="38" spans="1:17" ht="15.5">
      <c r="A38" s="1073">
        <v>1</v>
      </c>
      <c r="B38" s="1073" t="s">
        <v>65</v>
      </c>
      <c r="C38" s="1073" t="s">
        <v>66</v>
      </c>
      <c r="D38" s="1073" t="s">
        <v>64</v>
      </c>
      <c r="E38" s="1073"/>
      <c r="F38" s="1073"/>
      <c r="G38" s="1364"/>
      <c r="H38" s="1365"/>
      <c r="I38" s="1365"/>
      <c r="J38" s="1365"/>
      <c r="K38" s="1365"/>
      <c r="L38" s="1365"/>
      <c r="M38" s="1366"/>
    </row>
    <row r="39" spans="1:17" ht="15.5">
      <c r="A39" s="1073">
        <v>2</v>
      </c>
      <c r="B39" s="1073" t="s">
        <v>67</v>
      </c>
      <c r="C39" s="1073" t="s">
        <v>68</v>
      </c>
      <c r="D39" s="1073" t="s">
        <v>64</v>
      </c>
      <c r="E39" s="1073"/>
      <c r="F39" s="1073"/>
      <c r="G39" s="1364"/>
      <c r="H39" s="1365"/>
      <c r="I39" s="1365"/>
      <c r="J39" s="1365"/>
      <c r="K39" s="1365"/>
      <c r="L39" s="1365"/>
      <c r="M39" s="1366"/>
    </row>
    <row r="40" spans="1:17" ht="15.5">
      <c r="A40" s="1073">
        <v>3</v>
      </c>
      <c r="B40" s="1073" t="s">
        <v>69</v>
      </c>
      <c r="C40" s="1073" t="s">
        <v>70</v>
      </c>
      <c r="D40" s="1073" t="s">
        <v>64</v>
      </c>
      <c r="E40" s="1073"/>
      <c r="F40" s="1073"/>
      <c r="G40" s="1364"/>
      <c r="H40" s="1365"/>
      <c r="I40" s="1365"/>
      <c r="J40" s="1365"/>
      <c r="K40" s="1365"/>
      <c r="L40" s="1365"/>
      <c r="M40" s="1366"/>
    </row>
    <row r="41" spans="1:17" ht="62.5" customHeight="1">
      <c r="A41" s="1073" t="s">
        <v>71</v>
      </c>
      <c r="B41" s="1073" t="s">
        <v>72</v>
      </c>
      <c r="C41" s="1073"/>
      <c r="D41" s="1073"/>
      <c r="E41" s="1073"/>
      <c r="F41" s="1073"/>
      <c r="G41" s="1364"/>
      <c r="H41" s="1365"/>
      <c r="I41" s="1365"/>
      <c r="J41" s="1365"/>
      <c r="K41" s="1365"/>
      <c r="L41" s="1365"/>
      <c r="M41" s="1366"/>
    </row>
    <row r="42" spans="1:17" ht="62" customHeight="1">
      <c r="A42" s="1073">
        <v>1</v>
      </c>
      <c r="B42" s="1073" t="s">
        <v>73</v>
      </c>
      <c r="C42" s="1073" t="s">
        <v>74</v>
      </c>
      <c r="D42" s="1073" t="s">
        <v>1344</v>
      </c>
      <c r="E42" s="1073"/>
      <c r="F42" s="1073"/>
      <c r="G42" s="1364" t="s">
        <v>1773</v>
      </c>
      <c r="H42" s="1365"/>
      <c r="I42" s="1365"/>
      <c r="J42" s="1365"/>
      <c r="K42" s="1365"/>
      <c r="L42" s="1365"/>
      <c r="M42" s="1366"/>
    </row>
    <row r="43" spans="1:17" ht="31">
      <c r="A43" s="1073">
        <f>A42+1</f>
        <v>2</v>
      </c>
      <c r="B43" s="1073" t="s">
        <v>75</v>
      </c>
      <c r="C43" s="1073" t="s">
        <v>74</v>
      </c>
      <c r="D43" s="1073" t="s">
        <v>1593</v>
      </c>
      <c r="E43" s="1073"/>
      <c r="F43" s="1073"/>
      <c r="G43" s="1364"/>
      <c r="H43" s="1365"/>
      <c r="I43" s="1365"/>
      <c r="J43" s="1365"/>
      <c r="K43" s="1365"/>
      <c r="L43" s="1365"/>
      <c r="M43" s="1366"/>
    </row>
    <row r="44" spans="1:17" ht="23.5" customHeight="1">
      <c r="A44" s="1073" t="s">
        <v>44</v>
      </c>
      <c r="B44" s="1073" t="s">
        <v>76</v>
      </c>
      <c r="C44" s="1073"/>
      <c r="D44" s="1073"/>
      <c r="E44" s="1073"/>
      <c r="F44" s="1073"/>
      <c r="G44" s="1364"/>
      <c r="H44" s="1365"/>
      <c r="I44" s="1365"/>
      <c r="J44" s="1365"/>
      <c r="K44" s="1365"/>
      <c r="L44" s="1365"/>
      <c r="M44" s="1366"/>
    </row>
    <row r="45" spans="1:17" ht="64" customHeight="1">
      <c r="A45" s="1073">
        <v>1</v>
      </c>
      <c r="B45" s="1073" t="s">
        <v>1774</v>
      </c>
      <c r="C45" s="1073" t="s">
        <v>1775</v>
      </c>
      <c r="D45" s="1073" t="s">
        <v>1776</v>
      </c>
      <c r="E45" s="1073"/>
      <c r="F45" s="1073" t="s">
        <v>1777</v>
      </c>
      <c r="G45" s="1364"/>
      <c r="H45" s="1365"/>
      <c r="I45" s="1365"/>
      <c r="J45" s="1365"/>
      <c r="K45" s="1365"/>
      <c r="L45" s="1365"/>
      <c r="M45" s="1366"/>
    </row>
    <row r="46" spans="1:17" ht="44" customHeight="1">
      <c r="A46" s="1073">
        <v>2</v>
      </c>
      <c r="B46" s="1073" t="s">
        <v>1778</v>
      </c>
      <c r="C46" s="1073" t="s">
        <v>1779</v>
      </c>
      <c r="D46" s="1073" t="s">
        <v>1776</v>
      </c>
      <c r="E46" s="1073"/>
      <c r="F46" s="1073"/>
      <c r="G46" s="1364"/>
      <c r="H46" s="1365"/>
      <c r="I46" s="1365"/>
      <c r="J46" s="1365"/>
      <c r="K46" s="1365"/>
      <c r="L46" s="1365"/>
      <c r="M46" s="1366"/>
      <c r="N46" s="1400"/>
      <c r="O46" s="1400"/>
      <c r="P46" s="1400"/>
      <c r="Q46" s="1400"/>
    </row>
    <row r="47" spans="1:17" ht="31">
      <c r="A47" s="1073">
        <v>3</v>
      </c>
      <c r="B47" s="1073" t="s">
        <v>1780</v>
      </c>
      <c r="C47" s="1073" t="s">
        <v>1781</v>
      </c>
      <c r="D47" s="1073" t="s">
        <v>1776</v>
      </c>
      <c r="E47" s="1073" t="s">
        <v>1793</v>
      </c>
      <c r="F47" s="1073"/>
      <c r="G47" s="1364"/>
      <c r="H47" s="1365"/>
      <c r="I47" s="1365"/>
      <c r="J47" s="1365"/>
      <c r="K47" s="1365"/>
      <c r="L47" s="1365"/>
      <c r="M47" s="1366"/>
    </row>
    <row r="48" spans="1:17" ht="15.5">
      <c r="A48" s="1073">
        <v>4</v>
      </c>
      <c r="B48" s="1073" t="s">
        <v>1782</v>
      </c>
      <c r="C48" s="1073" t="s">
        <v>1783</v>
      </c>
      <c r="D48" s="1073" t="s">
        <v>1776</v>
      </c>
      <c r="E48" s="1073"/>
      <c r="F48" s="1073"/>
      <c r="G48" s="1364"/>
      <c r="H48" s="1365"/>
      <c r="I48" s="1365"/>
      <c r="J48" s="1365"/>
      <c r="K48" s="1365"/>
      <c r="L48" s="1365"/>
      <c r="M48" s="1366"/>
    </row>
    <row r="49" spans="1:13" ht="31">
      <c r="A49" s="1073">
        <v>5</v>
      </c>
      <c r="B49" s="1073" t="s">
        <v>1784</v>
      </c>
      <c r="C49" s="1073" t="s">
        <v>1785</v>
      </c>
      <c r="D49" s="1073" t="s">
        <v>1776</v>
      </c>
      <c r="E49" s="1073"/>
      <c r="F49" s="1073"/>
      <c r="G49" s="1364"/>
      <c r="H49" s="1365"/>
      <c r="I49" s="1365"/>
      <c r="J49" s="1365"/>
      <c r="K49" s="1365"/>
      <c r="L49" s="1365"/>
      <c r="M49" s="1366"/>
    </row>
    <row r="50" spans="1:13" ht="46.5">
      <c r="A50" s="1073">
        <v>6</v>
      </c>
      <c r="B50" s="1073" t="s">
        <v>1345</v>
      </c>
      <c r="C50" s="1073" t="s">
        <v>1786</v>
      </c>
      <c r="D50" s="1073"/>
      <c r="E50" s="1073"/>
      <c r="F50" s="1073" t="s">
        <v>1787</v>
      </c>
      <c r="G50" s="1364"/>
      <c r="H50" s="1365"/>
      <c r="I50" s="1365"/>
      <c r="J50" s="1365"/>
      <c r="K50" s="1365"/>
      <c r="L50" s="1365"/>
      <c r="M50" s="1366"/>
    </row>
    <row r="51" spans="1:13" ht="15.5">
      <c r="A51" s="1073" t="s">
        <v>46</v>
      </c>
      <c r="B51" s="1073" t="s">
        <v>1315</v>
      </c>
      <c r="C51" s="1073"/>
      <c r="D51" s="1073"/>
      <c r="E51" s="1073"/>
      <c r="F51" s="1073"/>
      <c r="G51" s="1364"/>
      <c r="H51" s="1365"/>
      <c r="I51" s="1365"/>
      <c r="J51" s="1365"/>
      <c r="K51" s="1365"/>
      <c r="L51" s="1365"/>
      <c r="M51" s="1366"/>
    </row>
    <row r="52" spans="1:13" ht="74" customHeight="1">
      <c r="A52" s="1073">
        <v>1</v>
      </c>
      <c r="B52" s="1073" t="s">
        <v>1316</v>
      </c>
      <c r="C52" s="1073"/>
      <c r="D52" s="1073" t="s">
        <v>1346</v>
      </c>
      <c r="E52" s="1073"/>
      <c r="F52" s="1073"/>
      <c r="G52" s="1364" t="s">
        <v>1795</v>
      </c>
      <c r="H52" s="1365"/>
      <c r="I52" s="1365"/>
      <c r="J52" s="1365"/>
      <c r="K52" s="1365"/>
      <c r="L52" s="1365"/>
      <c r="M52" s="1366"/>
    </row>
    <row r="53" spans="1:13" ht="74" customHeight="1">
      <c r="A53" s="1073">
        <f>A52+1</f>
        <v>2</v>
      </c>
      <c r="B53" s="1073" t="s">
        <v>1317</v>
      </c>
      <c r="C53" s="1073"/>
      <c r="D53" s="1073" t="s">
        <v>1351</v>
      </c>
      <c r="E53" s="1073"/>
      <c r="F53" s="1073"/>
      <c r="G53" s="1401" t="s">
        <v>1788</v>
      </c>
      <c r="H53" s="1402"/>
      <c r="I53" s="1402"/>
      <c r="J53" s="1402"/>
      <c r="K53" s="1402"/>
      <c r="L53" s="1402"/>
      <c r="M53" s="1403"/>
    </row>
    <row r="54" spans="1:13" ht="74" customHeight="1">
      <c r="A54" s="1073">
        <f t="shared" ref="A54:A56" si="1">A53+1</f>
        <v>3</v>
      </c>
      <c r="B54" s="1073" t="s">
        <v>1318</v>
      </c>
      <c r="C54" s="1073"/>
      <c r="D54" s="1073" t="s">
        <v>1347</v>
      </c>
      <c r="E54" s="1073"/>
      <c r="F54" s="1073"/>
      <c r="G54" s="1401" t="s">
        <v>1789</v>
      </c>
      <c r="H54" s="1402"/>
      <c r="I54" s="1402"/>
      <c r="J54" s="1402"/>
      <c r="K54" s="1402"/>
      <c r="L54" s="1402"/>
      <c r="M54" s="1403"/>
    </row>
    <row r="55" spans="1:13" ht="105" customHeight="1">
      <c r="A55" s="1073">
        <f t="shared" si="1"/>
        <v>4</v>
      </c>
      <c r="B55" s="1073" t="s">
        <v>1314</v>
      </c>
      <c r="C55" s="1073"/>
      <c r="D55" s="1073" t="s">
        <v>1348</v>
      </c>
      <c r="E55" s="1073"/>
      <c r="F55" s="1073"/>
      <c r="G55" s="1401" t="s">
        <v>1790</v>
      </c>
      <c r="H55" s="1402"/>
      <c r="I55" s="1402"/>
      <c r="J55" s="1402"/>
      <c r="K55" s="1402"/>
      <c r="L55" s="1402"/>
      <c r="M55" s="1403"/>
    </row>
    <row r="56" spans="1:13" ht="84" customHeight="1">
      <c r="A56" s="1073">
        <f t="shared" si="1"/>
        <v>5</v>
      </c>
      <c r="B56" s="1073" t="s">
        <v>1319</v>
      </c>
      <c r="C56" s="1073"/>
      <c r="D56" s="1073" t="s">
        <v>1349</v>
      </c>
      <c r="E56" s="1073"/>
      <c r="F56" s="1073"/>
      <c r="G56" s="1401" t="s">
        <v>1788</v>
      </c>
      <c r="H56" s="1402"/>
      <c r="I56" s="1402"/>
      <c r="J56" s="1402"/>
      <c r="K56" s="1402"/>
      <c r="L56" s="1402"/>
      <c r="M56" s="1403"/>
    </row>
    <row r="57" spans="1:13" ht="101" customHeight="1">
      <c r="A57" s="1073">
        <v>6</v>
      </c>
      <c r="B57" s="1073" t="s">
        <v>1320</v>
      </c>
      <c r="C57" s="1073"/>
      <c r="D57" s="1073" t="s">
        <v>1665</v>
      </c>
      <c r="E57" s="1073"/>
      <c r="F57" s="1073"/>
      <c r="G57" s="1404" t="s">
        <v>1791</v>
      </c>
      <c r="H57" s="1405"/>
      <c r="I57" s="1405"/>
      <c r="J57" s="1405"/>
      <c r="K57" s="1405"/>
      <c r="L57" s="1405"/>
      <c r="M57" s="1406"/>
    </row>
    <row r="59" spans="1:13" ht="15.5" customHeight="1"/>
    <row r="60" spans="1:13" ht="15.5" customHeight="1"/>
    <row r="64" spans="1:13" ht="15.5" customHeight="1"/>
  </sheetData>
  <protectedRanges>
    <protectedRange sqref="L9:M12 L32:M34 C48:C49 A52:A56 B50:E50 I34:K34 A3:M8 B37:E47 M25 H30:K32 A37:A50 L14:L25 M13:M23 A9:K25 H26:M29 I35:M41 F37:G44 G45:G51" name="Range1_6"/>
    <protectedRange sqref="L13" name="Range1_10_3"/>
    <protectedRange sqref="B51" name="Range1_1_1_3"/>
    <protectedRange sqref="B52:B56" name="Range1_3_2_3"/>
    <protectedRange sqref="D57" name="Range1_4_3"/>
  </protectedRanges>
  <mergeCells count="42">
    <mergeCell ref="G53:M53"/>
    <mergeCell ref="G54:M54"/>
    <mergeCell ref="G55:M55"/>
    <mergeCell ref="G56:M56"/>
    <mergeCell ref="G57:M57"/>
    <mergeCell ref="N46:Q46"/>
    <mergeCell ref="G46:M46"/>
    <mergeCell ref="G47:M47"/>
    <mergeCell ref="G51:M51"/>
    <mergeCell ref="G52:M52"/>
    <mergeCell ref="G48:M48"/>
    <mergeCell ref="G49:M49"/>
    <mergeCell ref="G50:M50"/>
    <mergeCell ref="G24:I24"/>
    <mergeCell ref="D24:E24"/>
    <mergeCell ref="D25:E25"/>
    <mergeCell ref="G25:I25"/>
    <mergeCell ref="G37:M37"/>
    <mergeCell ref="J24:M24"/>
    <mergeCell ref="J26:M26"/>
    <mergeCell ref="J27:M27"/>
    <mergeCell ref="J28:M28"/>
    <mergeCell ref="J29:M29"/>
    <mergeCell ref="G33:M33"/>
    <mergeCell ref="G34:M34"/>
    <mergeCell ref="G30:M32"/>
    <mergeCell ref="G29:I29"/>
    <mergeCell ref="B1:L2"/>
    <mergeCell ref="A3:B3"/>
    <mergeCell ref="D3:L3"/>
    <mergeCell ref="D4:M5"/>
    <mergeCell ref="A9:L9"/>
    <mergeCell ref="G43:M43"/>
    <mergeCell ref="G44:M44"/>
    <mergeCell ref="G45:M45"/>
    <mergeCell ref="G35:M35"/>
    <mergeCell ref="G36:M36"/>
    <mergeCell ref="G38:M38"/>
    <mergeCell ref="G41:M41"/>
    <mergeCell ref="G42:M42"/>
    <mergeCell ref="G39:M39"/>
    <mergeCell ref="G40:M40"/>
  </mergeCells>
  <pageMargins left="0.7" right="0.7" top="0.75" bottom="0.75" header="0.3" footer="0.3"/>
  <pageSetup scale="28" orientation="portrait" r:id="rId1"/>
  <colBreaks count="2" manualBreakCount="2">
    <brk id="13" max="56" man="1"/>
    <brk id="15" max="1048575"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3"/>
  <sheetViews>
    <sheetView topLeftCell="A40" zoomScale="80" zoomScaleNormal="80" workbookViewId="0">
      <selection activeCell="E8" sqref="E8"/>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1416" t="s">
        <v>78</v>
      </c>
      <c r="B1" s="1416"/>
      <c r="C1" s="1416"/>
      <c r="D1" s="1416"/>
      <c r="E1" s="1416"/>
      <c r="F1" s="1416"/>
      <c r="G1" s="1416"/>
    </row>
    <row r="2" spans="1:7" ht="15.5">
      <c r="A2" s="1417" t="s">
        <v>79</v>
      </c>
      <c r="B2" s="1417"/>
      <c r="C2" s="1417"/>
      <c r="D2" s="1417"/>
      <c r="E2" s="1417"/>
      <c r="F2" s="1417"/>
      <c r="G2" s="1417"/>
    </row>
    <row r="3" spans="1:7" ht="15.5">
      <c r="A3" s="1417" t="s">
        <v>80</v>
      </c>
      <c r="B3" s="1417"/>
      <c r="C3" s="1417"/>
      <c r="D3" s="1417"/>
      <c r="E3" s="1417"/>
      <c r="F3" s="1417"/>
      <c r="G3" s="1417"/>
    </row>
    <row r="4" spans="1:7" ht="18.5">
      <c r="A4" s="1418" t="s">
        <v>81</v>
      </c>
      <c r="B4" s="1418"/>
      <c r="C4" s="1418"/>
      <c r="D4" s="1418"/>
      <c r="E4" s="1418"/>
      <c r="F4" s="1418"/>
      <c r="G4" s="1418"/>
    </row>
    <row r="5" spans="1:7" ht="29">
      <c r="A5" s="352" t="s">
        <v>82</v>
      </c>
      <c r="B5" s="352" t="s">
        <v>83</v>
      </c>
      <c r="C5" s="352" t="s">
        <v>84</v>
      </c>
      <c r="D5" s="352" t="s">
        <v>85</v>
      </c>
      <c r="E5" s="352" t="s">
        <v>86</v>
      </c>
      <c r="F5" s="352" t="s">
        <v>34</v>
      </c>
      <c r="G5" s="76"/>
    </row>
    <row r="6" spans="1:7">
      <c r="A6" s="76">
        <v>1</v>
      </c>
      <c r="B6" s="76" t="s">
        <v>87</v>
      </c>
      <c r="C6" s="76">
        <v>2.653</v>
      </c>
      <c r="D6" s="1419">
        <v>45684</v>
      </c>
      <c r="E6" s="1419">
        <v>45691</v>
      </c>
      <c r="F6" s="76" t="s">
        <v>88</v>
      </c>
      <c r="G6" s="76"/>
    </row>
    <row r="7" spans="1:7">
      <c r="A7" s="76">
        <f>A6+1</f>
        <v>2</v>
      </c>
      <c r="B7" s="76" t="s">
        <v>89</v>
      </c>
      <c r="C7" s="76">
        <v>5.31</v>
      </c>
      <c r="D7" s="1420"/>
      <c r="E7" s="1420"/>
      <c r="F7" s="76" t="s">
        <v>88</v>
      </c>
      <c r="G7" s="76"/>
    </row>
    <row r="8" spans="1:7" ht="43.5">
      <c r="A8" s="76">
        <f t="shared" ref="A8:A32" si="0">A7+1</f>
        <v>3</v>
      </c>
      <c r="B8" s="76" t="s">
        <v>90</v>
      </c>
      <c r="C8" s="76">
        <v>19.672000000000001</v>
      </c>
      <c r="D8" s="510" t="s">
        <v>1125</v>
      </c>
      <c r="E8" s="862">
        <v>45713</v>
      </c>
      <c r="F8" s="76" t="s">
        <v>88</v>
      </c>
      <c r="G8" s="863" t="s">
        <v>91</v>
      </c>
    </row>
    <row r="9" spans="1:7">
      <c r="A9" s="76">
        <f t="shared" si="0"/>
        <v>4</v>
      </c>
      <c r="B9" s="76" t="s">
        <v>93</v>
      </c>
      <c r="C9" s="76">
        <v>20.273</v>
      </c>
      <c r="D9" s="512">
        <v>45657</v>
      </c>
      <c r="E9" s="862">
        <v>45691</v>
      </c>
      <c r="F9" s="76" t="s">
        <v>88</v>
      </c>
      <c r="G9" s="76"/>
    </row>
    <row r="10" spans="1:7" ht="29">
      <c r="A10" s="76">
        <f t="shared" si="0"/>
        <v>5</v>
      </c>
      <c r="B10" s="76" t="s">
        <v>94</v>
      </c>
      <c r="C10" s="76">
        <v>3.0840000000000001</v>
      </c>
      <c r="D10" s="510" t="s">
        <v>1124</v>
      </c>
      <c r="E10" s="862">
        <v>45712</v>
      </c>
      <c r="F10" s="76" t="s">
        <v>88</v>
      </c>
      <c r="G10" s="76"/>
    </row>
    <row r="11" spans="1:7">
      <c r="A11" s="76">
        <f t="shared" si="0"/>
        <v>6</v>
      </c>
      <c r="B11" s="76" t="s">
        <v>96</v>
      </c>
      <c r="C11" s="76">
        <v>1.0629999999999999</v>
      </c>
      <c r="D11" s="512">
        <v>45713</v>
      </c>
      <c r="E11" s="1419">
        <v>45715</v>
      </c>
      <c r="F11" s="76" t="s">
        <v>88</v>
      </c>
      <c r="G11" s="76"/>
    </row>
    <row r="12" spans="1:7">
      <c r="A12" s="76">
        <f>A11+1</f>
        <v>7</v>
      </c>
      <c r="B12" s="76" t="s">
        <v>97</v>
      </c>
      <c r="C12" s="76">
        <v>2.09</v>
      </c>
      <c r="D12" s="512">
        <v>45713</v>
      </c>
      <c r="E12" s="1419"/>
      <c r="F12" s="76" t="s">
        <v>88</v>
      </c>
      <c r="G12" s="76"/>
    </row>
    <row r="13" spans="1:7">
      <c r="A13" s="76">
        <f t="shared" si="0"/>
        <v>8</v>
      </c>
      <c r="B13" s="76" t="s">
        <v>98</v>
      </c>
      <c r="C13" s="76">
        <v>3.8929999999999998</v>
      </c>
      <c r="D13" s="512">
        <v>45713</v>
      </c>
      <c r="E13" s="1419"/>
      <c r="F13" s="76" t="s">
        <v>88</v>
      </c>
      <c r="G13" s="76"/>
    </row>
    <row r="14" spans="1:7">
      <c r="A14" s="76">
        <f t="shared" si="0"/>
        <v>9</v>
      </c>
      <c r="B14" s="76" t="s">
        <v>99</v>
      </c>
      <c r="C14" s="76">
        <v>6.9710000000000001</v>
      </c>
      <c r="D14" s="512">
        <v>45713</v>
      </c>
      <c r="E14" s="1419"/>
      <c r="F14" s="76" t="s">
        <v>88</v>
      </c>
      <c r="G14" s="76"/>
    </row>
    <row r="15" spans="1:7">
      <c r="A15" s="76">
        <f t="shared" si="0"/>
        <v>10</v>
      </c>
      <c r="B15" s="76" t="s">
        <v>100</v>
      </c>
      <c r="C15" s="76">
        <v>9.4949999999999992</v>
      </c>
      <c r="D15" s="512">
        <v>45721</v>
      </c>
      <c r="E15" s="862">
        <v>45722</v>
      </c>
      <c r="F15" s="76" t="s">
        <v>88</v>
      </c>
      <c r="G15" s="76"/>
    </row>
    <row r="16" spans="1:7" ht="43.5">
      <c r="A16" s="76">
        <f t="shared" si="0"/>
        <v>11</v>
      </c>
      <c r="B16" s="76" t="s">
        <v>101</v>
      </c>
      <c r="C16" s="76">
        <v>8.6969999999999992</v>
      </c>
      <c r="D16" s="510" t="s">
        <v>1126</v>
      </c>
      <c r="E16" s="76"/>
      <c r="F16" s="76" t="s">
        <v>95</v>
      </c>
      <c r="G16" s="846" t="s">
        <v>1159</v>
      </c>
    </row>
    <row r="17" spans="1:7">
      <c r="A17" s="76">
        <f t="shared" si="0"/>
        <v>12</v>
      </c>
      <c r="B17" s="76" t="s">
        <v>102</v>
      </c>
      <c r="C17" s="76">
        <v>3.0840000000000001</v>
      </c>
      <c r="D17" s="76"/>
      <c r="E17" s="76"/>
      <c r="F17" s="846" t="s">
        <v>95</v>
      </c>
      <c r="G17" s="76"/>
    </row>
    <row r="18" spans="1:7">
      <c r="A18" s="76">
        <f t="shared" si="0"/>
        <v>13</v>
      </c>
      <c r="B18" s="66" t="s">
        <v>104</v>
      </c>
      <c r="C18" s="76">
        <v>3.9630000000000001</v>
      </c>
      <c r="D18" s="76"/>
      <c r="E18" s="76"/>
      <c r="F18" s="846" t="s">
        <v>95</v>
      </c>
      <c r="G18" s="362"/>
    </row>
    <row r="19" spans="1:7">
      <c r="A19" s="76">
        <f t="shared" si="0"/>
        <v>14</v>
      </c>
      <c r="B19" s="847" t="s">
        <v>1115</v>
      </c>
      <c r="C19" s="76">
        <v>1.6559999999999999</v>
      </c>
      <c r="D19" s="76"/>
      <c r="E19" s="76"/>
      <c r="F19" s="846" t="s">
        <v>95</v>
      </c>
      <c r="G19" s="362"/>
    </row>
    <row r="20" spans="1:7">
      <c r="A20" s="76">
        <f t="shared" si="0"/>
        <v>15</v>
      </c>
      <c r="B20" s="847" t="s">
        <v>1116</v>
      </c>
      <c r="C20" s="76">
        <v>1.635</v>
      </c>
      <c r="D20" s="76"/>
      <c r="E20" s="76"/>
      <c r="F20" s="846" t="s">
        <v>95</v>
      </c>
      <c r="G20" s="76"/>
    </row>
    <row r="21" spans="1:7">
      <c r="A21" s="76">
        <f t="shared" si="0"/>
        <v>16</v>
      </c>
      <c r="B21" s="76" t="s">
        <v>1112</v>
      </c>
      <c r="C21" s="76">
        <v>2.2210000000000001</v>
      </c>
      <c r="D21" s="76"/>
      <c r="E21" s="76"/>
      <c r="F21" s="846" t="s">
        <v>95</v>
      </c>
      <c r="G21" s="76"/>
    </row>
    <row r="22" spans="1:7" ht="72.5">
      <c r="A22" s="76">
        <f t="shared" si="0"/>
        <v>17</v>
      </c>
      <c r="B22" s="76" t="s">
        <v>1111</v>
      </c>
      <c r="C22" s="76">
        <v>10.724</v>
      </c>
      <c r="D22" s="848" t="s">
        <v>1340</v>
      </c>
      <c r="E22" s="76"/>
      <c r="F22" s="76" t="s">
        <v>95</v>
      </c>
      <c r="G22" s="846" t="s">
        <v>1159</v>
      </c>
    </row>
    <row r="23" spans="1:7" ht="72.5">
      <c r="A23" s="76">
        <f t="shared" si="0"/>
        <v>18</v>
      </c>
      <c r="B23" s="846" t="s">
        <v>1109</v>
      </c>
      <c r="C23" s="76">
        <v>3.6659999999999999</v>
      </c>
      <c r="D23" s="848" t="s">
        <v>1341</v>
      </c>
      <c r="E23" s="76"/>
      <c r="F23" s="76" t="s">
        <v>95</v>
      </c>
      <c r="G23" s="846" t="s">
        <v>1159</v>
      </c>
    </row>
    <row r="24" spans="1:7">
      <c r="A24" s="76">
        <f t="shared" si="0"/>
        <v>19</v>
      </c>
      <c r="B24" s="846" t="s">
        <v>1350</v>
      </c>
      <c r="C24" s="530">
        <v>4.88</v>
      </c>
      <c r="D24" s="76"/>
      <c r="E24" s="76"/>
      <c r="F24" s="849" t="s">
        <v>95</v>
      </c>
      <c r="G24" s="76"/>
    </row>
    <row r="25" spans="1:7">
      <c r="A25" s="76">
        <f t="shared" si="0"/>
        <v>20</v>
      </c>
      <c r="B25" s="846" t="s">
        <v>1300</v>
      </c>
      <c r="C25" s="76">
        <v>2.4740000000000002</v>
      </c>
      <c r="D25" s="512">
        <v>45765</v>
      </c>
      <c r="E25" s="76"/>
      <c r="F25" s="76" t="s">
        <v>95</v>
      </c>
      <c r="G25" s="76"/>
    </row>
    <row r="26" spans="1:7">
      <c r="A26" s="76">
        <f t="shared" si="0"/>
        <v>21</v>
      </c>
      <c r="B26" s="846" t="s">
        <v>1131</v>
      </c>
      <c r="C26" s="76">
        <v>0.27500000000000002</v>
      </c>
      <c r="D26" s="512">
        <v>45752</v>
      </c>
      <c r="E26" s="76"/>
      <c r="F26" s="76" t="s">
        <v>95</v>
      </c>
      <c r="G26" s="76"/>
    </row>
    <row r="27" spans="1:7">
      <c r="A27" s="76">
        <f t="shared" si="0"/>
        <v>22</v>
      </c>
      <c r="B27" s="846" t="s">
        <v>1110</v>
      </c>
      <c r="C27" s="76">
        <v>2.008</v>
      </c>
      <c r="D27" s="512">
        <v>45752</v>
      </c>
      <c r="E27" s="76"/>
      <c r="F27" s="76" t="s">
        <v>95</v>
      </c>
      <c r="G27" s="76"/>
    </row>
    <row r="28" spans="1:7">
      <c r="A28" s="76">
        <f t="shared" si="0"/>
        <v>23</v>
      </c>
      <c r="B28" s="846" t="s">
        <v>1128</v>
      </c>
      <c r="C28" s="76">
        <v>0.223</v>
      </c>
      <c r="D28" s="512">
        <v>45752</v>
      </c>
      <c r="E28" s="76"/>
      <c r="F28" s="76" t="s">
        <v>95</v>
      </c>
      <c r="G28" s="76"/>
    </row>
    <row r="29" spans="1:7">
      <c r="A29" s="76">
        <f t="shared" si="0"/>
        <v>24</v>
      </c>
      <c r="B29" s="846" t="s">
        <v>1113</v>
      </c>
      <c r="C29" s="76">
        <v>2.7309999999999999</v>
      </c>
      <c r="D29" s="512">
        <v>45752</v>
      </c>
      <c r="E29" s="76"/>
      <c r="F29" s="76" t="s">
        <v>95</v>
      </c>
      <c r="G29" s="76"/>
    </row>
    <row r="30" spans="1:7">
      <c r="A30" s="76">
        <f t="shared" si="0"/>
        <v>25</v>
      </c>
      <c r="B30" s="846" t="s">
        <v>1130</v>
      </c>
      <c r="C30" s="76">
        <v>1.7170000000000001</v>
      </c>
      <c r="D30" s="512">
        <v>45752</v>
      </c>
      <c r="E30" s="76"/>
      <c r="F30" s="76" t="s">
        <v>95</v>
      </c>
      <c r="G30" s="76"/>
    </row>
    <row r="31" spans="1:7">
      <c r="A31" s="76">
        <f t="shared" si="0"/>
        <v>26</v>
      </c>
      <c r="B31" s="846" t="s">
        <v>1129</v>
      </c>
      <c r="C31" s="76">
        <v>1.0680000000000001</v>
      </c>
      <c r="D31" s="512">
        <v>45752</v>
      </c>
      <c r="E31" s="76"/>
      <c r="F31" s="76" t="s">
        <v>95</v>
      </c>
      <c r="G31" s="76"/>
    </row>
    <row r="32" spans="1:7">
      <c r="A32" s="76">
        <f t="shared" si="0"/>
        <v>27</v>
      </c>
      <c r="B32" s="846" t="s">
        <v>1127</v>
      </c>
      <c r="C32" s="76">
        <v>2.8730000000000002</v>
      </c>
      <c r="D32" s="512">
        <v>45752</v>
      </c>
      <c r="E32" s="76"/>
      <c r="F32" s="76" t="s">
        <v>95</v>
      </c>
      <c r="G32" s="76"/>
    </row>
    <row r="33" spans="1:8">
      <c r="A33" s="76"/>
      <c r="B33" s="846"/>
      <c r="C33" s="76"/>
      <c r="D33" s="512"/>
      <c r="E33" s="76"/>
      <c r="F33" s="76"/>
      <c r="G33" s="76"/>
    </row>
    <row r="34" spans="1:8">
      <c r="A34" s="76">
        <f>A32+1</f>
        <v>28</v>
      </c>
      <c r="B34" s="846" t="s">
        <v>1333</v>
      </c>
      <c r="C34" s="76">
        <v>19.57</v>
      </c>
      <c r="D34" s="846" t="s">
        <v>1339</v>
      </c>
      <c r="E34" s="76"/>
      <c r="F34" s="846" t="s">
        <v>1332</v>
      </c>
      <c r="G34" s="76"/>
    </row>
    <row r="35" spans="1:8">
      <c r="A35" s="76">
        <f>A34+1</f>
        <v>29</v>
      </c>
      <c r="B35" s="849" t="s">
        <v>1307</v>
      </c>
      <c r="C35" s="527">
        <v>2.6179999999999999</v>
      </c>
      <c r="D35" s="512">
        <v>45781</v>
      </c>
      <c r="E35" s="76"/>
      <c r="F35" s="66" t="s">
        <v>103</v>
      </c>
      <c r="G35" s="76"/>
    </row>
    <row r="36" spans="1:8">
      <c r="A36" s="76">
        <f>A35+1</f>
        <v>30</v>
      </c>
      <c r="B36" s="846" t="s">
        <v>1338</v>
      </c>
      <c r="C36" s="76">
        <v>18.193000000000001</v>
      </c>
      <c r="D36" s="512">
        <v>45805</v>
      </c>
      <c r="E36" s="76"/>
      <c r="F36" s="847" t="s">
        <v>103</v>
      </c>
      <c r="G36" s="76"/>
    </row>
    <row r="37" spans="1:8">
      <c r="A37" s="76"/>
      <c r="B37" s="846"/>
      <c r="C37" s="76"/>
      <c r="D37" s="512"/>
      <c r="E37" s="76"/>
      <c r="F37" s="847"/>
      <c r="G37" s="76"/>
    </row>
    <row r="38" spans="1:8">
      <c r="A38" s="76"/>
      <c r="B38" s="846"/>
      <c r="C38" s="76"/>
      <c r="D38" s="512"/>
      <c r="E38" s="76"/>
      <c r="F38" s="847"/>
      <c r="G38" s="76"/>
    </row>
    <row r="39" spans="1:8">
      <c r="A39" s="362"/>
      <c r="B39" s="362" t="s">
        <v>105</v>
      </c>
      <c r="C39" s="362">
        <f>SUM(C6:C36)</f>
        <v>168.78000000000003</v>
      </c>
      <c r="D39" s="362"/>
      <c r="E39" s="362"/>
      <c r="F39" s="362"/>
      <c r="G39" s="362"/>
    </row>
    <row r="40" spans="1:8">
      <c r="A40" s="362"/>
      <c r="B40" s="362"/>
      <c r="C40" s="362"/>
      <c r="D40" s="362"/>
      <c r="E40" s="362"/>
      <c r="F40" s="362"/>
      <c r="G40" s="362"/>
    </row>
    <row r="41" spans="1:8">
      <c r="A41" s="362"/>
      <c r="B41" s="362"/>
      <c r="C41" s="362"/>
      <c r="D41" s="362"/>
      <c r="E41" s="362"/>
      <c r="F41" s="362"/>
      <c r="G41" s="362"/>
    </row>
    <row r="42" spans="1:8">
      <c r="A42" s="362"/>
      <c r="B42" s="362"/>
      <c r="C42" s="362"/>
      <c r="D42" s="362"/>
      <c r="E42" s="362"/>
      <c r="F42" s="362"/>
      <c r="G42" s="362"/>
    </row>
    <row r="43" spans="1:8">
      <c r="A43" s="76"/>
      <c r="B43" s="362" t="s">
        <v>1301</v>
      </c>
      <c r="C43" s="76"/>
      <c r="D43" s="76"/>
      <c r="E43" s="76"/>
      <c r="F43" s="76"/>
      <c r="G43" s="76"/>
    </row>
    <row r="44" spans="1:8" ht="43.5">
      <c r="A44" s="353" t="s">
        <v>1132</v>
      </c>
      <c r="B44" s="353" t="s">
        <v>83</v>
      </c>
      <c r="C44" s="436" t="s">
        <v>1133</v>
      </c>
      <c r="D44" s="436" t="s">
        <v>1134</v>
      </c>
      <c r="E44" s="436" t="s">
        <v>1135</v>
      </c>
      <c r="F44" s="436" t="s">
        <v>1136</v>
      </c>
      <c r="G44" s="436" t="s">
        <v>1134</v>
      </c>
    </row>
    <row r="45" spans="1:8">
      <c r="A45" s="315">
        <v>1</v>
      </c>
      <c r="B45" s="315" t="s">
        <v>1138</v>
      </c>
      <c r="C45" s="437">
        <v>45657</v>
      </c>
      <c r="D45" s="438">
        <v>20.273</v>
      </c>
      <c r="E45" s="437" t="s">
        <v>1139</v>
      </c>
      <c r="F45" s="439">
        <v>45691</v>
      </c>
      <c r="G45" s="438">
        <v>20.273</v>
      </c>
      <c r="H45" s="895" t="s">
        <v>1649</v>
      </c>
    </row>
    <row r="46" spans="1:8">
      <c r="A46" s="315">
        <f>A45+1</f>
        <v>2</v>
      </c>
      <c r="B46" s="315" t="s">
        <v>1141</v>
      </c>
      <c r="C46" s="437">
        <v>45684</v>
      </c>
      <c r="D46" s="438">
        <v>7.9619999999999997</v>
      </c>
      <c r="E46" s="437" t="s">
        <v>1142</v>
      </c>
      <c r="F46" s="439">
        <v>45691</v>
      </c>
      <c r="G46" s="438">
        <v>7.9619999999999997</v>
      </c>
      <c r="H46" s="895" t="s">
        <v>1649</v>
      </c>
    </row>
    <row r="47" spans="1:8">
      <c r="A47" s="315">
        <f t="shared" ref="A47:A56" si="1">A46+1</f>
        <v>3</v>
      </c>
      <c r="B47" s="315" t="s">
        <v>1143</v>
      </c>
      <c r="C47" s="437">
        <v>45709</v>
      </c>
      <c r="D47" s="438">
        <v>3.0840000000000001</v>
      </c>
      <c r="E47" s="437" t="s">
        <v>1144</v>
      </c>
      <c r="F47" s="439">
        <v>45712</v>
      </c>
      <c r="G47" s="438">
        <v>3.0840000000000001</v>
      </c>
      <c r="H47" s="895" t="s">
        <v>1650</v>
      </c>
    </row>
    <row r="48" spans="1:8">
      <c r="A48" s="315">
        <f t="shared" si="1"/>
        <v>4</v>
      </c>
      <c r="B48" s="315" t="s">
        <v>1146</v>
      </c>
      <c r="C48" s="437">
        <v>45703</v>
      </c>
      <c r="D48" s="438">
        <v>19.672000000000001</v>
      </c>
      <c r="E48" s="437" t="s">
        <v>1147</v>
      </c>
      <c r="F48" s="439">
        <v>45713</v>
      </c>
      <c r="G48" s="438">
        <v>19.672000000000001</v>
      </c>
      <c r="H48" s="895" t="s">
        <v>1650</v>
      </c>
    </row>
    <row r="49" spans="1:8">
      <c r="A49" s="315">
        <f t="shared" si="1"/>
        <v>5</v>
      </c>
      <c r="B49" s="315" t="s">
        <v>1149</v>
      </c>
      <c r="C49" s="437">
        <v>45713</v>
      </c>
      <c r="D49" s="438">
        <v>14.016999999999999</v>
      </c>
      <c r="E49" s="437" t="s">
        <v>1150</v>
      </c>
      <c r="F49" s="439">
        <v>45715</v>
      </c>
      <c r="G49" s="438">
        <v>14.016999999999999</v>
      </c>
      <c r="H49" s="895" t="s">
        <v>1650</v>
      </c>
    </row>
    <row r="50" spans="1:8">
      <c r="A50" s="315">
        <f t="shared" si="1"/>
        <v>6</v>
      </c>
      <c r="B50" s="315" t="s">
        <v>1151</v>
      </c>
      <c r="C50" s="437">
        <v>45721</v>
      </c>
      <c r="D50" s="438">
        <v>9.4949999999999992</v>
      </c>
      <c r="E50" s="437" t="s">
        <v>1152</v>
      </c>
      <c r="F50" s="439">
        <v>45722</v>
      </c>
      <c r="G50" s="438">
        <v>9.4949999999999992</v>
      </c>
      <c r="H50" s="895" t="s">
        <v>1651</v>
      </c>
    </row>
    <row r="51" spans="1:8">
      <c r="A51" s="315">
        <f t="shared" si="1"/>
        <v>7</v>
      </c>
      <c r="B51" s="315" t="s">
        <v>1153</v>
      </c>
      <c r="C51" s="437">
        <v>45751</v>
      </c>
      <c r="D51" s="438">
        <v>8.6969999999999992</v>
      </c>
      <c r="E51" s="850" t="s">
        <v>1306</v>
      </c>
      <c r="F51" s="439">
        <v>45763</v>
      </c>
      <c r="G51" s="438">
        <v>8.6969999999999992</v>
      </c>
      <c r="H51" s="895" t="s">
        <v>1652</v>
      </c>
    </row>
    <row r="52" spans="1:8">
      <c r="A52" s="315">
        <f t="shared" si="1"/>
        <v>8</v>
      </c>
      <c r="B52" s="315" t="s">
        <v>1155</v>
      </c>
      <c r="C52" s="437">
        <v>45742</v>
      </c>
      <c r="D52" s="438">
        <v>14.39</v>
      </c>
      <c r="E52" s="437" t="s">
        <v>1156</v>
      </c>
      <c r="F52" s="439">
        <v>45763</v>
      </c>
      <c r="G52" s="438">
        <v>14.39</v>
      </c>
      <c r="H52" s="895" t="s">
        <v>1652</v>
      </c>
    </row>
    <row r="53" spans="1:8">
      <c r="A53" s="315">
        <f t="shared" si="1"/>
        <v>9</v>
      </c>
      <c r="B53" s="613" t="s">
        <v>1161</v>
      </c>
      <c r="C53" s="437">
        <v>45752</v>
      </c>
      <c r="D53" s="438">
        <v>10.894</v>
      </c>
      <c r="E53" s="437" t="s">
        <v>1162</v>
      </c>
      <c r="F53" s="438"/>
      <c r="G53" s="438"/>
    </row>
    <row r="54" spans="1:8" ht="29">
      <c r="A54" s="315">
        <f t="shared" si="1"/>
        <v>10</v>
      </c>
      <c r="B54" s="613" t="s">
        <v>1160</v>
      </c>
      <c r="C54" s="851" t="s">
        <v>1322</v>
      </c>
      <c r="D54" s="438">
        <v>19.57</v>
      </c>
      <c r="E54" s="850" t="s">
        <v>1326</v>
      </c>
      <c r="F54" s="438"/>
      <c r="G54" s="438"/>
    </row>
    <row r="55" spans="1:8">
      <c r="A55" s="315">
        <f t="shared" si="1"/>
        <v>11</v>
      </c>
      <c r="B55" s="315" t="s">
        <v>1298</v>
      </c>
      <c r="C55" s="437">
        <v>45765</v>
      </c>
      <c r="D55" s="438">
        <v>2.4740000000000002</v>
      </c>
      <c r="E55" s="437" t="s">
        <v>1299</v>
      </c>
      <c r="F55" s="438"/>
      <c r="G55" s="438"/>
    </row>
    <row r="56" spans="1:8">
      <c r="A56" s="315">
        <f t="shared" si="1"/>
        <v>12</v>
      </c>
      <c r="B56" s="613" t="s">
        <v>1312</v>
      </c>
      <c r="C56" s="437">
        <v>45787</v>
      </c>
      <c r="D56" s="438">
        <v>3.0840000000000001</v>
      </c>
      <c r="E56" s="437" t="s">
        <v>1313</v>
      </c>
      <c r="F56" s="438"/>
      <c r="G56" s="438"/>
    </row>
    <row r="57" spans="1:8">
      <c r="A57" s="315">
        <f>A56+1</f>
        <v>13</v>
      </c>
      <c r="B57" s="613" t="s">
        <v>1356</v>
      </c>
      <c r="C57" s="437">
        <v>45787</v>
      </c>
      <c r="D57" s="438">
        <v>2.2200000000000002</v>
      </c>
      <c r="E57" s="437" t="s">
        <v>1313</v>
      </c>
      <c r="F57" s="438"/>
      <c r="G57" s="438"/>
    </row>
    <row r="58" spans="1:8">
      <c r="A58" s="315">
        <f>A57+1</f>
        <v>14</v>
      </c>
      <c r="B58" s="852" t="s">
        <v>1353</v>
      </c>
      <c r="C58" s="437">
        <v>45802</v>
      </c>
      <c r="D58" s="438">
        <v>5.6189999999999998</v>
      </c>
      <c r="E58" s="853" t="s">
        <v>1360</v>
      </c>
      <c r="F58" s="438"/>
      <c r="G58" s="438"/>
    </row>
    <row r="59" spans="1:8">
      <c r="A59" s="315">
        <f>A58+1</f>
        <v>15</v>
      </c>
      <c r="B59" s="854" t="s">
        <v>1324</v>
      </c>
      <c r="C59" s="437">
        <v>45794</v>
      </c>
      <c r="D59" s="438">
        <v>3.95</v>
      </c>
      <c r="E59" s="850" t="s">
        <v>1325</v>
      </c>
      <c r="F59" s="439">
        <v>45810</v>
      </c>
      <c r="G59" s="438"/>
    </row>
    <row r="60" spans="1:8">
      <c r="A60" s="315">
        <f>A59+1</f>
        <v>16</v>
      </c>
      <c r="B60" s="852" t="s">
        <v>1354</v>
      </c>
      <c r="C60" s="437">
        <v>45802</v>
      </c>
      <c r="D60" s="438">
        <v>1.635</v>
      </c>
      <c r="E60" s="437" t="s">
        <v>1355</v>
      </c>
      <c r="F60" s="438"/>
      <c r="G60" s="438"/>
    </row>
    <row r="61" spans="1:8">
      <c r="A61" s="315">
        <f>A60+1</f>
        <v>17</v>
      </c>
      <c r="B61" s="852" t="s">
        <v>1342</v>
      </c>
      <c r="C61" s="437">
        <v>45802</v>
      </c>
      <c r="D61" s="438">
        <v>4.88</v>
      </c>
      <c r="E61" s="850"/>
      <c r="F61" s="438"/>
      <c r="G61" s="438"/>
    </row>
    <row r="62" spans="1:8">
      <c r="A62" s="315"/>
      <c r="B62" s="854"/>
      <c r="C62" s="437"/>
      <c r="D62" s="438"/>
      <c r="E62" s="437"/>
      <c r="F62" s="438"/>
      <c r="G62" s="438"/>
    </row>
    <row r="63" spans="1:8">
      <c r="A63" s="1421" t="s">
        <v>1158</v>
      </c>
      <c r="B63" s="1421"/>
      <c r="C63" s="353"/>
      <c r="D63" s="353">
        <f>SUM(D45:D61)</f>
        <v>151.91599999999997</v>
      </c>
      <c r="E63" s="353"/>
      <c r="F63" s="353"/>
      <c r="G63" s="353">
        <f>SUM(G45:G62)</f>
        <v>97.59</v>
      </c>
    </row>
    <row r="64" spans="1:8">
      <c r="A64" s="436"/>
      <c r="B64" s="436"/>
      <c r="C64" s="353"/>
      <c r="D64" s="353"/>
      <c r="E64" s="353"/>
      <c r="F64" s="353"/>
      <c r="G64" s="353"/>
    </row>
    <row r="65" spans="1:8">
      <c r="A65" s="1421"/>
      <c r="B65" s="1421"/>
      <c r="C65" s="1421"/>
      <c r="D65" s="1421"/>
      <c r="E65" s="1421"/>
      <c r="F65" s="1421"/>
      <c r="G65" s="1421"/>
    </row>
    <row r="66" spans="1:8" ht="15.5">
      <c r="A66" s="1409" t="s">
        <v>1377</v>
      </c>
      <c r="B66" s="1410"/>
      <c r="C66" s="1410"/>
      <c r="D66" s="1410"/>
      <c r="E66" s="1410"/>
      <c r="F66" s="1410"/>
      <c r="G66" s="1411"/>
    </row>
    <row r="67" spans="1:8" ht="29">
      <c r="A67" s="353" t="s">
        <v>1543</v>
      </c>
      <c r="B67" s="436" t="s">
        <v>1378</v>
      </c>
      <c r="C67" s="436" t="s">
        <v>1380</v>
      </c>
      <c r="D67" s="436" t="s">
        <v>1381</v>
      </c>
      <c r="E67" s="436" t="s">
        <v>1382</v>
      </c>
      <c r="F67" s="436" t="s">
        <v>1383</v>
      </c>
      <c r="G67" s="353" t="s">
        <v>34</v>
      </c>
      <c r="H67" s="1047" t="s">
        <v>1737</v>
      </c>
    </row>
    <row r="68" spans="1:8" ht="39.5" customHeight="1">
      <c r="A68" s="555">
        <v>1</v>
      </c>
      <c r="B68" s="945" t="s">
        <v>1062</v>
      </c>
      <c r="C68" s="945" t="s">
        <v>1544</v>
      </c>
      <c r="D68" s="946">
        <v>10.369</v>
      </c>
      <c r="E68" s="309"/>
      <c r="F68" s="309" t="s">
        <v>1546</v>
      </c>
      <c r="G68" s="947" t="s">
        <v>1770</v>
      </c>
      <c r="H68" s="310"/>
    </row>
    <row r="69" spans="1:8">
      <c r="A69" s="555">
        <f>A68+1</f>
        <v>2</v>
      </c>
      <c r="B69" s="336" t="s">
        <v>1062</v>
      </c>
      <c r="C69" s="336" t="s">
        <v>1424</v>
      </c>
      <c r="D69" s="323">
        <v>8.7129999999999992</v>
      </c>
      <c r="E69" s="323"/>
      <c r="F69" s="323"/>
      <c r="G69" s="639" t="s">
        <v>1659</v>
      </c>
      <c r="H69" s="310"/>
    </row>
    <row r="70" spans="1:8">
      <c r="A70" s="555">
        <f>A69+1</f>
        <v>3</v>
      </c>
      <c r="B70" s="336"/>
      <c r="C70" s="336" t="s">
        <v>1387</v>
      </c>
      <c r="D70" s="818">
        <v>19.571999999999999</v>
      </c>
      <c r="E70" s="570" t="s">
        <v>1388</v>
      </c>
      <c r="F70" s="570"/>
      <c r="G70" s="639" t="s">
        <v>1648</v>
      </c>
      <c r="H70" s="1048" t="s">
        <v>1652</v>
      </c>
    </row>
    <row r="71" spans="1:8">
      <c r="A71" s="555">
        <f t="shared" ref="A71:A89" si="2">A70+1</f>
        <v>4</v>
      </c>
      <c r="B71" s="957" t="s">
        <v>1068</v>
      </c>
      <c r="C71" s="336" t="s">
        <v>1500</v>
      </c>
      <c r="D71" s="555">
        <v>2.6179999999999999</v>
      </c>
      <c r="E71" s="570" t="s">
        <v>1388</v>
      </c>
      <c r="F71" s="570"/>
      <c r="G71" s="639" t="s">
        <v>1653</v>
      </c>
      <c r="H71" s="310"/>
    </row>
    <row r="72" spans="1:8">
      <c r="A72" s="555">
        <f t="shared" si="2"/>
        <v>5</v>
      </c>
      <c r="B72" s="336" t="s">
        <v>1062</v>
      </c>
      <c r="C72" s="945" t="s">
        <v>1655</v>
      </c>
      <c r="D72" s="579">
        <v>1.4279999999999999</v>
      </c>
      <c r="E72" s="570" t="s">
        <v>1388</v>
      </c>
      <c r="F72" s="948"/>
      <c r="G72" s="639" t="s">
        <v>1717</v>
      </c>
      <c r="H72" s="310"/>
    </row>
    <row r="73" spans="1:8">
      <c r="A73" s="555">
        <f t="shared" si="2"/>
        <v>6</v>
      </c>
      <c r="B73" s="336" t="s">
        <v>1062</v>
      </c>
      <c r="C73" s="336" t="s">
        <v>1656</v>
      </c>
      <c r="D73" s="555">
        <v>16.760000000000002</v>
      </c>
      <c r="E73" s="579"/>
      <c r="F73" s="948"/>
      <c r="G73" s="639" t="s">
        <v>1653</v>
      </c>
      <c r="H73" s="310"/>
    </row>
    <row r="74" spans="1:8">
      <c r="A74" s="555">
        <f t="shared" si="2"/>
        <v>7</v>
      </c>
      <c r="B74" s="336"/>
      <c r="C74" s="336" t="s">
        <v>1392</v>
      </c>
      <c r="D74" s="555">
        <v>6.6589999999999998</v>
      </c>
      <c r="E74" s="555" t="s">
        <v>1546</v>
      </c>
      <c r="F74" s="570"/>
      <c r="G74" s="639" t="s">
        <v>1422</v>
      </c>
      <c r="H74" s="1048" t="s">
        <v>1652</v>
      </c>
    </row>
    <row r="75" spans="1:8" ht="34.5" customHeight="1">
      <c r="A75" s="555">
        <f t="shared" si="2"/>
        <v>8</v>
      </c>
      <c r="B75" s="945" t="s">
        <v>1062</v>
      </c>
      <c r="C75" s="945" t="s">
        <v>1393</v>
      </c>
      <c r="D75" s="949">
        <v>3.1869999999999998</v>
      </c>
      <c r="E75" s="570" t="s">
        <v>1388</v>
      </c>
      <c r="F75" s="948"/>
      <c r="G75" s="943" t="s">
        <v>1422</v>
      </c>
      <c r="H75" s="310"/>
    </row>
    <row r="76" spans="1:8">
      <c r="A76" s="555">
        <f t="shared" si="2"/>
        <v>9</v>
      </c>
      <c r="B76" s="336"/>
      <c r="C76" s="336" t="s">
        <v>1396</v>
      </c>
      <c r="D76" s="575">
        <v>1.0509999999999999</v>
      </c>
      <c r="E76" s="570" t="s">
        <v>1546</v>
      </c>
      <c r="F76" s="570"/>
      <c r="G76" s="639" t="s">
        <v>1422</v>
      </c>
      <c r="H76" s="1048" t="s">
        <v>1652</v>
      </c>
    </row>
    <row r="77" spans="1:8">
      <c r="A77" s="555">
        <f t="shared" si="2"/>
        <v>10</v>
      </c>
      <c r="B77" s="1422"/>
      <c r="C77" s="336" t="s">
        <v>1397</v>
      </c>
      <c r="D77" s="555">
        <v>7.9619999999999997</v>
      </c>
      <c r="E77" s="570" t="s">
        <v>1546</v>
      </c>
      <c r="F77" s="555"/>
      <c r="G77" s="639" t="s">
        <v>88</v>
      </c>
      <c r="H77" s="1048" t="s">
        <v>1649</v>
      </c>
    </row>
    <row r="78" spans="1:8">
      <c r="A78" s="555">
        <f t="shared" si="2"/>
        <v>11</v>
      </c>
      <c r="B78" s="1423"/>
      <c r="C78" s="336" t="s">
        <v>1399</v>
      </c>
      <c r="D78" s="555">
        <v>19.567</v>
      </c>
      <c r="E78" s="570" t="s">
        <v>1546</v>
      </c>
      <c r="F78" s="555"/>
      <c r="G78" s="639" t="s">
        <v>88</v>
      </c>
      <c r="H78" s="1048" t="s">
        <v>1652</v>
      </c>
    </row>
    <row r="79" spans="1:8">
      <c r="A79" s="555">
        <f t="shared" si="2"/>
        <v>12</v>
      </c>
      <c r="B79" s="1423"/>
      <c r="C79" s="336" t="s">
        <v>1400</v>
      </c>
      <c r="D79" s="555">
        <v>20.274000000000001</v>
      </c>
      <c r="E79" s="570" t="s">
        <v>1546</v>
      </c>
      <c r="F79" s="555"/>
      <c r="G79" s="639" t="s">
        <v>88</v>
      </c>
      <c r="H79" s="1048" t="s">
        <v>1649</v>
      </c>
    </row>
    <row r="80" spans="1:8">
      <c r="A80" s="555">
        <f t="shared" si="2"/>
        <v>13</v>
      </c>
      <c r="B80" s="1423"/>
      <c r="C80" s="336" t="s">
        <v>1401</v>
      </c>
      <c r="D80" s="555">
        <v>3.0840000000000001</v>
      </c>
      <c r="E80" s="570" t="s">
        <v>1546</v>
      </c>
      <c r="F80" s="555"/>
      <c r="G80" s="639" t="s">
        <v>88</v>
      </c>
      <c r="H80" s="1048" t="s">
        <v>1650</v>
      </c>
    </row>
    <row r="81" spans="1:8">
      <c r="A81" s="555">
        <f t="shared" si="2"/>
        <v>14</v>
      </c>
      <c r="B81" s="1423"/>
      <c r="C81" s="336" t="s">
        <v>1402</v>
      </c>
      <c r="D81" s="555">
        <v>14.119</v>
      </c>
      <c r="E81" s="570" t="s">
        <v>1546</v>
      </c>
      <c r="F81" s="555"/>
      <c r="G81" s="639" t="s">
        <v>88</v>
      </c>
      <c r="H81" s="1048" t="s">
        <v>1650</v>
      </c>
    </row>
    <row r="82" spans="1:8">
      <c r="A82" s="555">
        <f t="shared" si="2"/>
        <v>15</v>
      </c>
      <c r="B82" s="1423"/>
      <c r="C82" s="336" t="s">
        <v>1403</v>
      </c>
      <c r="D82" s="555">
        <v>9.4949999999999992</v>
      </c>
      <c r="E82" s="570" t="s">
        <v>1546</v>
      </c>
      <c r="F82" s="555"/>
      <c r="G82" s="639" t="s">
        <v>88</v>
      </c>
      <c r="H82" s="1048" t="s">
        <v>1651</v>
      </c>
    </row>
    <row r="83" spans="1:8">
      <c r="A83" s="555">
        <f t="shared" si="2"/>
        <v>16</v>
      </c>
      <c r="B83" s="1424"/>
      <c r="C83" s="336" t="s">
        <v>1404</v>
      </c>
      <c r="D83" s="555">
        <v>8.6929999999999996</v>
      </c>
      <c r="E83" s="570" t="s">
        <v>1546</v>
      </c>
      <c r="F83" s="555"/>
      <c r="G83" s="639" t="s">
        <v>88</v>
      </c>
      <c r="H83" s="1048" t="s">
        <v>1652</v>
      </c>
    </row>
    <row r="84" spans="1:8">
      <c r="A84" s="555">
        <f t="shared" si="2"/>
        <v>17</v>
      </c>
      <c r="B84" s="336" t="s">
        <v>1062</v>
      </c>
      <c r="C84" s="336" t="s">
        <v>1427</v>
      </c>
      <c r="D84" s="555">
        <v>12.659000000000001</v>
      </c>
      <c r="E84" s="570" t="s">
        <v>1546</v>
      </c>
      <c r="F84" s="570"/>
      <c r="G84" s="639" t="s">
        <v>1647</v>
      </c>
      <c r="H84" s="1048" t="s">
        <v>1652</v>
      </c>
    </row>
    <row r="85" spans="1:8">
      <c r="A85" s="555">
        <f t="shared" si="2"/>
        <v>18</v>
      </c>
      <c r="B85" s="336" t="s">
        <v>1062</v>
      </c>
      <c r="C85" s="336" t="s">
        <v>1409</v>
      </c>
      <c r="D85" s="555">
        <v>14.391999999999999</v>
      </c>
      <c r="E85" s="570" t="s">
        <v>1546</v>
      </c>
      <c r="F85" s="555"/>
      <c r="G85" s="639" t="s">
        <v>88</v>
      </c>
      <c r="H85" s="1048" t="s">
        <v>1652</v>
      </c>
    </row>
    <row r="86" spans="1:8">
      <c r="A86" s="555">
        <f t="shared" si="2"/>
        <v>19</v>
      </c>
      <c r="B86" s="336" t="s">
        <v>1062</v>
      </c>
      <c r="C86" s="336" t="s">
        <v>1548</v>
      </c>
      <c r="D86" s="555">
        <v>6.3209999999999997</v>
      </c>
      <c r="E86" s="570" t="s">
        <v>1546</v>
      </c>
      <c r="F86" s="570"/>
      <c r="G86" s="639" t="s">
        <v>88</v>
      </c>
      <c r="H86" s="1048" t="s">
        <v>1652</v>
      </c>
    </row>
    <row r="87" spans="1:8">
      <c r="A87" s="555">
        <f t="shared" si="2"/>
        <v>20</v>
      </c>
      <c r="B87" s="957" t="s">
        <v>1068</v>
      </c>
      <c r="C87" s="336" t="s">
        <v>1549</v>
      </c>
      <c r="D87" s="555">
        <v>0.73199999999999998</v>
      </c>
      <c r="E87" s="570" t="s">
        <v>1546</v>
      </c>
      <c r="F87" s="950"/>
      <c r="G87" s="639" t="s">
        <v>1717</v>
      </c>
      <c r="H87" s="310"/>
    </row>
    <row r="88" spans="1:8">
      <c r="A88" s="555">
        <f t="shared" si="2"/>
        <v>21</v>
      </c>
      <c r="B88" s="945" t="s">
        <v>1062</v>
      </c>
      <c r="C88" s="945" t="s">
        <v>1550</v>
      </c>
      <c r="D88" s="815">
        <v>0.218</v>
      </c>
      <c r="E88" s="570" t="s">
        <v>1546</v>
      </c>
      <c r="F88" s="950"/>
      <c r="G88" s="639" t="s">
        <v>1717</v>
      </c>
      <c r="H88" s="310"/>
    </row>
    <row r="89" spans="1:8">
      <c r="A89" s="555">
        <f t="shared" si="2"/>
        <v>22</v>
      </c>
      <c r="B89" s="993" t="s">
        <v>1068</v>
      </c>
      <c r="C89" s="945" t="s">
        <v>1552</v>
      </c>
      <c r="D89" s="815">
        <v>0.57099999999999995</v>
      </c>
      <c r="E89" s="570" t="s">
        <v>1546</v>
      </c>
      <c r="F89" s="950"/>
      <c r="G89" s="639" t="s">
        <v>1717</v>
      </c>
      <c r="H89" s="310"/>
    </row>
    <row r="90" spans="1:8">
      <c r="A90" s="1425"/>
      <c r="B90" s="1426"/>
      <c r="C90" s="353" t="s">
        <v>1416</v>
      </c>
      <c r="D90" s="951">
        <f>SUM(D68:D89)</f>
        <v>188.44399999999999</v>
      </c>
      <c r="E90" s="1427"/>
      <c r="F90" s="1428"/>
      <c r="G90" s="1429"/>
      <c r="H90" s="310"/>
    </row>
    <row r="91" spans="1:8">
      <c r="A91" s="1430"/>
      <c r="B91" s="1430"/>
      <c r="C91" s="1430"/>
      <c r="D91" s="1430"/>
      <c r="E91" s="1430"/>
      <c r="F91" s="1430"/>
      <c r="G91" s="1430"/>
    </row>
    <row r="92" spans="1:8" hidden="1">
      <c r="A92" s="958"/>
      <c r="B92" s="944"/>
      <c r="C92" s="944"/>
      <c r="D92" s="952"/>
      <c r="E92" s="953">
        <v>2.6179999999999999</v>
      </c>
      <c r="F92" s="588" t="s">
        <v>1415</v>
      </c>
      <c r="G92" s="958"/>
    </row>
    <row r="93" spans="1:8" ht="18.5">
      <c r="A93" s="1407" t="s">
        <v>1416</v>
      </c>
      <c r="B93" s="1407"/>
      <c r="C93" s="1407"/>
      <c r="D93" s="1407"/>
      <c r="E93" s="954">
        <f>D90</f>
        <v>188.44399999999999</v>
      </c>
      <c r="F93" s="944"/>
      <c r="G93" s="958"/>
    </row>
    <row r="94" spans="1:8" ht="18.5">
      <c r="A94" s="1407" t="s">
        <v>1554</v>
      </c>
      <c r="B94" s="1407"/>
      <c r="C94" s="1407"/>
      <c r="D94" s="1407"/>
      <c r="E94" s="955">
        <v>178.07499999999999</v>
      </c>
      <c r="F94" s="944"/>
      <c r="G94" s="958"/>
    </row>
    <row r="95" spans="1:8" ht="18.5">
      <c r="A95" s="1407" t="s">
        <v>1555</v>
      </c>
      <c r="B95" s="1407"/>
      <c r="C95" s="1407"/>
      <c r="D95" s="1407"/>
      <c r="E95" s="956">
        <v>178.07499999999999</v>
      </c>
      <c r="F95" s="944"/>
      <c r="G95" s="958"/>
    </row>
    <row r="96" spans="1:8" ht="18.5">
      <c r="A96" s="1408" t="s">
        <v>1556</v>
      </c>
      <c r="B96" s="1408"/>
      <c r="C96" s="1408"/>
      <c r="D96" s="1408"/>
      <c r="E96" s="955">
        <f>E93-E94</f>
        <v>10.369</v>
      </c>
      <c r="F96" s="944"/>
      <c r="G96" s="958"/>
    </row>
    <row r="97" spans="1:7" ht="18.5">
      <c r="A97" s="1407" t="s">
        <v>1718</v>
      </c>
      <c r="B97" s="1407"/>
      <c r="C97" s="1407"/>
      <c r="D97" s="1407"/>
      <c r="E97" s="955">
        <v>10.369</v>
      </c>
      <c r="F97" s="944">
        <v>13.1</v>
      </c>
      <c r="G97" s="958"/>
    </row>
    <row r="99" spans="1:7" ht="15" thickBot="1"/>
    <row r="100" spans="1:7" ht="31.5" thickBot="1">
      <c r="A100" s="916" t="s">
        <v>1543</v>
      </c>
      <c r="B100" s="917" t="s">
        <v>1380</v>
      </c>
      <c r="C100" s="917" t="s">
        <v>1381</v>
      </c>
      <c r="D100" s="917" t="s">
        <v>1377</v>
      </c>
      <c r="E100" s="917" t="s">
        <v>1660</v>
      </c>
      <c r="F100" s="918" t="s">
        <v>34</v>
      </c>
    </row>
    <row r="101" spans="1:7" ht="104">
      <c r="A101" s="919">
        <v>1</v>
      </c>
      <c r="B101" s="920" t="s">
        <v>1544</v>
      </c>
      <c r="C101" s="921">
        <v>10.369</v>
      </c>
      <c r="D101" s="922" t="s">
        <v>1388</v>
      </c>
      <c r="E101" s="922" t="s">
        <v>1388</v>
      </c>
      <c r="F101" s="923" t="s">
        <v>1661</v>
      </c>
    </row>
    <row r="102" spans="1:7">
      <c r="A102" s="924">
        <f>A101+1</f>
        <v>2</v>
      </c>
      <c r="B102" s="803" t="s">
        <v>1424</v>
      </c>
      <c r="C102" s="804">
        <v>8.7129999999999992</v>
      </c>
      <c r="D102" s="807" t="s">
        <v>1388</v>
      </c>
      <c r="E102" s="805"/>
      <c r="F102" s="925" t="s">
        <v>88</v>
      </c>
    </row>
    <row r="103" spans="1:7">
      <c r="A103" s="924">
        <f>A102+1</f>
        <v>3</v>
      </c>
      <c r="B103" s="803" t="s">
        <v>1387</v>
      </c>
      <c r="C103" s="806">
        <v>19.57</v>
      </c>
      <c r="D103" s="807" t="s">
        <v>1388</v>
      </c>
      <c r="E103" s="926"/>
      <c r="F103" s="925" t="s">
        <v>88</v>
      </c>
    </row>
    <row r="104" spans="1:7">
      <c r="A104" s="924">
        <f t="shared" ref="A104:A120" si="3">A103+1</f>
        <v>4</v>
      </c>
      <c r="B104" s="803" t="s">
        <v>1500</v>
      </c>
      <c r="C104" s="798">
        <v>2.6179999999999999</v>
      </c>
      <c r="D104" s="807" t="s">
        <v>1388</v>
      </c>
      <c r="E104" s="927"/>
      <c r="F104" s="925" t="s">
        <v>88</v>
      </c>
    </row>
    <row r="105" spans="1:7" ht="104">
      <c r="A105" s="924">
        <f t="shared" si="3"/>
        <v>5</v>
      </c>
      <c r="B105" s="803" t="s">
        <v>1655</v>
      </c>
      <c r="C105" s="798">
        <v>1.44</v>
      </c>
      <c r="D105" s="807" t="s">
        <v>1388</v>
      </c>
      <c r="E105" s="926"/>
      <c r="F105" s="925" t="s">
        <v>1662</v>
      </c>
    </row>
    <row r="106" spans="1:7">
      <c r="A106" s="924">
        <f t="shared" si="3"/>
        <v>6</v>
      </c>
      <c r="B106" s="803" t="s">
        <v>1656</v>
      </c>
      <c r="C106" s="798">
        <v>16.759</v>
      </c>
      <c r="D106" s="807" t="s">
        <v>1388</v>
      </c>
      <c r="E106" s="928"/>
      <c r="F106" s="925" t="s">
        <v>88</v>
      </c>
    </row>
    <row r="107" spans="1:7">
      <c r="A107" s="924">
        <f t="shared" si="3"/>
        <v>7</v>
      </c>
      <c r="B107" s="803" t="s">
        <v>1392</v>
      </c>
      <c r="C107" s="798">
        <v>6.6719999999999997</v>
      </c>
      <c r="D107" s="807" t="s">
        <v>1388</v>
      </c>
      <c r="E107" s="926"/>
      <c r="F107" s="925" t="s">
        <v>88</v>
      </c>
    </row>
    <row r="108" spans="1:7" ht="104">
      <c r="A108" s="924">
        <f t="shared" si="3"/>
        <v>8</v>
      </c>
      <c r="B108" s="803" t="s">
        <v>1393</v>
      </c>
      <c r="C108" s="929">
        <v>3.1720000000000002</v>
      </c>
      <c r="D108" s="807" t="s">
        <v>1388</v>
      </c>
      <c r="E108" s="807" t="s">
        <v>1388</v>
      </c>
      <c r="F108" s="925" t="s">
        <v>1661</v>
      </c>
    </row>
    <row r="109" spans="1:7">
      <c r="A109" s="924">
        <f t="shared" si="3"/>
        <v>9</v>
      </c>
      <c r="B109" s="803" t="s">
        <v>1396</v>
      </c>
      <c r="C109" s="813">
        <v>1.05</v>
      </c>
      <c r="D109" s="807" t="s">
        <v>1546</v>
      </c>
      <c r="E109" s="926"/>
      <c r="F109" s="925" t="s">
        <v>88</v>
      </c>
    </row>
    <row r="110" spans="1:7">
      <c r="A110" s="924">
        <f t="shared" si="3"/>
        <v>10</v>
      </c>
      <c r="B110" s="803" t="s">
        <v>1397</v>
      </c>
      <c r="C110" s="798">
        <v>7.9619999999999997</v>
      </c>
      <c r="D110" s="807" t="s">
        <v>1546</v>
      </c>
      <c r="E110" s="803"/>
      <c r="F110" s="925" t="s">
        <v>88</v>
      </c>
    </row>
    <row r="111" spans="1:7">
      <c r="A111" s="924">
        <f t="shared" si="3"/>
        <v>11</v>
      </c>
      <c r="B111" s="803" t="s">
        <v>1399</v>
      </c>
      <c r="C111" s="798">
        <v>19.567</v>
      </c>
      <c r="D111" s="807" t="s">
        <v>1546</v>
      </c>
      <c r="E111" s="803"/>
      <c r="F111" s="925" t="s">
        <v>88</v>
      </c>
    </row>
    <row r="112" spans="1:7">
      <c r="A112" s="924">
        <f t="shared" si="3"/>
        <v>12</v>
      </c>
      <c r="B112" s="803" t="s">
        <v>1400</v>
      </c>
      <c r="C112" s="798">
        <v>20.273</v>
      </c>
      <c r="D112" s="807" t="s">
        <v>1546</v>
      </c>
      <c r="E112" s="803"/>
      <c r="F112" s="925" t="s">
        <v>88</v>
      </c>
    </row>
    <row r="113" spans="1:6">
      <c r="A113" s="924">
        <f t="shared" si="3"/>
        <v>13</v>
      </c>
      <c r="B113" s="803" t="s">
        <v>1401</v>
      </c>
      <c r="C113" s="798">
        <v>3.0840000000000001</v>
      </c>
      <c r="D113" s="807" t="s">
        <v>1546</v>
      </c>
      <c r="E113" s="803"/>
      <c r="F113" s="925" t="s">
        <v>88</v>
      </c>
    </row>
    <row r="114" spans="1:6">
      <c r="A114" s="924">
        <f t="shared" si="3"/>
        <v>14</v>
      </c>
      <c r="B114" s="803" t="s">
        <v>1402</v>
      </c>
      <c r="C114" s="798">
        <v>14.119</v>
      </c>
      <c r="D114" s="807" t="s">
        <v>1546</v>
      </c>
      <c r="E114" s="803"/>
      <c r="F114" s="925" t="s">
        <v>88</v>
      </c>
    </row>
    <row r="115" spans="1:6">
      <c r="A115" s="924">
        <f t="shared" si="3"/>
        <v>15</v>
      </c>
      <c r="B115" s="803" t="s">
        <v>1403</v>
      </c>
      <c r="C115" s="798">
        <v>9.4949999999999992</v>
      </c>
      <c r="D115" s="807" t="s">
        <v>1546</v>
      </c>
      <c r="E115" s="803"/>
      <c r="F115" s="925" t="s">
        <v>88</v>
      </c>
    </row>
    <row r="116" spans="1:6">
      <c r="A116" s="924">
        <f t="shared" si="3"/>
        <v>16</v>
      </c>
      <c r="B116" s="803" t="s">
        <v>1404</v>
      </c>
      <c r="C116" s="798">
        <v>8.6969999999999992</v>
      </c>
      <c r="D116" s="807" t="s">
        <v>1546</v>
      </c>
      <c r="E116" s="803"/>
      <c r="F116" s="925" t="s">
        <v>88</v>
      </c>
    </row>
    <row r="117" spans="1:6">
      <c r="A117" s="924">
        <f t="shared" si="3"/>
        <v>17</v>
      </c>
      <c r="B117" s="803" t="s">
        <v>1427</v>
      </c>
      <c r="C117" s="798">
        <v>12.65</v>
      </c>
      <c r="D117" s="807" t="s">
        <v>1546</v>
      </c>
      <c r="E117" s="926"/>
      <c r="F117" s="925" t="s">
        <v>88</v>
      </c>
    </row>
    <row r="118" spans="1:6">
      <c r="A118" s="924">
        <f t="shared" si="3"/>
        <v>18</v>
      </c>
      <c r="B118" s="803" t="s">
        <v>1409</v>
      </c>
      <c r="C118" s="798">
        <v>14.391999999999999</v>
      </c>
      <c r="D118" s="807" t="s">
        <v>1546</v>
      </c>
      <c r="E118" s="803"/>
      <c r="F118" s="925" t="s">
        <v>88</v>
      </c>
    </row>
    <row r="119" spans="1:6">
      <c r="A119" s="924">
        <f t="shared" si="3"/>
        <v>19</v>
      </c>
      <c r="B119" s="803" t="s">
        <v>1548</v>
      </c>
      <c r="C119" s="555">
        <v>6.3209999999999997</v>
      </c>
      <c r="D119" s="807" t="s">
        <v>1546</v>
      </c>
      <c r="E119" s="926"/>
      <c r="F119" s="925" t="s">
        <v>88</v>
      </c>
    </row>
    <row r="120" spans="1:6" ht="104.5" thickBot="1">
      <c r="A120" s="930">
        <f t="shared" si="3"/>
        <v>20</v>
      </c>
      <c r="B120" s="931" t="s">
        <v>1663</v>
      </c>
      <c r="C120" s="932">
        <v>1.5209999999999999</v>
      </c>
      <c r="D120" s="933" t="s">
        <v>1546</v>
      </c>
      <c r="E120" s="934"/>
      <c r="F120" s="935" t="s">
        <v>1662</v>
      </c>
    </row>
    <row r="121" spans="1:6" ht="15" thickBot="1">
      <c r="A121" s="936"/>
      <c r="B121" s="937" t="s">
        <v>1416</v>
      </c>
      <c r="C121" s="937">
        <f>SUM(C101:C120)</f>
        <v>188.44399999999999</v>
      </c>
      <c r="D121" s="1412"/>
      <c r="E121" s="1413"/>
      <c r="F121" s="1414"/>
    </row>
    <row r="122" spans="1:6">
      <c r="A122" s="1415"/>
      <c r="B122" s="1415"/>
      <c r="C122" s="1415"/>
      <c r="D122" s="1415"/>
      <c r="E122" s="1415"/>
      <c r="F122" s="1415"/>
    </row>
    <row r="123" spans="1:6">
      <c r="A123" s="944"/>
      <c r="B123" s="944"/>
      <c r="C123" s="944"/>
      <c r="D123" s="944"/>
      <c r="E123" s="944"/>
      <c r="F123" s="944"/>
    </row>
  </sheetData>
  <autoFilter ref="A68:H90" xr:uid="{77E03EF6-92FC-4258-8B58-6A081A6936A7}"/>
  <mergeCells count="21">
    <mergeCell ref="D121:F121"/>
    <mergeCell ref="A122:F122"/>
    <mergeCell ref="A1:G1"/>
    <mergeCell ref="A2:G2"/>
    <mergeCell ref="A3:G3"/>
    <mergeCell ref="A4:G4"/>
    <mergeCell ref="D6:D7"/>
    <mergeCell ref="E6:E7"/>
    <mergeCell ref="A97:D97"/>
    <mergeCell ref="E11:E14"/>
    <mergeCell ref="A63:B63"/>
    <mergeCell ref="A65:G65"/>
    <mergeCell ref="B77:B83"/>
    <mergeCell ref="A90:B90"/>
    <mergeCell ref="E90:G90"/>
    <mergeCell ref="A91:G91"/>
    <mergeCell ref="A93:D93"/>
    <mergeCell ref="A94:D94"/>
    <mergeCell ref="A95:D95"/>
    <mergeCell ref="A96:D96"/>
    <mergeCell ref="A66:G6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436" t="s">
        <v>78</v>
      </c>
      <c r="B1" s="1437"/>
      <c r="C1" s="1437"/>
      <c r="D1" s="1437"/>
      <c r="E1" s="1437"/>
      <c r="F1" s="1437"/>
      <c r="G1" s="1437"/>
      <c r="H1" s="1437"/>
      <c r="I1" s="1437"/>
      <c r="J1" s="1437"/>
      <c r="K1" s="1437"/>
      <c r="L1" s="1437"/>
      <c r="M1" s="1437"/>
      <c r="N1" s="1437"/>
      <c r="O1" s="1437"/>
      <c r="P1" s="1437"/>
      <c r="Q1" s="1437"/>
      <c r="R1" s="1437"/>
      <c r="S1" s="1438"/>
    </row>
    <row r="2" spans="1:19" ht="15.5">
      <c r="A2" s="1439" t="s">
        <v>79</v>
      </c>
      <c r="B2" s="1440"/>
      <c r="C2" s="1440"/>
      <c r="D2" s="1440"/>
      <c r="E2" s="1440"/>
      <c r="F2" s="1440"/>
      <c r="G2" s="1440"/>
      <c r="H2" s="1440"/>
      <c r="I2" s="1440"/>
      <c r="J2" s="1440"/>
      <c r="K2" s="1440"/>
      <c r="L2" s="1440"/>
      <c r="M2" s="1440"/>
      <c r="N2" s="1440"/>
      <c r="O2" s="1440"/>
      <c r="P2" s="1440"/>
      <c r="Q2" s="1440"/>
      <c r="R2" s="1440"/>
      <c r="S2" s="1441"/>
    </row>
    <row r="3" spans="1:19" ht="15.5">
      <c r="A3" s="1439" t="s">
        <v>80</v>
      </c>
      <c r="B3" s="1440"/>
      <c r="C3" s="1440"/>
      <c r="D3" s="1440"/>
      <c r="E3" s="1440"/>
      <c r="F3" s="1440"/>
      <c r="G3" s="1440"/>
      <c r="H3" s="1440"/>
      <c r="I3" s="1440"/>
      <c r="J3" s="1440"/>
      <c r="K3" s="1440"/>
      <c r="L3" s="1440"/>
      <c r="M3" s="1440"/>
      <c r="N3" s="1440"/>
      <c r="O3" s="1440"/>
      <c r="P3" s="1440"/>
      <c r="Q3" s="1440"/>
      <c r="R3" s="1440"/>
      <c r="S3" s="1441"/>
    </row>
    <row r="4" spans="1:19" ht="18.5">
      <c r="A4" s="1442" t="s">
        <v>81</v>
      </c>
      <c r="B4" s="1443"/>
      <c r="C4" s="1443"/>
      <c r="D4" s="1443"/>
      <c r="E4" s="1443"/>
      <c r="F4" s="1443"/>
      <c r="G4" s="1443"/>
      <c r="H4" s="1443"/>
      <c r="I4" s="1443"/>
      <c r="J4" s="1443"/>
      <c r="K4" s="1443"/>
      <c r="L4" s="1443"/>
      <c r="M4" s="1443"/>
      <c r="N4" s="1443"/>
      <c r="O4" s="1443"/>
      <c r="P4" s="1443"/>
      <c r="Q4" s="1443"/>
      <c r="R4" s="1443"/>
      <c r="S4" s="1444"/>
    </row>
    <row r="5" spans="1:19" ht="29" hidden="1">
      <c r="A5" s="352" t="s">
        <v>82</v>
      </c>
      <c r="B5" s="352" t="s">
        <v>83</v>
      </c>
      <c r="C5" s="352" t="s">
        <v>84</v>
      </c>
      <c r="D5" s="352" t="s">
        <v>85</v>
      </c>
      <c r="E5" s="352" t="s">
        <v>86</v>
      </c>
      <c r="F5" s="352" t="s">
        <v>34</v>
      </c>
    </row>
    <row r="6" spans="1:19" hidden="1">
      <c r="A6" s="76">
        <v>1</v>
      </c>
      <c r="B6" s="76" t="s">
        <v>87</v>
      </c>
      <c r="C6" s="76">
        <v>2.653</v>
      </c>
      <c r="D6" s="1445">
        <v>45684</v>
      </c>
      <c r="E6" s="1445">
        <v>45691</v>
      </c>
      <c r="F6" s="76" t="s">
        <v>88</v>
      </c>
    </row>
    <row r="7" spans="1:19" hidden="1">
      <c r="A7" s="76">
        <f>A6+1</f>
        <v>2</v>
      </c>
      <c r="B7" s="76" t="s">
        <v>89</v>
      </c>
      <c r="C7" s="76">
        <v>5.31</v>
      </c>
      <c r="D7" s="1446"/>
      <c r="E7" s="1446"/>
      <c r="F7" s="76" t="s">
        <v>88</v>
      </c>
    </row>
    <row r="8" spans="1:19" ht="43.5" hidden="1">
      <c r="A8" s="76">
        <f t="shared" ref="A8:A32" si="0">A7+1</f>
        <v>3</v>
      </c>
      <c r="B8" s="76" t="s">
        <v>90</v>
      </c>
      <c r="C8" s="76">
        <v>19.672000000000001</v>
      </c>
      <c r="D8" s="510" t="s">
        <v>1125</v>
      </c>
      <c r="E8" s="509">
        <v>45713</v>
      </c>
      <c r="F8" s="76" t="s">
        <v>88</v>
      </c>
      <c r="G8" s="511" t="s">
        <v>91</v>
      </c>
    </row>
    <row r="9" spans="1:19" hidden="1">
      <c r="A9" s="76">
        <f t="shared" si="0"/>
        <v>4</v>
      </c>
      <c r="B9" s="76" t="s">
        <v>93</v>
      </c>
      <c r="C9" s="76">
        <v>20.273</v>
      </c>
      <c r="D9" s="512">
        <v>45657</v>
      </c>
      <c r="E9" s="509">
        <v>45691</v>
      </c>
      <c r="F9" s="76" t="s">
        <v>88</v>
      </c>
    </row>
    <row r="10" spans="1:19" ht="29" hidden="1">
      <c r="A10" s="76">
        <f t="shared" si="0"/>
        <v>5</v>
      </c>
      <c r="B10" s="76" t="s">
        <v>94</v>
      </c>
      <c r="C10" s="76">
        <v>3.0840000000000001</v>
      </c>
      <c r="D10" s="513" t="s">
        <v>1124</v>
      </c>
      <c r="E10" s="509">
        <v>45712</v>
      </c>
      <c r="F10" s="76" t="s">
        <v>88</v>
      </c>
    </row>
    <row r="11" spans="1:19" hidden="1">
      <c r="A11" s="76">
        <f t="shared" si="0"/>
        <v>6</v>
      </c>
      <c r="B11" s="76" t="s">
        <v>96</v>
      </c>
      <c r="C11" s="76">
        <v>1.0629999999999999</v>
      </c>
      <c r="D11" s="512">
        <v>45713</v>
      </c>
      <c r="E11" s="1445">
        <v>45715</v>
      </c>
      <c r="F11" s="76" t="s">
        <v>88</v>
      </c>
    </row>
    <row r="12" spans="1:19" hidden="1">
      <c r="A12" s="76">
        <f>A11+1</f>
        <v>7</v>
      </c>
      <c r="B12" s="76" t="s">
        <v>97</v>
      </c>
      <c r="C12" s="76">
        <v>2.09</v>
      </c>
      <c r="D12" s="512">
        <v>45713</v>
      </c>
      <c r="E12" s="1447"/>
      <c r="F12" s="76" t="s">
        <v>88</v>
      </c>
    </row>
    <row r="13" spans="1:19" hidden="1">
      <c r="A13" s="76">
        <f t="shared" si="0"/>
        <v>8</v>
      </c>
      <c r="B13" s="76" t="s">
        <v>98</v>
      </c>
      <c r="C13" s="76">
        <v>3.8929999999999998</v>
      </c>
      <c r="D13" s="512">
        <v>45713</v>
      </c>
      <c r="E13" s="1447"/>
      <c r="F13" s="76" t="s">
        <v>88</v>
      </c>
    </row>
    <row r="14" spans="1:19" hidden="1">
      <c r="A14" s="76">
        <f t="shared" si="0"/>
        <v>9</v>
      </c>
      <c r="B14" s="76" t="s">
        <v>99</v>
      </c>
      <c r="C14" s="76">
        <v>6.9710000000000001</v>
      </c>
      <c r="D14" s="512">
        <v>45713</v>
      </c>
      <c r="E14" s="1448"/>
      <c r="F14" s="76" t="s">
        <v>88</v>
      </c>
    </row>
    <row r="15" spans="1:19" hidden="1">
      <c r="A15" s="76">
        <f t="shared" si="0"/>
        <v>10</v>
      </c>
      <c r="B15" s="76" t="s">
        <v>100</v>
      </c>
      <c r="C15" s="76">
        <v>9.4949999999999992</v>
      </c>
      <c r="D15" s="512">
        <v>45721</v>
      </c>
      <c r="E15" s="509">
        <v>45722</v>
      </c>
      <c r="F15" s="76" t="s">
        <v>88</v>
      </c>
    </row>
    <row r="16" spans="1:19" ht="72.5" hidden="1">
      <c r="A16" s="76">
        <f t="shared" si="0"/>
        <v>11</v>
      </c>
      <c r="B16" s="76" t="s">
        <v>101</v>
      </c>
      <c r="C16" s="76">
        <v>8.6969999999999992</v>
      </c>
      <c r="D16" s="510" t="s">
        <v>1126</v>
      </c>
      <c r="E16" s="76"/>
      <c r="F16" s="76" t="s">
        <v>95</v>
      </c>
      <c r="G16" s="786" t="s">
        <v>1159</v>
      </c>
    </row>
    <row r="17" spans="1:7" hidden="1">
      <c r="A17" s="76">
        <f t="shared" si="0"/>
        <v>12</v>
      </c>
      <c r="B17" s="76" t="s">
        <v>102</v>
      </c>
      <c r="C17" s="76">
        <v>3.0840000000000001</v>
      </c>
      <c r="D17" s="76"/>
      <c r="E17" s="76"/>
      <c r="F17" s="787" t="s">
        <v>95</v>
      </c>
    </row>
    <row r="18" spans="1:7" hidden="1">
      <c r="A18" s="76">
        <f t="shared" si="0"/>
        <v>13</v>
      </c>
      <c r="B18" s="66" t="s">
        <v>104</v>
      </c>
      <c r="C18" s="76">
        <v>3.9630000000000001</v>
      </c>
      <c r="D18" s="76"/>
      <c r="E18" s="76"/>
      <c r="F18" s="787" t="s">
        <v>95</v>
      </c>
      <c r="G18" s="361"/>
    </row>
    <row r="19" spans="1:7" hidden="1">
      <c r="A19" s="76">
        <f t="shared" si="0"/>
        <v>14</v>
      </c>
      <c r="B19" s="788" t="s">
        <v>1115</v>
      </c>
      <c r="C19" s="76">
        <v>1.6559999999999999</v>
      </c>
      <c r="D19" s="76"/>
      <c r="E19" s="76"/>
      <c r="F19" s="787" t="s">
        <v>95</v>
      </c>
      <c r="G19" s="361"/>
    </row>
    <row r="20" spans="1:7" hidden="1">
      <c r="A20" s="76">
        <f t="shared" si="0"/>
        <v>15</v>
      </c>
      <c r="B20" s="788" t="s">
        <v>1116</v>
      </c>
      <c r="C20" s="76">
        <v>1.635</v>
      </c>
      <c r="D20" s="76"/>
      <c r="E20" s="76"/>
      <c r="F20" s="787" t="s">
        <v>95</v>
      </c>
    </row>
    <row r="21" spans="1:7" hidden="1">
      <c r="A21" s="76">
        <f t="shared" si="0"/>
        <v>16</v>
      </c>
      <c r="B21" s="76" t="s">
        <v>1112</v>
      </c>
      <c r="C21" s="76">
        <v>2.2210000000000001</v>
      </c>
      <c r="D21" s="76"/>
      <c r="E21" s="76"/>
      <c r="F21" s="787" t="s">
        <v>95</v>
      </c>
    </row>
    <row r="22" spans="1:7" ht="72.5" hidden="1">
      <c r="A22" s="76">
        <f t="shared" si="0"/>
        <v>17</v>
      </c>
      <c r="B22" s="76" t="s">
        <v>1111</v>
      </c>
      <c r="C22" s="76">
        <v>10.724</v>
      </c>
      <c r="D22" s="789" t="s">
        <v>1340</v>
      </c>
      <c r="E22" s="76"/>
      <c r="F22" s="76" t="s">
        <v>95</v>
      </c>
      <c r="G22" s="786" t="s">
        <v>1159</v>
      </c>
    </row>
    <row r="23" spans="1:7" ht="56.5" hidden="1" customHeight="1">
      <c r="A23" s="76">
        <f t="shared" si="0"/>
        <v>18</v>
      </c>
      <c r="B23" s="787" t="s">
        <v>1109</v>
      </c>
      <c r="C23" s="76">
        <v>3.6659999999999999</v>
      </c>
      <c r="D23" s="789" t="s">
        <v>1341</v>
      </c>
      <c r="E23" s="76"/>
      <c r="F23" s="76" t="s">
        <v>95</v>
      </c>
      <c r="G23" s="786" t="s">
        <v>1159</v>
      </c>
    </row>
    <row r="24" spans="1:7" hidden="1">
      <c r="A24" s="76">
        <f t="shared" si="0"/>
        <v>19</v>
      </c>
      <c r="B24" s="787" t="s">
        <v>1350</v>
      </c>
      <c r="C24" s="530">
        <v>4.88</v>
      </c>
      <c r="D24" s="76"/>
      <c r="E24" s="76"/>
      <c r="F24" s="790" t="s">
        <v>95</v>
      </c>
    </row>
    <row r="25" spans="1:7" hidden="1">
      <c r="A25" s="76">
        <f t="shared" si="0"/>
        <v>20</v>
      </c>
      <c r="B25" s="787" t="s">
        <v>1300</v>
      </c>
      <c r="C25" s="76">
        <v>2.4740000000000002</v>
      </c>
      <c r="D25" s="512">
        <v>45765</v>
      </c>
      <c r="E25" s="76"/>
      <c r="F25" s="76" t="s">
        <v>95</v>
      </c>
    </row>
    <row r="26" spans="1:7" hidden="1">
      <c r="A26" s="76">
        <f t="shared" si="0"/>
        <v>21</v>
      </c>
      <c r="B26" s="787" t="s">
        <v>1131</v>
      </c>
      <c r="C26" s="76">
        <v>0.27500000000000002</v>
      </c>
      <c r="D26" s="512">
        <v>45752</v>
      </c>
      <c r="E26" s="76"/>
      <c r="F26" s="76" t="s">
        <v>95</v>
      </c>
    </row>
    <row r="27" spans="1:7" hidden="1">
      <c r="A27" s="76">
        <f t="shared" si="0"/>
        <v>22</v>
      </c>
      <c r="B27" s="787" t="s">
        <v>1110</v>
      </c>
      <c r="C27" s="76">
        <v>2.008</v>
      </c>
      <c r="D27" s="512">
        <v>45752</v>
      </c>
      <c r="E27" s="76"/>
      <c r="F27" s="76" t="s">
        <v>95</v>
      </c>
    </row>
    <row r="28" spans="1:7" hidden="1">
      <c r="A28" s="76">
        <f t="shared" si="0"/>
        <v>23</v>
      </c>
      <c r="B28" s="787" t="s">
        <v>1128</v>
      </c>
      <c r="C28" s="76">
        <v>0.223</v>
      </c>
      <c r="D28" s="512">
        <v>45752</v>
      </c>
      <c r="E28" s="76"/>
      <c r="F28" s="76" t="s">
        <v>95</v>
      </c>
    </row>
    <row r="29" spans="1:7" hidden="1">
      <c r="A29" s="76">
        <f t="shared" si="0"/>
        <v>24</v>
      </c>
      <c r="B29" s="787" t="s">
        <v>1113</v>
      </c>
      <c r="C29" s="76">
        <v>2.7309999999999999</v>
      </c>
      <c r="D29" s="512">
        <v>45752</v>
      </c>
      <c r="E29" s="76"/>
      <c r="F29" s="76" t="s">
        <v>95</v>
      </c>
    </row>
    <row r="30" spans="1:7" hidden="1">
      <c r="A30" s="76">
        <f t="shared" si="0"/>
        <v>25</v>
      </c>
      <c r="B30" s="787" t="s">
        <v>1130</v>
      </c>
      <c r="C30" s="76">
        <v>1.7170000000000001</v>
      </c>
      <c r="D30" s="512">
        <v>45752</v>
      </c>
      <c r="E30" s="76"/>
      <c r="F30" s="76" t="s">
        <v>95</v>
      </c>
    </row>
    <row r="31" spans="1:7" hidden="1">
      <c r="A31" s="76">
        <f t="shared" si="0"/>
        <v>26</v>
      </c>
      <c r="B31" s="787" t="s">
        <v>1129</v>
      </c>
      <c r="C31" s="76">
        <v>1.0680000000000001</v>
      </c>
      <c r="D31" s="512">
        <v>45752</v>
      </c>
      <c r="E31" s="76"/>
      <c r="F31" s="76" t="s">
        <v>95</v>
      </c>
    </row>
    <row r="32" spans="1:7" hidden="1">
      <c r="A32" s="76">
        <f t="shared" si="0"/>
        <v>27</v>
      </c>
      <c r="B32" s="787" t="s">
        <v>1127</v>
      </c>
      <c r="C32" s="76">
        <v>2.8730000000000002</v>
      </c>
      <c r="D32" s="512">
        <v>45752</v>
      </c>
      <c r="E32" s="76"/>
      <c r="F32" s="76" t="s">
        <v>95</v>
      </c>
    </row>
    <row r="33" spans="1:7" hidden="1">
      <c r="A33" s="76"/>
      <c r="B33" s="787"/>
      <c r="C33" s="76"/>
      <c r="D33" s="512"/>
      <c r="E33" s="76"/>
      <c r="F33" s="76"/>
    </row>
    <row r="34" spans="1:7" hidden="1">
      <c r="A34" s="76">
        <f>A32+1</f>
        <v>28</v>
      </c>
      <c r="B34" s="787" t="s">
        <v>1333</v>
      </c>
      <c r="C34" s="76">
        <v>19.57</v>
      </c>
      <c r="D34" s="787" t="s">
        <v>1339</v>
      </c>
      <c r="E34" s="76"/>
      <c r="F34" s="787" t="s">
        <v>1332</v>
      </c>
    </row>
    <row r="35" spans="1:7" hidden="1">
      <c r="A35" s="76">
        <f>A34+1</f>
        <v>29</v>
      </c>
      <c r="B35" s="790" t="s">
        <v>1307</v>
      </c>
      <c r="C35" s="527">
        <v>2.6179999999999999</v>
      </c>
      <c r="D35" s="512">
        <v>45781</v>
      </c>
      <c r="E35" s="76"/>
      <c r="F35" s="66" t="s">
        <v>103</v>
      </c>
    </row>
    <row r="36" spans="1:7" hidden="1">
      <c r="A36" s="76">
        <f>A35+1</f>
        <v>30</v>
      </c>
      <c r="B36" s="787" t="s">
        <v>1338</v>
      </c>
      <c r="C36" s="76">
        <v>18.193000000000001</v>
      </c>
      <c r="D36" s="512">
        <v>45805</v>
      </c>
      <c r="E36" s="76"/>
      <c r="F36" s="788" t="s">
        <v>103</v>
      </c>
    </row>
    <row r="37" spans="1:7" hidden="1">
      <c r="A37" s="76"/>
      <c r="B37" s="787"/>
      <c r="C37" s="76"/>
      <c r="D37" s="512"/>
      <c r="E37" s="76"/>
      <c r="F37" s="788"/>
    </row>
    <row r="38" spans="1:7" hidden="1">
      <c r="A38" s="76"/>
      <c r="B38" s="787"/>
      <c r="C38" s="76"/>
      <c r="D38" s="512"/>
      <c r="E38" s="76"/>
      <c r="F38" s="788"/>
    </row>
    <row r="39" spans="1:7" s="361" customFormat="1" hidden="1">
      <c r="A39" s="362"/>
      <c r="B39" s="362" t="s">
        <v>105</v>
      </c>
      <c r="C39" s="362">
        <f>SUM(C6:C36)</f>
        <v>168.78000000000003</v>
      </c>
      <c r="D39" s="362"/>
      <c r="E39" s="362"/>
      <c r="F39" s="362"/>
    </row>
    <row r="40" spans="1:7" s="361" customFormat="1" hidden="1"/>
    <row r="41" spans="1:7" s="361" customFormat="1" hidden="1"/>
    <row r="42" spans="1:7" s="361" customFormat="1" hidden="1"/>
    <row r="43" spans="1:7" hidden="1">
      <c r="B43" s="361" t="s">
        <v>1301</v>
      </c>
    </row>
    <row r="44" spans="1:7" ht="43.5" hidden="1">
      <c r="A44" s="353" t="s">
        <v>1132</v>
      </c>
      <c r="B44" s="353" t="s">
        <v>83</v>
      </c>
      <c r="C44" s="436" t="s">
        <v>1133</v>
      </c>
      <c r="D44" s="436" t="s">
        <v>1134</v>
      </c>
      <c r="E44" s="436" t="s">
        <v>1135</v>
      </c>
      <c r="F44" s="436" t="s">
        <v>1136</v>
      </c>
      <c r="G44" s="436" t="s">
        <v>1134</v>
      </c>
    </row>
    <row r="45" spans="1:7" hidden="1">
      <c r="A45" s="315">
        <v>1</v>
      </c>
      <c r="B45" s="315" t="s">
        <v>1138</v>
      </c>
      <c r="C45" s="437">
        <v>45657</v>
      </c>
      <c r="D45" s="438">
        <v>20.273</v>
      </c>
      <c r="E45" s="437" t="s">
        <v>1139</v>
      </c>
      <c r="F45" s="439">
        <v>45691</v>
      </c>
      <c r="G45" s="438">
        <v>20.273</v>
      </c>
    </row>
    <row r="46" spans="1:7" hidden="1">
      <c r="A46" s="315">
        <f>A45+1</f>
        <v>2</v>
      </c>
      <c r="B46" s="315" t="s">
        <v>1141</v>
      </c>
      <c r="C46" s="437">
        <v>45684</v>
      </c>
      <c r="D46" s="438">
        <v>7.9619999999999997</v>
      </c>
      <c r="E46" s="437" t="s">
        <v>1142</v>
      </c>
      <c r="F46" s="439">
        <v>45691</v>
      </c>
      <c r="G46" s="438">
        <v>7.9619999999999997</v>
      </c>
    </row>
    <row r="47" spans="1:7" hidden="1">
      <c r="A47" s="315">
        <f t="shared" ref="A47:A56" si="1">A46+1</f>
        <v>3</v>
      </c>
      <c r="B47" s="315" t="s">
        <v>1143</v>
      </c>
      <c r="C47" s="437">
        <v>45709</v>
      </c>
      <c r="D47" s="438">
        <v>3.0840000000000001</v>
      </c>
      <c r="E47" s="437" t="s">
        <v>1144</v>
      </c>
      <c r="F47" s="439">
        <v>45712</v>
      </c>
      <c r="G47" s="438">
        <v>3.0840000000000001</v>
      </c>
    </row>
    <row r="48" spans="1:7" hidden="1">
      <c r="A48" s="315">
        <f t="shared" si="1"/>
        <v>4</v>
      </c>
      <c r="B48" s="315" t="s">
        <v>1146</v>
      </c>
      <c r="C48" s="437">
        <v>45703</v>
      </c>
      <c r="D48" s="438">
        <v>19.672000000000001</v>
      </c>
      <c r="E48" s="437" t="s">
        <v>1147</v>
      </c>
      <c r="F48" s="439">
        <v>45713</v>
      </c>
      <c r="G48" s="438">
        <v>19.672000000000001</v>
      </c>
    </row>
    <row r="49" spans="1:7" hidden="1">
      <c r="A49" s="315">
        <f t="shared" si="1"/>
        <v>5</v>
      </c>
      <c r="B49" s="315" t="s">
        <v>1149</v>
      </c>
      <c r="C49" s="437">
        <v>45713</v>
      </c>
      <c r="D49" s="438">
        <v>14.016999999999999</v>
      </c>
      <c r="E49" s="437" t="s">
        <v>1150</v>
      </c>
      <c r="F49" s="439">
        <v>45715</v>
      </c>
      <c r="G49" s="438">
        <v>14.016999999999999</v>
      </c>
    </row>
    <row r="50" spans="1:7" hidden="1">
      <c r="A50" s="315">
        <f t="shared" si="1"/>
        <v>6</v>
      </c>
      <c r="B50" s="315" t="s">
        <v>1151</v>
      </c>
      <c r="C50" s="437">
        <v>45721</v>
      </c>
      <c r="D50" s="438">
        <v>9.4949999999999992</v>
      </c>
      <c r="E50" s="437" t="s">
        <v>1152</v>
      </c>
      <c r="F50" s="439">
        <v>45722</v>
      </c>
      <c r="G50" s="438">
        <v>9.4949999999999992</v>
      </c>
    </row>
    <row r="51" spans="1:7" hidden="1">
      <c r="A51" s="315">
        <f t="shared" si="1"/>
        <v>7</v>
      </c>
      <c r="B51" s="315" t="s">
        <v>1153</v>
      </c>
      <c r="C51" s="437">
        <v>45751</v>
      </c>
      <c r="D51" s="438">
        <v>8.6969999999999992</v>
      </c>
      <c r="E51" s="791" t="s">
        <v>1306</v>
      </c>
      <c r="F51" s="439">
        <v>45732</v>
      </c>
      <c r="G51" s="438">
        <v>8.6969999999999992</v>
      </c>
    </row>
    <row r="52" spans="1:7" hidden="1">
      <c r="A52" s="315">
        <f t="shared" si="1"/>
        <v>8</v>
      </c>
      <c r="B52" s="315" t="s">
        <v>1155</v>
      </c>
      <c r="C52" s="437">
        <v>45742</v>
      </c>
      <c r="D52" s="438">
        <v>14.39</v>
      </c>
      <c r="E52" s="437" t="s">
        <v>1156</v>
      </c>
      <c r="F52" s="439">
        <v>45732</v>
      </c>
      <c r="G52" s="438">
        <v>14.39</v>
      </c>
    </row>
    <row r="53" spans="1:7" hidden="1">
      <c r="A53" s="315">
        <f t="shared" si="1"/>
        <v>9</v>
      </c>
      <c r="B53" s="613" t="s">
        <v>1161</v>
      </c>
      <c r="C53" s="437">
        <v>45752</v>
      </c>
      <c r="D53" s="438">
        <v>10.894</v>
      </c>
      <c r="E53" s="437" t="s">
        <v>1162</v>
      </c>
      <c r="F53" s="438"/>
      <c r="G53" s="438"/>
    </row>
    <row r="54" spans="1:7" ht="29" hidden="1">
      <c r="A54" s="315">
        <f t="shared" si="1"/>
        <v>10</v>
      </c>
      <c r="B54" s="613" t="s">
        <v>1160</v>
      </c>
      <c r="C54" s="792" t="s">
        <v>1322</v>
      </c>
      <c r="D54" s="438">
        <v>19.57</v>
      </c>
      <c r="E54" s="791" t="s">
        <v>1326</v>
      </c>
      <c r="F54" s="438"/>
      <c r="G54" s="438"/>
    </row>
    <row r="55" spans="1:7" hidden="1">
      <c r="A55" s="315">
        <f t="shared" si="1"/>
        <v>11</v>
      </c>
      <c r="B55" s="315" t="s">
        <v>1298</v>
      </c>
      <c r="C55" s="437">
        <v>45765</v>
      </c>
      <c r="D55" s="438">
        <v>2.4740000000000002</v>
      </c>
      <c r="E55" s="437" t="s">
        <v>1299</v>
      </c>
      <c r="F55" s="438"/>
      <c r="G55" s="438"/>
    </row>
    <row r="56" spans="1:7" hidden="1">
      <c r="A56" s="315">
        <f t="shared" si="1"/>
        <v>12</v>
      </c>
      <c r="B56" s="613" t="s">
        <v>1312</v>
      </c>
      <c r="C56" s="437">
        <v>45787</v>
      </c>
      <c r="D56" s="438">
        <v>3.0840000000000001</v>
      </c>
      <c r="E56" s="437" t="s">
        <v>1313</v>
      </c>
      <c r="F56" s="438"/>
      <c r="G56" s="438"/>
    </row>
    <row r="57" spans="1:7" hidden="1">
      <c r="A57" s="315">
        <f>A56+1</f>
        <v>13</v>
      </c>
      <c r="B57" s="613" t="s">
        <v>1356</v>
      </c>
      <c r="C57" s="437">
        <v>45787</v>
      </c>
      <c r="D57" s="438">
        <v>2.2200000000000002</v>
      </c>
      <c r="E57" s="437" t="s">
        <v>1313</v>
      </c>
      <c r="F57" s="438"/>
      <c r="G57" s="438"/>
    </row>
    <row r="58" spans="1:7" hidden="1">
      <c r="A58" s="315">
        <f>A57+1</f>
        <v>14</v>
      </c>
      <c r="B58" s="793" t="s">
        <v>1353</v>
      </c>
      <c r="C58" s="437">
        <v>45802</v>
      </c>
      <c r="D58" s="438">
        <v>5.6189999999999998</v>
      </c>
      <c r="E58" s="779" t="s">
        <v>1360</v>
      </c>
      <c r="F58" s="438"/>
      <c r="G58" s="438"/>
    </row>
    <row r="59" spans="1:7" hidden="1">
      <c r="A59" s="315">
        <f>A58+1</f>
        <v>15</v>
      </c>
      <c r="B59" s="794" t="s">
        <v>1324</v>
      </c>
      <c r="C59" s="437">
        <v>45794</v>
      </c>
      <c r="D59" s="438">
        <v>3.95</v>
      </c>
      <c r="E59" s="791" t="s">
        <v>1325</v>
      </c>
      <c r="F59" s="439">
        <v>45810</v>
      </c>
      <c r="G59" s="438"/>
    </row>
    <row r="60" spans="1:7" hidden="1">
      <c r="A60" s="315">
        <f>A59+1</f>
        <v>16</v>
      </c>
      <c r="B60" s="793" t="s">
        <v>1354</v>
      </c>
      <c r="C60" s="437">
        <v>45802</v>
      </c>
      <c r="D60" s="438">
        <v>1.635</v>
      </c>
      <c r="E60" s="437" t="s">
        <v>1355</v>
      </c>
      <c r="F60" s="438"/>
      <c r="G60" s="438"/>
    </row>
    <row r="61" spans="1:7" hidden="1">
      <c r="A61" s="315">
        <f>A60+1</f>
        <v>17</v>
      </c>
      <c r="B61" s="793" t="s">
        <v>1342</v>
      </c>
      <c r="C61" s="437">
        <v>45802</v>
      </c>
      <c r="D61" s="438">
        <v>4.88</v>
      </c>
      <c r="E61" s="791"/>
      <c r="F61" s="438"/>
      <c r="G61" s="438"/>
    </row>
    <row r="62" spans="1:7" hidden="1">
      <c r="A62" s="315"/>
      <c r="B62" s="794"/>
      <c r="C62" s="437"/>
      <c r="D62" s="438"/>
      <c r="E62" s="437"/>
      <c r="F62" s="438"/>
      <c r="G62" s="438"/>
    </row>
    <row r="63" spans="1:7" hidden="1">
      <c r="A63" s="1421" t="s">
        <v>1158</v>
      </c>
      <c r="B63" s="1421"/>
      <c r="C63" s="353"/>
      <c r="D63" s="353">
        <f>SUM(D45:D61)</f>
        <v>151.91599999999997</v>
      </c>
      <c r="E63" s="353"/>
      <c r="F63" s="353"/>
      <c r="G63" s="353">
        <f>SUM(G45:G62)</f>
        <v>97.59</v>
      </c>
    </row>
    <row r="64" spans="1:7" hidden="1">
      <c r="A64" s="436"/>
      <c r="B64" s="436"/>
      <c r="C64" s="353"/>
      <c r="D64" s="353"/>
      <c r="E64" s="353"/>
      <c r="F64" s="353"/>
      <c r="G64" s="353"/>
    </row>
    <row r="65" spans="1:7">
      <c r="A65" s="1449"/>
      <c r="B65" s="1450"/>
      <c r="C65" s="1450"/>
      <c r="D65" s="1450"/>
      <c r="E65" s="1450"/>
      <c r="F65" s="1450"/>
      <c r="G65" s="1451"/>
    </row>
    <row r="66" spans="1:7" ht="15.5">
      <c r="A66" s="795"/>
      <c r="B66" s="795"/>
      <c r="C66" s="1452" t="s">
        <v>1377</v>
      </c>
      <c r="D66" s="1452"/>
      <c r="E66" s="1452"/>
      <c r="F66" s="1452"/>
      <c r="G66" s="1452"/>
    </row>
    <row r="67" spans="1:7" ht="29">
      <c r="A67" s="796" t="s">
        <v>1543</v>
      </c>
      <c r="B67" s="797" t="s">
        <v>1378</v>
      </c>
      <c r="C67" s="797" t="s">
        <v>1380</v>
      </c>
      <c r="D67" s="797" t="s">
        <v>1381</v>
      </c>
      <c r="E67" s="797" t="s">
        <v>1382</v>
      </c>
      <c r="F67" s="797" t="s">
        <v>1383</v>
      </c>
      <c r="G67" s="796" t="s">
        <v>34</v>
      </c>
    </row>
    <row r="68" spans="1:7" ht="26">
      <c r="A68" s="798">
        <v>1</v>
      </c>
      <c r="B68" s="799" t="s">
        <v>1062</v>
      </c>
      <c r="C68" s="799" t="s">
        <v>1544</v>
      </c>
      <c r="D68" s="800">
        <v>10.372999999999999</v>
      </c>
      <c r="E68" s="801"/>
      <c r="F68" s="801"/>
      <c r="G68" s="802" t="s">
        <v>1545</v>
      </c>
    </row>
    <row r="69" spans="1:7">
      <c r="A69" s="798">
        <f>A68+1</f>
        <v>2</v>
      </c>
      <c r="B69" s="803" t="s">
        <v>1062</v>
      </c>
      <c r="C69" s="803" t="s">
        <v>1424</v>
      </c>
      <c r="D69" s="804">
        <v>8.7189999999999994</v>
      </c>
      <c r="E69" s="804"/>
      <c r="F69" s="804"/>
      <c r="G69" s="805" t="s">
        <v>1576</v>
      </c>
    </row>
    <row r="70" spans="1:7" ht="27.65" customHeight="1">
      <c r="A70" s="798">
        <f>A69+1</f>
        <v>3</v>
      </c>
      <c r="B70" s="803"/>
      <c r="C70" s="618" t="s">
        <v>1387</v>
      </c>
      <c r="D70" s="806">
        <v>19.57</v>
      </c>
      <c r="E70" s="807" t="s">
        <v>1388</v>
      </c>
      <c r="F70" s="807"/>
      <c r="G70" s="805" t="s">
        <v>88</v>
      </c>
    </row>
    <row r="71" spans="1:7" ht="27.65" customHeight="1">
      <c r="A71" s="798">
        <f>A70+1</f>
        <v>4</v>
      </c>
      <c r="B71" s="808" t="s">
        <v>1068</v>
      </c>
      <c r="C71" s="803" t="s">
        <v>1500</v>
      </c>
      <c r="D71" s="798">
        <v>2.6179999999999999</v>
      </c>
      <c r="E71" s="798"/>
      <c r="F71" s="807" t="s">
        <v>1388</v>
      </c>
      <c r="G71" s="805" t="s">
        <v>1502</v>
      </c>
    </row>
    <row r="72" spans="1:7" ht="23.5" customHeight="1">
      <c r="A72" s="798">
        <f t="shared" ref="A72:A85" si="2">A71+1</f>
        <v>5</v>
      </c>
      <c r="B72" s="799" t="s">
        <v>1062</v>
      </c>
      <c r="C72" s="799" t="s">
        <v>1503</v>
      </c>
      <c r="D72" s="809">
        <v>18.193000000000001</v>
      </c>
      <c r="E72" s="809"/>
      <c r="F72" s="810"/>
      <c r="G72" s="805" t="s">
        <v>1577</v>
      </c>
    </row>
    <row r="73" spans="1:7">
      <c r="A73" s="798">
        <f t="shared" si="2"/>
        <v>6</v>
      </c>
      <c r="B73" s="803"/>
      <c r="C73" s="618" t="s">
        <v>1392</v>
      </c>
      <c r="D73" s="798">
        <v>6.6589999999999998</v>
      </c>
      <c r="E73" s="798" t="s">
        <v>1546</v>
      </c>
      <c r="F73" s="807"/>
      <c r="G73" s="811" t="s">
        <v>1422</v>
      </c>
    </row>
    <row r="74" spans="1:7">
      <c r="A74" s="798">
        <f t="shared" si="2"/>
        <v>7</v>
      </c>
      <c r="B74" s="799" t="s">
        <v>1062</v>
      </c>
      <c r="C74" s="799" t="s">
        <v>1393</v>
      </c>
      <c r="D74" s="812">
        <v>3.17</v>
      </c>
      <c r="E74" s="810"/>
      <c r="F74" s="810"/>
      <c r="G74" s="802" t="s">
        <v>1547</v>
      </c>
    </row>
    <row r="75" spans="1:7">
      <c r="A75" s="798">
        <f t="shared" si="2"/>
        <v>8</v>
      </c>
      <c r="B75" s="803"/>
      <c r="C75" s="618" t="s">
        <v>1396</v>
      </c>
      <c r="D75" s="813">
        <v>1.05</v>
      </c>
      <c r="E75" s="807" t="s">
        <v>1546</v>
      </c>
      <c r="F75" s="807"/>
      <c r="G75" s="805" t="s">
        <v>1422</v>
      </c>
    </row>
    <row r="76" spans="1:7">
      <c r="A76" s="798">
        <f t="shared" si="2"/>
        <v>9</v>
      </c>
      <c r="B76" s="1453"/>
      <c r="C76" s="618" t="s">
        <v>1397</v>
      </c>
      <c r="D76" s="798">
        <v>7.9619999999999997</v>
      </c>
      <c r="E76" s="807" t="s">
        <v>1546</v>
      </c>
      <c r="F76" s="798"/>
      <c r="G76" s="805" t="s">
        <v>88</v>
      </c>
    </row>
    <row r="77" spans="1:7">
      <c r="A77" s="798">
        <f t="shared" si="2"/>
        <v>10</v>
      </c>
      <c r="B77" s="1454"/>
      <c r="C77" s="618" t="s">
        <v>1399</v>
      </c>
      <c r="D77" s="798">
        <v>19.567</v>
      </c>
      <c r="E77" s="807" t="s">
        <v>1546</v>
      </c>
      <c r="F77" s="798"/>
      <c r="G77" s="805" t="s">
        <v>88</v>
      </c>
    </row>
    <row r="78" spans="1:7">
      <c r="A78" s="798">
        <f t="shared" si="2"/>
        <v>11</v>
      </c>
      <c r="B78" s="1454"/>
      <c r="C78" s="618" t="s">
        <v>1400</v>
      </c>
      <c r="D78" s="798">
        <v>20.273</v>
      </c>
      <c r="E78" s="807" t="s">
        <v>1546</v>
      </c>
      <c r="F78" s="798"/>
      <c r="G78" s="805" t="s">
        <v>88</v>
      </c>
    </row>
    <row r="79" spans="1:7">
      <c r="A79" s="798">
        <f t="shared" si="2"/>
        <v>12</v>
      </c>
      <c r="B79" s="1454"/>
      <c r="C79" s="618" t="s">
        <v>1401</v>
      </c>
      <c r="D79" s="798">
        <v>3.0840000000000001</v>
      </c>
      <c r="E79" s="807" t="s">
        <v>1546</v>
      </c>
      <c r="F79" s="798"/>
      <c r="G79" s="805" t="s">
        <v>88</v>
      </c>
    </row>
    <row r="80" spans="1:7">
      <c r="A80" s="798">
        <f t="shared" si="2"/>
        <v>13</v>
      </c>
      <c r="B80" s="1454"/>
      <c r="C80" s="618" t="s">
        <v>1402</v>
      </c>
      <c r="D80" s="798">
        <v>14.119</v>
      </c>
      <c r="E80" s="807" t="s">
        <v>1546</v>
      </c>
      <c r="F80" s="798"/>
      <c r="G80" s="805" t="s">
        <v>88</v>
      </c>
    </row>
    <row r="81" spans="1:7">
      <c r="A81" s="798">
        <f t="shared" si="2"/>
        <v>14</v>
      </c>
      <c r="B81" s="1454"/>
      <c r="C81" s="618" t="s">
        <v>1403</v>
      </c>
      <c r="D81" s="798">
        <v>9.4949999999999992</v>
      </c>
      <c r="E81" s="807" t="s">
        <v>1546</v>
      </c>
      <c r="F81" s="798"/>
      <c r="G81" s="805" t="s">
        <v>88</v>
      </c>
    </row>
    <row r="82" spans="1:7">
      <c r="A82" s="798">
        <f t="shared" si="2"/>
        <v>15</v>
      </c>
      <c r="B82" s="1455"/>
      <c r="C82" s="618" t="s">
        <v>1404</v>
      </c>
      <c r="D82" s="798">
        <v>8.6940000000000008</v>
      </c>
      <c r="E82" s="807" t="s">
        <v>1546</v>
      </c>
      <c r="F82" s="798"/>
      <c r="G82" s="805" t="s">
        <v>88</v>
      </c>
    </row>
    <row r="83" spans="1:7">
      <c r="A83" s="798">
        <f t="shared" si="2"/>
        <v>16</v>
      </c>
      <c r="B83" s="803" t="s">
        <v>1062</v>
      </c>
      <c r="C83" s="618" t="s">
        <v>1427</v>
      </c>
      <c r="D83" s="798">
        <v>12.558999999999999</v>
      </c>
      <c r="E83" s="807" t="s">
        <v>1546</v>
      </c>
      <c r="F83" s="807"/>
      <c r="G83" s="805" t="s">
        <v>88</v>
      </c>
    </row>
    <row r="84" spans="1:7">
      <c r="A84" s="798">
        <f t="shared" si="2"/>
        <v>17</v>
      </c>
      <c r="B84" s="803" t="s">
        <v>1062</v>
      </c>
      <c r="C84" s="618" t="s">
        <v>1409</v>
      </c>
      <c r="D84" s="798">
        <v>14.391</v>
      </c>
      <c r="E84" s="807" t="s">
        <v>1546</v>
      </c>
      <c r="F84" s="798"/>
      <c r="G84" s="805" t="s">
        <v>88</v>
      </c>
    </row>
    <row r="85" spans="1:7">
      <c r="A85" s="798">
        <f t="shared" si="2"/>
        <v>18</v>
      </c>
      <c r="B85" s="803" t="s">
        <v>1062</v>
      </c>
      <c r="C85" s="618" t="s">
        <v>1548</v>
      </c>
      <c r="D85" s="555">
        <v>6.3209999999999997</v>
      </c>
      <c r="E85" s="807" t="s">
        <v>1546</v>
      </c>
      <c r="F85" s="807"/>
      <c r="G85" s="805" t="s">
        <v>88</v>
      </c>
    </row>
    <row r="86" spans="1:7">
      <c r="A86" s="798">
        <v>19</v>
      </c>
      <c r="B86" s="808" t="s">
        <v>1068</v>
      </c>
      <c r="C86" s="803" t="s">
        <v>1549</v>
      </c>
      <c r="D86" s="555">
        <v>0.38900000000000001</v>
      </c>
      <c r="E86" s="807"/>
      <c r="F86" s="814" t="s">
        <v>1546</v>
      </c>
      <c r="G86" s="805"/>
    </row>
    <row r="87" spans="1:7">
      <c r="A87" s="798">
        <v>20</v>
      </c>
      <c r="B87" s="799" t="s">
        <v>1062</v>
      </c>
      <c r="C87" s="799" t="s">
        <v>1550</v>
      </c>
      <c r="D87" s="815">
        <v>0.22</v>
      </c>
      <c r="E87" s="810"/>
      <c r="F87" s="816"/>
      <c r="G87" s="802" t="s">
        <v>1551</v>
      </c>
    </row>
    <row r="88" spans="1:7">
      <c r="A88" s="798">
        <v>21</v>
      </c>
      <c r="B88" s="817" t="s">
        <v>1068</v>
      </c>
      <c r="C88" s="803" t="s">
        <v>1552</v>
      </c>
      <c r="D88" s="818">
        <v>0.56999999999999995</v>
      </c>
      <c r="E88" s="807"/>
      <c r="F88" s="814" t="s">
        <v>1546</v>
      </c>
      <c r="G88" s="805" t="s">
        <v>1553</v>
      </c>
    </row>
    <row r="89" spans="1:7">
      <c r="A89" s="1431"/>
      <c r="B89" s="1432"/>
      <c r="C89" s="796" t="s">
        <v>1416</v>
      </c>
      <c r="D89" s="796">
        <f>SUM(D68:D88)</f>
        <v>187.99599999999998</v>
      </c>
      <c r="E89" s="1433"/>
      <c r="F89" s="1434"/>
      <c r="G89" s="1435"/>
    </row>
    <row r="90" spans="1:7">
      <c r="A90" s="1462"/>
      <c r="B90" s="1462"/>
      <c r="C90" s="1462"/>
      <c r="D90" s="1462"/>
      <c r="E90" s="1462"/>
      <c r="F90" s="1462"/>
      <c r="G90" s="1462"/>
    </row>
    <row r="91" spans="1:7" hidden="1">
      <c r="A91" s="819"/>
      <c r="B91" s="820"/>
      <c r="C91" s="820"/>
      <c r="D91" s="821"/>
      <c r="E91" s="822">
        <v>2.6179999999999999</v>
      </c>
      <c r="F91" s="823" t="s">
        <v>1415</v>
      </c>
      <c r="G91" s="819"/>
    </row>
    <row r="92" spans="1:7" ht="18.5">
      <c r="A92" s="1463" t="s">
        <v>1416</v>
      </c>
      <c r="B92" s="1463"/>
      <c r="C92" s="1463"/>
      <c r="D92" s="1463"/>
      <c r="E92" s="824">
        <f>D89</f>
        <v>187.99599999999998</v>
      </c>
      <c r="F92" s="820"/>
      <c r="G92" s="819"/>
    </row>
    <row r="93" spans="1:7" ht="18.5">
      <c r="A93" s="1463" t="s">
        <v>1554</v>
      </c>
      <c r="B93" s="1463"/>
      <c r="C93" s="1463"/>
      <c r="D93" s="1463"/>
      <c r="E93" s="825">
        <f>E92-E96</f>
        <v>156.04</v>
      </c>
      <c r="F93" s="820"/>
      <c r="G93" s="819"/>
    </row>
    <row r="94" spans="1:7" ht="18.5">
      <c r="A94" s="1463" t="s">
        <v>1555</v>
      </c>
      <c r="B94" s="1463"/>
      <c r="C94" s="1463"/>
      <c r="D94" s="1463"/>
      <c r="E94" s="826">
        <f>E93-E95</f>
        <v>152.46299999999999</v>
      </c>
      <c r="F94" s="820"/>
      <c r="G94" s="819"/>
    </row>
    <row r="95" spans="1:7" ht="18.5">
      <c r="A95" s="1464" t="s">
        <v>1556</v>
      </c>
      <c r="B95" s="1464"/>
      <c r="C95" s="1464"/>
      <c r="D95" s="1464"/>
      <c r="E95" s="827">
        <v>3.577</v>
      </c>
      <c r="F95" s="820"/>
      <c r="G95" s="819"/>
    </row>
    <row r="96" spans="1:7" ht="18.5">
      <c r="A96" s="1463" t="s">
        <v>1557</v>
      </c>
      <c r="B96" s="1463"/>
      <c r="C96" s="1463"/>
      <c r="D96" s="1463"/>
      <c r="E96" s="826">
        <v>31.956</v>
      </c>
      <c r="F96" s="820"/>
      <c r="G96" s="819"/>
    </row>
    <row r="98" spans="2:7" ht="15" thickBot="1">
      <c r="B98" s="1456" t="s">
        <v>1377</v>
      </c>
      <c r="C98" s="1457"/>
      <c r="D98" s="1457"/>
      <c r="E98" s="1457"/>
      <c r="F98" s="1457"/>
      <c r="G98" s="1457"/>
    </row>
    <row r="99" spans="2:7" ht="29.5" thickBot="1">
      <c r="B99" s="590" t="s">
        <v>1379</v>
      </c>
      <c r="C99" s="591" t="s">
        <v>1380</v>
      </c>
      <c r="D99" s="591" t="s">
        <v>1381</v>
      </c>
      <c r="E99" s="591" t="s">
        <v>88</v>
      </c>
      <c r="F99" s="591" t="s">
        <v>1428</v>
      </c>
      <c r="G99" s="591" t="s">
        <v>34</v>
      </c>
    </row>
    <row r="100" spans="2:7" ht="29.5" thickBot="1">
      <c r="B100" s="592">
        <v>1</v>
      </c>
      <c r="C100" s="593" t="s">
        <v>1385</v>
      </c>
      <c r="D100" s="594">
        <v>18.116</v>
      </c>
      <c r="E100" s="595"/>
      <c r="F100" s="595" t="s">
        <v>1429</v>
      </c>
      <c r="G100" s="596" t="s">
        <v>1430</v>
      </c>
    </row>
    <row r="101" spans="2:7" ht="15" thickBot="1">
      <c r="B101" s="592">
        <v>2</v>
      </c>
      <c r="C101" s="593" t="s">
        <v>1387</v>
      </c>
      <c r="D101" s="594">
        <v>19.57</v>
      </c>
      <c r="E101" s="594"/>
      <c r="F101" s="595" t="s">
        <v>1431</v>
      </c>
      <c r="G101" s="596" t="s">
        <v>1432</v>
      </c>
    </row>
    <row r="102" spans="2:7" ht="44" thickBot="1">
      <c r="B102" s="592">
        <v>3</v>
      </c>
      <c r="C102" s="593" t="s">
        <v>1390</v>
      </c>
      <c r="D102" s="594">
        <v>20.811</v>
      </c>
      <c r="E102" s="594"/>
      <c r="F102" s="595" t="s">
        <v>1429</v>
      </c>
      <c r="G102" s="596" t="s">
        <v>1433</v>
      </c>
    </row>
    <row r="103" spans="2:7" ht="29.5" thickBot="1">
      <c r="B103" s="1458">
        <v>4</v>
      </c>
      <c r="C103" s="593" t="s">
        <v>1434</v>
      </c>
      <c r="D103" s="1460">
        <v>10.894</v>
      </c>
      <c r="E103" s="594"/>
      <c r="F103" s="595" t="s">
        <v>1431</v>
      </c>
      <c r="G103" s="596" t="s">
        <v>1435</v>
      </c>
    </row>
    <row r="104" spans="2:7" ht="29.5" thickBot="1">
      <c r="B104" s="1459"/>
      <c r="C104" s="593" t="s">
        <v>1436</v>
      </c>
      <c r="D104" s="1461"/>
      <c r="E104" s="594"/>
      <c r="F104" s="595" t="s">
        <v>1429</v>
      </c>
      <c r="G104" s="596" t="s">
        <v>1437</v>
      </c>
    </row>
    <row r="105" spans="2:7" ht="15" thickBot="1">
      <c r="B105" s="592">
        <v>5</v>
      </c>
      <c r="C105" s="593" t="s">
        <v>1397</v>
      </c>
      <c r="D105" s="594">
        <v>7.9619999999999997</v>
      </c>
      <c r="E105" s="597">
        <v>45691</v>
      </c>
      <c r="F105" s="594"/>
      <c r="G105" s="596"/>
    </row>
    <row r="106" spans="2:7" ht="15" thickBot="1">
      <c r="B106" s="592">
        <v>6</v>
      </c>
      <c r="C106" s="593" t="s">
        <v>1399</v>
      </c>
      <c r="D106" s="594">
        <v>19.567</v>
      </c>
      <c r="E106" s="597">
        <v>45713</v>
      </c>
      <c r="F106" s="594"/>
      <c r="G106" s="596"/>
    </row>
    <row r="107" spans="2:7" ht="15" thickBot="1">
      <c r="B107" s="592">
        <v>7</v>
      </c>
      <c r="C107" s="593" t="s">
        <v>1400</v>
      </c>
      <c r="D107" s="594">
        <v>20.273</v>
      </c>
      <c r="E107" s="597">
        <v>45691</v>
      </c>
      <c r="F107" s="594"/>
      <c r="G107" s="596"/>
    </row>
    <row r="108" spans="2:7" ht="15" thickBot="1">
      <c r="B108" s="592">
        <v>8</v>
      </c>
      <c r="C108" s="593" t="s">
        <v>1401</v>
      </c>
      <c r="D108" s="594">
        <v>3.0840000000000001</v>
      </c>
      <c r="E108" s="597">
        <v>45712</v>
      </c>
      <c r="F108" s="594"/>
      <c r="G108" s="596"/>
    </row>
    <row r="109" spans="2:7" ht="15" thickBot="1">
      <c r="B109" s="592">
        <v>9</v>
      </c>
      <c r="C109" s="593" t="s">
        <v>1402</v>
      </c>
      <c r="D109" s="594">
        <v>14.016999999999999</v>
      </c>
      <c r="E109" s="597">
        <v>45715</v>
      </c>
      <c r="F109" s="594"/>
      <c r="G109" s="596"/>
    </row>
    <row r="110" spans="2:7" ht="15" thickBot="1">
      <c r="B110" s="592">
        <v>10</v>
      </c>
      <c r="C110" s="593" t="s">
        <v>1403</v>
      </c>
      <c r="D110" s="594">
        <v>9.4949999999999992</v>
      </c>
      <c r="E110" s="597">
        <v>45722</v>
      </c>
      <c r="F110" s="594"/>
      <c r="G110" s="596"/>
    </row>
    <row r="111" spans="2:7" ht="15" thickBot="1">
      <c r="B111" s="592">
        <v>11</v>
      </c>
      <c r="C111" s="593" t="s">
        <v>1404</v>
      </c>
      <c r="D111" s="594">
        <v>8.6940000000000008</v>
      </c>
      <c r="E111" s="597">
        <v>45763</v>
      </c>
      <c r="F111" s="594"/>
      <c r="G111" s="596"/>
    </row>
    <row r="112" spans="2:7" ht="15" thickBot="1">
      <c r="B112" s="592">
        <v>12</v>
      </c>
      <c r="C112" s="593" t="s">
        <v>1405</v>
      </c>
      <c r="D112" s="594">
        <v>3.0840000000000001</v>
      </c>
      <c r="E112" s="594"/>
      <c r="F112" s="595" t="s">
        <v>1429</v>
      </c>
      <c r="G112" s="594" t="s">
        <v>1438</v>
      </c>
    </row>
    <row r="113" spans="2:7" ht="15" thickBot="1">
      <c r="B113" s="592">
        <v>13</v>
      </c>
      <c r="C113" s="593" t="s">
        <v>1407</v>
      </c>
      <c r="D113" s="594">
        <v>5.6189999999999998</v>
      </c>
      <c r="E113" s="593"/>
      <c r="F113" s="595" t="s">
        <v>1429</v>
      </c>
      <c r="G113" s="594" t="s">
        <v>1438</v>
      </c>
    </row>
    <row r="114" spans="2:7" ht="15" thickBot="1">
      <c r="B114" s="592">
        <v>14</v>
      </c>
      <c r="C114" s="593" t="s">
        <v>1408</v>
      </c>
      <c r="D114" s="594">
        <v>3.8559999999999999</v>
      </c>
      <c r="E114" s="594"/>
      <c r="F114" s="595" t="s">
        <v>1429</v>
      </c>
      <c r="G114" s="594" t="s">
        <v>1438</v>
      </c>
    </row>
    <row r="115" spans="2:7" ht="15" thickBot="1">
      <c r="B115" s="592">
        <v>15</v>
      </c>
      <c r="C115" s="593" t="s">
        <v>1409</v>
      </c>
      <c r="D115" s="594">
        <v>14.391</v>
      </c>
      <c r="E115" s="597">
        <v>45763</v>
      </c>
      <c r="F115" s="594"/>
      <c r="G115" s="596"/>
    </row>
    <row r="116" spans="2:7" ht="15" thickBot="1">
      <c r="B116" s="592">
        <v>16</v>
      </c>
      <c r="C116" s="593" t="s">
        <v>1410</v>
      </c>
      <c r="D116" s="594">
        <v>5.2679999999999998</v>
      </c>
      <c r="E116" s="594"/>
      <c r="F116" s="595" t="s">
        <v>1431</v>
      </c>
      <c r="G116" s="596" t="s">
        <v>1432</v>
      </c>
    </row>
    <row r="117" spans="2:7" ht="26.5" thickBot="1">
      <c r="B117" s="592">
        <v>17</v>
      </c>
      <c r="C117" s="593" t="s">
        <v>1412</v>
      </c>
      <c r="D117" s="594">
        <v>2.4740000000000002</v>
      </c>
      <c r="E117" s="597">
        <v>45765</v>
      </c>
      <c r="F117" s="595" t="s">
        <v>1439</v>
      </c>
      <c r="G117" s="594" t="s">
        <v>1440</v>
      </c>
    </row>
    <row r="118" spans="2:7">
      <c r="B118" s="598"/>
      <c r="C118" s="599" t="s">
        <v>481</v>
      </c>
      <c r="D118" s="600">
        <v>187.17500000000001</v>
      </c>
      <c r="E118" s="598"/>
      <c r="F118" s="598"/>
      <c r="G118" s="59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468" t="s">
        <v>78</v>
      </c>
      <c r="B1" s="1469"/>
      <c r="C1" s="1469"/>
      <c r="D1" s="1469"/>
      <c r="E1" s="1469"/>
      <c r="F1" s="1469"/>
      <c r="G1" s="1469"/>
      <c r="H1" s="1469"/>
      <c r="I1" s="1469"/>
      <c r="J1" s="1469"/>
      <c r="K1" s="1469"/>
      <c r="L1" s="1469"/>
      <c r="M1" s="1469"/>
      <c r="N1" s="1469"/>
      <c r="O1" s="1469"/>
      <c r="P1" s="1469"/>
      <c r="Q1" s="1469"/>
      <c r="R1" s="1469"/>
      <c r="S1" s="1469"/>
      <c r="T1" s="1469"/>
      <c r="U1" s="1469"/>
      <c r="V1" s="1469"/>
      <c r="W1" s="1469"/>
      <c r="X1" s="1469"/>
      <c r="Y1" s="1469"/>
      <c r="Z1" s="1469"/>
      <c r="AA1" s="1469"/>
      <c r="AB1" s="1469"/>
      <c r="AC1" s="1469"/>
      <c r="AD1" s="1469"/>
      <c r="AE1" s="1470"/>
    </row>
    <row r="2" spans="1:31" ht="15.5">
      <c r="A2" s="1471" t="s">
        <v>79</v>
      </c>
      <c r="B2" s="1472"/>
      <c r="C2" s="1472"/>
      <c r="D2" s="1472"/>
      <c r="E2" s="1472"/>
      <c r="F2" s="1472"/>
      <c r="G2" s="1472"/>
      <c r="H2" s="1472"/>
      <c r="I2" s="1472"/>
      <c r="J2" s="1472"/>
      <c r="K2" s="1472"/>
      <c r="L2" s="1472"/>
      <c r="M2" s="1472"/>
      <c r="N2" s="1472"/>
      <c r="O2" s="1472"/>
      <c r="P2" s="1472"/>
      <c r="Q2" s="1472"/>
      <c r="R2" s="1472"/>
      <c r="S2" s="1472"/>
      <c r="T2" s="1472"/>
      <c r="U2" s="1472"/>
      <c r="V2" s="1472"/>
      <c r="W2" s="1472"/>
      <c r="X2" s="1472"/>
      <c r="Y2" s="1472"/>
      <c r="Z2" s="1472"/>
      <c r="AA2" s="1472"/>
      <c r="AB2" s="1472"/>
      <c r="AC2" s="1472"/>
      <c r="AD2" s="1472"/>
      <c r="AE2" s="1473"/>
    </row>
    <row r="3" spans="1:31" ht="15.5">
      <c r="A3" s="1474" t="s">
        <v>80</v>
      </c>
      <c r="B3" s="1475"/>
      <c r="C3" s="1475"/>
      <c r="D3" s="1475"/>
      <c r="E3" s="1475"/>
      <c r="F3" s="1475"/>
      <c r="G3" s="1475"/>
      <c r="H3" s="1475"/>
      <c r="I3" s="1475"/>
      <c r="J3" s="1475"/>
      <c r="K3" s="1475"/>
      <c r="L3" s="1475"/>
      <c r="M3" s="1475"/>
      <c r="N3" s="1475"/>
      <c r="O3" s="1475"/>
      <c r="P3" s="1475"/>
      <c r="Q3" s="1475"/>
      <c r="R3" s="1475"/>
      <c r="S3" s="1475"/>
      <c r="T3" s="1475"/>
      <c r="U3" s="1475"/>
      <c r="V3" s="1475"/>
      <c r="W3" s="1475"/>
      <c r="X3" s="1475"/>
      <c r="Y3" s="1475"/>
      <c r="Z3" s="1475"/>
      <c r="AA3" s="1475"/>
      <c r="AB3" s="1475"/>
      <c r="AC3" s="1475"/>
      <c r="AD3" s="1475"/>
      <c r="AE3" s="1476"/>
    </row>
    <row r="4" spans="1:31" ht="18.5">
      <c r="A4" s="1477" t="s">
        <v>81</v>
      </c>
      <c r="B4" s="1478"/>
      <c r="C4" s="1478"/>
      <c r="D4" s="1478"/>
      <c r="E4" s="1478"/>
      <c r="F4" s="1478"/>
      <c r="G4" s="1478"/>
      <c r="H4" s="1478"/>
      <c r="I4" s="1478"/>
      <c r="J4" s="1478"/>
      <c r="K4" s="1478"/>
      <c r="L4" s="1478"/>
      <c r="M4" s="1478"/>
      <c r="N4" s="1478"/>
      <c r="O4" s="1478"/>
      <c r="P4" s="1478"/>
      <c r="Q4" s="1478"/>
      <c r="R4" s="1478"/>
      <c r="S4" s="1478"/>
      <c r="T4" s="1478"/>
      <c r="U4" s="1478"/>
      <c r="V4" s="1478"/>
      <c r="W4" s="1478"/>
      <c r="X4" s="1478"/>
      <c r="Y4" s="1478"/>
      <c r="Z4" s="1478"/>
      <c r="AA4" s="1478"/>
      <c r="AB4" s="1478"/>
      <c r="AC4" s="1478"/>
      <c r="AD4" s="1478"/>
      <c r="AE4" s="1479"/>
    </row>
    <row r="5" spans="1:31" ht="29" hidden="1">
      <c r="A5" s="352" t="s">
        <v>82</v>
      </c>
      <c r="B5" s="352" t="s">
        <v>83</v>
      </c>
      <c r="C5" s="352" t="s">
        <v>84</v>
      </c>
      <c r="D5" s="352" t="s">
        <v>85</v>
      </c>
      <c r="E5" s="352" t="s">
        <v>86</v>
      </c>
      <c r="F5" s="352" t="s">
        <v>34</v>
      </c>
    </row>
    <row r="6" spans="1:31" hidden="1">
      <c r="A6" s="76">
        <v>1</v>
      </c>
      <c r="B6" s="76" t="s">
        <v>87</v>
      </c>
      <c r="C6" s="76">
        <v>2.653</v>
      </c>
      <c r="D6" s="1445">
        <v>45684</v>
      </c>
      <c r="E6" s="1445">
        <v>45691</v>
      </c>
      <c r="F6" s="76" t="s">
        <v>88</v>
      </c>
    </row>
    <row r="7" spans="1:31" hidden="1">
      <c r="A7" s="76">
        <f>A6+1</f>
        <v>2</v>
      </c>
      <c r="B7" s="76" t="s">
        <v>89</v>
      </c>
      <c r="C7" s="76">
        <v>5.31</v>
      </c>
      <c r="D7" s="1448"/>
      <c r="E7" s="1448"/>
      <c r="F7" s="76" t="s">
        <v>88</v>
      </c>
    </row>
    <row r="8" spans="1:31" ht="43.5" hidden="1">
      <c r="A8" s="76">
        <f t="shared" ref="A8:A32" si="0">A7+1</f>
        <v>3</v>
      </c>
      <c r="B8" s="76" t="s">
        <v>90</v>
      </c>
      <c r="C8" s="76">
        <v>19.672000000000001</v>
      </c>
      <c r="D8" s="510" t="s">
        <v>1125</v>
      </c>
      <c r="E8" s="509">
        <v>45713</v>
      </c>
      <c r="F8" s="76" t="s">
        <v>88</v>
      </c>
      <c r="G8" s="511" t="s">
        <v>91</v>
      </c>
      <c r="H8" s="362" t="s">
        <v>92</v>
      </c>
      <c r="I8" s="76">
        <f>G63</f>
        <v>97.59</v>
      </c>
      <c r="J8" s="76"/>
      <c r="K8" s="76"/>
      <c r="L8" s="76"/>
      <c r="M8" s="76"/>
    </row>
    <row r="9" spans="1:31" hidden="1">
      <c r="A9" s="76">
        <f t="shared" si="0"/>
        <v>4</v>
      </c>
      <c r="B9" s="76" t="s">
        <v>93</v>
      </c>
      <c r="C9" s="76">
        <v>20.273</v>
      </c>
      <c r="D9" s="512">
        <v>45657</v>
      </c>
      <c r="E9" s="509">
        <v>45691</v>
      </c>
      <c r="F9" s="76" t="s">
        <v>88</v>
      </c>
      <c r="H9" s="362"/>
      <c r="I9" s="76"/>
      <c r="J9" s="76"/>
      <c r="K9" s="76"/>
      <c r="L9" s="76"/>
      <c r="M9" s="76"/>
    </row>
    <row r="10" spans="1:31" ht="29" hidden="1">
      <c r="A10" s="76">
        <f t="shared" si="0"/>
        <v>5</v>
      </c>
      <c r="B10" s="76" t="s">
        <v>94</v>
      </c>
      <c r="C10" s="76">
        <v>3.0840000000000001</v>
      </c>
      <c r="D10" s="513" t="s">
        <v>1124</v>
      </c>
      <c r="E10" s="509">
        <v>45712</v>
      </c>
      <c r="F10" s="76" t="s">
        <v>88</v>
      </c>
      <c r="H10" s="362" t="s">
        <v>95</v>
      </c>
      <c r="I10" s="554">
        <f>D63</f>
        <v>151.91599999999997</v>
      </c>
      <c r="J10" s="76"/>
      <c r="K10" s="76"/>
      <c r="L10" s="76"/>
      <c r="M10" s="76"/>
    </row>
    <row r="11" spans="1:31" hidden="1">
      <c r="A11" s="76">
        <f t="shared" si="0"/>
        <v>6</v>
      </c>
      <c r="B11" s="76" t="s">
        <v>96</v>
      </c>
      <c r="C11" s="76">
        <v>1.0629999999999999</v>
      </c>
      <c r="D11" s="512">
        <v>45713</v>
      </c>
      <c r="E11" s="1445">
        <v>45715</v>
      </c>
      <c r="F11" s="76" t="s">
        <v>88</v>
      </c>
      <c r="H11" s="529"/>
      <c r="I11" s="76"/>
      <c r="J11" s="362"/>
      <c r="K11" s="76"/>
      <c r="L11" s="76"/>
      <c r="M11" s="76"/>
    </row>
    <row r="12" spans="1:31" hidden="1">
      <c r="A12" s="76">
        <f>A11+1</f>
        <v>7</v>
      </c>
      <c r="B12" s="76" t="s">
        <v>97</v>
      </c>
      <c r="C12" s="76">
        <v>2.09</v>
      </c>
      <c r="D12" s="512">
        <v>45713</v>
      </c>
      <c r="E12" s="1447"/>
      <c r="F12" s="76" t="s">
        <v>88</v>
      </c>
    </row>
    <row r="13" spans="1:31" hidden="1">
      <c r="A13" s="76">
        <f t="shared" si="0"/>
        <v>8</v>
      </c>
      <c r="B13" s="76" t="s">
        <v>98</v>
      </c>
      <c r="C13" s="76">
        <v>3.8929999999999998</v>
      </c>
      <c r="D13" s="512">
        <v>45713</v>
      </c>
      <c r="E13" s="1447"/>
      <c r="F13" s="76" t="s">
        <v>88</v>
      </c>
    </row>
    <row r="14" spans="1:31" hidden="1">
      <c r="A14" s="76">
        <f t="shared" si="0"/>
        <v>9</v>
      </c>
      <c r="B14" s="76" t="s">
        <v>99</v>
      </c>
      <c r="C14" s="76">
        <v>6.9710000000000001</v>
      </c>
      <c r="D14" s="512">
        <v>45713</v>
      </c>
      <c r="E14" s="1448"/>
      <c r="F14" s="76" t="s">
        <v>88</v>
      </c>
    </row>
    <row r="15" spans="1:31" hidden="1">
      <c r="A15" s="76">
        <f t="shared" si="0"/>
        <v>10</v>
      </c>
      <c r="B15" s="76" t="s">
        <v>100</v>
      </c>
      <c r="C15" s="76">
        <v>9.4949999999999992</v>
      </c>
      <c r="D15" s="512">
        <v>45721</v>
      </c>
      <c r="E15" s="509">
        <v>45722</v>
      </c>
      <c r="F15" s="76" t="s">
        <v>88</v>
      </c>
    </row>
    <row r="16" spans="1:31" ht="43.5" hidden="1">
      <c r="A16" s="76">
        <f t="shared" si="0"/>
        <v>11</v>
      </c>
      <c r="B16" s="76" t="s">
        <v>101</v>
      </c>
      <c r="C16" s="76">
        <v>8.6969999999999992</v>
      </c>
      <c r="D16" s="510" t="s">
        <v>1126</v>
      </c>
      <c r="E16" s="76"/>
      <c r="F16" s="76" t="s">
        <v>95</v>
      </c>
      <c r="G16" s="514" t="s">
        <v>1159</v>
      </c>
    </row>
    <row r="17" spans="1:14" hidden="1">
      <c r="A17" s="76">
        <f t="shared" si="0"/>
        <v>12</v>
      </c>
      <c r="B17" s="76" t="s">
        <v>102</v>
      </c>
      <c r="C17" s="76">
        <v>3.0840000000000001</v>
      </c>
      <c r="D17" s="76"/>
      <c r="E17" s="76"/>
      <c r="F17" s="537" t="s">
        <v>95</v>
      </c>
    </row>
    <row r="18" spans="1:14" hidden="1">
      <c r="A18" s="76">
        <f t="shared" si="0"/>
        <v>13</v>
      </c>
      <c r="B18" s="66" t="s">
        <v>104</v>
      </c>
      <c r="C18" s="76">
        <v>3.9630000000000001</v>
      </c>
      <c r="D18" s="76"/>
      <c r="E18" s="76"/>
      <c r="F18" s="537" t="s">
        <v>95</v>
      </c>
      <c r="G18" s="361"/>
      <c r="H18" s="1480"/>
    </row>
    <row r="19" spans="1:14" hidden="1">
      <c r="A19" s="76">
        <f t="shared" si="0"/>
        <v>14</v>
      </c>
      <c r="B19" s="545" t="s">
        <v>1115</v>
      </c>
      <c r="C19" s="76">
        <v>1.6559999999999999</v>
      </c>
      <c r="D19" s="76"/>
      <c r="E19" s="76"/>
      <c r="F19" s="537" t="s">
        <v>95</v>
      </c>
      <c r="G19" s="361"/>
      <c r="H19" s="1480"/>
    </row>
    <row r="20" spans="1:14" hidden="1">
      <c r="A20" s="76">
        <f t="shared" si="0"/>
        <v>15</v>
      </c>
      <c r="B20" s="545" t="s">
        <v>1116</v>
      </c>
      <c r="C20" s="76">
        <v>1.635</v>
      </c>
      <c r="D20" s="76"/>
      <c r="E20" s="76"/>
      <c r="F20" s="537" t="s">
        <v>95</v>
      </c>
    </row>
    <row r="21" spans="1:14" hidden="1">
      <c r="A21" s="76">
        <f t="shared" si="0"/>
        <v>16</v>
      </c>
      <c r="B21" s="76" t="s">
        <v>1112</v>
      </c>
      <c r="C21" s="76">
        <v>2.2210000000000001</v>
      </c>
      <c r="D21" s="76"/>
      <c r="E21" s="76"/>
      <c r="F21" s="537" t="s">
        <v>95</v>
      </c>
    </row>
    <row r="22" spans="1:14" ht="58" hidden="1">
      <c r="A22" s="76">
        <f t="shared" si="0"/>
        <v>17</v>
      </c>
      <c r="B22" s="76" t="s">
        <v>1111</v>
      </c>
      <c r="C22" s="76">
        <v>10.724</v>
      </c>
      <c r="D22" s="551" t="s">
        <v>1340</v>
      </c>
      <c r="E22" s="76"/>
      <c r="F22" s="76" t="s">
        <v>95</v>
      </c>
      <c r="G22" s="514" t="s">
        <v>1159</v>
      </c>
    </row>
    <row r="23" spans="1:14" ht="56.5" hidden="1" customHeight="1">
      <c r="A23" s="76">
        <f t="shared" si="0"/>
        <v>18</v>
      </c>
      <c r="B23" s="515" t="s">
        <v>1109</v>
      </c>
      <c r="C23" s="76">
        <v>3.6659999999999999</v>
      </c>
      <c r="D23" s="551" t="s">
        <v>1341</v>
      </c>
      <c r="E23" s="76"/>
      <c r="F23" s="76" t="s">
        <v>95</v>
      </c>
      <c r="G23" s="514" t="s">
        <v>1159</v>
      </c>
      <c r="M23" s="429" t="s">
        <v>1114</v>
      </c>
      <c r="N23" s="46">
        <f>187.176-M11</f>
        <v>187.17599999999999</v>
      </c>
    </row>
    <row r="24" spans="1:14" hidden="1">
      <c r="A24" s="76">
        <f t="shared" si="0"/>
        <v>19</v>
      </c>
      <c r="B24" s="553" t="s">
        <v>1350</v>
      </c>
      <c r="C24" s="530">
        <v>4.88</v>
      </c>
      <c r="D24" s="76"/>
      <c r="E24" s="76"/>
      <c r="F24" s="552" t="s">
        <v>95</v>
      </c>
    </row>
    <row r="25" spans="1:14" hidden="1">
      <c r="A25" s="76">
        <f t="shared" si="0"/>
        <v>20</v>
      </c>
      <c r="B25" s="522" t="s">
        <v>1300</v>
      </c>
      <c r="C25" s="76">
        <v>2.4740000000000002</v>
      </c>
      <c r="D25" s="512">
        <v>45765</v>
      </c>
      <c r="E25" s="76"/>
      <c r="F25" s="76" t="s">
        <v>95</v>
      </c>
    </row>
    <row r="26" spans="1:14" hidden="1">
      <c r="A26" s="76">
        <f t="shared" si="0"/>
        <v>21</v>
      </c>
      <c r="B26" s="516" t="s">
        <v>1131</v>
      </c>
      <c r="C26" s="76">
        <v>0.27500000000000002</v>
      </c>
      <c r="D26" s="512">
        <v>45752</v>
      </c>
      <c r="E26" s="76"/>
      <c r="F26" s="76" t="s">
        <v>95</v>
      </c>
    </row>
    <row r="27" spans="1:14" hidden="1">
      <c r="A27" s="76">
        <f t="shared" si="0"/>
        <v>22</v>
      </c>
      <c r="B27" s="517" t="s">
        <v>1110</v>
      </c>
      <c r="C27" s="76">
        <v>2.008</v>
      </c>
      <c r="D27" s="512">
        <v>45752</v>
      </c>
      <c r="E27" s="76"/>
      <c r="F27" s="76" t="s">
        <v>95</v>
      </c>
    </row>
    <row r="28" spans="1:14" hidden="1">
      <c r="A28" s="76">
        <f t="shared" si="0"/>
        <v>23</v>
      </c>
      <c r="B28" s="516" t="s">
        <v>1128</v>
      </c>
      <c r="C28" s="76">
        <v>0.223</v>
      </c>
      <c r="D28" s="512">
        <v>45752</v>
      </c>
      <c r="E28" s="76"/>
      <c r="F28" s="76" t="s">
        <v>95</v>
      </c>
    </row>
    <row r="29" spans="1:14" hidden="1">
      <c r="A29" s="76">
        <f t="shared" si="0"/>
        <v>24</v>
      </c>
      <c r="B29" s="518" t="s">
        <v>1113</v>
      </c>
      <c r="C29" s="76">
        <v>2.7309999999999999</v>
      </c>
      <c r="D29" s="512">
        <v>45752</v>
      </c>
      <c r="E29" s="76"/>
      <c r="F29" s="76" t="s">
        <v>95</v>
      </c>
    </row>
    <row r="30" spans="1:14" hidden="1">
      <c r="A30" s="76">
        <f t="shared" si="0"/>
        <v>25</v>
      </c>
      <c r="B30" s="516" t="s">
        <v>1130</v>
      </c>
      <c r="C30" s="76">
        <v>1.7170000000000001</v>
      </c>
      <c r="D30" s="512">
        <v>45752</v>
      </c>
      <c r="E30" s="76"/>
      <c r="F30" s="76" t="s">
        <v>95</v>
      </c>
    </row>
    <row r="31" spans="1:14" hidden="1">
      <c r="A31" s="76">
        <f t="shared" si="0"/>
        <v>26</v>
      </c>
      <c r="B31" s="516" t="s">
        <v>1129</v>
      </c>
      <c r="C31" s="76">
        <v>1.0680000000000001</v>
      </c>
      <c r="D31" s="512">
        <v>45752</v>
      </c>
      <c r="E31" s="76"/>
      <c r="F31" s="76" t="s">
        <v>95</v>
      </c>
    </row>
    <row r="32" spans="1:14" hidden="1">
      <c r="A32" s="76">
        <f t="shared" si="0"/>
        <v>27</v>
      </c>
      <c r="B32" s="516" t="s">
        <v>1127</v>
      </c>
      <c r="C32" s="76">
        <v>2.8730000000000002</v>
      </c>
      <c r="D32" s="512">
        <v>45752</v>
      </c>
      <c r="E32" s="76"/>
      <c r="F32" s="76" t="s">
        <v>95</v>
      </c>
    </row>
    <row r="33" spans="1:9" hidden="1">
      <c r="A33" s="76"/>
      <c r="B33" s="516"/>
      <c r="C33" s="76"/>
      <c r="D33" s="512"/>
      <c r="E33" s="76"/>
      <c r="F33" s="76"/>
    </row>
    <row r="34" spans="1:9" hidden="1">
      <c r="A34" s="76">
        <f>A32+1</f>
        <v>28</v>
      </c>
      <c r="B34" s="537" t="s">
        <v>1333</v>
      </c>
      <c r="C34" s="76">
        <v>19.57</v>
      </c>
      <c r="D34" s="550" t="s">
        <v>1339</v>
      </c>
      <c r="E34" s="76"/>
      <c r="F34" s="537" t="s">
        <v>1332</v>
      </c>
    </row>
    <row r="35" spans="1:9" hidden="1">
      <c r="A35" s="76">
        <f>A34+1</f>
        <v>29</v>
      </c>
      <c r="B35" s="533" t="s">
        <v>1307</v>
      </c>
      <c r="C35" s="527">
        <v>2.6179999999999999</v>
      </c>
      <c r="D35" s="512">
        <v>45781</v>
      </c>
      <c r="E35" s="76"/>
      <c r="F35" s="66" t="s">
        <v>103</v>
      </c>
    </row>
    <row r="36" spans="1:9" hidden="1">
      <c r="A36" s="76">
        <f>A35+1</f>
        <v>30</v>
      </c>
      <c r="B36" s="550" t="s">
        <v>1338</v>
      </c>
      <c r="C36" s="76">
        <v>18.193000000000001</v>
      </c>
      <c r="D36" s="512">
        <v>45805</v>
      </c>
      <c r="E36" s="76"/>
      <c r="F36" s="549" t="s">
        <v>103</v>
      </c>
      <c r="I36" s="46">
        <f>155.849-130.528</f>
        <v>25.320999999999998</v>
      </c>
    </row>
    <row r="37" spans="1:9" hidden="1">
      <c r="A37" s="76"/>
      <c r="B37" s="550"/>
      <c r="C37" s="76"/>
      <c r="D37" s="512"/>
      <c r="E37" s="76"/>
      <c r="F37" s="549"/>
    </row>
    <row r="38" spans="1:9" hidden="1">
      <c r="A38" s="76"/>
      <c r="B38" s="535"/>
      <c r="C38" s="76"/>
      <c r="D38" s="512"/>
      <c r="E38" s="76"/>
      <c r="F38" s="549"/>
    </row>
    <row r="39" spans="1:9" s="361" customFormat="1" hidden="1">
      <c r="A39" s="362"/>
      <c r="B39" s="362" t="s">
        <v>105</v>
      </c>
      <c r="C39" s="362">
        <f>SUM(C6:C36)</f>
        <v>168.78000000000003</v>
      </c>
      <c r="D39" s="362"/>
      <c r="E39" s="362"/>
      <c r="F39" s="362"/>
    </row>
    <row r="40" spans="1:9" s="361" customFormat="1" hidden="1"/>
    <row r="41" spans="1:9" s="361" customFormat="1" hidden="1"/>
    <row r="42" spans="1:9" s="361" customFormat="1" hidden="1"/>
    <row r="43" spans="1:9" hidden="1">
      <c r="B43" s="361" t="s">
        <v>1301</v>
      </c>
    </row>
    <row r="44" spans="1:9" ht="29" hidden="1">
      <c r="A44" s="353" t="s">
        <v>1132</v>
      </c>
      <c r="B44" s="353" t="s">
        <v>83</v>
      </c>
      <c r="C44" s="436" t="s">
        <v>1133</v>
      </c>
      <c r="D44" s="436" t="s">
        <v>1134</v>
      </c>
      <c r="E44" s="436" t="s">
        <v>1135</v>
      </c>
      <c r="F44" s="436" t="s">
        <v>1136</v>
      </c>
      <c r="G44" s="436" t="s">
        <v>1134</v>
      </c>
      <c r="H44" s="353" t="s">
        <v>1137</v>
      </c>
      <c r="I44" s="353" t="s">
        <v>34</v>
      </c>
    </row>
    <row r="45" spans="1:9" hidden="1">
      <c r="A45" s="315">
        <v>1</v>
      </c>
      <c r="B45" s="315" t="s">
        <v>1138</v>
      </c>
      <c r="C45" s="437">
        <v>45657</v>
      </c>
      <c r="D45" s="438">
        <v>20.273</v>
      </c>
      <c r="E45" s="437" t="s">
        <v>1139</v>
      </c>
      <c r="F45" s="439">
        <v>45691</v>
      </c>
      <c r="G45" s="438">
        <v>20.273</v>
      </c>
      <c r="H45" s="310" t="s">
        <v>1140</v>
      </c>
      <c r="I45" s="310"/>
    </row>
    <row r="46" spans="1:9" hidden="1">
      <c r="A46" s="315">
        <f>A45+1</f>
        <v>2</v>
      </c>
      <c r="B46" s="315" t="s">
        <v>1141</v>
      </c>
      <c r="C46" s="437">
        <v>45684</v>
      </c>
      <c r="D46" s="438">
        <v>7.9619999999999997</v>
      </c>
      <c r="E46" s="437" t="s">
        <v>1142</v>
      </c>
      <c r="F46" s="439">
        <v>45691</v>
      </c>
      <c r="G46" s="438">
        <v>7.9619999999999997</v>
      </c>
      <c r="H46" s="310" t="s">
        <v>1140</v>
      </c>
      <c r="I46" s="310"/>
    </row>
    <row r="47" spans="1:9" hidden="1">
      <c r="A47" s="315">
        <f t="shared" ref="A47:A56" si="1">A46+1</f>
        <v>3</v>
      </c>
      <c r="B47" s="315" t="s">
        <v>1143</v>
      </c>
      <c r="C47" s="437">
        <v>45709</v>
      </c>
      <c r="D47" s="438">
        <v>3.0840000000000001</v>
      </c>
      <c r="E47" s="437" t="s">
        <v>1144</v>
      </c>
      <c r="F47" s="439">
        <v>45712</v>
      </c>
      <c r="G47" s="438">
        <v>3.0840000000000001</v>
      </c>
      <c r="H47" s="310" t="s">
        <v>1140</v>
      </c>
      <c r="I47" s="310" t="s">
        <v>1145</v>
      </c>
    </row>
    <row r="48" spans="1:9" hidden="1">
      <c r="A48" s="315">
        <f t="shared" si="1"/>
        <v>4</v>
      </c>
      <c r="B48" s="315" t="s">
        <v>1146</v>
      </c>
      <c r="C48" s="437">
        <v>45703</v>
      </c>
      <c r="D48" s="438">
        <v>19.672000000000001</v>
      </c>
      <c r="E48" s="437" t="s">
        <v>1147</v>
      </c>
      <c r="F48" s="439">
        <v>45713</v>
      </c>
      <c r="G48" s="438">
        <v>19.672000000000001</v>
      </c>
      <c r="H48" s="310" t="s">
        <v>1140</v>
      </c>
      <c r="I48" s="310" t="s">
        <v>1148</v>
      </c>
    </row>
    <row r="49" spans="1:9" hidden="1">
      <c r="A49" s="315">
        <f t="shared" si="1"/>
        <v>5</v>
      </c>
      <c r="B49" s="315" t="s">
        <v>1149</v>
      </c>
      <c r="C49" s="437">
        <v>45713</v>
      </c>
      <c r="D49" s="438">
        <v>14.016999999999999</v>
      </c>
      <c r="E49" s="437" t="s">
        <v>1150</v>
      </c>
      <c r="F49" s="439">
        <v>45715</v>
      </c>
      <c r="G49" s="438">
        <v>14.016999999999999</v>
      </c>
      <c r="H49" s="310" t="s">
        <v>1140</v>
      </c>
      <c r="I49" s="310"/>
    </row>
    <row r="50" spans="1:9" hidden="1">
      <c r="A50" s="315">
        <f t="shared" si="1"/>
        <v>6</v>
      </c>
      <c r="B50" s="315" t="s">
        <v>1151</v>
      </c>
      <c r="C50" s="437">
        <v>45721</v>
      </c>
      <c r="D50" s="438">
        <v>9.4949999999999992</v>
      </c>
      <c r="E50" s="437" t="s">
        <v>1152</v>
      </c>
      <c r="F50" s="439">
        <v>45722</v>
      </c>
      <c r="G50" s="438">
        <v>9.4949999999999992</v>
      </c>
      <c r="H50" s="310" t="s">
        <v>1140</v>
      </c>
      <c r="I50" s="310"/>
    </row>
    <row r="51" spans="1:9" hidden="1">
      <c r="A51" s="315">
        <f t="shared" si="1"/>
        <v>7</v>
      </c>
      <c r="B51" s="315" t="s">
        <v>1153</v>
      </c>
      <c r="C51" s="437">
        <v>45751</v>
      </c>
      <c r="D51" s="438">
        <v>8.6969999999999992</v>
      </c>
      <c r="E51" s="528" t="s">
        <v>1306</v>
      </c>
      <c r="F51" s="439">
        <v>45732</v>
      </c>
      <c r="G51" s="438">
        <v>8.6969999999999992</v>
      </c>
      <c r="H51" s="310" t="s">
        <v>1140</v>
      </c>
      <c r="I51" s="310" t="s">
        <v>1154</v>
      </c>
    </row>
    <row r="52" spans="1:9" hidden="1">
      <c r="A52" s="315">
        <f t="shared" si="1"/>
        <v>8</v>
      </c>
      <c r="B52" s="315" t="s">
        <v>1155</v>
      </c>
      <c r="C52" s="437">
        <v>45742</v>
      </c>
      <c r="D52" s="438">
        <v>14.39</v>
      </c>
      <c r="E52" s="437" t="s">
        <v>1156</v>
      </c>
      <c r="F52" s="439">
        <v>45732</v>
      </c>
      <c r="G52" s="438">
        <v>14.39</v>
      </c>
      <c r="H52" s="310" t="s">
        <v>1140</v>
      </c>
      <c r="I52" s="310" t="s">
        <v>1157</v>
      </c>
    </row>
    <row r="53" spans="1:9" hidden="1">
      <c r="A53" s="315">
        <f t="shared" si="1"/>
        <v>9</v>
      </c>
      <c r="B53" s="613" t="s">
        <v>1161</v>
      </c>
      <c r="C53" s="437">
        <v>45752</v>
      </c>
      <c r="D53" s="438">
        <v>10.894</v>
      </c>
      <c r="E53" s="437" t="s">
        <v>1162</v>
      </c>
      <c r="F53" s="438"/>
      <c r="G53" s="438"/>
      <c r="H53" s="310"/>
      <c r="I53" s="310"/>
    </row>
    <row r="54" spans="1:9" ht="29" hidden="1">
      <c r="A54" s="315">
        <f t="shared" si="1"/>
        <v>10</v>
      </c>
      <c r="B54" s="613" t="s">
        <v>1160</v>
      </c>
      <c r="C54" s="534" t="s">
        <v>1322</v>
      </c>
      <c r="D54" s="438">
        <v>19.57</v>
      </c>
      <c r="E54" s="536" t="s">
        <v>1326</v>
      </c>
      <c r="F54" s="438"/>
      <c r="G54" s="438"/>
      <c r="H54" s="310"/>
      <c r="I54" s="310" t="s">
        <v>1323</v>
      </c>
    </row>
    <row r="55" spans="1:9" hidden="1">
      <c r="A55" s="315">
        <f t="shared" si="1"/>
        <v>11</v>
      </c>
      <c r="B55" s="315" t="s">
        <v>1298</v>
      </c>
      <c r="C55" s="437">
        <v>45765</v>
      </c>
      <c r="D55" s="438">
        <v>2.4740000000000002</v>
      </c>
      <c r="E55" s="437" t="s">
        <v>1299</v>
      </c>
      <c r="F55" s="438"/>
      <c r="G55" s="438"/>
      <c r="H55" s="310"/>
      <c r="I55" s="310"/>
    </row>
    <row r="56" spans="1:9" hidden="1">
      <c r="A56" s="315">
        <f t="shared" si="1"/>
        <v>12</v>
      </c>
      <c r="B56" s="613" t="s">
        <v>1312</v>
      </c>
      <c r="C56" s="437">
        <v>45787</v>
      </c>
      <c r="D56" s="438">
        <v>3.0840000000000001</v>
      </c>
      <c r="E56" s="437" t="s">
        <v>1313</v>
      </c>
      <c r="F56" s="438"/>
      <c r="G56" s="438"/>
      <c r="H56" s="310"/>
      <c r="I56" s="557" t="s">
        <v>1352</v>
      </c>
    </row>
    <row r="57" spans="1:9" hidden="1">
      <c r="A57" s="315">
        <f>A56+1</f>
        <v>13</v>
      </c>
      <c r="B57" s="613" t="s">
        <v>1356</v>
      </c>
      <c r="C57" s="437">
        <v>45787</v>
      </c>
      <c r="D57" s="438">
        <v>2.2200000000000002</v>
      </c>
      <c r="E57" s="437" t="s">
        <v>1313</v>
      </c>
      <c r="F57" s="438"/>
      <c r="G57" s="438"/>
      <c r="H57" s="310"/>
      <c r="I57" s="557" t="s">
        <v>1352</v>
      </c>
    </row>
    <row r="58" spans="1:9" hidden="1">
      <c r="A58" s="315">
        <f>A57+1</f>
        <v>14</v>
      </c>
      <c r="B58" s="614" t="s">
        <v>1353</v>
      </c>
      <c r="C58" s="437">
        <v>45802</v>
      </c>
      <c r="D58" s="438">
        <v>5.6189999999999998</v>
      </c>
      <c r="E58" s="557" t="s">
        <v>1360</v>
      </c>
      <c r="F58" s="438"/>
      <c r="G58" s="438"/>
      <c r="H58" s="310"/>
      <c r="I58" s="546" t="s">
        <v>1343</v>
      </c>
    </row>
    <row r="59" spans="1:9" hidden="1">
      <c r="A59" s="315">
        <f>A58+1</f>
        <v>15</v>
      </c>
      <c r="B59" s="547" t="s">
        <v>1324</v>
      </c>
      <c r="C59" s="437">
        <v>45794</v>
      </c>
      <c r="D59" s="438">
        <v>3.95</v>
      </c>
      <c r="E59" s="536" t="s">
        <v>1325</v>
      </c>
      <c r="F59" s="439">
        <v>45810</v>
      </c>
      <c r="G59" s="438"/>
      <c r="H59" s="310"/>
      <c r="I59" s="546" t="s">
        <v>1323</v>
      </c>
    </row>
    <row r="60" spans="1:9" hidden="1">
      <c r="A60" s="315">
        <f>A59+1</f>
        <v>16</v>
      </c>
      <c r="B60" s="614" t="s">
        <v>1354</v>
      </c>
      <c r="C60" s="437">
        <v>45802</v>
      </c>
      <c r="D60" s="438">
        <v>1.635</v>
      </c>
      <c r="E60" s="437" t="s">
        <v>1355</v>
      </c>
      <c r="F60" s="438"/>
      <c r="G60" s="438"/>
      <c r="H60" s="310"/>
      <c r="I60" s="546" t="s">
        <v>1343</v>
      </c>
    </row>
    <row r="61" spans="1:9" hidden="1">
      <c r="A61" s="315">
        <f>A60+1</f>
        <v>17</v>
      </c>
      <c r="B61" s="615" t="s">
        <v>1342</v>
      </c>
      <c r="C61" s="437">
        <v>45802</v>
      </c>
      <c r="D61" s="438">
        <v>4.88</v>
      </c>
      <c r="E61" s="536"/>
      <c r="F61" s="438"/>
      <c r="G61" s="438"/>
      <c r="H61" s="310"/>
      <c r="I61" s="546" t="s">
        <v>1343</v>
      </c>
    </row>
    <row r="62" spans="1:9" hidden="1">
      <c r="A62" s="315"/>
      <c r="B62" s="523"/>
      <c r="C62" s="437"/>
      <c r="D62" s="438"/>
      <c r="E62" s="437"/>
      <c r="F62" s="438"/>
      <c r="G62" s="438"/>
      <c r="H62" s="310"/>
      <c r="I62" s="546" t="s">
        <v>1343</v>
      </c>
    </row>
    <row r="63" spans="1:9" hidden="1">
      <c r="A63" s="1449" t="s">
        <v>1158</v>
      </c>
      <c r="B63" s="1451"/>
      <c r="C63" s="353"/>
      <c r="D63" s="353">
        <f>SUM(D45:D61)</f>
        <v>151.91599999999997</v>
      </c>
      <c r="E63" s="353"/>
      <c r="F63" s="353"/>
      <c r="G63" s="353">
        <f>SUM(G45:G62)</f>
        <v>97.59</v>
      </c>
      <c r="H63" s="57"/>
      <c r="I63" s="57"/>
    </row>
    <row r="64" spans="1:9" hidden="1">
      <c r="A64" s="436"/>
      <c r="B64" s="436"/>
      <c r="C64" s="353"/>
      <c r="D64" s="353"/>
      <c r="E64" s="353"/>
      <c r="F64" s="353"/>
      <c r="G64" s="353"/>
      <c r="H64" s="57"/>
      <c r="I64" s="577"/>
    </row>
    <row r="65" spans="1:9">
      <c r="A65" s="436"/>
      <c r="B65" s="436"/>
      <c r="C65" s="353"/>
      <c r="D65" s="353"/>
      <c r="E65" s="353"/>
      <c r="F65" s="353"/>
      <c r="G65" s="353"/>
      <c r="H65" s="57"/>
      <c r="I65" s="577"/>
    </row>
    <row r="66" spans="1:9">
      <c r="A66" s="310"/>
      <c r="B66" s="310"/>
      <c r="C66" s="1465" t="s">
        <v>1377</v>
      </c>
      <c r="D66" s="1466"/>
      <c r="E66" s="1466"/>
      <c r="F66" s="1466"/>
      <c r="G66" s="1467"/>
      <c r="H66" s="310"/>
    </row>
    <row r="67" spans="1:9" ht="43.5">
      <c r="A67" s="436" t="s">
        <v>1378</v>
      </c>
      <c r="B67" s="353" t="s">
        <v>1379</v>
      </c>
      <c r="C67" s="436" t="s">
        <v>1380</v>
      </c>
      <c r="D67" s="436" t="s">
        <v>1381</v>
      </c>
      <c r="E67" s="436" t="s">
        <v>1382</v>
      </c>
      <c r="F67" s="436" t="s">
        <v>1383</v>
      </c>
      <c r="G67" s="353" t="s">
        <v>34</v>
      </c>
      <c r="H67" s="436" t="s">
        <v>1384</v>
      </c>
    </row>
    <row r="68" spans="1:9">
      <c r="A68" s="336" t="s">
        <v>1068</v>
      </c>
      <c r="B68" s="555">
        <v>1</v>
      </c>
      <c r="C68" s="336" t="s">
        <v>1423</v>
      </c>
      <c r="D68" s="323">
        <v>9.4</v>
      </c>
      <c r="E68" s="309"/>
      <c r="F68" s="309"/>
      <c r="G68" s="584" t="s">
        <v>1425</v>
      </c>
      <c r="H68" s="530" t="s">
        <v>1386</v>
      </c>
    </row>
    <row r="69" spans="1:9">
      <c r="A69" s="336"/>
      <c r="B69" s="555">
        <f>B68+1</f>
        <v>2</v>
      </c>
      <c r="C69" s="336" t="s">
        <v>1424</v>
      </c>
      <c r="D69" s="323">
        <v>9.0960000000000001</v>
      </c>
      <c r="E69" s="309"/>
      <c r="F69" s="309"/>
      <c r="G69" s="584" t="s">
        <v>1426</v>
      </c>
      <c r="H69" s="585"/>
    </row>
    <row r="70" spans="1:9" ht="27.5" customHeight="1">
      <c r="A70" s="336" t="s">
        <v>1062</v>
      </c>
      <c r="B70" s="555">
        <f>B69+1</f>
        <v>3</v>
      </c>
      <c r="C70" s="336" t="s">
        <v>1387</v>
      </c>
      <c r="D70" s="586">
        <v>19.57</v>
      </c>
      <c r="E70" s="555"/>
      <c r="F70" s="570" t="s">
        <v>1388</v>
      </c>
      <c r="G70" s="571" t="s">
        <v>88</v>
      </c>
      <c r="H70" s="531" t="s">
        <v>1389</v>
      </c>
    </row>
    <row r="71" spans="1:9" ht="27.5" customHeight="1">
      <c r="A71" s="336"/>
      <c r="B71" s="555">
        <f>B70+1</f>
        <v>4</v>
      </c>
      <c r="C71" s="336" t="s">
        <v>1500</v>
      </c>
      <c r="D71" s="555">
        <v>2.6179999999999999</v>
      </c>
      <c r="E71" s="555"/>
      <c r="F71" s="570"/>
      <c r="G71" s="639" t="s">
        <v>1502</v>
      </c>
      <c r="H71" s="531"/>
    </row>
    <row r="72" spans="1:9" ht="39">
      <c r="A72" s="336" t="s">
        <v>1062</v>
      </c>
      <c r="B72" s="555">
        <f t="shared" ref="B72:B86" si="2">B71+1</f>
        <v>5</v>
      </c>
      <c r="C72" s="336" t="s">
        <v>1503</v>
      </c>
      <c r="D72" s="555">
        <v>18.193000000000001</v>
      </c>
      <c r="E72" s="555"/>
      <c r="F72" s="570">
        <v>45784</v>
      </c>
      <c r="G72" s="572" t="s">
        <v>1501</v>
      </c>
      <c r="H72" s="573" t="s">
        <v>1391</v>
      </c>
    </row>
    <row r="73" spans="1:9">
      <c r="A73" s="336" t="s">
        <v>1062</v>
      </c>
      <c r="B73" s="555">
        <f t="shared" si="2"/>
        <v>6</v>
      </c>
      <c r="C73" s="336" t="s">
        <v>1392</v>
      </c>
      <c r="D73" s="586">
        <v>6.6589999999999998</v>
      </c>
      <c r="E73" s="555"/>
      <c r="F73" s="570"/>
      <c r="G73" s="574" t="s">
        <v>1422</v>
      </c>
      <c r="H73" s="573"/>
    </row>
    <row r="74" spans="1:9" ht="29">
      <c r="A74" s="336" t="s">
        <v>1062</v>
      </c>
      <c r="B74" s="555">
        <f t="shared" si="2"/>
        <v>7</v>
      </c>
      <c r="C74" s="336" t="s">
        <v>1393</v>
      </c>
      <c r="D74" s="575">
        <v>3.17</v>
      </c>
      <c r="E74" s="570"/>
      <c r="F74" s="570"/>
      <c r="G74" s="572" t="s">
        <v>1394</v>
      </c>
      <c r="H74" s="573" t="s">
        <v>1395</v>
      </c>
    </row>
    <row r="75" spans="1:9">
      <c r="A75" s="336" t="s">
        <v>1062</v>
      </c>
      <c r="B75" s="555">
        <f t="shared" si="2"/>
        <v>8</v>
      </c>
      <c r="C75" s="336" t="s">
        <v>1396</v>
      </c>
      <c r="D75" s="587">
        <v>1.05</v>
      </c>
      <c r="E75" s="570"/>
      <c r="F75" s="570">
        <v>45752</v>
      </c>
      <c r="G75" s="571" t="s">
        <v>1422</v>
      </c>
      <c r="H75"/>
    </row>
    <row r="76" spans="1:9" ht="29">
      <c r="A76" s="1422" t="s">
        <v>1062</v>
      </c>
      <c r="B76" s="555">
        <f t="shared" si="2"/>
        <v>9</v>
      </c>
      <c r="C76" s="336" t="s">
        <v>1397</v>
      </c>
      <c r="D76" s="586">
        <v>7.9619999999999997</v>
      </c>
      <c r="E76" s="570">
        <v>45691</v>
      </c>
      <c r="F76" s="555"/>
      <c r="G76" s="571" t="s">
        <v>88</v>
      </c>
      <c r="H76" s="576" t="s">
        <v>1398</v>
      </c>
    </row>
    <row r="77" spans="1:9">
      <c r="A77" s="1423"/>
      <c r="B77" s="555">
        <f t="shared" si="2"/>
        <v>10</v>
      </c>
      <c r="C77" s="336" t="s">
        <v>1399</v>
      </c>
      <c r="D77" s="586">
        <v>19.567</v>
      </c>
      <c r="E77" s="570">
        <v>45713</v>
      </c>
      <c r="F77" s="555"/>
      <c r="G77" s="571" t="s">
        <v>88</v>
      </c>
      <c r="H77" s="576"/>
    </row>
    <row r="78" spans="1:9">
      <c r="A78" s="1423"/>
      <c r="B78" s="555">
        <f t="shared" si="2"/>
        <v>11</v>
      </c>
      <c r="C78" s="336" t="s">
        <v>1400</v>
      </c>
      <c r="D78" s="586">
        <v>20.273</v>
      </c>
      <c r="E78" s="570">
        <v>45691</v>
      </c>
      <c r="F78" s="555"/>
      <c r="G78" s="571" t="s">
        <v>88</v>
      </c>
      <c r="H78" s="576"/>
    </row>
    <row r="79" spans="1:9">
      <c r="A79" s="1423"/>
      <c r="B79" s="555">
        <f t="shared" si="2"/>
        <v>12</v>
      </c>
      <c r="C79" s="336" t="s">
        <v>1401</v>
      </c>
      <c r="D79" s="586">
        <v>3.0840000000000001</v>
      </c>
      <c r="E79" s="570">
        <v>45712</v>
      </c>
      <c r="F79" s="555"/>
      <c r="G79" s="571" t="s">
        <v>88</v>
      </c>
      <c r="H79" s="576"/>
    </row>
    <row r="80" spans="1:9">
      <c r="A80" s="1423"/>
      <c r="B80" s="555">
        <f t="shared" si="2"/>
        <v>13</v>
      </c>
      <c r="C80" s="336" t="s">
        <v>1402</v>
      </c>
      <c r="D80" s="586">
        <v>14.119</v>
      </c>
      <c r="E80" s="570">
        <v>45715</v>
      </c>
      <c r="F80" s="555"/>
      <c r="G80" s="571" t="s">
        <v>88</v>
      </c>
      <c r="H80" s="576"/>
    </row>
    <row r="81" spans="1:8">
      <c r="A81" s="1423"/>
      <c r="B81" s="555">
        <f t="shared" si="2"/>
        <v>14</v>
      </c>
      <c r="C81" s="336" t="s">
        <v>1403</v>
      </c>
      <c r="D81" s="586">
        <v>9.4949999999999992</v>
      </c>
      <c r="E81" s="570">
        <v>45722</v>
      </c>
      <c r="F81" s="555"/>
      <c r="G81" s="571" t="s">
        <v>88</v>
      </c>
      <c r="H81" s="576"/>
    </row>
    <row r="82" spans="1:8">
      <c r="A82" s="1424"/>
      <c r="B82" s="555">
        <f t="shared" si="2"/>
        <v>15</v>
      </c>
      <c r="C82" s="336" t="s">
        <v>1404</v>
      </c>
      <c r="D82" s="586">
        <v>8.6940000000000008</v>
      </c>
      <c r="E82" s="570">
        <v>45763</v>
      </c>
      <c r="F82" s="555"/>
      <c r="G82" s="571" t="s">
        <v>88</v>
      </c>
      <c r="H82" s="576"/>
    </row>
    <row r="83" spans="1:8" ht="29">
      <c r="A83" s="336" t="s">
        <v>1062</v>
      </c>
      <c r="B83" s="555">
        <f t="shared" si="2"/>
        <v>16</v>
      </c>
      <c r="C83" s="618" t="s">
        <v>1427</v>
      </c>
      <c r="D83" s="612">
        <v>12.558999999999999</v>
      </c>
      <c r="E83" s="570"/>
      <c r="F83" s="570" t="s">
        <v>1388</v>
      </c>
      <c r="G83" s="571" t="s">
        <v>88</v>
      </c>
      <c r="H83" s="531" t="s">
        <v>1406</v>
      </c>
    </row>
    <row r="84" spans="1:8" ht="29">
      <c r="A84" s="336" t="s">
        <v>1062</v>
      </c>
      <c r="B84" s="555">
        <f t="shared" si="2"/>
        <v>17</v>
      </c>
      <c r="C84" s="336" t="s">
        <v>1409</v>
      </c>
      <c r="D84" s="586">
        <v>14.391</v>
      </c>
      <c r="E84" s="570">
        <v>45763</v>
      </c>
      <c r="F84" s="555"/>
      <c r="G84" s="571" t="s">
        <v>88</v>
      </c>
      <c r="H84" s="54" t="s">
        <v>1398</v>
      </c>
    </row>
    <row r="85" spans="1:8">
      <c r="A85" s="336" t="s">
        <v>1062</v>
      </c>
      <c r="B85" s="555">
        <f t="shared" si="2"/>
        <v>18</v>
      </c>
      <c r="C85" s="618" t="s">
        <v>1410</v>
      </c>
      <c r="D85" s="586">
        <v>5.2679999999999998</v>
      </c>
      <c r="E85" s="570"/>
      <c r="F85" s="570">
        <v>45800</v>
      </c>
      <c r="G85" s="571" t="s">
        <v>88</v>
      </c>
      <c r="H85" s="422" t="s">
        <v>1411</v>
      </c>
    </row>
    <row r="86" spans="1:8" ht="29">
      <c r="A86" s="336" t="s">
        <v>1062</v>
      </c>
      <c r="B86" s="555">
        <f t="shared" si="2"/>
        <v>19</v>
      </c>
      <c r="C86" s="336" t="s">
        <v>1412</v>
      </c>
      <c r="D86" s="569">
        <v>2.4740000000000002</v>
      </c>
      <c r="E86" s="570">
        <v>45765</v>
      </c>
      <c r="F86" s="555"/>
      <c r="G86" s="571" t="s">
        <v>1497</v>
      </c>
      <c r="H86" s="532" t="s">
        <v>1413</v>
      </c>
    </row>
    <row r="87" spans="1:8">
      <c r="B87"/>
      <c r="C87"/>
      <c r="D87">
        <f>SUM(D68:D86)</f>
        <v>187.642</v>
      </c>
      <c r="E87" s="578"/>
      <c r="F87"/>
    </row>
    <row r="88" spans="1:8">
      <c r="B88"/>
      <c r="C88"/>
      <c r="D88"/>
      <c r="E88"/>
      <c r="F88"/>
    </row>
    <row r="89" spans="1:8">
      <c r="B89"/>
      <c r="C89"/>
      <c r="D89" s="579" t="s">
        <v>1414</v>
      </c>
      <c r="E89" s="579">
        <f>187.176-(18.496+2.618)</f>
        <v>166.06199999999998</v>
      </c>
      <c r="F89"/>
    </row>
    <row r="90" spans="1:8" hidden="1">
      <c r="B90"/>
      <c r="C90"/>
      <c r="D90" s="579"/>
      <c r="E90" s="579">
        <v>2.6179999999999999</v>
      </c>
      <c r="F90" s="588" t="s">
        <v>1415</v>
      </c>
    </row>
    <row r="91" spans="1:8">
      <c r="B91"/>
      <c r="C91"/>
      <c r="D91" s="360" t="s">
        <v>1416</v>
      </c>
      <c r="E91" s="360">
        <f>D87</f>
        <v>187.642</v>
      </c>
      <c r="F91"/>
    </row>
    <row r="92" spans="1:8">
      <c r="B92"/>
      <c r="C92"/>
      <c r="D92" s="360" t="s">
        <v>92</v>
      </c>
      <c r="E92" s="360">
        <f>D70+D73+SUM(D75:D86)</f>
        <v>145.16500000000002</v>
      </c>
      <c r="F92"/>
    </row>
    <row r="93" spans="1:8">
      <c r="D93" s="589" t="s">
        <v>33</v>
      </c>
      <c r="E93" s="589">
        <f>E91-E92</f>
        <v>42.476999999999975</v>
      </c>
    </row>
    <row r="95" spans="1:8" ht="15" hidden="1" customHeight="1" thickBot="1">
      <c r="B95" s="1456" t="s">
        <v>1377</v>
      </c>
      <c r="C95" s="1457"/>
      <c r="D95" s="1457"/>
      <c r="E95" s="1457"/>
      <c r="F95" s="1457"/>
      <c r="G95" s="1457"/>
    </row>
    <row r="96" spans="1:8" ht="15" hidden="1" customHeight="1" thickBot="1">
      <c r="B96" s="590" t="s">
        <v>1379</v>
      </c>
      <c r="C96" s="591" t="s">
        <v>1380</v>
      </c>
      <c r="D96" s="591" t="s">
        <v>1381</v>
      </c>
      <c r="E96" s="591" t="s">
        <v>88</v>
      </c>
      <c r="F96" s="591" t="s">
        <v>1428</v>
      </c>
      <c r="G96" s="591" t="s">
        <v>34</v>
      </c>
    </row>
    <row r="97" spans="2:7" ht="29.5" hidden="1" customHeight="1" thickBot="1">
      <c r="B97" s="592">
        <v>1</v>
      </c>
      <c r="C97" s="593" t="s">
        <v>1385</v>
      </c>
      <c r="D97" s="594">
        <v>18.116</v>
      </c>
      <c r="E97" s="595"/>
      <c r="F97" s="595" t="s">
        <v>1429</v>
      </c>
      <c r="G97" s="596" t="s">
        <v>1430</v>
      </c>
    </row>
    <row r="98" spans="2:7" ht="15" hidden="1" customHeight="1" thickBot="1">
      <c r="B98" s="592">
        <v>2</v>
      </c>
      <c r="C98" s="593" t="s">
        <v>1387</v>
      </c>
      <c r="D98" s="594">
        <v>19.57</v>
      </c>
      <c r="E98" s="594"/>
      <c r="F98" s="595" t="s">
        <v>1431</v>
      </c>
      <c r="G98" s="596" t="s">
        <v>1432</v>
      </c>
    </row>
    <row r="99" spans="2:7" ht="44" hidden="1" customHeight="1" thickBot="1">
      <c r="B99" s="592">
        <v>3</v>
      </c>
      <c r="C99" s="593" t="s">
        <v>1390</v>
      </c>
      <c r="D99" s="594">
        <v>20.811</v>
      </c>
      <c r="E99" s="594"/>
      <c r="F99" s="595" t="s">
        <v>1429</v>
      </c>
      <c r="G99" s="596" t="s">
        <v>1433</v>
      </c>
    </row>
    <row r="100" spans="2:7" ht="29.5" hidden="1" customHeight="1" thickBot="1">
      <c r="B100" s="1458">
        <v>4</v>
      </c>
      <c r="C100" s="593" t="s">
        <v>1434</v>
      </c>
      <c r="D100" s="1460">
        <v>10.894</v>
      </c>
      <c r="E100" s="594"/>
      <c r="F100" s="595" t="s">
        <v>1431</v>
      </c>
      <c r="G100" s="596" t="s">
        <v>1435</v>
      </c>
    </row>
    <row r="101" spans="2:7" ht="29.5" hidden="1" customHeight="1" thickBot="1">
      <c r="B101" s="1459"/>
      <c r="C101" s="593" t="s">
        <v>1436</v>
      </c>
      <c r="D101" s="1461"/>
      <c r="E101" s="594"/>
      <c r="F101" s="595" t="s">
        <v>1429</v>
      </c>
      <c r="G101" s="596" t="s">
        <v>1437</v>
      </c>
    </row>
    <row r="102" spans="2:7" ht="15" hidden="1" customHeight="1" thickBot="1">
      <c r="B102" s="592">
        <v>5</v>
      </c>
      <c r="C102" s="593" t="s">
        <v>1397</v>
      </c>
      <c r="D102" s="594">
        <v>7.9619999999999997</v>
      </c>
      <c r="E102" s="597">
        <v>45691</v>
      </c>
      <c r="F102" s="594"/>
      <c r="G102" s="596"/>
    </row>
    <row r="103" spans="2:7" ht="15" hidden="1" customHeight="1" thickBot="1">
      <c r="B103" s="592">
        <v>6</v>
      </c>
      <c r="C103" s="593" t="s">
        <v>1399</v>
      </c>
      <c r="D103" s="594">
        <v>19.567</v>
      </c>
      <c r="E103" s="597">
        <v>45713</v>
      </c>
      <c r="F103" s="594"/>
      <c r="G103" s="596"/>
    </row>
    <row r="104" spans="2:7" ht="15" hidden="1" customHeight="1" thickBot="1">
      <c r="B104" s="592">
        <v>7</v>
      </c>
      <c r="C104" s="593" t="s">
        <v>1400</v>
      </c>
      <c r="D104" s="594">
        <v>20.273</v>
      </c>
      <c r="E104" s="597">
        <v>45691</v>
      </c>
      <c r="F104" s="594"/>
      <c r="G104" s="596"/>
    </row>
    <row r="105" spans="2:7" ht="15" hidden="1" customHeight="1" thickBot="1">
      <c r="B105" s="592">
        <v>8</v>
      </c>
      <c r="C105" s="593" t="s">
        <v>1401</v>
      </c>
      <c r="D105" s="594">
        <v>3.0840000000000001</v>
      </c>
      <c r="E105" s="597">
        <v>45712</v>
      </c>
      <c r="F105" s="594"/>
      <c r="G105" s="596"/>
    </row>
    <row r="106" spans="2:7" ht="15" hidden="1" customHeight="1" thickBot="1">
      <c r="B106" s="592">
        <v>9</v>
      </c>
      <c r="C106" s="593" t="s">
        <v>1402</v>
      </c>
      <c r="D106" s="594">
        <v>14.016999999999999</v>
      </c>
      <c r="E106" s="597">
        <v>45715</v>
      </c>
      <c r="F106" s="594"/>
      <c r="G106" s="596"/>
    </row>
    <row r="107" spans="2:7" ht="15" hidden="1" customHeight="1" thickBot="1">
      <c r="B107" s="592">
        <v>10</v>
      </c>
      <c r="C107" s="593" t="s">
        <v>1403</v>
      </c>
      <c r="D107" s="594">
        <v>9.4949999999999992</v>
      </c>
      <c r="E107" s="597">
        <v>45722</v>
      </c>
      <c r="F107" s="594"/>
      <c r="G107" s="596"/>
    </row>
    <row r="108" spans="2:7" ht="15" hidden="1" customHeight="1" thickBot="1">
      <c r="B108" s="592">
        <v>11</v>
      </c>
      <c r="C108" s="593" t="s">
        <v>1404</v>
      </c>
      <c r="D108" s="594">
        <v>8.6940000000000008</v>
      </c>
      <c r="E108" s="597">
        <v>45763</v>
      </c>
      <c r="F108" s="594"/>
      <c r="G108" s="596"/>
    </row>
    <row r="109" spans="2:7" ht="15" hidden="1" customHeight="1" thickBot="1">
      <c r="B109" s="592">
        <v>12</v>
      </c>
      <c r="C109" s="593" t="s">
        <v>1405</v>
      </c>
      <c r="D109" s="594">
        <v>3.0840000000000001</v>
      </c>
      <c r="E109" s="594"/>
      <c r="F109" s="595" t="s">
        <v>1429</v>
      </c>
      <c r="G109" s="594" t="s">
        <v>1438</v>
      </c>
    </row>
    <row r="110" spans="2:7" ht="15" hidden="1" customHeight="1" thickBot="1">
      <c r="B110" s="592">
        <v>13</v>
      </c>
      <c r="C110" s="593" t="s">
        <v>1407</v>
      </c>
      <c r="D110" s="594">
        <v>5.6189999999999998</v>
      </c>
      <c r="E110" s="593"/>
      <c r="F110" s="595" t="s">
        <v>1429</v>
      </c>
      <c r="G110" s="594" t="s">
        <v>1438</v>
      </c>
    </row>
    <row r="111" spans="2:7" ht="15" hidden="1" customHeight="1" thickBot="1">
      <c r="B111" s="592">
        <v>14</v>
      </c>
      <c r="C111" s="593" t="s">
        <v>1408</v>
      </c>
      <c r="D111" s="594">
        <v>3.8559999999999999</v>
      </c>
      <c r="E111" s="594"/>
      <c r="F111" s="595" t="s">
        <v>1429</v>
      </c>
      <c r="G111" s="594" t="s">
        <v>1438</v>
      </c>
    </row>
    <row r="112" spans="2:7" ht="15" hidden="1" customHeight="1" thickBot="1">
      <c r="B112" s="592">
        <v>15</v>
      </c>
      <c r="C112" s="593" t="s">
        <v>1409</v>
      </c>
      <c r="D112" s="594">
        <v>14.391</v>
      </c>
      <c r="E112" s="597">
        <v>45763</v>
      </c>
      <c r="F112" s="594"/>
      <c r="G112" s="596"/>
    </row>
    <row r="113" spans="2:7" ht="15" hidden="1" customHeight="1" thickBot="1">
      <c r="B113" s="592">
        <v>16</v>
      </c>
      <c r="C113" s="593" t="s">
        <v>1410</v>
      </c>
      <c r="D113" s="594">
        <v>5.2679999999999998</v>
      </c>
      <c r="E113" s="594"/>
      <c r="F113" s="595" t="s">
        <v>1431</v>
      </c>
      <c r="G113" s="596" t="s">
        <v>1432</v>
      </c>
    </row>
    <row r="114" spans="2:7" ht="26.5" hidden="1" customHeight="1" thickBot="1">
      <c r="B114" s="592">
        <v>17</v>
      </c>
      <c r="C114" s="593" t="s">
        <v>1412</v>
      </c>
      <c r="D114" s="594">
        <v>2.4740000000000002</v>
      </c>
      <c r="E114" s="597">
        <v>45765</v>
      </c>
      <c r="F114" s="595" t="s">
        <v>1439</v>
      </c>
      <c r="G114" s="594" t="s">
        <v>1440</v>
      </c>
    </row>
    <row r="115" spans="2:7" ht="14.5" hidden="1" customHeight="1">
      <c r="B115" s="598"/>
      <c r="C115" s="599" t="s">
        <v>481</v>
      </c>
      <c r="D115" s="600">
        <v>187.17500000000001</v>
      </c>
      <c r="E115" s="598"/>
      <c r="F115" s="598"/>
      <c r="G115" s="59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95"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601" t="s">
        <v>1441</v>
      </c>
      <c r="B1" s="602" t="s">
        <v>1442</v>
      </c>
      <c r="C1" s="602" t="s">
        <v>1443</v>
      </c>
      <c r="D1" s="602" t="s">
        <v>1014</v>
      </c>
      <c r="E1" s="603" t="s">
        <v>1444</v>
      </c>
    </row>
    <row r="2" spans="1:5" ht="15" thickBot="1">
      <c r="A2" s="604">
        <v>1</v>
      </c>
      <c r="B2" s="605" t="s">
        <v>1445</v>
      </c>
      <c r="C2" s="606"/>
      <c r="D2" s="606"/>
      <c r="E2" s="606"/>
    </row>
    <row r="3" spans="1:5" ht="29.5" thickBot="1">
      <c r="A3" s="604" t="s">
        <v>1446</v>
      </c>
      <c r="B3" s="596" t="s">
        <v>1447</v>
      </c>
      <c r="C3" s="607">
        <v>45821</v>
      </c>
      <c r="D3" s="606" t="s">
        <v>1448</v>
      </c>
      <c r="E3" s="606" t="s">
        <v>1449</v>
      </c>
    </row>
    <row r="4" spans="1:5" ht="15" thickBot="1">
      <c r="A4" s="604" t="s">
        <v>1450</v>
      </c>
      <c r="B4" s="596" t="s">
        <v>1451</v>
      </c>
      <c r="C4" s="607">
        <v>45833</v>
      </c>
      <c r="D4" s="606" t="s">
        <v>1452</v>
      </c>
      <c r="E4" s="606" t="s">
        <v>1453</v>
      </c>
    </row>
    <row r="5" spans="1:5" ht="44" thickBot="1">
      <c r="A5" s="608" t="s">
        <v>1454</v>
      </c>
      <c r="B5" s="609" t="s">
        <v>1455</v>
      </c>
      <c r="C5" s="610">
        <v>45824</v>
      </c>
      <c r="D5" s="611" t="s">
        <v>1452</v>
      </c>
      <c r="E5" s="611" t="s">
        <v>1456</v>
      </c>
    </row>
    <row r="6" spans="1:5" ht="15" thickBot="1">
      <c r="A6" s="604">
        <v>2</v>
      </c>
      <c r="B6" s="605" t="s">
        <v>1377</v>
      </c>
      <c r="C6" s="606"/>
      <c r="D6" s="606"/>
      <c r="E6" s="606"/>
    </row>
    <row r="7" spans="1:5" ht="29.5" thickBot="1">
      <c r="A7" s="608" t="s">
        <v>1446</v>
      </c>
      <c r="B7" s="609" t="s">
        <v>1457</v>
      </c>
      <c r="C7" s="610">
        <v>45820</v>
      </c>
      <c r="D7" s="611" t="s">
        <v>1458</v>
      </c>
      <c r="E7" s="611" t="s">
        <v>1459</v>
      </c>
    </row>
    <row r="8" spans="1:5" ht="15" thickBot="1">
      <c r="A8" s="608" t="s">
        <v>1450</v>
      </c>
      <c r="B8" s="609" t="s">
        <v>1460</v>
      </c>
      <c r="C8" s="610">
        <v>45828</v>
      </c>
      <c r="D8" s="611" t="s">
        <v>1458</v>
      </c>
      <c r="E8" s="611" t="s">
        <v>1461</v>
      </c>
    </row>
    <row r="9" spans="1:5" ht="29.5" thickBot="1">
      <c r="A9" s="608" t="s">
        <v>1454</v>
      </c>
      <c r="B9" s="609" t="s">
        <v>1462</v>
      </c>
      <c r="C9" s="610">
        <v>46198</v>
      </c>
      <c r="D9" s="611" t="s">
        <v>1452</v>
      </c>
      <c r="E9" s="611" t="s">
        <v>1453</v>
      </c>
    </row>
    <row r="10" spans="1:5" ht="15" thickBot="1">
      <c r="A10" s="604">
        <v>3</v>
      </c>
      <c r="B10" s="605" t="s">
        <v>1463</v>
      </c>
      <c r="C10" s="606"/>
      <c r="D10" s="606"/>
      <c r="E10" s="606"/>
    </row>
    <row r="11" spans="1:5" ht="15" thickBot="1">
      <c r="A11" s="604" t="s">
        <v>1446</v>
      </c>
      <c r="B11" s="596" t="s">
        <v>1464</v>
      </c>
      <c r="C11" s="607">
        <v>45838</v>
      </c>
      <c r="D11" s="606" t="s">
        <v>1452</v>
      </c>
      <c r="E11" s="606" t="s">
        <v>1461</v>
      </c>
    </row>
    <row r="12" spans="1:5" ht="15" thickBot="1">
      <c r="A12" s="604" t="s">
        <v>1450</v>
      </c>
      <c r="B12" s="596" t="s">
        <v>1465</v>
      </c>
      <c r="C12" s="607">
        <v>45838</v>
      </c>
      <c r="D12" s="606" t="s">
        <v>1452</v>
      </c>
      <c r="E12" s="606" t="s">
        <v>1461</v>
      </c>
    </row>
    <row r="13" spans="1:5" ht="29.5" thickBot="1">
      <c r="A13" s="604" t="s">
        <v>1454</v>
      </c>
      <c r="B13" s="596" t="s">
        <v>1466</v>
      </c>
      <c r="C13" s="606" t="s">
        <v>1467</v>
      </c>
      <c r="D13" s="606" t="s">
        <v>1452</v>
      </c>
      <c r="E13" s="606" t="s">
        <v>1461</v>
      </c>
    </row>
    <row r="14" spans="1:5" ht="29.5" thickBot="1">
      <c r="A14" s="604" t="s">
        <v>1468</v>
      </c>
      <c r="B14" s="596" t="s">
        <v>1469</v>
      </c>
      <c r="C14" s="606" t="s">
        <v>1470</v>
      </c>
      <c r="D14" s="606" t="s">
        <v>1458</v>
      </c>
      <c r="E14" s="606" t="s">
        <v>1461</v>
      </c>
    </row>
    <row r="15" spans="1:5" ht="29.5" thickBot="1">
      <c r="A15" s="604" t="s">
        <v>1471</v>
      </c>
      <c r="B15" s="596" t="s">
        <v>1472</v>
      </c>
      <c r="C15" s="607">
        <v>45828</v>
      </c>
      <c r="D15" s="606" t="s">
        <v>1448</v>
      </c>
      <c r="E15" s="606" t="s">
        <v>1461</v>
      </c>
    </row>
    <row r="16" spans="1:5" ht="29.5" thickBot="1">
      <c r="A16" s="604" t="s">
        <v>1473</v>
      </c>
      <c r="B16" s="596" t="s">
        <v>1474</v>
      </c>
      <c r="C16" s="607">
        <v>45828</v>
      </c>
      <c r="D16" s="606" t="s">
        <v>1431</v>
      </c>
      <c r="E16" s="606" t="s">
        <v>1461</v>
      </c>
    </row>
    <row r="17" spans="1:5" ht="44" thickBot="1">
      <c r="A17" s="604">
        <v>4</v>
      </c>
      <c r="B17" s="596" t="s">
        <v>1475</v>
      </c>
      <c r="C17" s="607">
        <v>45820</v>
      </c>
      <c r="D17" s="606" t="s">
        <v>1452</v>
      </c>
      <c r="E17" s="606" t="s">
        <v>1461</v>
      </c>
    </row>
    <row r="18" spans="1:5" ht="44" thickBot="1">
      <c r="A18" s="604">
        <v>5</v>
      </c>
      <c r="B18" s="596" t="s">
        <v>1476</v>
      </c>
      <c r="C18" s="607">
        <v>45838</v>
      </c>
      <c r="D18" s="606" t="s">
        <v>1458</v>
      </c>
      <c r="E18" s="606" t="s">
        <v>1477</v>
      </c>
    </row>
    <row r="19" spans="1:5" ht="44" thickBot="1">
      <c r="A19" s="604">
        <v>6</v>
      </c>
      <c r="B19" s="596" t="s">
        <v>1478</v>
      </c>
      <c r="C19" s="606" t="s">
        <v>1467</v>
      </c>
      <c r="D19" s="606" t="s">
        <v>1452</v>
      </c>
      <c r="E19" s="606" t="s">
        <v>1461</v>
      </c>
    </row>
    <row r="20" spans="1:5" ht="58.5" thickBot="1">
      <c r="A20" s="604">
        <v>7</v>
      </c>
      <c r="B20" s="596" t="s">
        <v>1479</v>
      </c>
      <c r="C20" s="606" t="s">
        <v>1467</v>
      </c>
      <c r="D20" s="606" t="s">
        <v>1452</v>
      </c>
      <c r="E20" s="606" t="s">
        <v>1480</v>
      </c>
    </row>
    <row r="21" spans="1:5" ht="29.5" thickBot="1">
      <c r="A21" s="604">
        <v>8</v>
      </c>
      <c r="B21" s="596" t="s">
        <v>1481</v>
      </c>
      <c r="C21" s="607">
        <v>45838</v>
      </c>
      <c r="D21" s="606" t="s">
        <v>1452</v>
      </c>
      <c r="E21" s="606" t="s">
        <v>1102</v>
      </c>
    </row>
    <row r="22" spans="1:5" ht="15" thickBot="1">
      <c r="A22" s="604">
        <v>9</v>
      </c>
      <c r="B22" s="605" t="s">
        <v>1482</v>
      </c>
      <c r="C22" s="606"/>
      <c r="D22" s="606"/>
      <c r="E22" s="606"/>
    </row>
    <row r="23" spans="1:5" ht="29.5" thickBot="1">
      <c r="A23" s="604" t="s">
        <v>1446</v>
      </c>
      <c r="B23" s="596" t="s">
        <v>1483</v>
      </c>
      <c r="C23" s="606" t="s">
        <v>1470</v>
      </c>
      <c r="D23" s="606" t="s">
        <v>1452</v>
      </c>
      <c r="E23" s="606" t="s">
        <v>1102</v>
      </c>
    </row>
    <row r="24" spans="1:5" ht="29.5" thickBot="1">
      <c r="A24" s="604" t="s">
        <v>1450</v>
      </c>
      <c r="B24" s="596" t="s">
        <v>1484</v>
      </c>
      <c r="C24" s="606" t="s">
        <v>1102</v>
      </c>
      <c r="D24" s="606" t="s">
        <v>1452</v>
      </c>
      <c r="E24" s="606" t="s">
        <v>1102</v>
      </c>
    </row>
    <row r="25" spans="1:5" ht="44" thickBot="1">
      <c r="A25" s="604" t="s">
        <v>1454</v>
      </c>
      <c r="B25" s="596" t="s">
        <v>1485</v>
      </c>
      <c r="C25" s="606" t="s">
        <v>1467</v>
      </c>
      <c r="D25" s="606" t="s">
        <v>1458</v>
      </c>
      <c r="E25" s="606" t="s">
        <v>1486</v>
      </c>
    </row>
    <row r="26" spans="1:5" ht="29.5" thickBot="1">
      <c r="A26" s="604" t="s">
        <v>1468</v>
      </c>
      <c r="B26" s="596" t="s">
        <v>1487</v>
      </c>
      <c r="C26" s="607">
        <v>45821</v>
      </c>
      <c r="D26" s="606" t="s">
        <v>1452</v>
      </c>
      <c r="E26" s="606" t="s">
        <v>1461</v>
      </c>
    </row>
    <row r="27" spans="1:5" ht="29.5" thickBot="1">
      <c r="A27" s="604">
        <v>10</v>
      </c>
      <c r="B27" s="596" t="s">
        <v>1488</v>
      </c>
      <c r="C27" s="607">
        <v>45826</v>
      </c>
      <c r="D27" s="606" t="s">
        <v>1452</v>
      </c>
      <c r="E27" s="606" t="s">
        <v>1489</v>
      </c>
    </row>
    <row r="28" spans="1:5" ht="29.5" thickBot="1">
      <c r="A28" s="604">
        <v>11</v>
      </c>
      <c r="B28" s="596" t="s">
        <v>1490</v>
      </c>
      <c r="C28" s="607">
        <v>45824</v>
      </c>
      <c r="D28" s="606" t="s">
        <v>1452</v>
      </c>
      <c r="E28" s="606" t="s">
        <v>1491</v>
      </c>
    </row>
    <row r="29" spans="1:5" ht="29.5" thickBot="1">
      <c r="A29" s="604">
        <v>12</v>
      </c>
      <c r="B29" s="596" t="s">
        <v>1492</v>
      </c>
      <c r="C29" s="607">
        <v>45930</v>
      </c>
      <c r="D29" s="606" t="s">
        <v>1448</v>
      </c>
      <c r="E29" s="606" t="s">
        <v>1493</v>
      </c>
    </row>
    <row r="30" spans="1:5" ht="58.5" thickBot="1">
      <c r="A30" s="604">
        <v>13</v>
      </c>
      <c r="B30" s="596" t="s">
        <v>1494</v>
      </c>
      <c r="C30" s="607">
        <v>45848</v>
      </c>
      <c r="D30" s="606" t="s">
        <v>1452</v>
      </c>
      <c r="E30" s="606" t="s">
        <v>1495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1049" t="s">
        <v>17</v>
      </c>
    </row>
    <row r="4" spans="3:6" ht="29">
      <c r="C4" s="1047" t="s">
        <v>1645</v>
      </c>
      <c r="D4" s="436" t="s">
        <v>1380</v>
      </c>
      <c r="E4" s="436" t="s">
        <v>1381</v>
      </c>
      <c r="F4" s="1053" t="s">
        <v>34</v>
      </c>
    </row>
    <row r="5" spans="3:6">
      <c r="C5" s="1047">
        <v>1</v>
      </c>
      <c r="D5" s="336" t="s">
        <v>1500</v>
      </c>
      <c r="E5" s="555">
        <v>2.6179999999999999</v>
      </c>
      <c r="F5" s="310"/>
    </row>
    <row r="6" spans="3:6">
      <c r="C6" s="1047">
        <f t="shared" ref="C6:C11" si="0">C5+1</f>
        <v>2</v>
      </c>
      <c r="D6" s="336" t="s">
        <v>1655</v>
      </c>
      <c r="E6" s="555">
        <v>1.4279999999999999</v>
      </c>
      <c r="F6" s="310"/>
    </row>
    <row r="7" spans="3:6">
      <c r="C7" s="1047">
        <f t="shared" si="0"/>
        <v>3</v>
      </c>
      <c r="D7" s="336" t="s">
        <v>1656</v>
      </c>
      <c r="E7" s="555">
        <v>16.760000000000002</v>
      </c>
      <c r="F7" s="310"/>
    </row>
    <row r="8" spans="3:6">
      <c r="C8" s="1047">
        <f t="shared" si="0"/>
        <v>4</v>
      </c>
      <c r="D8" s="336" t="s">
        <v>1393</v>
      </c>
      <c r="E8" s="1051">
        <v>3.1869999999999998</v>
      </c>
      <c r="F8" s="310"/>
    </row>
    <row r="9" spans="3:6">
      <c r="C9" s="1047">
        <f t="shared" si="0"/>
        <v>5</v>
      </c>
      <c r="D9" s="336" t="s">
        <v>1549</v>
      </c>
      <c r="E9" s="555">
        <v>0.73199999999999998</v>
      </c>
      <c r="F9" s="310"/>
    </row>
    <row r="10" spans="3:6">
      <c r="C10" s="1047">
        <f t="shared" si="0"/>
        <v>6</v>
      </c>
      <c r="D10" s="336" t="s">
        <v>1550</v>
      </c>
      <c r="E10" s="818">
        <v>0.218</v>
      </c>
      <c r="F10" s="310"/>
    </row>
    <row r="11" spans="3:6">
      <c r="C11" s="1047">
        <f t="shared" si="0"/>
        <v>7</v>
      </c>
      <c r="D11" s="336" t="s">
        <v>1552</v>
      </c>
      <c r="E11" s="818">
        <v>0.57099999999999995</v>
      </c>
      <c r="F11" s="310"/>
    </row>
    <row r="12" spans="3:6">
      <c r="C12" s="310"/>
      <c r="D12" s="1050" t="s">
        <v>1416</v>
      </c>
      <c r="E12" s="360">
        <f>SUM(E5:E11)</f>
        <v>25.514000000000003</v>
      </c>
      <c r="F12" s="310"/>
    </row>
    <row r="14" spans="3:6">
      <c r="C14" s="1049" t="s">
        <v>1738</v>
      </c>
    </row>
    <row r="15" spans="3:6">
      <c r="C15" s="1046"/>
    </row>
    <row r="16" spans="3:6" ht="29">
      <c r="C16" s="1047" t="s">
        <v>1645</v>
      </c>
      <c r="D16" s="436" t="s">
        <v>1380</v>
      </c>
      <c r="E16" s="436" t="s">
        <v>1381</v>
      </c>
      <c r="F16" s="1481" t="s">
        <v>1741</v>
      </c>
    </row>
    <row r="17" spans="3:6">
      <c r="C17" s="1047"/>
      <c r="D17" s="436" t="s">
        <v>1739</v>
      </c>
      <c r="E17" s="436">
        <f>7584/1000</f>
        <v>7.5839999999999996</v>
      </c>
      <c r="F17" s="1481"/>
    </row>
    <row r="18" spans="3:6">
      <c r="C18" s="1047"/>
      <c r="D18" s="1052" t="s">
        <v>1740</v>
      </c>
      <c r="E18" s="436">
        <f>6951/1000</f>
        <v>6.9509999999999996</v>
      </c>
      <c r="F18" s="1481"/>
    </row>
    <row r="19" spans="3:6" ht="1" customHeight="1">
      <c r="C19" s="310"/>
      <c r="D19" s="1050" t="s">
        <v>1416</v>
      </c>
      <c r="E19" s="360">
        <f>SUM(E17:E18)</f>
        <v>14.535</v>
      </c>
      <c r="F19" s="1481"/>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0"/>
  <sheetViews>
    <sheetView zoomScale="85" zoomScaleNormal="85" workbookViewId="0">
      <selection activeCell="C1" sqref="C1"/>
    </sheetView>
  </sheetViews>
  <sheetFormatPr defaultColWidth="9" defaultRowHeight="14.5"/>
  <cols>
    <col min="2" max="2" width="11.1796875" customWidth="1"/>
    <col min="3" max="3" width="27.54296875" customWidth="1"/>
    <col min="4" max="4" width="38.54296875" bestFit="1" customWidth="1"/>
    <col min="5" max="5" width="24.08984375" customWidth="1"/>
    <col min="6" max="6" width="64.453125" bestFit="1" customWidth="1"/>
    <col min="7" max="7" width="79.1796875" bestFit="1" customWidth="1"/>
    <col min="8" max="8" width="50.453125" bestFit="1" customWidth="1"/>
    <col min="12" max="13" width="9" customWidth="1"/>
  </cols>
  <sheetData>
    <row r="1" spans="1:13" ht="41">
      <c r="A1" s="985" t="s">
        <v>26</v>
      </c>
      <c r="B1" s="985" t="s">
        <v>56</v>
      </c>
      <c r="C1" s="985" t="s">
        <v>57</v>
      </c>
      <c r="D1" s="1381" t="s">
        <v>58</v>
      </c>
      <c r="E1" s="1383"/>
      <c r="F1" s="985"/>
      <c r="G1" s="1381" t="s">
        <v>59</v>
      </c>
      <c r="H1" s="1382"/>
      <c r="I1" s="1383"/>
      <c r="J1" s="985"/>
      <c r="K1" s="985"/>
      <c r="L1" s="985"/>
      <c r="M1" s="985" t="s">
        <v>34</v>
      </c>
    </row>
    <row r="2" spans="1:13" ht="20.5">
      <c r="A2" s="986" t="s">
        <v>60</v>
      </c>
      <c r="B2" s="992" t="s">
        <v>61</v>
      </c>
      <c r="C2" s="987"/>
      <c r="D2" s="1384"/>
      <c r="E2" s="1384"/>
      <c r="F2" s="988"/>
      <c r="G2" s="989"/>
      <c r="H2" s="989"/>
      <c r="I2" s="989"/>
      <c r="J2" s="990"/>
      <c r="K2" s="990"/>
      <c r="L2" s="990"/>
      <c r="M2" s="991"/>
    </row>
    <row r="3" spans="1:13" ht="45">
      <c r="A3" s="1073">
        <v>1</v>
      </c>
      <c r="B3" s="1073" t="s">
        <v>1755</v>
      </c>
      <c r="C3" s="1073" t="s">
        <v>1581</v>
      </c>
      <c r="D3" s="1073" t="s">
        <v>1559</v>
      </c>
      <c r="E3" s="1073" t="s">
        <v>1558</v>
      </c>
      <c r="F3" s="1073" t="s">
        <v>1769</v>
      </c>
      <c r="G3" s="1074" t="s">
        <v>1794</v>
      </c>
      <c r="H3" s="1073"/>
      <c r="I3" s="1073"/>
      <c r="J3" s="1073"/>
      <c r="K3" s="1073"/>
      <c r="L3" s="1073"/>
      <c r="M3" s="1073"/>
    </row>
    <row r="4" spans="1:13" ht="45">
      <c r="A4" s="1073">
        <v>2</v>
      </c>
      <c r="B4" s="1073" t="s">
        <v>1756</v>
      </c>
      <c r="C4" s="1073" t="s">
        <v>1582</v>
      </c>
      <c r="D4" s="1073" t="s">
        <v>1337</v>
      </c>
      <c r="E4" s="1073" t="s">
        <v>1558</v>
      </c>
      <c r="F4" s="1073" t="s">
        <v>1769</v>
      </c>
      <c r="G4" s="1074" t="s">
        <v>1794</v>
      </c>
      <c r="H4" s="1073"/>
      <c r="I4" s="1073"/>
      <c r="J4" s="1073"/>
      <c r="K4" s="1073"/>
      <c r="L4" s="1073"/>
      <c r="M4" s="1073"/>
    </row>
    <row r="5" spans="1:13" ht="34" customHeight="1">
      <c r="A5" s="1073">
        <v>3</v>
      </c>
      <c r="B5" s="1073" t="s">
        <v>1757</v>
      </c>
      <c r="C5" s="1073" t="s">
        <v>1583</v>
      </c>
      <c r="D5" s="1073" t="s">
        <v>1337</v>
      </c>
      <c r="E5" s="1073" t="s">
        <v>1558</v>
      </c>
      <c r="F5" s="1073" t="s">
        <v>1769</v>
      </c>
      <c r="G5" s="1074" t="s">
        <v>1794</v>
      </c>
      <c r="H5" s="1073"/>
      <c r="I5" s="1073"/>
      <c r="J5" s="1073"/>
      <c r="K5" s="1073"/>
      <c r="L5" s="1073"/>
      <c r="M5" s="1073"/>
    </row>
    <row r="6" spans="1:13" ht="47.5" customHeight="1">
      <c r="A6" s="1073">
        <v>4</v>
      </c>
      <c r="B6" s="1073" t="s">
        <v>1560</v>
      </c>
      <c r="C6" s="1073" t="s">
        <v>1584</v>
      </c>
      <c r="D6" s="1073" t="s">
        <v>1337</v>
      </c>
      <c r="E6" s="1073" t="s">
        <v>1594</v>
      </c>
      <c r="F6" s="1073" t="s">
        <v>1768</v>
      </c>
      <c r="G6" s="1074" t="s">
        <v>1766</v>
      </c>
      <c r="H6" s="1073"/>
      <c r="I6" s="1073"/>
      <c r="J6" s="1073"/>
      <c r="K6" s="1073"/>
      <c r="L6" s="1073"/>
      <c r="M6" s="1073"/>
    </row>
    <row r="7" spans="1:13" ht="31" customHeight="1">
      <c r="A7" s="1073">
        <v>5</v>
      </c>
      <c r="B7" s="1073" t="s">
        <v>1561</v>
      </c>
      <c r="C7" s="1073" t="s">
        <v>1585</v>
      </c>
      <c r="D7" s="1073" t="s">
        <v>1337</v>
      </c>
      <c r="E7" s="1073"/>
      <c r="F7" s="1073" t="s">
        <v>1592</v>
      </c>
      <c r="G7" s="1391" t="s">
        <v>1771</v>
      </c>
      <c r="H7" s="1392"/>
      <c r="I7" s="1392"/>
      <c r="J7" s="1392"/>
      <c r="K7" s="1392"/>
      <c r="L7" s="1392"/>
      <c r="M7" s="1393"/>
    </row>
    <row r="8" spans="1:13" ht="31" customHeight="1">
      <c r="A8" s="1073">
        <v>6</v>
      </c>
      <c r="B8" s="1073" t="s">
        <v>1562</v>
      </c>
      <c r="C8" s="1073" t="s">
        <v>1586</v>
      </c>
      <c r="D8" s="1073" t="s">
        <v>1337</v>
      </c>
      <c r="E8" s="1073"/>
      <c r="F8" s="1073" t="s">
        <v>1592</v>
      </c>
      <c r="G8" s="1394"/>
      <c r="H8" s="1395"/>
      <c r="I8" s="1395"/>
      <c r="J8" s="1395"/>
      <c r="K8" s="1395"/>
      <c r="L8" s="1395"/>
      <c r="M8" s="1396"/>
    </row>
    <row r="9" spans="1:13" ht="45" customHeight="1">
      <c r="A9" s="1073">
        <v>7</v>
      </c>
      <c r="B9" s="1073" t="s">
        <v>1563</v>
      </c>
      <c r="C9" s="1073" t="s">
        <v>1587</v>
      </c>
      <c r="D9" s="1073" t="s">
        <v>1337</v>
      </c>
      <c r="E9" s="1073"/>
      <c r="F9" s="1073" t="s">
        <v>1592</v>
      </c>
      <c r="G9" s="1397"/>
      <c r="H9" s="1398"/>
      <c r="I9" s="1398"/>
      <c r="J9" s="1398"/>
      <c r="K9" s="1398"/>
      <c r="L9" s="1398"/>
      <c r="M9" s="1399"/>
    </row>
    <row r="10" spans="1:13" ht="31">
      <c r="A10" s="1073">
        <v>8</v>
      </c>
      <c r="B10" s="1073" t="s">
        <v>1564</v>
      </c>
      <c r="C10" s="1073" t="s">
        <v>1588</v>
      </c>
      <c r="D10" s="1073" t="s">
        <v>1337</v>
      </c>
      <c r="E10" s="1073"/>
      <c r="F10" s="1073" t="s">
        <v>1592</v>
      </c>
      <c r="G10" s="1074" t="s">
        <v>1792</v>
      </c>
      <c r="H10" s="1073"/>
      <c r="I10" s="1073"/>
      <c r="J10" s="1073"/>
      <c r="K10" s="1073"/>
      <c r="L10" s="1073"/>
      <c r="M10" s="1073"/>
    </row>
    <row r="11" spans="1:13" ht="31">
      <c r="A11" s="1073">
        <v>9</v>
      </c>
      <c r="B11" s="1073" t="s">
        <v>1565</v>
      </c>
      <c r="C11" s="1073" t="s">
        <v>1589</v>
      </c>
      <c r="D11" s="1073" t="s">
        <v>1337</v>
      </c>
      <c r="E11" s="1073"/>
      <c r="F11" s="1073" t="s">
        <v>1592</v>
      </c>
      <c r="G11" s="1073"/>
      <c r="H11" s="1073"/>
      <c r="I11" s="1073"/>
      <c r="J11" s="1073"/>
      <c r="K11" s="1073"/>
      <c r="L11" s="1073"/>
      <c r="M11" s="1073"/>
    </row>
    <row r="12" spans="1:13" ht="46.5">
      <c r="A12" s="1073">
        <v>10</v>
      </c>
      <c r="B12" s="1073" t="s">
        <v>1566</v>
      </c>
      <c r="C12" s="1073" t="s">
        <v>1590</v>
      </c>
      <c r="D12" s="1073" t="s">
        <v>1567</v>
      </c>
      <c r="E12" s="1073"/>
      <c r="F12" s="1073" t="s">
        <v>1592</v>
      </c>
      <c r="G12" s="1073"/>
      <c r="H12" s="1073"/>
      <c r="I12" s="1073"/>
      <c r="J12" s="1073"/>
      <c r="K12" s="1073"/>
      <c r="L12" s="1073"/>
      <c r="M12" s="1073"/>
    </row>
    <row r="13" spans="1:13" ht="31">
      <c r="A13" s="1073">
        <v>11</v>
      </c>
      <c r="B13" s="1073" t="s">
        <v>1568</v>
      </c>
      <c r="C13" s="1073" t="s">
        <v>1591</v>
      </c>
      <c r="D13" s="1073" t="s">
        <v>1567</v>
      </c>
      <c r="E13" s="1073" t="s">
        <v>1594</v>
      </c>
      <c r="F13" s="1073" t="s">
        <v>1767</v>
      </c>
      <c r="G13" s="1073" t="s">
        <v>1772</v>
      </c>
      <c r="H13" s="1073"/>
      <c r="I13" s="1073"/>
      <c r="J13" s="1073"/>
      <c r="K13" s="1073"/>
      <c r="L13" s="1073"/>
      <c r="M13" s="1073"/>
    </row>
    <row r="14" spans="1:13" ht="21">
      <c r="A14" s="1077" t="s">
        <v>63</v>
      </c>
      <c r="B14" s="1078" t="s">
        <v>64</v>
      </c>
      <c r="C14" s="1077"/>
      <c r="D14" s="1073"/>
      <c r="E14" s="1073"/>
      <c r="F14" s="1073"/>
      <c r="G14" s="1073"/>
      <c r="H14" s="1073"/>
      <c r="I14" s="1073"/>
      <c r="J14" s="1073"/>
      <c r="K14" s="1073"/>
      <c r="L14" s="1073"/>
      <c r="M14" s="1073"/>
    </row>
    <row r="15" spans="1:13" ht="31">
      <c r="A15" s="1073">
        <v>1</v>
      </c>
      <c r="B15" s="1073" t="s">
        <v>65</v>
      </c>
      <c r="C15" s="1073" t="s">
        <v>66</v>
      </c>
      <c r="D15" s="1073" t="s">
        <v>64</v>
      </c>
      <c r="E15" s="1073"/>
      <c r="F15" s="1073"/>
      <c r="G15" s="1073"/>
      <c r="H15" s="1073"/>
      <c r="I15" s="1073"/>
      <c r="J15" s="1073"/>
      <c r="K15" s="1073"/>
      <c r="L15" s="1073"/>
      <c r="M15" s="1073"/>
    </row>
    <row r="16" spans="1:13" ht="31">
      <c r="A16" s="1073">
        <v>2</v>
      </c>
      <c r="B16" s="1073" t="s">
        <v>67</v>
      </c>
      <c r="C16" s="1073" t="s">
        <v>68</v>
      </c>
      <c r="D16" s="1073" t="s">
        <v>64</v>
      </c>
      <c r="E16" s="1073"/>
      <c r="F16" s="1073"/>
      <c r="G16" s="1073"/>
      <c r="H16" s="1073"/>
      <c r="I16" s="1073"/>
      <c r="J16" s="1073"/>
      <c r="K16" s="1073"/>
      <c r="L16" s="1073"/>
      <c r="M16" s="1073"/>
    </row>
    <row r="17" spans="1:13" ht="31">
      <c r="A17" s="1073">
        <v>3</v>
      </c>
      <c r="B17" s="1073" t="s">
        <v>69</v>
      </c>
      <c r="C17" s="1073" t="s">
        <v>70</v>
      </c>
      <c r="D17" s="1073" t="s">
        <v>64</v>
      </c>
      <c r="E17" s="1073"/>
      <c r="F17" s="1073"/>
      <c r="G17" s="1073"/>
      <c r="H17" s="1073"/>
      <c r="I17" s="1073"/>
      <c r="J17" s="1073"/>
      <c r="K17" s="1073"/>
      <c r="L17" s="1073"/>
      <c r="M17" s="1073"/>
    </row>
    <row r="18" spans="1:13" ht="21">
      <c r="A18" s="1077" t="s">
        <v>71</v>
      </c>
      <c r="B18" s="1078" t="s">
        <v>72</v>
      </c>
      <c r="C18" s="1077"/>
      <c r="D18" s="1073"/>
      <c r="E18" s="1073"/>
      <c r="F18" s="1073"/>
      <c r="G18" s="1073"/>
      <c r="H18" s="1073"/>
      <c r="I18" s="1073"/>
      <c r="J18" s="1073"/>
      <c r="K18" s="1073"/>
      <c r="L18" s="1073"/>
      <c r="M18" s="1073"/>
    </row>
    <row r="19" spans="1:13" ht="14.5" customHeight="1">
      <c r="A19" s="1073">
        <v>1</v>
      </c>
      <c r="B19" s="1073" t="s">
        <v>73</v>
      </c>
      <c r="C19" s="1073" t="s">
        <v>74</v>
      </c>
      <c r="D19" s="1073" t="s">
        <v>1344</v>
      </c>
      <c r="E19" s="1073"/>
      <c r="F19" s="1073"/>
      <c r="G19" s="1073" t="s">
        <v>1773</v>
      </c>
      <c r="H19" s="1073"/>
      <c r="I19" s="1073"/>
      <c r="J19" s="1073"/>
      <c r="K19" s="1073"/>
      <c r="L19" s="1073"/>
      <c r="M19" s="1073"/>
    </row>
    <row r="20" spans="1:13" ht="31">
      <c r="A20" s="1073">
        <f>A19+1</f>
        <v>2</v>
      </c>
      <c r="B20" s="1073" t="s">
        <v>75</v>
      </c>
      <c r="C20" s="1073" t="s">
        <v>74</v>
      </c>
      <c r="D20" s="1073" t="s">
        <v>1593</v>
      </c>
      <c r="E20" s="1073"/>
      <c r="F20" s="1073"/>
      <c r="G20" s="1073"/>
      <c r="H20" s="1073"/>
      <c r="I20" s="1073"/>
      <c r="J20" s="1073"/>
      <c r="K20" s="1073"/>
      <c r="L20" s="1073"/>
      <c r="M20" s="1073"/>
    </row>
    <row r="21" spans="1:13" ht="41" customHeight="1">
      <c r="A21" s="1079" t="s">
        <v>44</v>
      </c>
      <c r="B21" s="1080" t="s">
        <v>76</v>
      </c>
      <c r="C21" s="1079"/>
      <c r="D21" s="1073"/>
      <c r="E21" s="1073"/>
      <c r="F21" s="1073"/>
      <c r="G21" s="1073"/>
      <c r="H21" s="1073"/>
      <c r="I21" s="1073"/>
      <c r="J21" s="1073"/>
      <c r="K21" s="1073"/>
      <c r="L21" s="1073"/>
      <c r="M21" s="1073"/>
    </row>
    <row r="22" spans="1:13" ht="41" customHeight="1">
      <c r="A22" s="1073">
        <v>1</v>
      </c>
      <c r="B22" s="1073" t="s">
        <v>1774</v>
      </c>
      <c r="C22" s="1073" t="s">
        <v>1775</v>
      </c>
      <c r="D22" s="1073" t="s">
        <v>1776</v>
      </c>
      <c r="E22" s="1073"/>
      <c r="F22" s="1073" t="s">
        <v>1777</v>
      </c>
      <c r="G22" s="1073"/>
      <c r="H22" s="1073"/>
      <c r="I22" s="1073"/>
      <c r="J22" s="1073"/>
      <c r="K22" s="1073"/>
      <c r="L22" s="1073"/>
      <c r="M22" s="1073"/>
    </row>
    <row r="23" spans="1:13" ht="31">
      <c r="A23" s="1073">
        <v>2</v>
      </c>
      <c r="B23" s="1073" t="s">
        <v>1778</v>
      </c>
      <c r="C23" s="1073" t="s">
        <v>1779</v>
      </c>
      <c r="D23" s="1073" t="s">
        <v>1776</v>
      </c>
      <c r="E23" s="1073"/>
      <c r="F23" s="1073"/>
      <c r="G23" s="1073"/>
      <c r="H23" s="1073"/>
      <c r="I23" s="1073"/>
      <c r="J23" s="1073"/>
      <c r="K23" s="1073"/>
      <c r="L23" s="1073"/>
      <c r="M23" s="1073"/>
    </row>
    <row r="24" spans="1:13" ht="31">
      <c r="A24" s="1073">
        <v>3</v>
      </c>
      <c r="B24" s="1073" t="s">
        <v>1780</v>
      </c>
      <c r="C24" s="1073" t="s">
        <v>1781</v>
      </c>
      <c r="D24" s="1073" t="s">
        <v>1776</v>
      </c>
      <c r="E24" s="1073" t="s">
        <v>1793</v>
      </c>
      <c r="F24" s="1073"/>
      <c r="G24" s="1073"/>
      <c r="H24" s="1073"/>
      <c r="I24" s="1073"/>
      <c r="J24" s="1073"/>
      <c r="K24" s="1073"/>
      <c r="L24" s="1073"/>
      <c r="M24" s="1073"/>
    </row>
    <row r="25" spans="1:13" ht="14.5" customHeight="1">
      <c r="A25" s="1073">
        <v>4</v>
      </c>
      <c r="B25" s="1073" t="s">
        <v>1782</v>
      </c>
      <c r="C25" s="1073" t="s">
        <v>1783</v>
      </c>
      <c r="D25" s="1073" t="s">
        <v>1776</v>
      </c>
      <c r="E25" s="1073"/>
      <c r="F25" s="1073"/>
      <c r="G25" s="1073"/>
      <c r="H25" s="1073"/>
      <c r="I25" s="1073"/>
      <c r="J25" s="1073"/>
      <c r="K25" s="1073"/>
      <c r="L25" s="1073"/>
      <c r="M25" s="1073"/>
    </row>
    <row r="26" spans="1:13" ht="31">
      <c r="A26" s="1073">
        <v>5</v>
      </c>
      <c r="B26" s="1073" t="s">
        <v>1784</v>
      </c>
      <c r="C26" s="1073" t="s">
        <v>1785</v>
      </c>
      <c r="D26" s="1073" t="s">
        <v>1776</v>
      </c>
      <c r="E26" s="1073"/>
      <c r="F26" s="1073"/>
      <c r="G26" s="1073"/>
      <c r="H26" s="1073"/>
      <c r="I26" s="1073"/>
      <c r="J26" s="1073"/>
      <c r="K26" s="1073"/>
      <c r="L26" s="1073"/>
      <c r="M26" s="1073"/>
    </row>
    <row r="27" spans="1:13" ht="29" customHeight="1">
      <c r="A27" s="1073">
        <v>6</v>
      </c>
      <c r="B27" s="1073" t="s">
        <v>1345</v>
      </c>
      <c r="C27" s="1073" t="s">
        <v>1786</v>
      </c>
      <c r="D27" s="1073"/>
      <c r="E27" s="1073"/>
      <c r="F27" s="1073" t="s">
        <v>1787</v>
      </c>
      <c r="G27" s="1073"/>
      <c r="H27" s="1073"/>
      <c r="I27" s="1073"/>
      <c r="J27" s="1073"/>
      <c r="K27" s="1073"/>
      <c r="L27" s="1073"/>
      <c r="M27" s="1073"/>
    </row>
    <row r="28" spans="1:13" ht="35" customHeight="1">
      <c r="A28" s="1081" t="s">
        <v>46</v>
      </c>
      <c r="B28" s="1082" t="s">
        <v>1315</v>
      </c>
      <c r="C28" s="1073"/>
      <c r="D28" s="1073"/>
      <c r="E28" s="1073"/>
      <c r="F28" s="1073"/>
      <c r="G28" s="1073"/>
      <c r="H28" s="1073"/>
      <c r="I28" s="1073"/>
      <c r="J28" s="1073"/>
      <c r="K28" s="1073"/>
      <c r="L28" s="1073"/>
      <c r="M28" s="1073"/>
    </row>
    <row r="29" spans="1:13" ht="31">
      <c r="A29" s="1073">
        <v>1</v>
      </c>
      <c r="B29" s="1073" t="s">
        <v>1316</v>
      </c>
      <c r="C29" s="1073"/>
      <c r="D29" s="1073" t="s">
        <v>1346</v>
      </c>
      <c r="E29" s="1073"/>
      <c r="F29" s="1073"/>
      <c r="G29" s="1073" t="s">
        <v>1795</v>
      </c>
      <c r="H29" s="1073"/>
      <c r="I29" s="1073"/>
      <c r="J29" s="1073"/>
      <c r="K29" s="1073"/>
      <c r="L29" s="1073"/>
      <c r="M29" s="1073"/>
    </row>
    <row r="30" spans="1:13" ht="46.5">
      <c r="A30" s="1073">
        <f>A29+1</f>
        <v>2</v>
      </c>
      <c r="B30" s="1073" t="s">
        <v>1317</v>
      </c>
      <c r="C30" s="1073"/>
      <c r="D30" s="1073" t="s">
        <v>1351</v>
      </c>
      <c r="E30" s="1073"/>
      <c r="F30" s="1073"/>
      <c r="G30" s="1075" t="s">
        <v>1788</v>
      </c>
      <c r="H30" s="1073"/>
      <c r="I30" s="1073"/>
      <c r="J30" s="1073"/>
      <c r="K30" s="1073"/>
      <c r="L30" s="1073"/>
      <c r="M30" s="1073"/>
    </row>
    <row r="31" spans="1:13" ht="46.5">
      <c r="A31" s="1073">
        <f t="shared" ref="A31:A33" si="0">A30+1</f>
        <v>3</v>
      </c>
      <c r="B31" s="1073" t="s">
        <v>1318</v>
      </c>
      <c r="C31" s="1073"/>
      <c r="D31" s="1073" t="s">
        <v>1347</v>
      </c>
      <c r="E31" s="1073"/>
      <c r="F31" s="1073"/>
      <c r="G31" s="1075" t="s">
        <v>1789</v>
      </c>
      <c r="H31" s="1073"/>
      <c r="I31" s="1073"/>
      <c r="J31" s="1073"/>
      <c r="K31" s="1073"/>
      <c r="L31" s="1073"/>
      <c r="M31" s="1073"/>
    </row>
    <row r="32" spans="1:13" ht="46.5">
      <c r="A32" s="1073">
        <f t="shared" si="0"/>
        <v>4</v>
      </c>
      <c r="B32" s="1073" t="s">
        <v>1314</v>
      </c>
      <c r="C32" s="1073"/>
      <c r="D32" s="1073" t="s">
        <v>1348</v>
      </c>
      <c r="E32" s="1073"/>
      <c r="F32" s="1073"/>
      <c r="G32" s="1075" t="s">
        <v>1790</v>
      </c>
      <c r="H32" s="1073"/>
      <c r="I32" s="1073"/>
      <c r="J32" s="1073"/>
      <c r="K32" s="1073"/>
      <c r="L32" s="1073"/>
      <c r="M32" s="1073"/>
    </row>
    <row r="33" spans="1:13" ht="46.5">
      <c r="A33" s="1073">
        <f t="shared" si="0"/>
        <v>5</v>
      </c>
      <c r="B33" s="1073" t="s">
        <v>1319</v>
      </c>
      <c r="C33" s="1073"/>
      <c r="D33" s="1073" t="s">
        <v>1349</v>
      </c>
      <c r="E33" s="1073"/>
      <c r="F33" s="1073"/>
      <c r="G33" s="1075" t="s">
        <v>1788</v>
      </c>
      <c r="H33" s="1073"/>
      <c r="I33" s="1073"/>
      <c r="J33" s="1073"/>
      <c r="K33" s="1073"/>
      <c r="L33" s="1073"/>
      <c r="M33" s="1073"/>
    </row>
    <row r="34" spans="1:13" ht="57.5">
      <c r="A34" s="1073">
        <v>6</v>
      </c>
      <c r="B34" s="1073" t="s">
        <v>1320</v>
      </c>
      <c r="C34" s="1073"/>
      <c r="D34" s="1073" t="s">
        <v>1665</v>
      </c>
      <c r="E34" s="1073"/>
      <c r="F34" s="1073"/>
      <c r="G34" s="1076" t="s">
        <v>1791</v>
      </c>
      <c r="H34" s="1073"/>
      <c r="I34" s="1073"/>
      <c r="J34" s="1073"/>
      <c r="K34" s="1073"/>
      <c r="L34" s="1073"/>
      <c r="M34" s="1073"/>
    </row>
    <row r="42" spans="1:13" ht="16">
      <c r="C42" s="908"/>
      <c r="D42" s="908"/>
      <c r="E42" s="908"/>
      <c r="F42" s="908"/>
    </row>
    <row r="43" spans="1:13" ht="16">
      <c r="C43" s="908"/>
      <c r="D43" s="909"/>
      <c r="E43" s="910"/>
      <c r="F43" s="910"/>
    </row>
    <row r="44" spans="1:13" ht="16">
      <c r="C44" s="908"/>
      <c r="D44" s="909"/>
      <c r="E44" s="910"/>
      <c r="F44" s="910"/>
    </row>
    <row r="45" spans="1:13" ht="16">
      <c r="C45" s="908"/>
      <c r="D45" s="909"/>
      <c r="E45" s="910"/>
      <c r="F45" s="910"/>
    </row>
    <row r="46" spans="1:13" ht="16">
      <c r="C46" s="908"/>
      <c r="D46" s="909"/>
      <c r="E46" s="910"/>
      <c r="F46" s="910"/>
    </row>
    <row r="47" spans="1:13" ht="16">
      <c r="C47" s="908"/>
      <c r="D47" s="909"/>
      <c r="E47" s="910"/>
      <c r="F47" s="910"/>
    </row>
    <row r="48" spans="1:13" ht="16">
      <c r="C48" s="908"/>
      <c r="D48" s="911"/>
      <c r="E48" s="912"/>
      <c r="F48" s="910"/>
    </row>
    <row r="182" spans="2:2">
      <c r="B182" s="310"/>
    </row>
    <row r="183" spans="2:2">
      <c r="B183" s="310"/>
    </row>
    <row r="184" spans="2:2">
      <c r="B184" s="310"/>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299" spans="29:29">
      <c r="AC299">
        <v>185</v>
      </c>
    </row>
    <row r="300" spans="29:29">
      <c r="AC300">
        <v>5</v>
      </c>
    </row>
  </sheetData>
  <protectedRanges>
    <protectedRange sqref="L9:M16 C25:C26 A29:A33 B27:E27 F14:G21 J11:K16 I11 I13:I16 B14:E24 A1:M2 H7:K9 A14:A27 H3:M6" name="Range1_6"/>
    <protectedRange sqref="B28" name="Range1_1_1_3"/>
    <protectedRange sqref="B29:B33" name="Range1_3_2_3"/>
    <protectedRange sqref="D34" name="Range1_4_3"/>
  </protectedRanges>
  <mergeCells count="4">
    <mergeCell ref="D1:E1"/>
    <mergeCell ref="G1:I1"/>
    <mergeCell ref="D2:E2"/>
    <mergeCell ref="G7:M9"/>
  </mergeCells>
  <phoneticPr fontId="195" type="noConversion"/>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1" t="s">
        <v>218</v>
      </c>
      <c r="C1" s="322"/>
      <c r="D1" s="321"/>
      <c r="E1" s="322"/>
      <c r="F1" s="322"/>
      <c r="G1" s="322"/>
      <c r="H1" s="321"/>
      <c r="I1" s="321"/>
      <c r="J1" s="57">
        <f>SUBTOTAL(3,J5:J24)</f>
        <v>18</v>
      </c>
      <c r="K1" s="321"/>
      <c r="L1" s="321"/>
    </row>
    <row r="2" spans="2:12">
      <c r="B2" s="1482" t="s">
        <v>203</v>
      </c>
      <c r="C2" s="1482" t="s">
        <v>204</v>
      </c>
      <c r="D2" s="1484" t="s">
        <v>219</v>
      </c>
      <c r="E2" s="1482" t="s">
        <v>205</v>
      </c>
      <c r="F2" s="1483" t="s">
        <v>220</v>
      </c>
      <c r="G2" s="1482" t="s">
        <v>221</v>
      </c>
      <c r="H2" s="1482"/>
      <c r="I2" s="1482"/>
      <c r="J2" s="1482"/>
      <c r="K2" s="1482"/>
      <c r="L2" s="321"/>
    </row>
    <row r="3" spans="2:12" ht="26">
      <c r="B3" s="1483"/>
      <c r="C3" s="1483"/>
      <c r="D3" s="1484"/>
      <c r="E3" s="1483"/>
      <c r="F3" s="1485"/>
      <c r="G3" s="1483"/>
      <c r="H3" s="312" t="s">
        <v>222</v>
      </c>
      <c r="I3" s="312" t="s">
        <v>208</v>
      </c>
      <c r="J3" s="311" t="s">
        <v>223</v>
      </c>
      <c r="K3" s="311" t="s">
        <v>224</v>
      </c>
      <c r="L3" s="311" t="s">
        <v>34</v>
      </c>
    </row>
    <row r="4" spans="2:12" ht="26">
      <c r="B4" s="323">
        <v>1</v>
      </c>
      <c r="C4" s="309" t="s">
        <v>225</v>
      </c>
      <c r="D4" s="309" t="s">
        <v>225</v>
      </c>
      <c r="E4" s="309" t="s">
        <v>185</v>
      </c>
      <c r="F4" s="309"/>
      <c r="G4" s="309" t="s">
        <v>210</v>
      </c>
      <c r="H4" s="314">
        <v>45665</v>
      </c>
      <c r="I4" s="314">
        <v>45674</v>
      </c>
      <c r="J4" s="309" t="s">
        <v>226</v>
      </c>
      <c r="K4" s="343">
        <v>45674</v>
      </c>
      <c r="L4" s="344" t="s">
        <v>103</v>
      </c>
    </row>
    <row r="5" spans="2:12" ht="26">
      <c r="B5" s="325">
        <f>B4+1</f>
        <v>2</v>
      </c>
      <c r="C5" s="325" t="s">
        <v>227</v>
      </c>
      <c r="D5" s="309" t="s">
        <v>227</v>
      </c>
      <c r="E5" s="309" t="s">
        <v>182</v>
      </c>
      <c r="F5" s="309"/>
      <c r="G5" s="309" t="s">
        <v>210</v>
      </c>
      <c r="H5" s="314">
        <v>45675</v>
      </c>
      <c r="I5" s="345" t="s">
        <v>228</v>
      </c>
      <c r="J5" s="309" t="s">
        <v>226</v>
      </c>
      <c r="K5" s="345" t="s">
        <v>229</v>
      </c>
      <c r="L5" s="327" t="s">
        <v>230</v>
      </c>
    </row>
    <row r="6" spans="2:12">
      <c r="B6" s="325">
        <f t="shared" ref="B6:B29" si="0">B5+1</f>
        <v>3</v>
      </c>
      <c r="C6" s="325" t="s">
        <v>231</v>
      </c>
      <c r="D6" s="326" t="s">
        <v>231</v>
      </c>
      <c r="E6" s="309" t="s">
        <v>182</v>
      </c>
      <c r="F6" s="309"/>
      <c r="G6" s="309" t="s">
        <v>210</v>
      </c>
      <c r="H6" s="314">
        <v>45675</v>
      </c>
      <c r="I6" s="314">
        <v>45684</v>
      </c>
      <c r="J6" s="309" t="s">
        <v>232</v>
      </c>
      <c r="K6" s="345"/>
      <c r="L6" s="344" t="s">
        <v>233</v>
      </c>
    </row>
    <row r="7" spans="2:12">
      <c r="B7" s="325">
        <f t="shared" si="0"/>
        <v>4</v>
      </c>
      <c r="C7" s="326" t="s">
        <v>209</v>
      </c>
      <c r="D7" s="327"/>
      <c r="E7" s="309" t="s">
        <v>182</v>
      </c>
      <c r="F7" s="325"/>
      <c r="G7" s="309" t="s">
        <v>210</v>
      </c>
      <c r="H7" s="314">
        <v>45685</v>
      </c>
      <c r="I7" s="314">
        <v>45690</v>
      </c>
      <c r="J7" s="309" t="s">
        <v>232</v>
      </c>
      <c r="K7" s="346"/>
      <c r="L7" s="344" t="s">
        <v>211</v>
      </c>
    </row>
    <row r="8" spans="2:12">
      <c r="B8" s="325">
        <f t="shared" si="0"/>
        <v>5</v>
      </c>
      <c r="C8" s="326" t="s">
        <v>212</v>
      </c>
      <c r="D8" s="327"/>
      <c r="E8" s="309" t="s">
        <v>182</v>
      </c>
      <c r="F8" s="325"/>
      <c r="G8" s="309" t="s">
        <v>210</v>
      </c>
      <c r="H8" s="314">
        <v>45685</v>
      </c>
      <c r="I8" s="314">
        <v>45693</v>
      </c>
      <c r="J8" s="309" t="s">
        <v>232</v>
      </c>
      <c r="K8" s="346"/>
      <c r="L8" s="344" t="s">
        <v>234</v>
      </c>
    </row>
    <row r="9" spans="2:12" ht="39">
      <c r="B9" s="325">
        <f t="shared" si="0"/>
        <v>6</v>
      </c>
      <c r="C9" s="326" t="s">
        <v>213</v>
      </c>
      <c r="D9" s="327"/>
      <c r="E9" s="309" t="s">
        <v>182</v>
      </c>
      <c r="F9" s="325"/>
      <c r="G9" s="309" t="s">
        <v>210</v>
      </c>
      <c r="H9" s="314">
        <v>45686</v>
      </c>
      <c r="I9" s="314">
        <v>45693</v>
      </c>
      <c r="J9" s="309" t="s">
        <v>235</v>
      </c>
      <c r="K9" s="346"/>
      <c r="L9" s="344" t="s">
        <v>211</v>
      </c>
    </row>
    <row r="10" spans="2:12" ht="39">
      <c r="B10" s="325">
        <f t="shared" si="0"/>
        <v>7</v>
      </c>
      <c r="C10" s="326" t="s">
        <v>214</v>
      </c>
      <c r="D10" s="327"/>
      <c r="E10" s="309" t="s">
        <v>185</v>
      </c>
      <c r="F10" s="325"/>
      <c r="G10" s="309" t="s">
        <v>210</v>
      </c>
      <c r="H10" s="314">
        <v>45691</v>
      </c>
      <c r="I10" s="314">
        <v>45698</v>
      </c>
      <c r="J10" s="309" t="s">
        <v>235</v>
      </c>
      <c r="K10" s="346"/>
      <c r="L10" s="344" t="s">
        <v>234</v>
      </c>
    </row>
    <row r="11" spans="2:12" ht="39">
      <c r="B11" s="325">
        <f t="shared" si="0"/>
        <v>8</v>
      </c>
      <c r="C11" s="326" t="s">
        <v>236</v>
      </c>
      <c r="D11" s="327"/>
      <c r="E11" s="309" t="s">
        <v>182</v>
      </c>
      <c r="F11" s="325"/>
      <c r="G11" s="309" t="s">
        <v>210</v>
      </c>
      <c r="H11" s="314">
        <v>45697</v>
      </c>
      <c r="I11" s="314">
        <v>45705</v>
      </c>
      <c r="J11" s="309" t="s">
        <v>235</v>
      </c>
      <c r="K11" s="346"/>
      <c r="L11" s="344" t="s">
        <v>234</v>
      </c>
    </row>
    <row r="12" spans="2:12" ht="39">
      <c r="B12" s="325">
        <f t="shared" si="0"/>
        <v>9</v>
      </c>
      <c r="C12" s="326" t="s">
        <v>237</v>
      </c>
      <c r="D12" s="327"/>
      <c r="E12" s="309" t="s">
        <v>182</v>
      </c>
      <c r="F12" s="325"/>
      <c r="G12" s="309" t="s">
        <v>210</v>
      </c>
      <c r="H12" s="314">
        <v>45700</v>
      </c>
      <c r="I12" s="314">
        <v>45706</v>
      </c>
      <c r="J12" s="309" t="s">
        <v>235</v>
      </c>
      <c r="K12" s="346"/>
      <c r="L12" s="344" t="s">
        <v>234</v>
      </c>
    </row>
    <row r="13" spans="2:12" ht="39">
      <c r="B13" s="325">
        <f t="shared" si="0"/>
        <v>10</v>
      </c>
      <c r="C13" s="326" t="s">
        <v>215</v>
      </c>
      <c r="D13" s="327"/>
      <c r="E13" s="309" t="s">
        <v>182</v>
      </c>
      <c r="F13" s="325"/>
      <c r="G13" s="309" t="s">
        <v>210</v>
      </c>
      <c r="H13" s="314">
        <v>45691</v>
      </c>
      <c r="I13" s="314">
        <v>45699</v>
      </c>
      <c r="J13" s="309" t="s">
        <v>238</v>
      </c>
      <c r="K13" s="346"/>
      <c r="L13" s="344" t="s">
        <v>234</v>
      </c>
    </row>
    <row r="14" spans="2:12">
      <c r="B14" s="325">
        <f t="shared" si="0"/>
        <v>11</v>
      </c>
      <c r="C14" s="326" t="s">
        <v>216</v>
      </c>
      <c r="D14" s="327"/>
      <c r="E14" s="309" t="s">
        <v>185</v>
      </c>
      <c r="F14" s="325"/>
      <c r="G14" s="309" t="s">
        <v>210</v>
      </c>
      <c r="H14" s="314">
        <v>45691</v>
      </c>
      <c r="I14" s="314">
        <v>45697</v>
      </c>
      <c r="J14" s="309" t="s">
        <v>232</v>
      </c>
      <c r="K14" s="346"/>
      <c r="L14" s="344" t="s">
        <v>211</v>
      </c>
    </row>
    <row r="15" spans="2:12">
      <c r="B15" s="325">
        <f t="shared" si="0"/>
        <v>12</v>
      </c>
      <c r="C15" s="326" t="s">
        <v>239</v>
      </c>
      <c r="D15" s="327"/>
      <c r="E15" s="309" t="s">
        <v>182</v>
      </c>
      <c r="F15" s="325"/>
      <c r="G15" s="309" t="s">
        <v>210</v>
      </c>
      <c r="H15" s="314">
        <v>45696</v>
      </c>
      <c r="I15" s="314">
        <v>45702</v>
      </c>
      <c r="J15" s="309" t="s">
        <v>232</v>
      </c>
      <c r="K15" s="346"/>
      <c r="L15" s="344" t="s">
        <v>234</v>
      </c>
    </row>
    <row r="16" spans="2:12" ht="39">
      <c r="B16" s="325">
        <f t="shared" si="0"/>
        <v>13</v>
      </c>
      <c r="C16" s="326" t="s">
        <v>240</v>
      </c>
      <c r="D16" s="327"/>
      <c r="E16" s="309" t="s">
        <v>185</v>
      </c>
      <c r="F16" s="325"/>
      <c r="G16" s="309" t="s">
        <v>210</v>
      </c>
      <c r="H16" s="314">
        <v>42046</v>
      </c>
      <c r="I16" s="314">
        <v>45705</v>
      </c>
      <c r="J16" s="309" t="s">
        <v>238</v>
      </c>
      <c r="K16" s="346"/>
      <c r="L16" s="344" t="s">
        <v>234</v>
      </c>
    </row>
    <row r="17" spans="2:12">
      <c r="B17" s="325">
        <f t="shared" si="0"/>
        <v>14</v>
      </c>
      <c r="C17" s="326" t="s">
        <v>241</v>
      </c>
      <c r="D17" s="327"/>
      <c r="E17" s="309" t="s">
        <v>242</v>
      </c>
      <c r="F17" s="325"/>
      <c r="G17" s="309" t="s">
        <v>210</v>
      </c>
      <c r="H17" s="314">
        <v>45701</v>
      </c>
      <c r="I17" s="345"/>
      <c r="J17" s="309" t="s">
        <v>232</v>
      </c>
      <c r="K17" s="346"/>
      <c r="L17" s="347" t="s">
        <v>243</v>
      </c>
    </row>
    <row r="18" spans="2:12" ht="39">
      <c r="B18" s="325">
        <f t="shared" si="0"/>
        <v>15</v>
      </c>
      <c r="C18" s="326" t="s">
        <v>244</v>
      </c>
      <c r="D18" s="327"/>
      <c r="E18" s="309" t="s">
        <v>182</v>
      </c>
      <c r="F18" s="325"/>
      <c r="G18" s="309" t="s">
        <v>210</v>
      </c>
      <c r="H18" s="314">
        <v>45698</v>
      </c>
      <c r="I18" s="345"/>
      <c r="J18" s="309" t="s">
        <v>245</v>
      </c>
      <c r="K18" s="346"/>
      <c r="L18" s="347" t="s">
        <v>246</v>
      </c>
    </row>
    <row r="19" spans="2:12" ht="39">
      <c r="B19" s="325">
        <f t="shared" si="0"/>
        <v>16</v>
      </c>
      <c r="C19" s="326" t="s">
        <v>247</v>
      </c>
      <c r="D19" s="327"/>
      <c r="E19" s="309" t="s">
        <v>248</v>
      </c>
      <c r="F19" s="325"/>
      <c r="G19" s="309" t="s">
        <v>210</v>
      </c>
      <c r="H19" s="314">
        <v>45705</v>
      </c>
      <c r="I19" s="345"/>
      <c r="J19" s="309" t="s">
        <v>249</v>
      </c>
      <c r="K19" s="346"/>
      <c r="L19" s="347" t="s">
        <v>250</v>
      </c>
    </row>
    <row r="20" spans="2:12" ht="39">
      <c r="B20" s="325">
        <f t="shared" si="0"/>
        <v>17</v>
      </c>
      <c r="C20" s="326" t="s">
        <v>251</v>
      </c>
      <c r="D20" s="327"/>
      <c r="E20" s="309" t="s">
        <v>248</v>
      </c>
      <c r="F20" s="325"/>
      <c r="G20" s="309" t="s">
        <v>210</v>
      </c>
      <c r="H20" s="314">
        <v>45705</v>
      </c>
      <c r="I20" s="345"/>
      <c r="J20" s="309" t="s">
        <v>235</v>
      </c>
      <c r="K20" s="346"/>
      <c r="L20" s="347" t="s">
        <v>252</v>
      </c>
    </row>
    <row r="21" spans="2:12" ht="39">
      <c r="B21" s="325">
        <f t="shared" si="0"/>
        <v>18</v>
      </c>
      <c r="C21" s="326" t="s">
        <v>253</v>
      </c>
      <c r="D21" s="327"/>
      <c r="E21" s="309" t="s">
        <v>248</v>
      </c>
      <c r="F21" s="325"/>
      <c r="G21" s="309" t="s">
        <v>210</v>
      </c>
      <c r="H21" s="314">
        <v>45705</v>
      </c>
      <c r="I21" s="345"/>
      <c r="J21" s="309" t="s">
        <v>254</v>
      </c>
      <c r="K21" s="346"/>
      <c r="L21" s="347" t="s">
        <v>252</v>
      </c>
    </row>
    <row r="22" spans="2:12" ht="39">
      <c r="B22" s="325">
        <f t="shared" si="0"/>
        <v>19</v>
      </c>
      <c r="C22" s="326" t="s">
        <v>217</v>
      </c>
      <c r="D22" s="327"/>
      <c r="E22" s="309" t="s">
        <v>182</v>
      </c>
      <c r="F22" s="325"/>
      <c r="G22" s="309" t="s">
        <v>210</v>
      </c>
      <c r="H22" s="336"/>
      <c r="I22" s="345"/>
      <c r="J22" s="309" t="s">
        <v>255</v>
      </c>
      <c r="K22" s="346"/>
      <c r="L22" s="327" t="s">
        <v>256</v>
      </c>
    </row>
    <row r="23" spans="2:12">
      <c r="B23" s="325">
        <f t="shared" si="0"/>
        <v>20</v>
      </c>
      <c r="C23" s="337" t="s">
        <v>257</v>
      </c>
      <c r="D23" s="338"/>
      <c r="E23" s="339"/>
      <c r="F23" s="340"/>
      <c r="G23" s="341"/>
      <c r="H23" s="338"/>
      <c r="I23" s="340"/>
      <c r="J23" s="341"/>
      <c r="K23" s="338"/>
      <c r="L23" s="348"/>
    </row>
    <row r="24" spans="2:12">
      <c r="B24" s="325">
        <f t="shared" si="0"/>
        <v>21</v>
      </c>
      <c r="C24" s="337" t="s">
        <v>258</v>
      </c>
      <c r="D24" s="338"/>
      <c r="E24" s="339"/>
      <c r="F24" s="340"/>
      <c r="G24" s="339"/>
      <c r="H24" s="338"/>
      <c r="I24" s="340"/>
      <c r="J24" s="339"/>
      <c r="K24" s="338"/>
      <c r="L24" s="348"/>
    </row>
    <row r="25" spans="2:12">
      <c r="B25" s="325">
        <f t="shared" si="0"/>
        <v>22</v>
      </c>
      <c r="C25" s="342" t="s">
        <v>259</v>
      </c>
      <c r="D25" s="338"/>
      <c r="E25" s="342"/>
      <c r="F25" s="340"/>
      <c r="G25" s="342"/>
      <c r="H25" s="338"/>
      <c r="I25" s="340"/>
      <c r="J25" s="342"/>
      <c r="K25" s="338"/>
      <c r="L25" s="348"/>
    </row>
    <row r="26" spans="2:12">
      <c r="B26" s="325">
        <f t="shared" si="0"/>
        <v>23</v>
      </c>
      <c r="C26" s="342" t="s">
        <v>260</v>
      </c>
      <c r="D26" s="338"/>
      <c r="E26" s="342"/>
      <c r="F26" s="342"/>
      <c r="G26" s="342"/>
      <c r="H26" s="338"/>
      <c r="I26" s="342"/>
      <c r="J26" s="342"/>
      <c r="K26" s="338"/>
      <c r="L26" s="348"/>
    </row>
    <row r="27" spans="2:12">
      <c r="B27" s="325">
        <f t="shared" si="0"/>
        <v>24</v>
      </c>
      <c r="C27" s="342" t="s">
        <v>261</v>
      </c>
      <c r="D27" s="338"/>
      <c r="E27" s="342"/>
      <c r="F27" s="342"/>
      <c r="G27" s="342"/>
      <c r="H27" s="338"/>
      <c r="I27" s="342"/>
      <c r="J27" s="342"/>
      <c r="K27" s="338"/>
      <c r="L27" s="348"/>
    </row>
    <row r="28" spans="2:12">
      <c r="B28" s="325">
        <f t="shared" si="0"/>
        <v>25</v>
      </c>
      <c r="C28" s="342" t="s">
        <v>262</v>
      </c>
      <c r="D28" s="338"/>
      <c r="E28" s="342"/>
      <c r="F28" s="342"/>
      <c r="G28" s="342"/>
      <c r="H28" s="338"/>
      <c r="I28" s="342"/>
      <c r="J28" s="342"/>
      <c r="K28" s="338"/>
      <c r="L28" s="348"/>
    </row>
    <row r="29" spans="2:12">
      <c r="B29" s="325">
        <f t="shared" si="0"/>
        <v>26</v>
      </c>
      <c r="C29" s="342" t="s">
        <v>263</v>
      </c>
      <c r="D29" s="338"/>
      <c r="E29" s="342"/>
      <c r="F29" s="342"/>
      <c r="G29" s="342"/>
      <c r="H29" s="338"/>
      <c r="I29" s="342"/>
      <c r="J29" s="342"/>
      <c r="K29" s="338"/>
      <c r="L29" s="348"/>
    </row>
  </sheetData>
  <mergeCells count="7">
    <mergeCell ref="H2:K2"/>
    <mergeCell ref="B2:B3"/>
    <mergeCell ref="C2:C3"/>
    <mergeCell ref="D2:D3"/>
    <mergeCell ref="E2:E3"/>
    <mergeCell ref="F2:F3"/>
    <mergeCell ref="G2:G3"/>
  </mergeCells>
  <conditionalFormatting sqref="C2:C3">
    <cfRule type="duplicateValues" dxfId="3441" priority="7"/>
    <cfRule type="duplicateValues" dxfId="3440" priority="8"/>
    <cfRule type="duplicateValues" dxfId="3439" priority="9" stopIfTrue="1"/>
  </conditionalFormatting>
  <conditionalFormatting sqref="C7:C22">
    <cfRule type="duplicateValues" dxfId="3438" priority="22"/>
    <cfRule type="duplicateValues" dxfId="3437" priority="26"/>
    <cfRule type="duplicateValues" dxfId="3436" priority="27" stopIfTrue="1"/>
  </conditionalFormatting>
  <conditionalFormatting sqref="C23:C24">
    <cfRule type="duplicateValues" dxfId="3435" priority="125"/>
  </conditionalFormatting>
  <conditionalFormatting sqref="C23:C29">
    <cfRule type="duplicateValues" dxfId="3434" priority="127" stopIfTrue="1"/>
    <cfRule type="duplicateValues" dxfId="3433" priority="129"/>
  </conditionalFormatting>
  <conditionalFormatting sqref="D4 D6 D5:G5">
    <cfRule type="duplicateValues" dxfId="3432" priority="19"/>
    <cfRule type="duplicateValues" dxfId="3431" priority="20"/>
    <cfRule type="duplicateValues" dxfId="3430" priority="21" stopIfTrue="1"/>
  </conditionalFormatting>
  <conditionalFormatting sqref="E11">
    <cfRule type="duplicateValues" dxfId="3429" priority="13"/>
    <cfRule type="duplicateValues" dxfId="3428" priority="14"/>
    <cfRule type="duplicateValues" dxfId="3427" priority="15" stopIfTrue="1"/>
  </conditionalFormatting>
  <conditionalFormatting sqref="E12">
    <cfRule type="duplicateValues" dxfId="3426" priority="10"/>
    <cfRule type="duplicateValues" dxfId="3425" priority="11"/>
    <cfRule type="duplicateValues" dxfId="3424" priority="12" stopIfTrue="1"/>
  </conditionalFormatting>
  <conditionalFormatting sqref="E17">
    <cfRule type="duplicateValues" dxfId="3423" priority="23"/>
    <cfRule type="duplicateValues" dxfId="3422" priority="24"/>
    <cfRule type="duplicateValues" dxfId="3421" priority="25" stopIfTrue="1"/>
  </conditionalFormatting>
  <conditionalFormatting sqref="E23:E24">
    <cfRule type="duplicateValues" dxfId="3420" priority="119"/>
    <cfRule type="duplicateValues" dxfId="3419" priority="120"/>
    <cfRule type="duplicateValues" dxfId="3418" priority="121" stopIfTrue="1"/>
  </conditionalFormatting>
  <conditionalFormatting sqref="E6:G6">
    <cfRule type="duplicateValues" dxfId="3417" priority="16"/>
    <cfRule type="duplicateValues" dxfId="3416" priority="17"/>
    <cfRule type="duplicateValues" dxfId="3415" priority="18" stopIfTrue="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486" t="s">
        <v>298</v>
      </c>
      <c r="C1" s="1487"/>
      <c r="D1" s="1487"/>
      <c r="E1" s="1487"/>
      <c r="F1" s="1487"/>
      <c r="G1" s="1487"/>
      <c r="H1" s="1487"/>
      <c r="I1" s="1487"/>
      <c r="J1" s="1487"/>
      <c r="K1" s="1487"/>
      <c r="L1" s="1487"/>
      <c r="M1" s="1487"/>
      <c r="N1" s="1487"/>
      <c r="O1" s="1487"/>
      <c r="P1" s="1487"/>
      <c r="Q1" s="1487"/>
      <c r="R1" s="1487"/>
      <c r="S1" s="1487"/>
      <c r="T1" s="1487"/>
      <c r="U1" s="1488"/>
      <c r="V1" s="166"/>
    </row>
    <row r="2" spans="1:22">
      <c r="A2" s="1489" t="s">
        <v>299</v>
      </c>
      <c r="B2" s="1490"/>
      <c r="C2" s="1490"/>
      <c r="D2" s="1490"/>
      <c r="E2" s="1490"/>
      <c r="F2" s="1490"/>
      <c r="G2" s="1490"/>
      <c r="H2" s="1490"/>
      <c r="I2" s="1490"/>
      <c r="J2" s="1490"/>
      <c r="K2" s="1490"/>
      <c r="L2" s="1490"/>
      <c r="M2" s="1490"/>
      <c r="N2" s="1490"/>
      <c r="O2" s="1490"/>
      <c r="P2" s="1490"/>
      <c r="Q2" s="1490"/>
      <c r="R2" s="1490"/>
      <c r="S2" s="1490"/>
      <c r="T2" s="1491"/>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503" t="s">
        <v>300</v>
      </c>
      <c r="B4" s="1504"/>
      <c r="C4" s="127"/>
      <c r="D4" s="1505" t="s">
        <v>301</v>
      </c>
      <c r="E4" s="1506"/>
      <c r="F4" s="1499" t="s">
        <v>302</v>
      </c>
      <c r="G4" s="1492" t="s">
        <v>303</v>
      </c>
      <c r="H4" s="1492" t="s">
        <v>304</v>
      </c>
      <c r="I4" s="1492"/>
      <c r="J4" s="1492"/>
      <c r="K4" s="128" t="s">
        <v>305</v>
      </c>
      <c r="L4" s="1493" t="s">
        <v>306</v>
      </c>
      <c r="M4" s="1494"/>
      <c r="N4" s="1495"/>
      <c r="O4" s="1492" t="s">
        <v>307</v>
      </c>
      <c r="P4" s="1492"/>
      <c r="Q4" s="1492"/>
      <c r="R4" s="1496"/>
      <c r="S4" s="1496"/>
      <c r="T4" s="1496"/>
      <c r="U4" s="264"/>
    </row>
    <row r="5" spans="1:22">
      <c r="A5" s="1503"/>
      <c r="B5" s="1504"/>
      <c r="C5" s="127"/>
      <c r="D5" s="1507"/>
      <c r="E5" s="1508"/>
      <c r="F5" s="1499"/>
      <c r="G5" s="1492"/>
      <c r="H5" s="128" t="s">
        <v>308</v>
      </c>
      <c r="I5" s="128" t="s">
        <v>278</v>
      </c>
      <c r="J5" s="128" t="s">
        <v>309</v>
      </c>
      <c r="K5" s="128" t="s">
        <v>308</v>
      </c>
      <c r="L5" s="128" t="s">
        <v>308</v>
      </c>
      <c r="M5" s="128" t="s">
        <v>278</v>
      </c>
      <c r="N5" s="128" t="s">
        <v>309</v>
      </c>
      <c r="O5" s="128" t="s">
        <v>308</v>
      </c>
      <c r="P5" s="128" t="s">
        <v>278</v>
      </c>
      <c r="Q5" s="128" t="s">
        <v>309</v>
      </c>
      <c r="R5" s="165"/>
      <c r="S5" s="165"/>
      <c r="T5" s="165"/>
      <c r="U5" s="264"/>
    </row>
    <row r="6" spans="1:22">
      <c r="A6" s="297"/>
      <c r="B6" s="127"/>
      <c r="C6" s="127"/>
      <c r="D6" s="1497"/>
      <c r="E6" s="1498"/>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310</v>
      </c>
      <c r="D13" s="145"/>
      <c r="E13" s="384" t="s">
        <v>272</v>
      </c>
      <c r="F13" s="145"/>
      <c r="G13" s="384" t="s">
        <v>273</v>
      </c>
      <c r="H13" s="145"/>
      <c r="I13" s="384" t="s">
        <v>311</v>
      </c>
      <c r="J13" s="133"/>
      <c r="K13" s="144" t="s">
        <v>312</v>
      </c>
      <c r="L13" s="133"/>
      <c r="M13" s="384" t="s">
        <v>313</v>
      </c>
      <c r="N13" s="133"/>
      <c r="O13" s="144" t="s">
        <v>314</v>
      </c>
      <c r="P13" s="133"/>
      <c r="Q13" s="144" t="s">
        <v>315</v>
      </c>
      <c r="R13" s="133"/>
      <c r="S13" s="384" t="s">
        <v>316</v>
      </c>
      <c r="T13" s="133"/>
      <c r="U13" s="236"/>
    </row>
    <row r="14" spans="1:22">
      <c r="A14" s="301"/>
      <c r="B14" s="143"/>
      <c r="C14" s="147" t="s">
        <v>117</v>
      </c>
      <c r="D14" s="148"/>
      <c r="E14" s="148" t="s">
        <v>317</v>
      </c>
      <c r="F14" s="148"/>
      <c r="G14" s="149" t="s">
        <v>296</v>
      </c>
      <c r="H14" s="148"/>
      <c r="I14" s="149" t="s">
        <v>317</v>
      </c>
      <c r="J14" s="149"/>
      <c r="K14" s="147" t="s">
        <v>119</v>
      </c>
      <c r="L14" s="149"/>
      <c r="M14" s="149" t="s">
        <v>318</v>
      </c>
      <c r="N14" s="149"/>
      <c r="O14" s="147" t="s">
        <v>125</v>
      </c>
      <c r="P14" s="149"/>
      <c r="Q14" s="147" t="s">
        <v>319</v>
      </c>
      <c r="R14" s="149"/>
      <c r="S14" s="149" t="s">
        <v>317</v>
      </c>
      <c r="T14" s="133"/>
      <c r="U14" s="236"/>
    </row>
    <row r="15" spans="1:22">
      <c r="A15" s="302"/>
      <c r="B15" s="255"/>
      <c r="C15" s="255"/>
      <c r="D15" s="255"/>
      <c r="E15" s="255"/>
      <c r="F15" s="255"/>
      <c r="G15" s="255"/>
      <c r="H15" s="255"/>
      <c r="I15" s="255"/>
      <c r="J15" s="255"/>
      <c r="K15" s="306" t="s">
        <v>220</v>
      </c>
      <c r="L15" s="255"/>
      <c r="M15" s="306" t="s">
        <v>220</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85" t="s">
        <v>320</v>
      </c>
      <c r="C22" s="133"/>
      <c r="D22" s="385" t="s">
        <v>321</v>
      </c>
      <c r="E22" s="133"/>
      <c r="F22" s="144" t="s">
        <v>322</v>
      </c>
      <c r="G22" s="133"/>
      <c r="H22" s="144" t="s">
        <v>323</v>
      </c>
      <c r="I22" s="133"/>
      <c r="J22" s="144" t="s">
        <v>324</v>
      </c>
      <c r="K22" s="133"/>
      <c r="L22" s="385" t="s">
        <v>325</v>
      </c>
      <c r="M22" s="133"/>
      <c r="N22" s="144" t="s">
        <v>326</v>
      </c>
      <c r="O22" s="133"/>
      <c r="P22" s="385" t="s">
        <v>327</v>
      </c>
      <c r="Q22" s="133"/>
      <c r="R22" s="385" t="s">
        <v>328</v>
      </c>
      <c r="S22" s="133"/>
      <c r="T22" s="144" t="s">
        <v>329</v>
      </c>
      <c r="U22" s="133"/>
      <c r="V22" s="144"/>
    </row>
    <row r="23" spans="1:22">
      <c r="A23" s="209"/>
      <c r="B23" s="133" t="s">
        <v>318</v>
      </c>
      <c r="C23" s="133"/>
      <c r="D23" s="133" t="s">
        <v>317</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44"/>
    </row>
    <row r="24" spans="1:22">
      <c r="A24" s="209"/>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333</v>
      </c>
      <c r="C31" s="133"/>
      <c r="D31" s="144" t="s">
        <v>334</v>
      </c>
      <c r="E31" s="133"/>
      <c r="F31" s="385" t="s">
        <v>335</v>
      </c>
      <c r="G31" s="133"/>
      <c r="H31" s="144" t="s">
        <v>336</v>
      </c>
      <c r="I31" s="133"/>
      <c r="J31" s="385" t="s">
        <v>337</v>
      </c>
      <c r="K31" s="133"/>
      <c r="L31" s="385" t="s">
        <v>338</v>
      </c>
      <c r="M31" s="133"/>
      <c r="N31" s="385" t="s">
        <v>339</v>
      </c>
      <c r="O31" s="133"/>
      <c r="P31" s="144" t="s">
        <v>340</v>
      </c>
      <c r="Q31" s="133"/>
      <c r="R31" s="385" t="s">
        <v>281</v>
      </c>
      <c r="S31" s="133"/>
      <c r="T31" s="144" t="s">
        <v>341</v>
      </c>
      <c r="U31" s="133"/>
      <c r="V31" s="304"/>
    </row>
    <row r="32" spans="1:22">
      <c r="A32" s="209"/>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45"/>
    </row>
    <row r="33" spans="1:22">
      <c r="A33" s="209"/>
      <c r="B33" s="133"/>
      <c r="C33" s="133"/>
      <c r="D33" s="133"/>
      <c r="E33" s="133"/>
      <c r="F33" s="144" t="s">
        <v>345</v>
      </c>
      <c r="G33" s="133"/>
      <c r="H33" s="144"/>
      <c r="I33" s="133"/>
      <c r="J33" s="155"/>
      <c r="K33" s="155"/>
      <c r="L33" s="155"/>
      <c r="M33" s="155"/>
      <c r="N33" s="144" t="s">
        <v>220</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85" t="s">
        <v>346</v>
      </c>
      <c r="C40" s="133"/>
      <c r="D40" s="385" t="s">
        <v>347</v>
      </c>
      <c r="E40" s="133"/>
      <c r="F40" s="385" t="s">
        <v>348</v>
      </c>
      <c r="G40" s="133"/>
      <c r="H40" s="385" t="s">
        <v>282</v>
      </c>
      <c r="I40" s="133"/>
      <c r="J40" s="385" t="s">
        <v>283</v>
      </c>
      <c r="K40" s="133"/>
      <c r="L40" s="144" t="s">
        <v>349</v>
      </c>
      <c r="M40" s="133"/>
      <c r="N40" s="385" t="s">
        <v>350</v>
      </c>
      <c r="O40" s="133"/>
      <c r="P40" s="144" t="s">
        <v>351</v>
      </c>
      <c r="Q40" s="133"/>
      <c r="R40" s="385" t="s">
        <v>352</v>
      </c>
      <c r="S40" s="133"/>
      <c r="T40" s="385" t="s">
        <v>353</v>
      </c>
      <c r="U40" s="133"/>
      <c r="V40" s="170"/>
    </row>
    <row r="41" spans="1:22">
      <c r="A41" s="209"/>
      <c r="B41" s="145" t="s">
        <v>182</v>
      </c>
      <c r="C41" s="149"/>
      <c r="D41" s="148" t="s">
        <v>182</v>
      </c>
      <c r="E41" s="149"/>
      <c r="F41" s="148" t="s">
        <v>295</v>
      </c>
      <c r="G41" s="149"/>
      <c r="H41" s="148" t="s">
        <v>318</v>
      </c>
      <c r="I41" s="149"/>
      <c r="J41" s="148" t="s">
        <v>318</v>
      </c>
      <c r="K41" s="149"/>
      <c r="L41" s="147" t="s">
        <v>319</v>
      </c>
      <c r="M41" s="149"/>
      <c r="N41" s="148" t="s">
        <v>182</v>
      </c>
      <c r="O41" s="149"/>
      <c r="P41" s="147" t="s">
        <v>342</v>
      </c>
      <c r="Q41" s="149"/>
      <c r="R41" s="148" t="s">
        <v>248</v>
      </c>
      <c r="S41" s="133"/>
      <c r="T41" s="148" t="s">
        <v>248</v>
      </c>
      <c r="U41" s="133"/>
      <c r="V41" s="170"/>
    </row>
    <row r="42" spans="1:22">
      <c r="A42" s="209"/>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354</v>
      </c>
      <c r="C46" s="139"/>
      <c r="D46" s="305" t="s">
        <v>278</v>
      </c>
      <c r="E46" s="133"/>
      <c r="F46" s="140"/>
      <c r="G46" s="139"/>
      <c r="H46" s="140"/>
      <c r="I46" s="139"/>
      <c r="J46" s="140"/>
      <c r="K46" s="139"/>
      <c r="L46" s="140"/>
      <c r="M46" s="139"/>
      <c r="N46" s="140"/>
      <c r="O46" s="139"/>
      <c r="P46" s="140"/>
      <c r="Q46" s="137"/>
      <c r="R46" s="157" t="s">
        <v>354</v>
      </c>
      <c r="S46" s="139"/>
      <c r="T46" s="157" t="s">
        <v>354</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85" t="s">
        <v>274</v>
      </c>
      <c r="C48" s="133"/>
      <c r="D48" s="385" t="s">
        <v>275</v>
      </c>
      <c r="E48" s="133"/>
      <c r="F48" s="385" t="s">
        <v>355</v>
      </c>
      <c r="G48" s="133"/>
      <c r="H48" s="385" t="s">
        <v>284</v>
      </c>
      <c r="I48" s="133"/>
      <c r="J48" s="385" t="s">
        <v>285</v>
      </c>
      <c r="K48" s="133"/>
      <c r="L48" s="144" t="s">
        <v>356</v>
      </c>
      <c r="M48" s="133"/>
      <c r="N48" s="144" t="s">
        <v>357</v>
      </c>
      <c r="O48" s="133"/>
      <c r="P48" s="144" t="s">
        <v>154</v>
      </c>
      <c r="Q48" s="133"/>
      <c r="R48" s="385" t="s">
        <v>247</v>
      </c>
      <c r="S48" s="133"/>
      <c r="T48" s="385" t="s">
        <v>260</v>
      </c>
      <c r="U48" s="133"/>
      <c r="V48" s="170"/>
    </row>
    <row r="49" spans="1:22">
      <c r="A49" s="209"/>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220</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278</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85" t="s">
        <v>261</v>
      </c>
      <c r="C56" s="133"/>
      <c r="D56" s="385" t="s">
        <v>286</v>
      </c>
      <c r="E56" s="133"/>
      <c r="F56" s="144" t="s">
        <v>358</v>
      </c>
      <c r="G56" s="133"/>
      <c r="H56" s="385" t="s">
        <v>359</v>
      </c>
      <c r="I56" s="133"/>
      <c r="J56" s="385" t="s">
        <v>360</v>
      </c>
      <c r="K56" s="133"/>
      <c r="L56" s="144" t="s">
        <v>361</v>
      </c>
      <c r="M56" s="133"/>
      <c r="N56" s="144" t="s">
        <v>362</v>
      </c>
      <c r="O56" s="133"/>
      <c r="P56" s="385" t="s">
        <v>363</v>
      </c>
      <c r="Q56" s="133"/>
      <c r="R56" s="385" t="s">
        <v>364</v>
      </c>
      <c r="S56" s="133"/>
      <c r="T56" s="385" t="s">
        <v>365</v>
      </c>
      <c r="V56" s="170"/>
    </row>
    <row r="57" spans="1:22">
      <c r="A57" s="209"/>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296</v>
      </c>
      <c r="V57" s="170"/>
    </row>
    <row r="58" spans="1:22">
      <c r="A58" s="209"/>
      <c r="B58" s="154"/>
      <c r="C58" s="155"/>
      <c r="D58" s="155"/>
      <c r="E58" s="155"/>
      <c r="F58" s="154" t="s">
        <v>220</v>
      </c>
      <c r="G58" s="155"/>
      <c r="H58" s="155"/>
      <c r="I58" s="155"/>
      <c r="J58" s="155"/>
      <c r="K58" s="155"/>
      <c r="L58" s="155"/>
      <c r="M58" s="155"/>
      <c r="N58" s="155"/>
      <c r="O58" s="155"/>
      <c r="P58" s="155"/>
      <c r="Q58" s="155"/>
      <c r="R58" s="154" t="s">
        <v>366</v>
      </c>
      <c r="S58" s="133"/>
      <c r="T58" s="154" t="s">
        <v>220</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354</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367</v>
      </c>
      <c r="C64" s="149"/>
      <c r="D64" s="386" t="s">
        <v>287</v>
      </c>
      <c r="E64" s="133"/>
      <c r="F64" s="386" t="s">
        <v>368</v>
      </c>
      <c r="G64" s="149"/>
      <c r="H64" s="386" t="s">
        <v>369</v>
      </c>
      <c r="I64" s="133"/>
      <c r="J64" s="147" t="s">
        <v>370</v>
      </c>
      <c r="K64" s="149"/>
      <c r="L64" s="386" t="s">
        <v>371</v>
      </c>
      <c r="M64" s="149"/>
      <c r="N64" s="386" t="s">
        <v>372</v>
      </c>
      <c r="O64" s="149"/>
      <c r="P64" s="147" t="s">
        <v>373</v>
      </c>
      <c r="Q64" s="149"/>
      <c r="R64" s="386" t="s">
        <v>288</v>
      </c>
      <c r="S64" s="149"/>
      <c r="T64" s="386" t="s">
        <v>259</v>
      </c>
      <c r="V64" s="170"/>
    </row>
    <row r="65" spans="1:22">
      <c r="A65" s="209"/>
      <c r="B65" s="147" t="s">
        <v>344</v>
      </c>
      <c r="C65" s="149"/>
      <c r="D65" s="148" t="s">
        <v>295</v>
      </c>
      <c r="E65" s="133"/>
      <c r="F65" s="148" t="s">
        <v>296</v>
      </c>
      <c r="G65" s="149"/>
      <c r="H65" s="148" t="s">
        <v>296</v>
      </c>
      <c r="I65" s="133"/>
      <c r="J65" s="147" t="s">
        <v>343</v>
      </c>
      <c r="K65" s="149"/>
      <c r="L65" s="148" t="s">
        <v>317</v>
      </c>
      <c r="M65" s="149"/>
      <c r="N65" s="148" t="s">
        <v>317</v>
      </c>
      <c r="O65" s="149"/>
      <c r="P65" s="147" t="s">
        <v>344</v>
      </c>
      <c r="Q65" s="149"/>
      <c r="R65" s="148" t="s">
        <v>296</v>
      </c>
      <c r="S65" s="149"/>
      <c r="T65" s="148" t="s">
        <v>295</v>
      </c>
      <c r="V65" s="170"/>
    </row>
    <row r="66" spans="1:22">
      <c r="A66" s="209"/>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0"/>
    </row>
    <row r="71" spans="1:22">
      <c r="A71" s="209"/>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170"/>
    </row>
    <row r="72" spans="1:22">
      <c r="A72" s="209"/>
      <c r="B72" s="386" t="s">
        <v>251</v>
      </c>
      <c r="C72" s="133"/>
      <c r="D72" s="147" t="s">
        <v>377</v>
      </c>
      <c r="E72" s="133"/>
      <c r="F72" s="386" t="s">
        <v>297</v>
      </c>
      <c r="G72" s="133"/>
      <c r="H72" s="147" t="s">
        <v>378</v>
      </c>
      <c r="I72" s="133"/>
      <c r="J72" s="386" t="s">
        <v>236</v>
      </c>
      <c r="K72" s="133"/>
      <c r="L72" s="386" t="s">
        <v>237</v>
      </c>
      <c r="M72" s="133"/>
      <c r="N72" s="386" t="s">
        <v>214</v>
      </c>
      <c r="O72" s="133"/>
      <c r="P72" s="386" t="s">
        <v>213</v>
      </c>
      <c r="Q72" s="133"/>
      <c r="R72" s="386" t="s">
        <v>212</v>
      </c>
      <c r="S72" s="133"/>
      <c r="T72" s="386" t="s">
        <v>209</v>
      </c>
      <c r="V72" s="170"/>
    </row>
    <row r="73" spans="1:22">
      <c r="A73" s="209"/>
      <c r="B73" s="148" t="s">
        <v>295</v>
      </c>
      <c r="C73" s="133"/>
      <c r="D73" s="147" t="s">
        <v>330</v>
      </c>
      <c r="E73" s="133"/>
      <c r="F73" s="145" t="s">
        <v>182</v>
      </c>
      <c r="G73" s="133"/>
      <c r="H73" s="147" t="s">
        <v>115</v>
      </c>
      <c r="I73" s="133"/>
      <c r="J73" s="145" t="s">
        <v>296</v>
      </c>
      <c r="K73" s="133"/>
      <c r="L73" s="145" t="s">
        <v>182</v>
      </c>
      <c r="M73" s="133"/>
      <c r="N73" s="145" t="s">
        <v>185</v>
      </c>
      <c r="O73" s="133"/>
      <c r="P73" s="145" t="s">
        <v>182</v>
      </c>
      <c r="Q73" s="133"/>
      <c r="R73" s="145" t="s">
        <v>182</v>
      </c>
      <c r="S73" s="133"/>
      <c r="T73" s="145" t="s">
        <v>182</v>
      </c>
    </row>
    <row r="74" spans="1:22">
      <c r="A74" s="209"/>
      <c r="B74" s="184" t="s">
        <v>375</v>
      </c>
      <c r="C74" s="133"/>
      <c r="D74" s="155"/>
      <c r="E74" s="155"/>
      <c r="F74" s="155"/>
      <c r="G74" s="155"/>
      <c r="H74" s="144" t="s">
        <v>366</v>
      </c>
      <c r="I74" s="192"/>
      <c r="J74" s="144" t="s">
        <v>366</v>
      </c>
      <c r="K74" s="192"/>
      <c r="L74" s="144" t="s">
        <v>331</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row>
    <row r="79" spans="1:22">
      <c r="A79" s="209"/>
      <c r="B79" s="186" t="s">
        <v>376</v>
      </c>
      <c r="D79" s="141"/>
      <c r="F79" s="141"/>
      <c r="G79" s="139"/>
      <c r="H79" s="141"/>
      <c r="I79" s="133"/>
      <c r="J79" s="141" t="s">
        <v>376</v>
      </c>
      <c r="K79" s="139"/>
      <c r="L79" s="141"/>
      <c r="M79" s="139"/>
      <c r="N79" s="141"/>
      <c r="O79" s="139"/>
      <c r="P79" s="141" t="s">
        <v>376</v>
      </c>
      <c r="Q79" s="139"/>
      <c r="R79" s="141" t="s">
        <v>376</v>
      </c>
      <c r="S79" s="139"/>
      <c r="T79" s="141"/>
    </row>
    <row r="80" spans="1:22">
      <c r="A80" s="209"/>
      <c r="B80" s="386" t="s">
        <v>231</v>
      </c>
      <c r="D80" s="144" t="s">
        <v>379</v>
      </c>
      <c r="F80" s="386" t="s">
        <v>263</v>
      </c>
      <c r="G80" s="149"/>
      <c r="H80" s="147" t="s">
        <v>380</v>
      </c>
      <c r="I80" s="149"/>
      <c r="J80" s="386" t="s">
        <v>215</v>
      </c>
      <c r="K80" s="149"/>
      <c r="L80" s="386" t="s">
        <v>216</v>
      </c>
      <c r="M80" s="149"/>
      <c r="N80" s="386" t="s">
        <v>239</v>
      </c>
      <c r="O80" s="149"/>
      <c r="P80" s="386" t="s">
        <v>240</v>
      </c>
      <c r="Q80" s="149"/>
      <c r="R80" s="386" t="s">
        <v>241</v>
      </c>
      <c r="S80" s="149"/>
      <c r="T80" s="147" t="s">
        <v>381</v>
      </c>
    </row>
    <row r="81" spans="1:22">
      <c r="A81" s="209"/>
      <c r="B81" s="145" t="s">
        <v>182</v>
      </c>
      <c r="C81" s="149"/>
      <c r="D81" s="144" t="s">
        <v>319</v>
      </c>
      <c r="F81" s="145" t="s">
        <v>318</v>
      </c>
      <c r="G81" s="149"/>
      <c r="H81" s="147" t="s">
        <v>344</v>
      </c>
      <c r="I81" s="149"/>
      <c r="J81" s="148" t="s">
        <v>296</v>
      </c>
      <c r="K81" s="149"/>
      <c r="L81" s="148" t="s">
        <v>317</v>
      </c>
      <c r="M81" s="149"/>
      <c r="N81" s="148" t="s">
        <v>296</v>
      </c>
      <c r="O81" s="149"/>
      <c r="P81" s="148" t="s">
        <v>317</v>
      </c>
      <c r="Q81" s="149"/>
      <c r="R81" s="148" t="s">
        <v>318</v>
      </c>
      <c r="S81" s="149"/>
      <c r="T81" s="147" t="s">
        <v>319</v>
      </c>
      <c r="U81" s="133"/>
      <c r="V81" s="170"/>
    </row>
    <row r="82" spans="1:22">
      <c r="F82" s="184" t="s">
        <v>382</v>
      </c>
      <c r="G82" s="149"/>
      <c r="H82" s="148"/>
      <c r="I82" s="149"/>
      <c r="J82" s="147"/>
      <c r="K82" s="149"/>
      <c r="L82" s="144" t="s">
        <v>366</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354</v>
      </c>
      <c r="G86" s="139"/>
      <c r="H86" s="140"/>
      <c r="I86" s="133"/>
      <c r="J86" s="140"/>
      <c r="K86" s="139"/>
      <c r="L86" s="158" t="s">
        <v>354</v>
      </c>
      <c r="M86" s="139"/>
      <c r="N86" s="140"/>
      <c r="O86" s="139"/>
      <c r="P86" s="140"/>
      <c r="Q86" s="139"/>
      <c r="R86" s="140"/>
      <c r="S86" s="139"/>
      <c r="T86" s="138"/>
      <c r="U86" s="162"/>
    </row>
    <row r="87" spans="1:22">
      <c r="B87" s="141"/>
      <c r="C87" s="133"/>
      <c r="D87" s="141"/>
      <c r="F87" s="141" t="s">
        <v>376</v>
      </c>
      <c r="G87" s="139"/>
      <c r="H87" s="141"/>
      <c r="I87" s="133"/>
      <c r="J87" s="141"/>
      <c r="K87" s="139"/>
      <c r="L87" s="141"/>
      <c r="M87" s="139"/>
      <c r="N87" s="141"/>
      <c r="O87" s="139"/>
      <c r="P87" s="141"/>
      <c r="Q87" s="139"/>
      <c r="R87" s="141"/>
      <c r="S87" s="139"/>
      <c r="T87" s="141"/>
      <c r="U87" s="162"/>
    </row>
    <row r="88" spans="1:22">
      <c r="B88" s="386" t="s">
        <v>383</v>
      </c>
      <c r="C88" s="133"/>
      <c r="D88" s="147" t="s">
        <v>384</v>
      </c>
      <c r="F88" s="386" t="s">
        <v>253</v>
      </c>
      <c r="G88" s="133"/>
      <c r="H88" s="386" t="s">
        <v>385</v>
      </c>
      <c r="I88" s="133"/>
      <c r="J88" s="147" t="s">
        <v>386</v>
      </c>
      <c r="K88" s="133"/>
      <c r="L88" s="147" t="s">
        <v>257</v>
      </c>
      <c r="M88" s="133"/>
      <c r="N88" s="147" t="s">
        <v>387</v>
      </c>
      <c r="O88" s="133"/>
      <c r="P88" s="386" t="s">
        <v>267</v>
      </c>
      <c r="Q88" s="133"/>
      <c r="R88" s="386" t="s">
        <v>268</v>
      </c>
      <c r="S88" s="133"/>
      <c r="T88" s="386" t="s">
        <v>269</v>
      </c>
      <c r="U88" s="133"/>
    </row>
    <row r="89" spans="1:22">
      <c r="B89" s="148" t="s">
        <v>317</v>
      </c>
      <c r="C89" s="133"/>
      <c r="D89" s="147" t="s">
        <v>343</v>
      </c>
      <c r="F89" s="148" t="s">
        <v>295</v>
      </c>
      <c r="G89" s="133"/>
      <c r="H89" s="148" t="s">
        <v>296</v>
      </c>
      <c r="I89" s="133"/>
      <c r="J89" s="147" t="s">
        <v>388</v>
      </c>
      <c r="K89" s="133"/>
      <c r="L89" s="147" t="s">
        <v>248</v>
      </c>
      <c r="M89" s="133"/>
      <c r="N89" s="147" t="s">
        <v>330</v>
      </c>
      <c r="O89" s="133"/>
      <c r="P89" s="148" t="s">
        <v>296</v>
      </c>
      <c r="Q89" s="133"/>
      <c r="R89" s="148" t="s">
        <v>317</v>
      </c>
      <c r="S89" s="133"/>
      <c r="T89" s="148" t="s">
        <v>296</v>
      </c>
      <c r="U89" s="133"/>
    </row>
    <row r="90" spans="1:22">
      <c r="F90" s="184" t="s">
        <v>382</v>
      </c>
      <c r="G90" s="133"/>
      <c r="H90" s="144" t="s">
        <v>389</v>
      </c>
      <c r="I90" s="133"/>
      <c r="J90" s="147"/>
      <c r="K90" s="133"/>
      <c r="L90" s="144" t="s">
        <v>366</v>
      </c>
      <c r="M90" s="133"/>
      <c r="N90" s="147"/>
      <c r="O90" s="133"/>
      <c r="P90" s="144" t="s">
        <v>331</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228</v>
      </c>
      <c r="C94" s="162"/>
      <c r="D94" s="140"/>
      <c r="F94" s="140"/>
      <c r="G94" s="139"/>
      <c r="H94" s="140"/>
      <c r="I94" s="133"/>
      <c r="J94" s="140"/>
      <c r="K94" s="139"/>
      <c r="L94" s="141"/>
      <c r="M94" s="139"/>
      <c r="N94" s="158" t="s">
        <v>354</v>
      </c>
      <c r="O94" s="139"/>
      <c r="P94" s="140"/>
      <c r="Q94" s="139"/>
      <c r="R94" s="140"/>
      <c r="S94" s="139"/>
      <c r="T94" s="140"/>
      <c r="V94" s="170"/>
    </row>
    <row r="95" spans="1:22">
      <c r="A95" s="139"/>
      <c r="B95" s="141" t="s">
        <v>390</v>
      </c>
      <c r="C95" s="162"/>
      <c r="D95" s="141"/>
      <c r="F95" s="141"/>
      <c r="G95" s="139"/>
      <c r="H95" s="141"/>
      <c r="I95" s="133"/>
      <c r="J95" s="141"/>
      <c r="K95" s="139"/>
      <c r="L95" s="141"/>
      <c r="M95" s="139"/>
      <c r="N95" s="141"/>
      <c r="O95" s="139"/>
      <c r="P95" s="141"/>
      <c r="Q95" s="139"/>
      <c r="R95" s="141"/>
      <c r="S95" s="139"/>
      <c r="T95" s="141"/>
      <c r="V95" s="170"/>
    </row>
    <row r="96" spans="1:22">
      <c r="A96" s="133"/>
      <c r="B96" s="386" t="s">
        <v>227</v>
      </c>
      <c r="C96" s="149"/>
      <c r="D96" s="386" t="s">
        <v>271</v>
      </c>
      <c r="F96" s="147" t="s">
        <v>391</v>
      </c>
      <c r="G96" s="149"/>
      <c r="H96" s="386" t="s">
        <v>392</v>
      </c>
      <c r="I96" s="149"/>
      <c r="J96" s="386" t="s">
        <v>393</v>
      </c>
      <c r="K96" s="149"/>
      <c r="L96" s="147" t="s">
        <v>394</v>
      </c>
      <c r="M96" s="149"/>
      <c r="N96" s="386" t="s">
        <v>225</v>
      </c>
      <c r="O96" s="149"/>
      <c r="P96" s="147" t="s">
        <v>395</v>
      </c>
      <c r="Q96" s="149"/>
      <c r="R96" s="147" t="s">
        <v>396</v>
      </c>
      <c r="S96" s="149"/>
      <c r="T96" s="386" t="s">
        <v>258</v>
      </c>
      <c r="V96" s="170"/>
    </row>
    <row r="97" spans="1:22">
      <c r="A97" s="133"/>
      <c r="B97" s="148" t="s">
        <v>296</v>
      </c>
      <c r="C97" s="149"/>
      <c r="D97" s="148" t="s">
        <v>318</v>
      </c>
      <c r="F97" s="147" t="s">
        <v>388</v>
      </c>
      <c r="G97" s="149"/>
      <c r="H97" s="148" t="s">
        <v>296</v>
      </c>
      <c r="I97" s="149"/>
      <c r="J97" s="148" t="s">
        <v>317</v>
      </c>
      <c r="K97" s="149"/>
      <c r="L97" s="147" t="s">
        <v>319</v>
      </c>
      <c r="M97" s="149"/>
      <c r="N97" s="148" t="s">
        <v>317</v>
      </c>
      <c r="O97" s="149"/>
      <c r="P97" s="147" t="s">
        <v>397</v>
      </c>
      <c r="Q97" s="149"/>
      <c r="R97" s="147" t="s">
        <v>319</v>
      </c>
      <c r="S97" s="149"/>
      <c r="T97" s="148" t="s">
        <v>296</v>
      </c>
      <c r="V97" s="170"/>
    </row>
    <row r="98" spans="1:22">
      <c r="A98" s="133"/>
      <c r="F98" s="148"/>
      <c r="G98" s="149"/>
      <c r="H98" s="147" t="s">
        <v>220</v>
      </c>
      <c r="I98" s="149"/>
      <c r="J98" s="147"/>
      <c r="K98" s="149"/>
      <c r="L98" s="148"/>
      <c r="M98" s="149"/>
      <c r="N98" s="148"/>
      <c r="O98" s="149"/>
      <c r="P98" s="147"/>
      <c r="Q98" s="149"/>
      <c r="R98" s="148"/>
      <c r="S98" s="149"/>
      <c r="T98" s="184" t="s">
        <v>375</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354</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398</v>
      </c>
      <c r="C104" s="133"/>
      <c r="D104" s="386" t="s">
        <v>262</v>
      </c>
      <c r="F104" s="386" t="s">
        <v>244</v>
      </c>
      <c r="G104" s="133"/>
      <c r="H104" s="147" t="s">
        <v>399</v>
      </c>
      <c r="I104" s="133"/>
      <c r="J104" s="386" t="s">
        <v>277</v>
      </c>
      <c r="K104" s="133"/>
      <c r="L104" s="386" t="s">
        <v>280</v>
      </c>
      <c r="M104" s="133"/>
      <c r="N104" s="147" t="s">
        <v>400</v>
      </c>
      <c r="O104" s="133"/>
      <c r="P104" s="147" t="s">
        <v>401</v>
      </c>
      <c r="Q104" s="133"/>
      <c r="R104" s="386" t="s">
        <v>402</v>
      </c>
      <c r="S104" s="133"/>
      <c r="T104" s="147" t="s">
        <v>403</v>
      </c>
      <c r="U104" s="133"/>
      <c r="V104" s="170"/>
    </row>
    <row r="105" spans="1:22">
      <c r="A105" s="209"/>
      <c r="B105" s="147" t="s">
        <v>343</v>
      </c>
      <c r="C105" s="133"/>
      <c r="D105" s="148" t="s">
        <v>318</v>
      </c>
      <c r="F105" s="148" t="s">
        <v>296</v>
      </c>
      <c r="G105" s="133"/>
      <c r="H105" s="147" t="s">
        <v>319</v>
      </c>
      <c r="I105" s="133"/>
      <c r="J105" s="148" t="s">
        <v>317</v>
      </c>
      <c r="K105" s="133"/>
      <c r="L105" s="148" t="s">
        <v>295</v>
      </c>
      <c r="M105" s="133"/>
      <c r="N105" s="147" t="s">
        <v>319</v>
      </c>
      <c r="O105" s="133"/>
      <c r="P105" s="147" t="s">
        <v>319</v>
      </c>
      <c r="Q105" s="133"/>
      <c r="R105" s="148" t="s">
        <v>295</v>
      </c>
      <c r="S105" s="133"/>
      <c r="T105" s="147" t="s">
        <v>319</v>
      </c>
      <c r="U105" s="133"/>
      <c r="V105" s="170"/>
    </row>
    <row r="106" spans="1:22">
      <c r="A106" s="209"/>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86" t="s">
        <v>404</v>
      </c>
      <c r="C113" s="149"/>
      <c r="D113" s="147" t="s">
        <v>405</v>
      </c>
      <c r="F113" s="386" t="s">
        <v>406</v>
      </c>
      <c r="G113" s="149"/>
      <c r="H113" s="386" t="s">
        <v>290</v>
      </c>
      <c r="I113" s="149"/>
      <c r="J113" s="386" t="s">
        <v>407</v>
      </c>
      <c r="K113" s="149"/>
      <c r="L113" s="147" t="s">
        <v>408</v>
      </c>
      <c r="M113" s="149"/>
      <c r="N113" s="147" t="s">
        <v>409</v>
      </c>
      <c r="O113" s="149"/>
      <c r="P113" s="147" t="s">
        <v>410</v>
      </c>
      <c r="Q113" s="149"/>
      <c r="R113" s="147" t="s">
        <v>411</v>
      </c>
      <c r="S113" s="149"/>
      <c r="T113" s="147" t="s">
        <v>412</v>
      </c>
      <c r="U113" s="133"/>
      <c r="V113" s="170"/>
    </row>
    <row r="114" spans="1:22">
      <c r="A114" s="209"/>
      <c r="B114" s="148" t="s">
        <v>295</v>
      </c>
      <c r="C114" s="149"/>
      <c r="D114" s="147" t="s">
        <v>343</v>
      </c>
      <c r="F114" s="148" t="s">
        <v>296</v>
      </c>
      <c r="G114" s="149"/>
      <c r="H114" s="148" t="s">
        <v>296</v>
      </c>
      <c r="I114" s="149"/>
      <c r="J114" s="148" t="s">
        <v>296</v>
      </c>
      <c r="K114" s="149"/>
      <c r="L114" s="147" t="s">
        <v>319</v>
      </c>
      <c r="M114" s="149"/>
      <c r="N114" s="147" t="s">
        <v>319</v>
      </c>
      <c r="O114" s="149"/>
      <c r="P114" s="147" t="s">
        <v>413</v>
      </c>
      <c r="Q114" s="149"/>
      <c r="R114" s="147" t="s">
        <v>413</v>
      </c>
      <c r="S114" s="149"/>
      <c r="T114" s="147" t="s">
        <v>344</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354</v>
      </c>
      <c r="G118" s="139"/>
      <c r="H118" s="140"/>
      <c r="I118" s="139"/>
      <c r="J118" s="158" t="s">
        <v>354</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86" t="s">
        <v>414</v>
      </c>
      <c r="C120" s="133"/>
      <c r="D120" s="147" t="s">
        <v>415</v>
      </c>
      <c r="F120" s="386" t="s">
        <v>217</v>
      </c>
      <c r="G120" s="133"/>
      <c r="H120" s="147" t="s">
        <v>416</v>
      </c>
      <c r="I120" s="133"/>
      <c r="J120" s="386" t="s">
        <v>294</v>
      </c>
      <c r="K120" s="133"/>
      <c r="L120" s="386" t="s">
        <v>276</v>
      </c>
      <c r="N120" s="147" t="s">
        <v>417</v>
      </c>
      <c r="O120" s="133"/>
      <c r="P120" s="386" t="s">
        <v>418</v>
      </c>
      <c r="Q120" s="133"/>
      <c r="R120" s="147" t="s">
        <v>419</v>
      </c>
      <c r="S120" s="133"/>
      <c r="T120" s="148" t="s">
        <v>420</v>
      </c>
      <c r="U120" s="133"/>
      <c r="V120" s="386" t="s">
        <v>421</v>
      </c>
    </row>
    <row r="121" spans="1:22">
      <c r="A121" s="209"/>
      <c r="B121" s="148" t="s">
        <v>295</v>
      </c>
      <c r="C121" s="133"/>
      <c r="D121" s="147" t="s">
        <v>119</v>
      </c>
      <c r="F121" s="148" t="s">
        <v>296</v>
      </c>
      <c r="G121" s="133"/>
      <c r="H121" s="147" t="s">
        <v>319</v>
      </c>
      <c r="I121" s="133"/>
      <c r="J121" s="145" t="s">
        <v>296</v>
      </c>
      <c r="K121" s="133"/>
      <c r="L121" s="145" t="s">
        <v>296</v>
      </c>
      <c r="N121" s="147" t="s">
        <v>319</v>
      </c>
      <c r="O121" s="133"/>
      <c r="P121" s="148" t="s">
        <v>317</v>
      </c>
      <c r="Q121" s="133"/>
      <c r="R121" s="147" t="s">
        <v>319</v>
      </c>
      <c r="S121" s="133"/>
      <c r="T121" s="148" t="s">
        <v>296</v>
      </c>
      <c r="U121" s="133"/>
      <c r="V121" s="148" t="s">
        <v>319</v>
      </c>
    </row>
    <row r="122" spans="1:22">
      <c r="A122" s="209"/>
      <c r="B122" s="144"/>
      <c r="C122" s="133"/>
      <c r="D122" s="145"/>
      <c r="E122" s="133"/>
      <c r="F122" s="145"/>
      <c r="G122" s="149"/>
      <c r="H122" s="147"/>
      <c r="I122" s="149"/>
      <c r="J122" s="193"/>
      <c r="K122" s="193"/>
      <c r="L122" s="193"/>
      <c r="M122" s="193"/>
      <c r="O122" s="193"/>
      <c r="P122" s="144" t="s">
        <v>220</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86" t="s">
        <v>289</v>
      </c>
      <c r="C128" s="191"/>
      <c r="D128" s="386" t="s">
        <v>422</v>
      </c>
      <c r="F128" s="386" t="s">
        <v>423</v>
      </c>
      <c r="H128" s="386" t="s">
        <v>424</v>
      </c>
      <c r="J128" s="386" t="s">
        <v>425</v>
      </c>
      <c r="L128" s="386" t="s">
        <v>279</v>
      </c>
      <c r="N128" s="386" t="s">
        <v>426</v>
      </c>
      <c r="P128" s="386" t="s">
        <v>427</v>
      </c>
      <c r="Q128" s="133"/>
      <c r="R128" s="386" t="s">
        <v>428</v>
      </c>
      <c r="T128" s="386" t="s">
        <v>291</v>
      </c>
      <c r="U128" s="133"/>
      <c r="V128" s="386" t="s">
        <v>429</v>
      </c>
    </row>
    <row r="129" spans="1:22">
      <c r="A129" s="209"/>
      <c r="B129" s="148" t="s">
        <v>296</v>
      </c>
      <c r="C129" s="133"/>
      <c r="D129" s="148" t="s">
        <v>343</v>
      </c>
      <c r="F129" s="148" t="s">
        <v>296</v>
      </c>
      <c r="H129" s="148" t="s">
        <v>430</v>
      </c>
      <c r="J129" s="148" t="s">
        <v>115</v>
      </c>
      <c r="L129" s="148" t="s">
        <v>318</v>
      </c>
      <c r="N129" s="148" t="s">
        <v>296</v>
      </c>
      <c r="P129" s="148" t="s">
        <v>296</v>
      </c>
      <c r="Q129" s="133"/>
      <c r="R129" s="148" t="s">
        <v>318</v>
      </c>
      <c r="T129" s="148" t="s">
        <v>317</v>
      </c>
      <c r="U129" s="133"/>
      <c r="V129" s="148" t="s">
        <v>317</v>
      </c>
    </row>
    <row r="130" spans="1:22">
      <c r="A130" s="209"/>
      <c r="B130" s="148"/>
      <c r="C130" s="133"/>
      <c r="D130" s="148"/>
      <c r="F130" s="201" t="s">
        <v>220</v>
      </c>
      <c r="H130" s="148"/>
      <c r="J130" s="148"/>
      <c r="L130" s="148"/>
      <c r="N130" s="148"/>
      <c r="P130" s="201" t="s">
        <v>220</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86" t="s">
        <v>431</v>
      </c>
      <c r="C137" s="191"/>
      <c r="D137" s="386" t="s">
        <v>432</v>
      </c>
      <c r="F137" s="386" t="s">
        <v>433</v>
      </c>
      <c r="H137" s="386" t="s">
        <v>434</v>
      </c>
      <c r="J137" s="387" t="s">
        <v>435</v>
      </c>
      <c r="L137" s="386" t="s">
        <v>436</v>
      </c>
      <c r="N137" s="386" t="s">
        <v>437</v>
      </c>
      <c r="P137" s="386" t="s">
        <v>438</v>
      </c>
      <c r="Q137" s="133"/>
      <c r="R137" s="386" t="s">
        <v>439</v>
      </c>
      <c r="T137" s="386" t="s">
        <v>440</v>
      </c>
      <c r="U137" s="133"/>
      <c r="V137" s="386" t="s">
        <v>441</v>
      </c>
    </row>
    <row r="138" spans="1:22">
      <c r="A138" s="209"/>
      <c r="B138" s="148" t="s">
        <v>344</v>
      </c>
      <c r="C138" s="133"/>
      <c r="D138" s="148" t="s">
        <v>296</v>
      </c>
      <c r="F138" s="148" t="s">
        <v>296</v>
      </c>
      <c r="H138" s="148" t="s">
        <v>319</v>
      </c>
      <c r="J138" s="148" t="s">
        <v>242</v>
      </c>
      <c r="L138" s="148" t="s">
        <v>442</v>
      </c>
      <c r="N138" s="148" t="s">
        <v>143</v>
      </c>
      <c r="P138" s="148" t="s">
        <v>296</v>
      </c>
      <c r="Q138" s="133"/>
      <c r="R138" s="148" t="s">
        <v>296</v>
      </c>
      <c r="T138" s="148" t="s">
        <v>115</v>
      </c>
      <c r="U138" s="133"/>
      <c r="V138" s="148" t="s">
        <v>242</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86" t="s">
        <v>443</v>
      </c>
      <c r="C146" s="191"/>
      <c r="D146" s="386" t="s">
        <v>444</v>
      </c>
      <c r="F146" s="386" t="s">
        <v>445</v>
      </c>
      <c r="H146" s="386" t="s">
        <v>446</v>
      </c>
      <c r="J146" s="386" t="s">
        <v>447</v>
      </c>
      <c r="L146" s="386" t="s">
        <v>448</v>
      </c>
      <c r="N146" s="387" t="s">
        <v>449</v>
      </c>
      <c r="P146" s="386" t="s">
        <v>450</v>
      </c>
      <c r="Q146" s="133"/>
      <c r="R146" s="386" t="s">
        <v>451</v>
      </c>
      <c r="T146" s="283"/>
      <c r="U146" s="133"/>
      <c r="V146" s="283"/>
    </row>
    <row r="147" spans="1:22">
      <c r="A147" s="209"/>
      <c r="B147" s="148" t="s">
        <v>132</v>
      </c>
      <c r="C147" s="133"/>
      <c r="D147" s="148" t="s">
        <v>123</v>
      </c>
      <c r="F147" s="148" t="s">
        <v>132</v>
      </c>
      <c r="H147" s="148" t="s">
        <v>182</v>
      </c>
      <c r="J147" s="148" t="s">
        <v>182</v>
      </c>
      <c r="L147" s="148" t="s">
        <v>125</v>
      </c>
      <c r="N147" s="148" t="s">
        <v>185</v>
      </c>
      <c r="P147" s="148" t="s">
        <v>128</v>
      </c>
      <c r="Q147" s="133"/>
      <c r="R147" s="148" t="s">
        <v>143</v>
      </c>
      <c r="T147" s="148"/>
      <c r="U147" s="133"/>
      <c r="V147" s="148"/>
    </row>
    <row r="148" spans="1:22">
      <c r="A148" s="209"/>
      <c r="B148" s="148"/>
      <c r="C148" s="133"/>
      <c r="D148" s="201" t="s">
        <v>220</v>
      </c>
      <c r="F148" s="201" t="s">
        <v>220</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86" t="s">
        <v>443</v>
      </c>
      <c r="C155" s="191"/>
      <c r="D155" s="386" t="s">
        <v>444</v>
      </c>
      <c r="F155" s="386" t="s">
        <v>445</v>
      </c>
      <c r="H155" s="386" t="s">
        <v>446</v>
      </c>
      <c r="J155" s="386" t="s">
        <v>447</v>
      </c>
      <c r="L155" s="386" t="s">
        <v>448</v>
      </c>
      <c r="N155" s="387" t="s">
        <v>449</v>
      </c>
      <c r="P155" s="386" t="s">
        <v>450</v>
      </c>
      <c r="Q155" s="133"/>
      <c r="R155" s="386" t="s">
        <v>451</v>
      </c>
      <c r="T155" s="387" t="s">
        <v>452</v>
      </c>
      <c r="U155" s="133"/>
      <c r="V155" s="386" t="s">
        <v>453</v>
      </c>
    </row>
    <row r="156" spans="1:22">
      <c r="A156" s="209"/>
      <c r="B156" s="148" t="s">
        <v>132</v>
      </c>
      <c r="C156" s="133"/>
      <c r="D156" s="148" t="s">
        <v>123</v>
      </c>
      <c r="F156" s="148" t="s">
        <v>132</v>
      </c>
      <c r="H156" s="148" t="s">
        <v>182</v>
      </c>
      <c r="J156" s="148" t="s">
        <v>182</v>
      </c>
      <c r="L156" s="148" t="s">
        <v>125</v>
      </c>
      <c r="N156" s="148" t="s">
        <v>185</v>
      </c>
      <c r="P156" s="148" t="s">
        <v>128</v>
      </c>
      <c r="Q156" s="133"/>
      <c r="R156" s="148" t="s">
        <v>143</v>
      </c>
      <c r="T156" s="148" t="s">
        <v>248</v>
      </c>
      <c r="U156" s="133"/>
      <c r="V156" s="148" t="s">
        <v>115</v>
      </c>
    </row>
    <row r="157" spans="1:22">
      <c r="A157" s="209"/>
      <c r="B157" s="148"/>
      <c r="C157" s="133"/>
      <c r="D157" s="201" t="s">
        <v>220</v>
      </c>
      <c r="F157" s="201" t="s">
        <v>220</v>
      </c>
      <c r="H157" s="148"/>
      <c r="J157" s="148"/>
      <c r="L157" s="148"/>
      <c r="N157" s="148"/>
      <c r="P157" s="148"/>
      <c r="Q157" s="133"/>
      <c r="R157" s="148"/>
      <c r="T157" s="148"/>
      <c r="U157" s="133"/>
      <c r="V157" s="201" t="s">
        <v>454</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86" t="s">
        <v>455</v>
      </c>
      <c r="C163" s="191"/>
      <c r="D163" s="386" t="s">
        <v>456</v>
      </c>
      <c r="F163" s="386" t="s">
        <v>457</v>
      </c>
      <c r="H163" s="386" t="s">
        <v>458</v>
      </c>
      <c r="J163" s="386" t="s">
        <v>459</v>
      </c>
      <c r="L163" s="386" t="s">
        <v>460</v>
      </c>
      <c r="N163" s="386" t="s">
        <v>461</v>
      </c>
      <c r="P163" s="386" t="s">
        <v>462</v>
      </c>
      <c r="Q163" s="133"/>
      <c r="R163" s="387" t="s">
        <v>463</v>
      </c>
      <c r="T163" s="386" t="s">
        <v>464</v>
      </c>
      <c r="U163" s="133"/>
      <c r="V163" s="387" t="s">
        <v>465</v>
      </c>
    </row>
    <row r="164" spans="1:22">
      <c r="A164" s="209"/>
      <c r="B164" s="148" t="s">
        <v>137</v>
      </c>
      <c r="C164" s="133"/>
      <c r="D164" s="148" t="s">
        <v>167</v>
      </c>
      <c r="F164" s="148" t="s">
        <v>115</v>
      </c>
      <c r="H164" s="148" t="s">
        <v>132</v>
      </c>
      <c r="J164" s="148" t="s">
        <v>123</v>
      </c>
      <c r="L164" s="148" t="s">
        <v>125</v>
      </c>
      <c r="N164" s="148" t="s">
        <v>115</v>
      </c>
      <c r="P164" s="148" t="s">
        <v>115</v>
      </c>
      <c r="Q164" s="133"/>
      <c r="R164" s="148" t="s">
        <v>248</v>
      </c>
      <c r="T164" s="148" t="s">
        <v>115</v>
      </c>
      <c r="U164" s="133"/>
      <c r="V164" s="148" t="s">
        <v>132</v>
      </c>
    </row>
    <row r="165" spans="1:22">
      <c r="A165" s="209"/>
      <c r="B165" s="148"/>
      <c r="C165" s="133"/>
      <c r="D165" s="201"/>
      <c r="F165" s="201"/>
      <c r="H165" s="201" t="s">
        <v>466</v>
      </c>
      <c r="J165" s="201" t="s">
        <v>466</v>
      </c>
      <c r="L165" s="148"/>
      <c r="N165" s="148"/>
      <c r="P165" s="148"/>
      <c r="Q165" s="133"/>
      <c r="R165" s="148"/>
      <c r="T165" s="201" t="s">
        <v>454</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86" t="s">
        <v>467</v>
      </c>
      <c r="C171" s="191"/>
      <c r="D171" s="387" t="s">
        <v>468</v>
      </c>
      <c r="F171" s="386" t="s">
        <v>469</v>
      </c>
      <c r="H171" s="387" t="s">
        <v>470</v>
      </c>
      <c r="J171" s="387" t="s">
        <v>471</v>
      </c>
      <c r="L171" s="386" t="s">
        <v>472</v>
      </c>
      <c r="N171" s="386" t="s">
        <v>473</v>
      </c>
      <c r="P171" s="386" t="s">
        <v>474</v>
      </c>
      <c r="Q171" s="133"/>
      <c r="R171" s="386" t="s">
        <v>475</v>
      </c>
      <c r="T171" s="386" t="s">
        <v>476</v>
      </c>
      <c r="U171" s="133"/>
      <c r="V171" s="387" t="s">
        <v>477</v>
      </c>
    </row>
    <row r="172" spans="1:22">
      <c r="A172" s="209"/>
      <c r="B172" s="148" t="s">
        <v>125</v>
      </c>
      <c r="C172" s="133"/>
      <c r="D172" s="148" t="s">
        <v>182</v>
      </c>
      <c r="F172" s="148" t="s">
        <v>125</v>
      </c>
      <c r="H172" s="148" t="s">
        <v>185</v>
      </c>
      <c r="J172" s="148" t="s">
        <v>132</v>
      </c>
      <c r="L172" s="148" t="s">
        <v>137</v>
      </c>
      <c r="N172" s="148" t="s">
        <v>143</v>
      </c>
      <c r="P172" s="148" t="s">
        <v>185</v>
      </c>
      <c r="Q172" s="133"/>
      <c r="R172" s="148" t="s">
        <v>185</v>
      </c>
      <c r="T172" s="148" t="s">
        <v>115</v>
      </c>
      <c r="U172" s="133"/>
      <c r="V172" s="148" t="s">
        <v>242</v>
      </c>
    </row>
    <row r="173" spans="1:22">
      <c r="A173" s="209"/>
      <c r="B173" s="148"/>
      <c r="C173" s="133"/>
      <c r="D173" s="201" t="s">
        <v>366</v>
      </c>
      <c r="F173" s="201" t="s">
        <v>220</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86" t="s">
        <v>478</v>
      </c>
      <c r="C179" s="191"/>
      <c r="D179" s="283"/>
      <c r="F179" s="283"/>
      <c r="H179" s="283"/>
      <c r="J179" s="283"/>
      <c r="L179" s="283"/>
      <c r="N179" s="308"/>
      <c r="P179" s="283"/>
      <c r="Q179" s="133"/>
      <c r="R179" s="283"/>
      <c r="T179" s="283"/>
      <c r="U179" s="133"/>
      <c r="V179" s="283"/>
    </row>
    <row r="180" spans="1:22">
      <c r="A180" s="209"/>
      <c r="B180" s="148" t="s">
        <v>125</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479</v>
      </c>
      <c r="F187" s="206"/>
      <c r="G187" s="206"/>
      <c r="H187" s="206"/>
      <c r="I187" s="206"/>
      <c r="J187" s="206"/>
      <c r="K187" s="206"/>
      <c r="L187" s="228"/>
      <c r="M187" s="206"/>
      <c r="N187" s="1500"/>
      <c r="O187" s="133"/>
      <c r="P187" s="133"/>
      <c r="Q187" s="133"/>
      <c r="R187" s="133"/>
      <c r="S187" s="133"/>
      <c r="T187" s="133"/>
      <c r="U187" s="133"/>
      <c r="V187" s="265"/>
    </row>
    <row r="188" spans="1:22">
      <c r="A188" s="209"/>
      <c r="B188" s="133"/>
      <c r="C188" s="133"/>
      <c r="D188" s="133"/>
      <c r="E188" s="205" t="s">
        <v>480</v>
      </c>
      <c r="F188" s="206"/>
      <c r="G188" s="206"/>
      <c r="H188" s="206"/>
      <c r="I188" s="206"/>
      <c r="J188" s="206"/>
      <c r="K188" s="206"/>
      <c r="L188" s="206"/>
      <c r="M188" s="206"/>
      <c r="N188" s="1501"/>
      <c r="O188" s="133"/>
      <c r="P188" s="229"/>
      <c r="Q188" s="133"/>
      <c r="R188" s="133"/>
      <c r="S188" s="133"/>
      <c r="T188" s="133"/>
      <c r="U188" s="133"/>
      <c r="V188" s="265"/>
    </row>
    <row r="189" spans="1:22">
      <c r="A189" s="209"/>
      <c r="B189" s="133"/>
      <c r="C189" s="133"/>
      <c r="D189" s="133"/>
      <c r="E189" s="205" t="s">
        <v>481</v>
      </c>
      <c r="F189" s="206"/>
      <c r="G189" s="206"/>
      <c r="H189" s="206"/>
      <c r="I189" s="206"/>
      <c r="J189" s="206"/>
      <c r="K189" s="206"/>
      <c r="L189" s="206"/>
      <c r="M189" s="206"/>
      <c r="N189" s="1502"/>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482</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483</v>
      </c>
      <c r="M195" s="133"/>
      <c r="N195" s="133"/>
      <c r="O195" s="133"/>
      <c r="P195" s="133"/>
      <c r="Q195" s="133"/>
      <c r="R195" s="237" t="s">
        <v>484</v>
      </c>
      <c r="S195" s="215"/>
      <c r="T195" s="133"/>
      <c r="U195" s="133"/>
      <c r="V195" s="236"/>
    </row>
    <row r="196" spans="1:22">
      <c r="A196" s="209"/>
      <c r="B196" s="133"/>
      <c r="C196" s="211" t="s">
        <v>485</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486</v>
      </c>
      <c r="D197" s="210"/>
      <c r="E197" s="210"/>
      <c r="F197" s="158"/>
      <c r="G197" s="139"/>
      <c r="H197" s="212"/>
      <c r="I197" s="210"/>
      <c r="J197" s="158"/>
      <c r="K197" s="210"/>
      <c r="L197" s="133" t="s">
        <v>487</v>
      </c>
      <c r="M197" s="133"/>
      <c r="N197" s="133"/>
      <c r="O197" s="133"/>
      <c r="P197" s="133"/>
      <c r="Q197" s="133"/>
      <c r="R197" s="133"/>
      <c r="S197" s="215"/>
      <c r="T197" s="133"/>
      <c r="U197" s="133"/>
      <c r="V197" s="236"/>
    </row>
    <row r="198" spans="1:22">
      <c r="A198" s="209"/>
      <c r="B198" s="133"/>
      <c r="C198" s="211" t="s">
        <v>488</v>
      </c>
      <c r="D198" s="210"/>
      <c r="E198" s="210"/>
      <c r="F198" s="213"/>
      <c r="G198" s="139"/>
      <c r="H198" s="214" t="s">
        <v>390</v>
      </c>
      <c r="I198" s="210"/>
      <c r="J198" s="213"/>
      <c r="K198" s="210"/>
      <c r="L198" s="133"/>
      <c r="M198" s="133"/>
      <c r="N198" s="133"/>
      <c r="O198" s="133"/>
      <c r="P198" s="133"/>
      <c r="Q198" s="133"/>
      <c r="R198" s="237" t="s">
        <v>489</v>
      </c>
      <c r="S198" s="215"/>
      <c r="T198" s="133"/>
      <c r="U198" s="133"/>
      <c r="V198" s="236"/>
    </row>
    <row r="199" spans="1:22">
      <c r="A199" s="209"/>
      <c r="B199" s="133"/>
      <c r="C199" s="133"/>
      <c r="D199" s="210"/>
      <c r="E199" s="210"/>
      <c r="F199" s="210"/>
      <c r="G199" s="210"/>
      <c r="H199" s="210"/>
      <c r="I199" s="210"/>
      <c r="J199" s="210"/>
      <c r="K199" s="210"/>
      <c r="L199" s="133"/>
      <c r="M199" s="133" t="s">
        <v>77</v>
      </c>
      <c r="N199" s="133"/>
      <c r="O199" s="133"/>
      <c r="P199" s="133"/>
      <c r="Q199" s="133"/>
      <c r="R199" s="133"/>
      <c r="S199" s="238"/>
      <c r="T199" s="133"/>
      <c r="U199" s="133"/>
      <c r="V199" s="236"/>
    </row>
    <row r="200" spans="1:22">
      <c r="A200" s="209"/>
      <c r="B200" s="133"/>
      <c r="C200" s="215"/>
      <c r="D200" s="143"/>
      <c r="E200" s="215"/>
      <c r="F200" s="216"/>
      <c r="G200" s="217"/>
      <c r="H200" s="215">
        <v>325</v>
      </c>
      <c r="I200" s="215" t="s">
        <v>219</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490</v>
      </c>
      <c r="N201" s="143"/>
      <c r="O201" s="215"/>
      <c r="P201" s="143"/>
      <c r="Q201" s="215"/>
      <c r="R201" s="239" t="s">
        <v>491</v>
      </c>
      <c r="S201" s="215"/>
      <c r="T201" s="143"/>
      <c r="U201" s="215"/>
      <c r="V201" s="236"/>
    </row>
    <row r="202" spans="1:22">
      <c r="A202" s="209"/>
      <c r="B202" s="211" t="s">
        <v>492</v>
      </c>
      <c r="C202" s="215"/>
      <c r="D202" s="143"/>
      <c r="E202" s="218" t="s">
        <v>228</v>
      </c>
      <c r="F202" s="133" t="s">
        <v>228</v>
      </c>
      <c r="G202" s="217"/>
      <c r="H202" s="143"/>
      <c r="I202" s="133" t="s">
        <v>493</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494</v>
      </c>
      <c r="C204" s="215"/>
      <c r="D204" s="143"/>
      <c r="E204" s="143" t="s">
        <v>495</v>
      </c>
      <c r="F204" s="216" t="s">
        <v>109</v>
      </c>
      <c r="G204" s="217"/>
      <c r="H204" s="219"/>
      <c r="I204" s="216" t="s">
        <v>496</v>
      </c>
      <c r="J204" s="143"/>
      <c r="K204" s="215"/>
      <c r="L204" s="133"/>
      <c r="M204" s="216" t="s">
        <v>497</v>
      </c>
      <c r="N204" s="143"/>
      <c r="O204" s="215"/>
      <c r="P204" s="143"/>
      <c r="Q204" s="215"/>
      <c r="R204" s="240" t="s">
        <v>498</v>
      </c>
      <c r="S204" s="133"/>
      <c r="T204" s="143"/>
      <c r="U204" s="215"/>
      <c r="V204" s="236"/>
    </row>
    <row r="205" spans="1:22">
      <c r="A205" s="209"/>
      <c r="B205" s="133"/>
      <c r="C205" s="215"/>
      <c r="D205" s="143"/>
      <c r="E205" s="143"/>
      <c r="F205" s="143"/>
      <c r="G205" s="217"/>
      <c r="H205" s="143"/>
      <c r="I205" s="216" t="s">
        <v>499</v>
      </c>
      <c r="J205" s="143"/>
      <c r="K205" s="215"/>
      <c r="L205" s="143"/>
      <c r="M205" s="215"/>
      <c r="N205" s="143"/>
      <c r="O205" s="215"/>
      <c r="P205" s="143"/>
      <c r="Q205" s="215"/>
      <c r="R205" s="240" t="s">
        <v>500</v>
      </c>
      <c r="T205" s="143"/>
      <c r="U205" s="215"/>
      <c r="V205" s="236"/>
    </row>
    <row r="206" spans="1:22">
      <c r="A206" s="209"/>
      <c r="B206" s="211" t="s">
        <v>501</v>
      </c>
      <c r="C206" s="143"/>
      <c r="D206" s="143"/>
      <c r="E206" s="220" t="s">
        <v>502</v>
      </c>
      <c r="F206" s="216" t="s">
        <v>503</v>
      </c>
      <c r="G206" s="217"/>
      <c r="H206" s="143"/>
      <c r="I206" s="216" t="s">
        <v>504</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505</v>
      </c>
      <c r="C208" s="143"/>
      <c r="D208" s="143"/>
      <c r="E208" s="222"/>
      <c r="F208" s="143" t="s">
        <v>506</v>
      </c>
      <c r="G208" s="217"/>
      <c r="H208" s="143"/>
      <c r="I208" s="215"/>
      <c r="J208" s="143"/>
      <c r="K208" s="215"/>
      <c r="L208" s="231"/>
      <c r="M208" s="232" t="s">
        <v>507</v>
      </c>
      <c r="N208" s="143"/>
      <c r="O208" s="215"/>
      <c r="P208" s="143"/>
      <c r="Q208" s="215"/>
      <c r="R208" s="216" t="s">
        <v>508</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509</v>
      </c>
      <c r="C210" s="143"/>
      <c r="D210" s="210"/>
      <c r="E210" s="143" t="s">
        <v>220</v>
      </c>
      <c r="F210" s="143" t="s">
        <v>510</v>
      </c>
      <c r="G210" s="217"/>
      <c r="H210" s="143"/>
      <c r="I210" s="233" t="s">
        <v>511</v>
      </c>
      <c r="J210" s="143"/>
      <c r="K210" s="215"/>
      <c r="L210" s="133"/>
      <c r="M210" s="216" t="s">
        <v>512</v>
      </c>
      <c r="N210" s="143"/>
      <c r="O210" s="215"/>
      <c r="P210" s="143"/>
      <c r="Q210" s="242"/>
      <c r="R210" s="243" t="s">
        <v>513</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3414"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486" t="s">
        <v>298</v>
      </c>
      <c r="D2" s="1487"/>
      <c r="E2" s="1487"/>
      <c r="F2" s="1487"/>
      <c r="G2" s="1487"/>
      <c r="H2" s="1487"/>
      <c r="I2" s="1487"/>
      <c r="J2" s="1487"/>
      <c r="K2" s="1487"/>
      <c r="L2" s="1487"/>
      <c r="M2" s="1487"/>
      <c r="N2" s="1487"/>
      <c r="O2" s="1487"/>
      <c r="P2" s="1487"/>
      <c r="Q2" s="1487"/>
      <c r="R2" s="1487"/>
      <c r="S2" s="1487"/>
      <c r="T2" s="1487"/>
      <c r="U2" s="1487"/>
      <c r="V2" s="1488"/>
      <c r="W2" s="264"/>
    </row>
    <row r="3" spans="1:31" ht="14">
      <c r="B3" s="247"/>
      <c r="C3" s="1509" t="s">
        <v>299</v>
      </c>
      <c r="D3" s="1510"/>
      <c r="E3" s="1510"/>
      <c r="F3" s="1510"/>
      <c r="G3" s="1510"/>
      <c r="H3" s="1510"/>
      <c r="I3" s="1510"/>
      <c r="J3" s="1510"/>
      <c r="K3" s="1510"/>
      <c r="L3" s="1510"/>
      <c r="M3" s="1510"/>
      <c r="N3" s="1510"/>
      <c r="O3" s="1510"/>
      <c r="P3" s="1510"/>
      <c r="Q3" s="1510"/>
      <c r="R3" s="1510"/>
      <c r="S3" s="1510"/>
      <c r="T3" s="1510"/>
      <c r="U3" s="1510"/>
      <c r="V3" s="1511"/>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504" t="s">
        <v>300</v>
      </c>
      <c r="D5" s="1504"/>
      <c r="E5" s="127"/>
      <c r="F5" s="1505" t="s">
        <v>301</v>
      </c>
      <c r="G5" s="1506"/>
      <c r="H5" s="1499" t="s">
        <v>302</v>
      </c>
      <c r="I5" s="1492" t="s">
        <v>303</v>
      </c>
      <c r="J5" s="1492" t="s">
        <v>304</v>
      </c>
      <c r="K5" s="1492"/>
      <c r="L5" s="1492"/>
      <c r="M5" s="128" t="s">
        <v>305</v>
      </c>
      <c r="N5" s="1493" t="s">
        <v>306</v>
      </c>
      <c r="O5" s="1494"/>
      <c r="P5" s="1495"/>
      <c r="Q5" s="1492" t="s">
        <v>307</v>
      </c>
      <c r="R5" s="1492"/>
      <c r="S5" s="1492"/>
      <c r="T5" s="1496"/>
      <c r="U5" s="1496"/>
      <c r="V5" s="1496"/>
      <c r="W5" s="264"/>
    </row>
    <row r="6" spans="1:31" ht="14">
      <c r="B6" s="247"/>
      <c r="C6" s="1504"/>
      <c r="D6" s="1504"/>
      <c r="E6" s="127"/>
      <c r="F6" s="1507"/>
      <c r="G6" s="1508"/>
      <c r="H6" s="1499"/>
      <c r="I6" s="1492"/>
      <c r="J6" s="128" t="s">
        <v>308</v>
      </c>
      <c r="K6" s="128" t="s">
        <v>278</v>
      </c>
      <c r="L6" s="128" t="s">
        <v>309</v>
      </c>
      <c r="M6" s="128" t="s">
        <v>308</v>
      </c>
      <c r="N6" s="128" t="s">
        <v>308</v>
      </c>
      <c r="O6" s="128" t="s">
        <v>278</v>
      </c>
      <c r="P6" s="128" t="s">
        <v>309</v>
      </c>
      <c r="Q6" s="128" t="s">
        <v>308</v>
      </c>
      <c r="R6" s="128" t="s">
        <v>278</v>
      </c>
      <c r="S6" s="128" t="s">
        <v>309</v>
      </c>
      <c r="T6" s="165"/>
      <c r="U6" s="165"/>
      <c r="V6" s="165"/>
      <c r="W6" s="264"/>
    </row>
    <row r="7" spans="1:31" ht="25" customHeight="1">
      <c r="B7" s="247"/>
      <c r="C7" s="127"/>
      <c r="D7" s="127"/>
      <c r="E7" s="127"/>
      <c r="F7" s="1497"/>
      <c r="G7" s="1498"/>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514</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515</v>
      </c>
      <c r="Y11" s="133" t="s">
        <v>516</v>
      </c>
      <c r="Z11" s="133" t="s">
        <v>305</v>
      </c>
      <c r="AA11" s="133" t="s">
        <v>307</v>
      </c>
      <c r="AC11" s="211" t="s">
        <v>517</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518</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278</v>
      </c>
    </row>
    <row r="14" spans="1:31" ht="13">
      <c r="B14" s="209"/>
      <c r="C14" s="144" t="s">
        <v>519</v>
      </c>
      <c r="D14" s="252"/>
      <c r="E14" s="144" t="s">
        <v>520</v>
      </c>
      <c r="F14" s="252"/>
      <c r="G14" s="144" t="s">
        <v>521</v>
      </c>
      <c r="H14" s="252"/>
      <c r="I14" s="144" t="s">
        <v>522</v>
      </c>
      <c r="J14" s="252"/>
      <c r="K14" s="388" t="s">
        <v>523</v>
      </c>
      <c r="L14" s="259"/>
      <c r="M14" s="389" t="s">
        <v>524</v>
      </c>
      <c r="O14" s="390" t="s">
        <v>525</v>
      </c>
      <c r="Q14" s="390" t="s">
        <v>526</v>
      </c>
      <c r="S14" s="390" t="s">
        <v>527</v>
      </c>
      <c r="U14" s="390" t="s">
        <v>528</v>
      </c>
      <c r="W14" s="236"/>
      <c r="X14" s="133">
        <f>COUNTIF(C12:U12,"ROW")</f>
        <v>0</v>
      </c>
      <c r="Y14" s="133">
        <v>0</v>
      </c>
      <c r="Z14" s="133">
        <v>0</v>
      </c>
      <c r="AB14" s="133" t="s">
        <v>228</v>
      </c>
    </row>
    <row r="15" spans="1:31" ht="13">
      <c r="B15" s="209"/>
      <c r="C15" s="144"/>
      <c r="D15" s="252"/>
      <c r="E15" s="144" t="s">
        <v>529</v>
      </c>
      <c r="F15" s="252"/>
      <c r="G15" s="144" t="s">
        <v>147</v>
      </c>
      <c r="H15" s="252"/>
      <c r="I15" s="144" t="s">
        <v>123</v>
      </c>
      <c r="J15" s="252"/>
      <c r="K15" s="259" t="s">
        <v>248</v>
      </c>
      <c r="L15" s="259"/>
      <c r="M15" s="259" t="s">
        <v>182</v>
      </c>
      <c r="O15" s="133" t="s">
        <v>185</v>
      </c>
      <c r="Q15" s="133" t="s">
        <v>242</v>
      </c>
      <c r="S15" s="133" t="s">
        <v>185</v>
      </c>
      <c r="U15" s="133" t="s">
        <v>296</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518</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278</v>
      </c>
    </row>
    <row r="22" spans="1:31" ht="13">
      <c r="B22" s="209"/>
      <c r="C22" s="390" t="s">
        <v>530</v>
      </c>
      <c r="E22" s="390" t="s">
        <v>531</v>
      </c>
      <c r="G22" s="391" t="s">
        <v>532</v>
      </c>
      <c r="I22" s="390" t="s">
        <v>533</v>
      </c>
      <c r="K22" s="391" t="s">
        <v>534</v>
      </c>
      <c r="M22" s="390" t="s">
        <v>535</v>
      </c>
      <c r="O22" s="390" t="s">
        <v>536</v>
      </c>
      <c r="Q22" s="147" t="s">
        <v>537</v>
      </c>
      <c r="R22" s="143"/>
      <c r="S22" s="147" t="s">
        <v>538</v>
      </c>
      <c r="U22" s="149" t="s">
        <v>539</v>
      </c>
      <c r="W22" s="236"/>
      <c r="X22" s="133">
        <f>COUNTIF(C20:U20,"ROW")</f>
        <v>0</v>
      </c>
      <c r="Y22" s="133">
        <v>0</v>
      </c>
      <c r="Z22" s="133">
        <v>0</v>
      </c>
      <c r="AB22" s="133" t="s">
        <v>228</v>
      </c>
    </row>
    <row r="23" spans="1:31" ht="13">
      <c r="B23" s="209"/>
      <c r="C23" s="149" t="s">
        <v>317</v>
      </c>
      <c r="D23" s="149"/>
      <c r="E23" s="144" t="s">
        <v>540</v>
      </c>
      <c r="F23" s="149"/>
      <c r="G23" s="144" t="s">
        <v>529</v>
      </c>
      <c r="H23" s="149"/>
      <c r="I23" s="149" t="s">
        <v>295</v>
      </c>
      <c r="J23" s="149"/>
      <c r="K23" s="144" t="s">
        <v>137</v>
      </c>
      <c r="L23" s="149"/>
      <c r="M23" s="149" t="s">
        <v>318</v>
      </c>
      <c r="N23" s="149"/>
      <c r="O23" s="149" t="s">
        <v>317</v>
      </c>
      <c r="P23" s="149"/>
      <c r="Q23" s="147" t="s">
        <v>541</v>
      </c>
      <c r="R23" s="143"/>
      <c r="S23" s="147" t="s">
        <v>541</v>
      </c>
      <c r="T23" s="149"/>
      <c r="U23" s="133" t="s">
        <v>296</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518</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278</v>
      </c>
    </row>
    <row r="30" spans="1:31" ht="13">
      <c r="B30" s="209"/>
      <c r="C30" s="149" t="s">
        <v>542</v>
      </c>
      <c r="D30" s="149"/>
      <c r="E30" s="149" t="s">
        <v>543</v>
      </c>
      <c r="F30" s="149"/>
      <c r="G30" s="149" t="s">
        <v>544</v>
      </c>
      <c r="H30" s="149"/>
      <c r="I30" s="392" t="s">
        <v>545</v>
      </c>
      <c r="J30" s="149"/>
      <c r="K30" s="392" t="s">
        <v>546</v>
      </c>
      <c r="L30" s="149"/>
      <c r="M30" s="392" t="s">
        <v>547</v>
      </c>
      <c r="N30" s="149"/>
      <c r="O30" s="147" t="s">
        <v>548</v>
      </c>
      <c r="P30" s="149"/>
      <c r="Q30" s="393" t="s">
        <v>549</v>
      </c>
      <c r="R30" s="149"/>
      <c r="S30" s="393" t="s">
        <v>550</v>
      </c>
      <c r="T30" s="149"/>
      <c r="U30" s="393" t="s">
        <v>551</v>
      </c>
      <c r="W30" s="236"/>
      <c r="X30" s="133">
        <f>COUNTIF(C28:U28,"ROW")</f>
        <v>0</v>
      </c>
      <c r="Y30" s="133">
        <v>0</v>
      </c>
      <c r="Z30" s="133">
        <v>0</v>
      </c>
      <c r="AB30" s="133" t="s">
        <v>228</v>
      </c>
    </row>
    <row r="31" spans="1:31" ht="13">
      <c r="B31" s="209"/>
      <c r="C31" s="149" t="s">
        <v>296</v>
      </c>
      <c r="D31" s="149"/>
      <c r="E31" s="149" t="s">
        <v>296</v>
      </c>
      <c r="F31" s="149"/>
      <c r="G31" s="149" t="s">
        <v>296</v>
      </c>
      <c r="H31" s="149"/>
      <c r="I31" s="149" t="s">
        <v>296</v>
      </c>
      <c r="J31" s="149"/>
      <c r="K31" s="149" t="s">
        <v>296</v>
      </c>
      <c r="L31" s="149"/>
      <c r="M31" s="149" t="s">
        <v>296</v>
      </c>
      <c r="N31" s="149"/>
      <c r="O31" s="147" t="s">
        <v>344</v>
      </c>
      <c r="P31" s="149"/>
      <c r="Q31" s="149" t="s">
        <v>318</v>
      </c>
      <c r="R31" s="149"/>
      <c r="S31" s="149" t="s">
        <v>296</v>
      </c>
      <c r="T31" s="149"/>
      <c r="U31" s="149" t="s">
        <v>296</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518</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278</v>
      </c>
    </row>
    <row r="38" spans="1:31" ht="13">
      <c r="B38" s="209"/>
      <c r="C38" s="393" t="s">
        <v>552</v>
      </c>
      <c r="D38" s="149"/>
      <c r="E38" s="393" t="s">
        <v>553</v>
      </c>
      <c r="F38" s="149"/>
      <c r="G38" s="393" t="s">
        <v>554</v>
      </c>
      <c r="H38" s="149"/>
      <c r="I38" s="393" t="s">
        <v>555</v>
      </c>
      <c r="J38" s="149"/>
      <c r="K38" s="147" t="s">
        <v>556</v>
      </c>
      <c r="L38" s="149"/>
      <c r="M38" s="393" t="s">
        <v>557</v>
      </c>
      <c r="N38" s="149"/>
      <c r="O38" s="393" t="s">
        <v>558</v>
      </c>
      <c r="P38" s="149"/>
      <c r="Q38" s="393" t="s">
        <v>559</v>
      </c>
      <c r="R38" s="149"/>
      <c r="S38" s="393" t="s">
        <v>560</v>
      </c>
      <c r="T38" s="149"/>
      <c r="U38" s="393" t="s">
        <v>561</v>
      </c>
      <c r="W38" s="236"/>
      <c r="X38" s="133">
        <f>COUNTIF(C36:U36,"ROW")</f>
        <v>0</v>
      </c>
      <c r="Y38" s="133">
        <v>0</v>
      </c>
      <c r="Z38" s="133">
        <v>0</v>
      </c>
      <c r="AB38" s="133" t="s">
        <v>228</v>
      </c>
    </row>
    <row r="39" spans="1:31" ht="13">
      <c r="B39" s="209"/>
      <c r="C39" s="149" t="s">
        <v>317</v>
      </c>
      <c r="D39" s="149"/>
      <c r="E39" s="149" t="s">
        <v>296</v>
      </c>
      <c r="F39" s="149"/>
      <c r="G39" s="149" t="s">
        <v>318</v>
      </c>
      <c r="H39" s="149"/>
      <c r="I39" s="149" t="s">
        <v>318</v>
      </c>
      <c r="J39" s="149"/>
      <c r="K39" s="147" t="s">
        <v>344</v>
      </c>
      <c r="L39" s="149"/>
      <c r="M39" s="149" t="s">
        <v>296</v>
      </c>
      <c r="N39" s="149"/>
      <c r="O39" s="149" t="s">
        <v>296</v>
      </c>
      <c r="P39" s="149"/>
      <c r="Q39" s="149" t="s">
        <v>296</v>
      </c>
      <c r="R39" s="149"/>
      <c r="S39" s="149" t="s">
        <v>296</v>
      </c>
      <c r="T39" s="149"/>
      <c r="U39" s="149" t="s">
        <v>296</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518</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278</v>
      </c>
    </row>
    <row r="46" spans="1:31" ht="13">
      <c r="B46" s="209"/>
      <c r="C46" s="393" t="s">
        <v>562</v>
      </c>
      <c r="D46" s="149"/>
      <c r="E46" s="147" t="s">
        <v>563</v>
      </c>
      <c r="F46" s="149"/>
      <c r="G46" s="393" t="s">
        <v>564</v>
      </c>
      <c r="H46" s="149"/>
      <c r="I46" s="393" t="s">
        <v>565</v>
      </c>
      <c r="J46" s="149"/>
      <c r="K46" s="393" t="s">
        <v>566</v>
      </c>
      <c r="L46" s="149"/>
      <c r="M46" s="393" t="s">
        <v>567</v>
      </c>
      <c r="N46" s="149"/>
      <c r="O46" s="393" t="s">
        <v>568</v>
      </c>
      <c r="P46" s="149"/>
      <c r="Q46" s="393" t="s">
        <v>569</v>
      </c>
      <c r="R46" s="149"/>
      <c r="S46" s="393" t="s">
        <v>570</v>
      </c>
      <c r="T46" s="149"/>
      <c r="U46" s="393" t="s">
        <v>571</v>
      </c>
      <c r="W46" s="236"/>
      <c r="X46" s="133">
        <f>COUNTIF(C44:U44,"ROW")</f>
        <v>0</v>
      </c>
      <c r="Y46" s="133">
        <v>0</v>
      </c>
      <c r="Z46" s="133">
        <v>0</v>
      </c>
      <c r="AB46" s="133" t="s">
        <v>228</v>
      </c>
    </row>
    <row r="47" spans="1:31" ht="13">
      <c r="B47" s="209"/>
      <c r="C47" s="149" t="s">
        <v>296</v>
      </c>
      <c r="D47" s="149"/>
      <c r="E47" s="147" t="s">
        <v>123</v>
      </c>
      <c r="F47" s="149"/>
      <c r="G47" s="149" t="s">
        <v>295</v>
      </c>
      <c r="H47" s="149"/>
      <c r="I47" s="149" t="s">
        <v>296</v>
      </c>
      <c r="J47" s="149"/>
      <c r="K47" s="149" t="s">
        <v>296</v>
      </c>
      <c r="L47" s="149"/>
      <c r="M47" s="149" t="s">
        <v>296</v>
      </c>
      <c r="N47" s="149"/>
      <c r="O47" s="149" t="s">
        <v>296</v>
      </c>
      <c r="P47" s="149"/>
      <c r="Q47" s="149" t="s">
        <v>296</v>
      </c>
      <c r="R47" s="149"/>
      <c r="S47" s="149" t="s">
        <v>296</v>
      </c>
      <c r="T47" s="149"/>
      <c r="U47" s="149" t="s">
        <v>296</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518</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278</v>
      </c>
    </row>
    <row r="54" spans="1:31" ht="13">
      <c r="B54" s="209"/>
      <c r="C54" s="393" t="s">
        <v>572</v>
      </c>
      <c r="D54" s="149"/>
      <c r="E54" s="147" t="s">
        <v>573</v>
      </c>
      <c r="F54" s="149"/>
      <c r="G54" s="393" t="s">
        <v>574</v>
      </c>
      <c r="H54" s="149"/>
      <c r="I54" s="147" t="s">
        <v>575</v>
      </c>
      <c r="J54" s="149"/>
      <c r="K54" s="393" t="s">
        <v>576</v>
      </c>
      <c r="L54" s="149"/>
      <c r="M54" s="393" t="s">
        <v>577</v>
      </c>
      <c r="N54" s="149"/>
      <c r="O54" s="393" t="s">
        <v>578</v>
      </c>
      <c r="P54" s="149"/>
      <c r="Q54" s="393" t="s">
        <v>579</v>
      </c>
      <c r="R54" s="149"/>
      <c r="S54" s="393" t="s">
        <v>580</v>
      </c>
      <c r="T54" s="149"/>
      <c r="U54" s="393" t="s">
        <v>581</v>
      </c>
      <c r="W54" s="236"/>
      <c r="X54" s="133">
        <f>COUNTIF(C52:U52,"ROW")</f>
        <v>0</v>
      </c>
      <c r="Y54" s="133">
        <v>0</v>
      </c>
      <c r="Z54" s="133">
        <v>0</v>
      </c>
      <c r="AB54" s="133" t="s">
        <v>228</v>
      </c>
    </row>
    <row r="55" spans="1:31" ht="13">
      <c r="B55" s="209"/>
      <c r="C55" s="133" t="s">
        <v>296</v>
      </c>
      <c r="E55" s="147" t="s">
        <v>319</v>
      </c>
      <c r="F55" s="149"/>
      <c r="G55" s="133" t="s">
        <v>317</v>
      </c>
      <c r="H55" s="149"/>
      <c r="I55" s="147" t="s">
        <v>343</v>
      </c>
      <c r="J55" s="149"/>
      <c r="K55" s="149" t="s">
        <v>317</v>
      </c>
      <c r="L55" s="149"/>
      <c r="M55" s="149" t="s">
        <v>317</v>
      </c>
      <c r="N55" s="149"/>
      <c r="O55" s="149" t="s">
        <v>296</v>
      </c>
      <c r="P55" s="149"/>
      <c r="Q55" s="149" t="s">
        <v>317</v>
      </c>
      <c r="R55" s="149"/>
      <c r="S55" s="149" t="s">
        <v>296</v>
      </c>
      <c r="T55" s="149"/>
      <c r="U55" s="149" t="s">
        <v>296</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518</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278</v>
      </c>
    </row>
    <row r="62" spans="1:31" ht="13">
      <c r="B62" s="209"/>
      <c r="C62" s="393" t="s">
        <v>582</v>
      </c>
      <c r="D62" s="149"/>
      <c r="E62" s="393" t="s">
        <v>583</v>
      </c>
      <c r="F62" s="258"/>
      <c r="G62" s="147" t="s">
        <v>584</v>
      </c>
      <c r="H62" s="258"/>
      <c r="I62" s="393" t="s">
        <v>585</v>
      </c>
      <c r="J62" s="149"/>
      <c r="K62" s="393" t="s">
        <v>586</v>
      </c>
      <c r="L62" s="149"/>
      <c r="M62" s="393" t="s">
        <v>587</v>
      </c>
      <c r="N62" s="149"/>
      <c r="O62" s="393" t="s">
        <v>588</v>
      </c>
      <c r="P62" s="149"/>
      <c r="Q62" s="147" t="s">
        <v>589</v>
      </c>
      <c r="R62" s="149"/>
      <c r="S62" s="147" t="s">
        <v>590</v>
      </c>
      <c r="U62" s="393" t="s">
        <v>591</v>
      </c>
      <c r="V62" s="149"/>
      <c r="W62" s="236"/>
      <c r="X62" s="133">
        <f>COUNTIF(C60:U60,"ROW")</f>
        <v>0</v>
      </c>
      <c r="Y62" s="133">
        <v>0</v>
      </c>
      <c r="Z62" s="133">
        <v>0</v>
      </c>
      <c r="AB62" s="133" t="s">
        <v>228</v>
      </c>
    </row>
    <row r="63" spans="1:31" ht="13">
      <c r="B63" s="209"/>
      <c r="C63" s="149" t="s">
        <v>296</v>
      </c>
      <c r="E63" s="149" t="s">
        <v>296</v>
      </c>
      <c r="F63" s="149"/>
      <c r="G63" s="147" t="s">
        <v>319</v>
      </c>
      <c r="H63" s="149"/>
      <c r="I63" s="149" t="s">
        <v>295</v>
      </c>
      <c r="J63" s="149"/>
      <c r="K63" s="149" t="s">
        <v>296</v>
      </c>
      <c r="L63" s="149"/>
      <c r="M63" s="149" t="s">
        <v>318</v>
      </c>
      <c r="N63" s="149"/>
      <c r="O63" s="149" t="s">
        <v>317</v>
      </c>
      <c r="P63" s="149"/>
      <c r="Q63" s="147" t="s">
        <v>330</v>
      </c>
      <c r="R63" s="149"/>
      <c r="S63" s="147" t="s">
        <v>397</v>
      </c>
      <c r="U63" s="149" t="s">
        <v>317</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592</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518</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278</v>
      </c>
    </row>
    <row r="71" spans="1:31" ht="13">
      <c r="B71" s="209"/>
      <c r="C71" s="393" t="s">
        <v>593</v>
      </c>
      <c r="D71" s="149"/>
      <c r="E71" s="393" t="s">
        <v>594</v>
      </c>
      <c r="F71" s="149"/>
      <c r="G71" s="147" t="s">
        <v>595</v>
      </c>
      <c r="H71" s="149"/>
      <c r="I71" s="393" t="s">
        <v>596</v>
      </c>
      <c r="J71" s="149"/>
      <c r="K71" s="393" t="s">
        <v>597</v>
      </c>
      <c r="L71" s="149"/>
      <c r="M71" s="393" t="s">
        <v>598</v>
      </c>
      <c r="N71" s="149"/>
      <c r="O71" s="393" t="s">
        <v>599</v>
      </c>
      <c r="P71" s="149"/>
      <c r="Q71" s="393" t="s">
        <v>600</v>
      </c>
      <c r="R71" s="149"/>
      <c r="S71" s="393" t="s">
        <v>601</v>
      </c>
      <c r="U71" s="393" t="s">
        <v>602</v>
      </c>
      <c r="V71" s="149"/>
      <c r="W71" s="236"/>
      <c r="X71" s="133">
        <f>COUNTIF(C69:U69,"ROW")</f>
        <v>0</v>
      </c>
      <c r="Y71" s="133">
        <v>0</v>
      </c>
      <c r="Z71" s="133">
        <v>0</v>
      </c>
      <c r="AB71" s="133" t="s">
        <v>228</v>
      </c>
    </row>
    <row r="72" spans="1:31" ht="13">
      <c r="B72" s="209"/>
      <c r="C72" s="149" t="s">
        <v>317</v>
      </c>
      <c r="D72" s="149"/>
      <c r="E72" s="149" t="s">
        <v>318</v>
      </c>
      <c r="F72" s="149"/>
      <c r="G72" s="147" t="s">
        <v>319</v>
      </c>
      <c r="H72" s="149"/>
      <c r="I72" s="149" t="s">
        <v>317</v>
      </c>
      <c r="J72" s="149"/>
      <c r="K72" s="149" t="s">
        <v>295</v>
      </c>
      <c r="L72" s="149"/>
      <c r="M72" s="149" t="s">
        <v>296</v>
      </c>
      <c r="N72" s="149"/>
      <c r="O72" s="149" t="s">
        <v>296</v>
      </c>
      <c r="P72" s="149"/>
      <c r="Q72" s="149" t="s">
        <v>296</v>
      </c>
      <c r="R72" s="149"/>
      <c r="S72" s="149" t="s">
        <v>296</v>
      </c>
      <c r="U72" s="149" t="s">
        <v>296</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592</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518</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278</v>
      </c>
    </row>
    <row r="80" spans="1:31" ht="13">
      <c r="B80" s="209"/>
      <c r="C80" s="393" t="s">
        <v>603</v>
      </c>
      <c r="D80" s="149"/>
      <c r="E80" s="147" t="s">
        <v>604</v>
      </c>
      <c r="F80" s="149"/>
      <c r="G80" s="393" t="s">
        <v>605</v>
      </c>
      <c r="H80" s="149"/>
      <c r="I80" s="393" t="s">
        <v>606</v>
      </c>
      <c r="J80" s="149"/>
      <c r="K80" s="393" t="s">
        <v>607</v>
      </c>
      <c r="L80" s="149"/>
      <c r="M80" s="147" t="s">
        <v>608</v>
      </c>
      <c r="N80" s="149"/>
      <c r="O80" s="147" t="s">
        <v>609</v>
      </c>
      <c r="P80" s="149"/>
      <c r="Q80" s="147" t="s">
        <v>610</v>
      </c>
      <c r="R80" s="149"/>
      <c r="S80" s="393" t="s">
        <v>611</v>
      </c>
      <c r="U80" s="393" t="s">
        <v>612</v>
      </c>
      <c r="V80" s="149"/>
      <c r="W80" s="236"/>
      <c r="X80" s="133">
        <f>COUNTIF(C78:U78,"ROW")</f>
        <v>0</v>
      </c>
      <c r="Y80" s="133">
        <v>0</v>
      </c>
      <c r="Z80" s="133">
        <v>0</v>
      </c>
      <c r="AB80" s="133" t="s">
        <v>228</v>
      </c>
    </row>
    <row r="81" spans="1:31" ht="13">
      <c r="B81" s="209"/>
      <c r="C81" s="149" t="s">
        <v>296</v>
      </c>
      <c r="D81" s="149"/>
      <c r="E81" s="147" t="s">
        <v>119</v>
      </c>
      <c r="F81" s="149"/>
      <c r="G81" s="149" t="s">
        <v>296</v>
      </c>
      <c r="H81" s="149"/>
      <c r="I81" s="149" t="s">
        <v>296</v>
      </c>
      <c r="J81" s="149"/>
      <c r="K81" s="149" t="s">
        <v>317</v>
      </c>
      <c r="L81" s="149"/>
      <c r="M81" s="147" t="s">
        <v>344</v>
      </c>
      <c r="N81" s="149"/>
      <c r="O81" s="147" t="s">
        <v>413</v>
      </c>
      <c r="P81" s="149"/>
      <c r="Q81" s="147" t="s">
        <v>330</v>
      </c>
      <c r="R81" s="149"/>
      <c r="S81" s="149" t="s">
        <v>317</v>
      </c>
      <c r="U81" s="147" t="s">
        <v>296</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592</v>
      </c>
      <c r="N83" s="149"/>
      <c r="O83" s="149"/>
      <c r="P83" s="149"/>
      <c r="Q83" s="149"/>
      <c r="R83" s="149"/>
      <c r="S83" s="149" t="s">
        <v>592</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518</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278</v>
      </c>
    </row>
    <row r="89" spans="1:31" ht="13">
      <c r="B89" s="209"/>
      <c r="C89" s="393" t="s">
        <v>613</v>
      </c>
      <c r="D89" s="149"/>
      <c r="E89" s="393" t="s">
        <v>614</v>
      </c>
      <c r="F89" s="149"/>
      <c r="G89" s="393" t="s">
        <v>615</v>
      </c>
      <c r="H89" s="149"/>
      <c r="I89" s="147" t="s">
        <v>616</v>
      </c>
      <c r="J89" s="149"/>
      <c r="K89" s="393" t="s">
        <v>617</v>
      </c>
      <c r="L89" s="149"/>
      <c r="M89" s="393" t="s">
        <v>618</v>
      </c>
      <c r="N89" s="149"/>
      <c r="O89" s="393" t="s">
        <v>619</v>
      </c>
      <c r="P89" s="149"/>
      <c r="Q89" s="147" t="s">
        <v>620</v>
      </c>
      <c r="R89" s="149"/>
      <c r="S89" s="393" t="s">
        <v>621</v>
      </c>
      <c r="U89" s="393" t="s">
        <v>622</v>
      </c>
      <c r="V89" s="149"/>
      <c r="W89" s="236"/>
      <c r="X89" s="133">
        <f>COUNTIF(C87:U87,"ROW")</f>
        <v>0</v>
      </c>
      <c r="Y89" s="133">
        <v>0</v>
      </c>
      <c r="Z89" s="133">
        <v>0</v>
      </c>
      <c r="AB89" s="133" t="s">
        <v>228</v>
      </c>
    </row>
    <row r="90" spans="1:31" ht="13">
      <c r="B90" s="209"/>
      <c r="C90" s="149" t="s">
        <v>318</v>
      </c>
      <c r="D90" s="149"/>
      <c r="E90" s="149" t="s">
        <v>344</v>
      </c>
      <c r="F90" s="149"/>
      <c r="G90" s="149" t="s">
        <v>295</v>
      </c>
      <c r="H90" s="149"/>
      <c r="I90" s="147" t="s">
        <v>342</v>
      </c>
      <c r="J90" s="149"/>
      <c r="K90" s="149" t="s">
        <v>317</v>
      </c>
      <c r="L90" s="149"/>
      <c r="M90" s="149" t="s">
        <v>318</v>
      </c>
      <c r="N90" s="149"/>
      <c r="O90" s="149" t="s">
        <v>296</v>
      </c>
      <c r="P90" s="149"/>
      <c r="Q90" s="147" t="s">
        <v>342</v>
      </c>
      <c r="R90" s="149"/>
      <c r="S90" s="149" t="s">
        <v>317</v>
      </c>
      <c r="U90" s="149" t="s">
        <v>318</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592</v>
      </c>
      <c r="P92" s="149"/>
      <c r="Q92" s="149"/>
      <c r="R92" s="149"/>
      <c r="S92" s="149"/>
      <c r="T92" s="149"/>
      <c r="U92" s="149" t="s">
        <v>592</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518</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278</v>
      </c>
    </row>
    <row r="98" spans="1:31" ht="13">
      <c r="B98" s="209"/>
      <c r="C98" s="147" t="s">
        <v>623</v>
      </c>
      <c r="D98" s="143"/>
      <c r="E98" s="147" t="s">
        <v>624</v>
      </c>
      <c r="F98" s="143"/>
      <c r="G98" s="147" t="s">
        <v>625</v>
      </c>
      <c r="H98" s="149"/>
      <c r="I98" s="393" t="s">
        <v>626</v>
      </c>
      <c r="J98" s="149"/>
      <c r="K98" s="147" t="s">
        <v>627</v>
      </c>
      <c r="L98" s="149"/>
      <c r="M98" s="393" t="s">
        <v>628</v>
      </c>
      <c r="N98" s="149"/>
      <c r="O98" s="393" t="s">
        <v>629</v>
      </c>
      <c r="P98" s="149"/>
      <c r="Q98" s="393" t="s">
        <v>630</v>
      </c>
      <c r="R98" s="149"/>
      <c r="S98" s="393" t="s">
        <v>631</v>
      </c>
      <c r="U98" s="393" t="s">
        <v>632</v>
      </c>
      <c r="V98" s="149"/>
      <c r="W98" s="236"/>
      <c r="X98" s="133">
        <f>COUNTIF(C96:U96,"ROW")</f>
        <v>0</v>
      </c>
      <c r="Y98" s="133">
        <v>0</v>
      </c>
      <c r="Z98" s="133">
        <v>0</v>
      </c>
      <c r="AB98" s="133" t="s">
        <v>228</v>
      </c>
    </row>
    <row r="99" spans="1:31" ht="13">
      <c r="B99" s="209"/>
      <c r="C99" s="147" t="s">
        <v>117</v>
      </c>
      <c r="D99" s="143"/>
      <c r="E99" s="147" t="s">
        <v>113</v>
      </c>
      <c r="F99" s="143"/>
      <c r="G99" s="147" t="s">
        <v>442</v>
      </c>
      <c r="H99" s="149"/>
      <c r="I99" s="149" t="s">
        <v>295</v>
      </c>
      <c r="J99" s="149"/>
      <c r="K99" s="147" t="s">
        <v>342</v>
      </c>
      <c r="L99" s="149"/>
      <c r="M99" s="149" t="s">
        <v>295</v>
      </c>
      <c r="N99" s="149"/>
      <c r="O99" s="149" t="s">
        <v>318</v>
      </c>
      <c r="P99" s="149"/>
      <c r="Q99" s="149" t="s">
        <v>317</v>
      </c>
      <c r="R99" s="149"/>
      <c r="S99" s="149" t="s">
        <v>318</v>
      </c>
      <c r="U99" s="149" t="s">
        <v>317</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592</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518</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278</v>
      </c>
    </row>
    <row r="107" spans="1:31" ht="13">
      <c r="B107" s="209"/>
      <c r="C107" s="393" t="s">
        <v>633</v>
      </c>
      <c r="D107" s="149"/>
      <c r="E107" s="147" t="s">
        <v>634</v>
      </c>
      <c r="F107" s="149"/>
      <c r="G107" s="393" t="s">
        <v>635</v>
      </c>
      <c r="H107" s="149"/>
      <c r="I107" s="393" t="s">
        <v>636</v>
      </c>
      <c r="J107" s="149"/>
      <c r="K107" s="147" t="s">
        <v>637</v>
      </c>
      <c r="L107" s="149"/>
      <c r="M107" s="393" t="s">
        <v>638</v>
      </c>
      <c r="N107" s="149"/>
      <c r="O107" s="393" t="s">
        <v>639</v>
      </c>
      <c r="P107" s="149"/>
      <c r="Q107" s="393" t="s">
        <v>640</v>
      </c>
      <c r="R107" s="149"/>
      <c r="S107" s="393" t="s">
        <v>641</v>
      </c>
      <c r="U107" s="147" t="s">
        <v>642</v>
      </c>
      <c r="V107" s="149"/>
      <c r="W107" s="236"/>
      <c r="X107" s="133">
        <f>COUNTIF(C105:U105,"ROW")</f>
        <v>0</v>
      </c>
      <c r="Y107" s="133">
        <v>0</v>
      </c>
      <c r="Z107" s="133">
        <v>0</v>
      </c>
      <c r="AB107" s="133" t="s">
        <v>228</v>
      </c>
    </row>
    <row r="108" spans="1:31" ht="13">
      <c r="B108" s="209"/>
      <c r="C108" s="149" t="s">
        <v>318</v>
      </c>
      <c r="D108" s="149"/>
      <c r="E108" s="147" t="s">
        <v>137</v>
      </c>
      <c r="F108" s="149"/>
      <c r="G108" s="149" t="s">
        <v>295</v>
      </c>
      <c r="H108" s="149"/>
      <c r="I108" s="149" t="s">
        <v>295</v>
      </c>
      <c r="J108" s="149"/>
      <c r="K108" s="147" t="s">
        <v>119</v>
      </c>
      <c r="L108" s="149"/>
      <c r="M108" s="149" t="s">
        <v>296</v>
      </c>
      <c r="N108" s="149"/>
      <c r="O108" s="149" t="s">
        <v>295</v>
      </c>
      <c r="P108" s="149"/>
      <c r="Q108" s="149" t="s">
        <v>296</v>
      </c>
      <c r="R108" s="149"/>
      <c r="S108" s="149" t="s">
        <v>132</v>
      </c>
      <c r="U108" s="147" t="s">
        <v>137</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592</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228</v>
      </c>
      <c r="G114" s="140"/>
      <c r="H114" s="139"/>
      <c r="I114" s="140"/>
      <c r="J114" s="139"/>
      <c r="K114" s="271" t="s">
        <v>228</v>
      </c>
      <c r="L114" s="139"/>
      <c r="M114" s="271" t="s">
        <v>228</v>
      </c>
      <c r="N114" s="139"/>
      <c r="O114" s="140"/>
      <c r="P114" s="139"/>
      <c r="Q114" s="140"/>
      <c r="R114" s="139"/>
      <c r="S114" s="140"/>
      <c r="T114" s="162"/>
      <c r="U114" s="140"/>
      <c r="V114" s="269"/>
      <c r="W114" s="178"/>
      <c r="X114" s="133">
        <f>COUNTIF(C114:U114,"F")</f>
        <v>0</v>
      </c>
      <c r="Y114" s="133">
        <f>COUNTIF(C113:U113,"E")</f>
        <v>0</v>
      </c>
      <c r="Z114" s="133">
        <f>COUNTIF(C115:V115,"Er")</f>
        <v>0</v>
      </c>
      <c r="AB114" s="133" t="s">
        <v>518</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278</v>
      </c>
    </row>
    <row r="116" spans="1:31" ht="13">
      <c r="B116" s="132"/>
      <c r="C116" s="393" t="s">
        <v>643</v>
      </c>
      <c r="D116" s="149"/>
      <c r="E116" s="393" t="s">
        <v>644</v>
      </c>
      <c r="F116" s="149"/>
      <c r="G116" s="147" t="s">
        <v>645</v>
      </c>
      <c r="H116" s="149"/>
      <c r="I116" s="393" t="s">
        <v>646</v>
      </c>
      <c r="J116" s="149"/>
      <c r="K116" s="393" t="s">
        <v>647</v>
      </c>
      <c r="L116" s="149"/>
      <c r="M116" s="393" t="s">
        <v>648</v>
      </c>
      <c r="N116" s="149"/>
      <c r="O116" s="147" t="s">
        <v>649</v>
      </c>
      <c r="P116" s="149"/>
      <c r="Q116" s="147" t="s">
        <v>650</v>
      </c>
      <c r="R116" s="149"/>
      <c r="S116" s="393" t="s">
        <v>651</v>
      </c>
      <c r="U116" s="393" t="s">
        <v>652</v>
      </c>
      <c r="V116" s="149"/>
      <c r="W116" s="177"/>
      <c r="X116" s="133">
        <f>COUNTIF(C114:U114,"ROW")</f>
        <v>3</v>
      </c>
      <c r="Y116" s="133">
        <v>0</v>
      </c>
      <c r="Z116" s="133">
        <v>0</v>
      </c>
      <c r="AB116" s="133" t="s">
        <v>228</v>
      </c>
    </row>
    <row r="117" spans="1:31" ht="13">
      <c r="B117" s="132"/>
      <c r="C117" s="149" t="s">
        <v>318</v>
      </c>
      <c r="D117" s="149"/>
      <c r="E117" s="149" t="s">
        <v>295</v>
      </c>
      <c r="F117" s="149"/>
      <c r="G117" s="147" t="s">
        <v>115</v>
      </c>
      <c r="H117" s="149"/>
      <c r="I117" s="149" t="s">
        <v>296</v>
      </c>
      <c r="J117" s="149"/>
      <c r="K117" s="149" t="s">
        <v>296</v>
      </c>
      <c r="L117" s="149"/>
      <c r="M117" s="149" t="s">
        <v>296</v>
      </c>
      <c r="N117" s="149"/>
      <c r="O117" s="147" t="s">
        <v>123</v>
      </c>
      <c r="P117" s="149"/>
      <c r="Q117" s="147" t="s">
        <v>123</v>
      </c>
      <c r="R117" s="149"/>
      <c r="S117" s="149" t="s">
        <v>317</v>
      </c>
      <c r="U117" s="149" t="s">
        <v>317</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592</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518</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278</v>
      </c>
    </row>
    <row r="125" spans="1:31" ht="13">
      <c r="B125" s="132"/>
      <c r="C125" s="393" t="s">
        <v>653</v>
      </c>
      <c r="D125" s="149"/>
      <c r="E125" s="147" t="s">
        <v>654</v>
      </c>
      <c r="F125" s="149"/>
      <c r="G125" s="147" t="s">
        <v>655</v>
      </c>
      <c r="H125" s="149"/>
      <c r="I125" s="393" t="s">
        <v>656</v>
      </c>
      <c r="J125" s="149"/>
      <c r="K125" s="147" t="s">
        <v>657</v>
      </c>
      <c r="L125" s="149"/>
      <c r="M125" s="393" t="s">
        <v>658</v>
      </c>
      <c r="N125" s="149"/>
      <c r="O125" s="147" t="s">
        <v>659</v>
      </c>
      <c r="P125" s="149"/>
      <c r="Q125" s="393" t="s">
        <v>660</v>
      </c>
      <c r="R125" s="149"/>
      <c r="S125" s="393" t="s">
        <v>661</v>
      </c>
      <c r="T125" s="149"/>
      <c r="U125" s="147" t="s">
        <v>662</v>
      </c>
      <c r="W125" s="177"/>
      <c r="X125" s="133">
        <f>COUNTIF(C123:U123,"ROW")</f>
        <v>0</v>
      </c>
      <c r="Y125" s="133">
        <v>0</v>
      </c>
      <c r="Z125" s="133">
        <v>0</v>
      </c>
      <c r="AB125" s="133" t="s">
        <v>228</v>
      </c>
    </row>
    <row r="126" spans="1:31" ht="13">
      <c r="B126" s="132"/>
      <c r="C126" s="149" t="s">
        <v>295</v>
      </c>
      <c r="D126" s="149"/>
      <c r="E126" s="147" t="s">
        <v>119</v>
      </c>
      <c r="F126" s="149"/>
      <c r="G126" s="147" t="s">
        <v>128</v>
      </c>
      <c r="H126" s="149"/>
      <c r="I126" s="149" t="s">
        <v>295</v>
      </c>
      <c r="J126" s="149"/>
      <c r="K126" s="147" t="s">
        <v>123</v>
      </c>
      <c r="L126" s="149"/>
      <c r="M126" s="149" t="s">
        <v>295</v>
      </c>
      <c r="N126" s="149"/>
      <c r="O126" s="147" t="s">
        <v>123</v>
      </c>
      <c r="P126" s="149"/>
      <c r="Q126" s="149" t="s">
        <v>295</v>
      </c>
      <c r="R126" s="149"/>
      <c r="S126" s="149" t="s">
        <v>295</v>
      </c>
      <c r="T126" s="149"/>
      <c r="U126" s="147" t="s">
        <v>143</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518</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278</v>
      </c>
    </row>
    <row r="134" spans="1:31" ht="13">
      <c r="B134" s="132"/>
      <c r="C134" s="393" t="s">
        <v>663</v>
      </c>
      <c r="D134" s="149"/>
      <c r="E134" s="147" t="s">
        <v>664</v>
      </c>
      <c r="F134" s="149"/>
      <c r="G134" s="393" t="s">
        <v>665</v>
      </c>
      <c r="H134" s="149"/>
      <c r="I134" s="393" t="s">
        <v>666</v>
      </c>
      <c r="J134" s="149"/>
      <c r="K134" s="393" t="s">
        <v>667</v>
      </c>
      <c r="L134" s="149"/>
      <c r="M134" s="147" t="s">
        <v>668</v>
      </c>
      <c r="N134" s="149"/>
      <c r="O134" s="393" t="s">
        <v>669</v>
      </c>
      <c r="P134" s="149"/>
      <c r="Q134" s="393" t="s">
        <v>670</v>
      </c>
      <c r="R134" s="149"/>
      <c r="S134" s="393" t="s">
        <v>671</v>
      </c>
      <c r="T134" s="149"/>
      <c r="U134" s="393" t="s">
        <v>672</v>
      </c>
      <c r="W134" s="177"/>
      <c r="X134" s="133">
        <f>COUNTIF(C132:U132,"ROW")</f>
        <v>0</v>
      </c>
      <c r="Y134" s="133">
        <v>0</v>
      </c>
      <c r="Z134" s="133">
        <v>0</v>
      </c>
      <c r="AB134" s="133" t="s">
        <v>228</v>
      </c>
    </row>
    <row r="135" spans="1:31" ht="13">
      <c r="B135" s="132"/>
      <c r="C135" s="149" t="s">
        <v>318</v>
      </c>
      <c r="D135" s="149"/>
      <c r="E135" s="147" t="s">
        <v>119</v>
      </c>
      <c r="F135" s="149"/>
      <c r="G135" s="149" t="s">
        <v>318</v>
      </c>
      <c r="H135" s="149"/>
      <c r="I135" s="149" t="s">
        <v>295</v>
      </c>
      <c r="J135" s="149"/>
      <c r="K135" s="149" t="s">
        <v>317</v>
      </c>
      <c r="L135" s="149"/>
      <c r="M135" s="147" t="s">
        <v>188</v>
      </c>
      <c r="N135" s="149"/>
      <c r="O135" s="149" t="s">
        <v>318</v>
      </c>
      <c r="P135" s="149"/>
      <c r="Q135" s="149" t="s">
        <v>296</v>
      </c>
      <c r="R135" s="149"/>
      <c r="S135" s="149" t="s">
        <v>296</v>
      </c>
      <c r="T135" s="149"/>
      <c r="U135" s="149" t="s">
        <v>296</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518</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278</v>
      </c>
    </row>
    <row r="142" spans="1:31" ht="13">
      <c r="B142" s="132"/>
      <c r="C142" s="393" t="s">
        <v>673</v>
      </c>
      <c r="D142" s="149"/>
      <c r="E142" s="147" t="s">
        <v>674</v>
      </c>
      <c r="F142" s="149"/>
      <c r="G142" s="393" t="s">
        <v>675</v>
      </c>
      <c r="H142" s="149"/>
      <c r="I142" s="393" t="s">
        <v>676</v>
      </c>
      <c r="J142" s="149"/>
      <c r="K142" s="147" t="s">
        <v>677</v>
      </c>
      <c r="L142" s="149"/>
      <c r="M142" s="393" t="s">
        <v>678</v>
      </c>
      <c r="N142" s="149"/>
      <c r="O142" s="393" t="s">
        <v>679</v>
      </c>
      <c r="P142" s="149"/>
      <c r="Q142" s="393" t="s">
        <v>680</v>
      </c>
      <c r="R142" s="149"/>
      <c r="S142" s="147" t="s">
        <v>681</v>
      </c>
      <c r="T142" s="149"/>
      <c r="U142" s="393" t="s">
        <v>682</v>
      </c>
      <c r="W142" s="177"/>
      <c r="X142" s="133">
        <f>COUNTIF(C140:U140,"ROW")</f>
        <v>0</v>
      </c>
      <c r="Y142" s="133">
        <v>0</v>
      </c>
      <c r="Z142" s="133">
        <v>0</v>
      </c>
      <c r="AB142" s="133" t="s">
        <v>228</v>
      </c>
    </row>
    <row r="143" spans="1:31" ht="13">
      <c r="B143" s="132"/>
      <c r="C143" s="149" t="s">
        <v>318</v>
      </c>
      <c r="D143" s="149"/>
      <c r="E143" s="147" t="s">
        <v>143</v>
      </c>
      <c r="F143" s="149"/>
      <c r="G143" s="149" t="s">
        <v>413</v>
      </c>
      <c r="H143" s="149"/>
      <c r="I143" s="149" t="s">
        <v>318</v>
      </c>
      <c r="J143" s="149"/>
      <c r="K143" s="147" t="s">
        <v>119</v>
      </c>
      <c r="L143" s="149"/>
      <c r="M143" s="149" t="s">
        <v>295</v>
      </c>
      <c r="N143" s="149"/>
      <c r="O143" s="149" t="s">
        <v>170</v>
      </c>
      <c r="P143" s="149"/>
      <c r="Q143" s="149" t="s">
        <v>295</v>
      </c>
      <c r="R143" s="149"/>
      <c r="S143" s="147" t="s">
        <v>137</v>
      </c>
      <c r="T143" s="149"/>
      <c r="U143" s="149" t="s">
        <v>295</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518</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278</v>
      </c>
    </row>
    <row r="150" spans="1:31" ht="13">
      <c r="B150" s="132"/>
      <c r="C150" s="390" t="s">
        <v>683</v>
      </c>
      <c r="E150" s="390" t="s">
        <v>684</v>
      </c>
      <c r="G150" s="390" t="s">
        <v>685</v>
      </c>
      <c r="I150" s="390" t="s">
        <v>686</v>
      </c>
      <c r="K150" s="390" t="s">
        <v>687</v>
      </c>
      <c r="M150" s="390" t="s">
        <v>688</v>
      </c>
      <c r="O150" s="144" t="s">
        <v>689</v>
      </c>
      <c r="Q150" s="144" t="s">
        <v>690</v>
      </c>
      <c r="S150" s="390" t="s">
        <v>691</v>
      </c>
      <c r="U150" s="144" t="s">
        <v>692</v>
      </c>
      <c r="W150" s="177"/>
      <c r="X150" s="133">
        <f>COUNTIF(C148:U148,"ROW")</f>
        <v>0</v>
      </c>
      <c r="Y150" s="133">
        <v>0</v>
      </c>
      <c r="Z150" s="133">
        <v>0</v>
      </c>
      <c r="AB150" s="133" t="s">
        <v>228</v>
      </c>
    </row>
    <row r="151" spans="1:31" ht="13">
      <c r="B151" s="132"/>
      <c r="C151" s="133" t="s">
        <v>318</v>
      </c>
      <c r="E151" s="133" t="s">
        <v>295</v>
      </c>
      <c r="G151" s="133" t="s">
        <v>295</v>
      </c>
      <c r="I151" s="133" t="s">
        <v>296</v>
      </c>
      <c r="K151" s="133" t="s">
        <v>317</v>
      </c>
      <c r="M151" s="133" t="s">
        <v>296</v>
      </c>
      <c r="O151" s="144" t="s">
        <v>128</v>
      </c>
      <c r="Q151" s="144" t="s">
        <v>330</v>
      </c>
      <c r="S151" s="133" t="s">
        <v>295</v>
      </c>
      <c r="U151" s="144" t="s">
        <v>541</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518</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278</v>
      </c>
    </row>
    <row r="158" spans="1:31" ht="13">
      <c r="B158" s="132"/>
      <c r="C158" s="390" t="s">
        <v>693</v>
      </c>
      <c r="E158" s="390" t="s">
        <v>694</v>
      </c>
      <c r="G158" s="390" t="s">
        <v>695</v>
      </c>
      <c r="I158" s="390" t="s">
        <v>696</v>
      </c>
      <c r="K158" s="144" t="s">
        <v>697</v>
      </c>
      <c r="M158" s="144" t="s">
        <v>698</v>
      </c>
      <c r="O158" s="394" t="s">
        <v>699</v>
      </c>
      <c r="Q158" s="394" t="s">
        <v>700</v>
      </c>
      <c r="S158" s="144" t="s">
        <v>701</v>
      </c>
      <c r="U158" s="144" t="s">
        <v>702</v>
      </c>
      <c r="W158" s="177"/>
      <c r="X158" s="133">
        <f>COUNTIF(C156:U156,"ROW")</f>
        <v>0</v>
      </c>
      <c r="Y158" s="133">
        <v>0</v>
      </c>
      <c r="Z158" s="133">
        <v>0</v>
      </c>
      <c r="AB158" s="133" t="s">
        <v>228</v>
      </c>
    </row>
    <row r="159" spans="1:31" ht="13">
      <c r="B159" s="132"/>
      <c r="C159" s="133" t="s">
        <v>296</v>
      </c>
      <c r="E159" s="133" t="s">
        <v>317</v>
      </c>
      <c r="G159" s="133" t="s">
        <v>296</v>
      </c>
      <c r="I159" s="133" t="s">
        <v>318</v>
      </c>
      <c r="K159" s="144" t="s">
        <v>541</v>
      </c>
      <c r="M159" s="144" t="s">
        <v>541</v>
      </c>
      <c r="O159" s="133" t="s">
        <v>295</v>
      </c>
      <c r="Q159" s="133" t="s">
        <v>295</v>
      </c>
      <c r="S159" s="144" t="s">
        <v>529</v>
      </c>
      <c r="U159" s="144" t="s">
        <v>529</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518</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278</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228</v>
      </c>
    </row>
    <row r="167" spans="1:31" ht="13">
      <c r="B167" s="132"/>
      <c r="C167" s="144" t="s">
        <v>310</v>
      </c>
      <c r="D167" s="143"/>
      <c r="E167" s="144" t="s">
        <v>310</v>
      </c>
      <c r="F167" s="145"/>
      <c r="G167" s="384" t="s">
        <v>272</v>
      </c>
      <c r="H167" s="145"/>
      <c r="I167" s="384" t="s">
        <v>273</v>
      </c>
      <c r="J167" s="145"/>
      <c r="K167" s="384" t="s">
        <v>311</v>
      </c>
      <c r="M167" s="144" t="s">
        <v>312</v>
      </c>
      <c r="O167" s="384" t="s">
        <v>313</v>
      </c>
      <c r="Q167" s="144" t="s">
        <v>314</v>
      </c>
      <c r="S167" s="144" t="s">
        <v>315</v>
      </c>
      <c r="U167" s="384" t="s">
        <v>316</v>
      </c>
      <c r="W167" s="177"/>
    </row>
    <row r="168" spans="1:31" ht="13">
      <c r="B168" s="132"/>
      <c r="C168" s="144" t="s">
        <v>117</v>
      </c>
      <c r="D168" s="143"/>
      <c r="E168" s="144" t="s">
        <v>117</v>
      </c>
      <c r="F168" s="145"/>
      <c r="G168" s="145" t="s">
        <v>317</v>
      </c>
      <c r="H168" s="145"/>
      <c r="I168" s="133" t="s">
        <v>296</v>
      </c>
      <c r="J168" s="145"/>
      <c r="K168" s="133" t="s">
        <v>317</v>
      </c>
      <c r="M168" s="144" t="s">
        <v>119</v>
      </c>
      <c r="O168" s="133" t="s">
        <v>318</v>
      </c>
      <c r="Q168" s="144" t="s">
        <v>125</v>
      </c>
      <c r="S168" s="144" t="s">
        <v>319</v>
      </c>
      <c r="U168" s="133" t="s">
        <v>317</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518</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278</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228</v>
      </c>
    </row>
    <row r="176" spans="1:31" ht="13">
      <c r="B176" s="132"/>
      <c r="C176" s="384" t="s">
        <v>320</v>
      </c>
      <c r="E176" s="384" t="s">
        <v>321</v>
      </c>
      <c r="G176" s="144" t="s">
        <v>322</v>
      </c>
      <c r="I176" s="144" t="s">
        <v>323</v>
      </c>
      <c r="K176" s="384" t="s">
        <v>324</v>
      </c>
      <c r="M176" s="384" t="s">
        <v>325</v>
      </c>
      <c r="O176" s="384" t="s">
        <v>326</v>
      </c>
      <c r="Q176" s="384" t="s">
        <v>327</v>
      </c>
      <c r="S176" s="384" t="s">
        <v>328</v>
      </c>
      <c r="U176" s="144" t="s">
        <v>329</v>
      </c>
      <c r="W176" s="177"/>
    </row>
    <row r="177" spans="1:31" ht="13">
      <c r="B177" s="132"/>
      <c r="C177" s="133" t="s">
        <v>318</v>
      </c>
      <c r="E177" s="133" t="s">
        <v>317</v>
      </c>
      <c r="G177" s="144" t="s">
        <v>117</v>
      </c>
      <c r="I177" s="144" t="s">
        <v>330</v>
      </c>
      <c r="K177" s="145" t="s">
        <v>132</v>
      </c>
      <c r="M177" s="145" t="s">
        <v>182</v>
      </c>
      <c r="O177" s="145" t="s">
        <v>132</v>
      </c>
      <c r="Q177" s="145" t="s">
        <v>242</v>
      </c>
      <c r="S177" s="145" t="s">
        <v>242</v>
      </c>
      <c r="U177" s="144" t="s">
        <v>330</v>
      </c>
      <c r="W177" s="177"/>
    </row>
    <row r="178" spans="1:31">
      <c r="B178" s="132"/>
      <c r="C178" s="160" t="s">
        <v>331</v>
      </c>
      <c r="I178" s="160" t="s">
        <v>331</v>
      </c>
      <c r="M178" s="160" t="s">
        <v>331</v>
      </c>
      <c r="Q178" s="160"/>
      <c r="S178" s="160" t="s">
        <v>331</v>
      </c>
      <c r="U178" s="160" t="s">
        <v>331</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518</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278</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228</v>
      </c>
    </row>
    <row r="185" spans="1:31" ht="13">
      <c r="B185" s="132"/>
      <c r="C185" s="144" t="s">
        <v>333</v>
      </c>
      <c r="E185" s="144" t="s">
        <v>334</v>
      </c>
      <c r="G185" s="384" t="s">
        <v>335</v>
      </c>
      <c r="I185" s="144" t="s">
        <v>336</v>
      </c>
      <c r="K185" s="384" t="s">
        <v>337</v>
      </c>
      <c r="M185" s="384" t="s">
        <v>338</v>
      </c>
      <c r="O185" s="384" t="s">
        <v>339</v>
      </c>
      <c r="Q185" s="144" t="s">
        <v>340</v>
      </c>
      <c r="S185" s="384" t="s">
        <v>281</v>
      </c>
      <c r="U185" s="144" t="s">
        <v>341</v>
      </c>
      <c r="W185" s="177"/>
    </row>
    <row r="186" spans="1:31" ht="13">
      <c r="B186" s="132"/>
      <c r="C186" s="144" t="s">
        <v>330</v>
      </c>
      <c r="E186" s="144" t="s">
        <v>342</v>
      </c>
      <c r="G186" s="145" t="s">
        <v>182</v>
      </c>
      <c r="I186" s="144" t="s">
        <v>343</v>
      </c>
      <c r="K186" s="145" t="s">
        <v>248</v>
      </c>
      <c r="M186" s="145" t="s">
        <v>182</v>
      </c>
      <c r="O186" s="145" t="s">
        <v>248</v>
      </c>
      <c r="Q186" s="144" t="s">
        <v>319</v>
      </c>
      <c r="S186" s="145" t="s">
        <v>248</v>
      </c>
      <c r="U186" s="144" t="s">
        <v>344</v>
      </c>
      <c r="W186" s="177"/>
    </row>
    <row r="187" spans="1:31" ht="13">
      <c r="B187" s="132"/>
      <c r="G187" s="160" t="s">
        <v>331</v>
      </c>
      <c r="I187" s="144"/>
      <c r="K187" s="1515" t="s">
        <v>703</v>
      </c>
      <c r="L187" s="1516"/>
      <c r="M187" s="1516"/>
      <c r="N187" s="1516"/>
      <c r="O187" s="1516"/>
      <c r="P187" s="1516"/>
      <c r="Q187" s="1516"/>
      <c r="R187" s="1516"/>
      <c r="S187" s="1516"/>
      <c r="T187" s="1516"/>
      <c r="U187" s="1525"/>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518</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278</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228</v>
      </c>
    </row>
    <row r="194" spans="1:31" ht="13">
      <c r="B194" s="132"/>
      <c r="C194" s="384" t="s">
        <v>346</v>
      </c>
      <c r="E194" s="384" t="s">
        <v>347</v>
      </c>
      <c r="G194" s="384" t="s">
        <v>348</v>
      </c>
      <c r="I194" s="384" t="s">
        <v>282</v>
      </c>
      <c r="K194" s="384" t="s">
        <v>283</v>
      </c>
      <c r="M194" s="144" t="s">
        <v>349</v>
      </c>
      <c r="O194" s="384" t="s">
        <v>350</v>
      </c>
      <c r="Q194" s="384" t="s">
        <v>704</v>
      </c>
      <c r="S194" s="144" t="s">
        <v>351</v>
      </c>
      <c r="U194" s="384" t="s">
        <v>352</v>
      </c>
      <c r="W194" s="177"/>
    </row>
    <row r="195" spans="1:31" ht="13">
      <c r="B195" s="132"/>
      <c r="C195" s="145" t="s">
        <v>182</v>
      </c>
      <c r="E195" s="145" t="s">
        <v>182</v>
      </c>
      <c r="G195" s="145" t="s">
        <v>295</v>
      </c>
      <c r="I195" s="145" t="s">
        <v>318</v>
      </c>
      <c r="K195" s="145" t="s">
        <v>318</v>
      </c>
      <c r="M195" s="144" t="s">
        <v>319</v>
      </c>
      <c r="O195" s="145" t="s">
        <v>182</v>
      </c>
      <c r="Q195" s="145" t="s">
        <v>248</v>
      </c>
      <c r="S195" s="144" t="s">
        <v>330</v>
      </c>
      <c r="U195" s="145" t="s">
        <v>248</v>
      </c>
      <c r="W195" s="177"/>
    </row>
    <row r="196" spans="1:31">
      <c r="B196" s="132"/>
      <c r="C196" s="1515" t="s">
        <v>703</v>
      </c>
      <c r="D196" s="1516"/>
      <c r="E196" s="1516"/>
      <c r="F196" s="1516"/>
      <c r="G196" s="1516"/>
      <c r="H196" s="1516"/>
      <c r="I196" s="1516"/>
      <c r="J196" s="1516"/>
      <c r="K196" s="1516"/>
      <c r="L196" s="1516"/>
      <c r="M196" s="1516"/>
      <c r="N196" s="1516"/>
      <c r="O196" s="1516"/>
      <c r="P196" s="1516"/>
      <c r="Q196" s="1516"/>
      <c r="R196" s="1516"/>
      <c r="S196" s="1516"/>
      <c r="T196" s="1516"/>
      <c r="U196" s="1525"/>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518</v>
      </c>
    </row>
    <row r="200" spans="1:31">
      <c r="B200" s="132"/>
      <c r="C200" s="140"/>
      <c r="D200" s="139"/>
      <c r="E200" s="140"/>
      <c r="F200" s="139"/>
      <c r="G200" s="140"/>
      <c r="I200" s="140"/>
      <c r="J200" s="139"/>
      <c r="K200" s="140"/>
      <c r="L200" s="139"/>
      <c r="M200" s="140"/>
      <c r="N200" s="139"/>
      <c r="O200" s="140"/>
      <c r="P200" s="139"/>
      <c r="Q200" s="140"/>
      <c r="R200" s="139"/>
      <c r="S200" s="141" t="s">
        <v>390</v>
      </c>
      <c r="T200" s="139"/>
      <c r="U200" s="140"/>
      <c r="V200" s="162"/>
      <c r="W200" s="177"/>
      <c r="X200" s="133">
        <f>COUNTIF(C200:U200,"U/P")</f>
        <v>1</v>
      </c>
      <c r="Y200" s="133">
        <v>0</v>
      </c>
      <c r="Z200" s="133">
        <v>0</v>
      </c>
      <c r="AB200" s="133" t="s">
        <v>278</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228</v>
      </c>
    </row>
    <row r="202" spans="1:31" ht="13">
      <c r="B202" s="132"/>
      <c r="C202" s="384" t="s">
        <v>353</v>
      </c>
      <c r="E202" s="384" t="s">
        <v>274</v>
      </c>
      <c r="G202" s="384" t="s">
        <v>275</v>
      </c>
      <c r="I202" s="384" t="s">
        <v>355</v>
      </c>
      <c r="K202" s="384" t="s">
        <v>284</v>
      </c>
      <c r="M202" s="144" t="s">
        <v>705</v>
      </c>
      <c r="O202" s="384" t="s">
        <v>357</v>
      </c>
      <c r="Q202" s="144" t="s">
        <v>706</v>
      </c>
      <c r="S202" s="384" t="s">
        <v>247</v>
      </c>
      <c r="U202" s="144" t="s">
        <v>707</v>
      </c>
      <c r="W202" s="177"/>
    </row>
    <row r="203" spans="1:31" ht="13">
      <c r="B203" s="132"/>
      <c r="C203" s="145" t="s">
        <v>248</v>
      </c>
      <c r="E203" s="145" t="s">
        <v>248</v>
      </c>
      <c r="G203" s="145" t="s">
        <v>248</v>
      </c>
      <c r="I203" s="145" t="s">
        <v>185</v>
      </c>
      <c r="K203" s="145" t="s">
        <v>185</v>
      </c>
      <c r="M203" s="144" t="s">
        <v>319</v>
      </c>
      <c r="O203" s="145" t="s">
        <v>132</v>
      </c>
      <c r="Q203" s="144" t="s">
        <v>529</v>
      </c>
      <c r="S203" s="145" t="s">
        <v>318</v>
      </c>
      <c r="U203" s="144" t="s">
        <v>319</v>
      </c>
      <c r="W203" s="177"/>
    </row>
    <row r="204" spans="1:31">
      <c r="B204" s="132"/>
      <c r="C204" s="1515" t="s">
        <v>703</v>
      </c>
      <c r="D204" s="1516"/>
      <c r="E204" s="1516"/>
      <c r="F204" s="1516"/>
      <c r="G204" s="1516"/>
      <c r="H204" s="1516"/>
      <c r="I204" s="1516"/>
      <c r="J204" s="1516"/>
      <c r="K204" s="1516"/>
      <c r="L204" s="1516"/>
      <c r="M204" s="1516"/>
      <c r="N204" s="1516"/>
      <c r="O204" s="1516"/>
      <c r="P204" s="1516"/>
      <c r="Q204" s="1516"/>
      <c r="R204" s="1516"/>
      <c r="S204" s="1516"/>
      <c r="T204" s="1516"/>
      <c r="U204" s="1525"/>
      <c r="W204" s="177"/>
    </row>
    <row r="205" spans="1:31">
      <c r="B205" s="132"/>
      <c r="K205" s="133" t="s">
        <v>592</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518</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278</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228</v>
      </c>
    </row>
    <row r="211" spans="1:31" ht="13">
      <c r="B211" s="132"/>
      <c r="C211" s="384" t="s">
        <v>359</v>
      </c>
      <c r="E211" s="384" t="s">
        <v>360</v>
      </c>
      <c r="G211" s="384" t="s">
        <v>708</v>
      </c>
      <c r="I211" s="384" t="s">
        <v>709</v>
      </c>
      <c r="K211" s="384" t="s">
        <v>710</v>
      </c>
      <c r="M211" s="144" t="s">
        <v>361</v>
      </c>
      <c r="O211" s="144" t="s">
        <v>362</v>
      </c>
      <c r="Q211" s="384" t="s">
        <v>363</v>
      </c>
      <c r="S211" s="384" t="s">
        <v>364</v>
      </c>
      <c r="U211" s="384" t="s">
        <v>365</v>
      </c>
      <c r="W211" s="177"/>
    </row>
    <row r="212" spans="1:31" ht="13">
      <c r="B212" s="132"/>
      <c r="C212" s="145" t="s">
        <v>182</v>
      </c>
      <c r="E212" s="145" t="s">
        <v>242</v>
      </c>
      <c r="G212" s="145" t="s">
        <v>248</v>
      </c>
      <c r="I212" s="145" t="s">
        <v>317</v>
      </c>
      <c r="K212" s="145" t="s">
        <v>182</v>
      </c>
      <c r="M212" s="144" t="s">
        <v>330</v>
      </c>
      <c r="O212" s="144" t="s">
        <v>342</v>
      </c>
      <c r="Q212" s="145" t="s">
        <v>182</v>
      </c>
      <c r="S212" s="145" t="s">
        <v>182</v>
      </c>
      <c r="U212" s="145" t="s">
        <v>317</v>
      </c>
      <c r="W212" s="177"/>
    </row>
    <row r="213" spans="1:31">
      <c r="B213" s="132"/>
      <c r="C213" s="1515" t="s">
        <v>703</v>
      </c>
      <c r="D213" s="1516"/>
      <c r="E213" s="1516"/>
      <c r="F213" s="1516"/>
      <c r="G213" s="1516"/>
      <c r="H213" s="1516"/>
      <c r="I213" s="1516"/>
      <c r="J213" s="1516"/>
      <c r="K213" s="1516"/>
      <c r="L213" s="1516"/>
      <c r="M213" s="1516"/>
      <c r="N213" s="1516"/>
      <c r="O213" s="1516"/>
      <c r="P213" s="1516"/>
      <c r="Q213" s="1516"/>
      <c r="R213" s="1516"/>
      <c r="S213" s="1516"/>
      <c r="T213" s="1516"/>
      <c r="U213" s="1525"/>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518</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278</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228</v>
      </c>
    </row>
    <row r="219" spans="1:31" ht="13">
      <c r="B219" s="132"/>
      <c r="C219" s="144" t="s">
        <v>711</v>
      </c>
      <c r="E219" s="144" t="s">
        <v>367</v>
      </c>
      <c r="G219" s="384" t="s">
        <v>287</v>
      </c>
      <c r="I219" s="384" t="s">
        <v>368</v>
      </c>
      <c r="K219" s="144" t="s">
        <v>370</v>
      </c>
      <c r="M219" s="384" t="s">
        <v>371</v>
      </c>
      <c r="O219" s="384" t="s">
        <v>372</v>
      </c>
      <c r="Q219" s="144" t="s">
        <v>373</v>
      </c>
      <c r="S219" s="384" t="s">
        <v>288</v>
      </c>
      <c r="U219" s="384" t="s">
        <v>259</v>
      </c>
      <c r="W219" s="177"/>
    </row>
    <row r="220" spans="1:31" ht="13">
      <c r="B220" s="132"/>
      <c r="C220" s="144" t="s">
        <v>343</v>
      </c>
      <c r="E220" s="144" t="s">
        <v>344</v>
      </c>
      <c r="G220" s="145" t="s">
        <v>317</v>
      </c>
      <c r="I220" s="145" t="s">
        <v>296</v>
      </c>
      <c r="K220" s="144" t="s">
        <v>529</v>
      </c>
      <c r="M220" s="145" t="s">
        <v>318</v>
      </c>
      <c r="O220" s="145" t="s">
        <v>296</v>
      </c>
      <c r="Q220" s="144" t="s">
        <v>344</v>
      </c>
      <c r="S220" s="145" t="s">
        <v>295</v>
      </c>
      <c r="U220" s="145" t="s">
        <v>295</v>
      </c>
      <c r="W220" s="177"/>
    </row>
    <row r="221" spans="1:31">
      <c r="B221" s="272"/>
      <c r="C221" s="1512" t="s">
        <v>703</v>
      </c>
      <c r="D221" s="1513"/>
      <c r="E221" s="1513"/>
      <c r="F221" s="1513"/>
      <c r="G221" s="1513"/>
      <c r="H221" s="1513"/>
      <c r="I221" s="1513"/>
      <c r="J221" s="1513"/>
      <c r="K221" s="1513"/>
      <c r="L221" s="1513"/>
      <c r="M221" s="1513"/>
      <c r="N221" s="1513"/>
      <c r="O221" s="1513"/>
      <c r="P221" s="1513"/>
      <c r="Q221" s="1513"/>
      <c r="R221" s="1513"/>
      <c r="S221" s="1513"/>
      <c r="T221" s="1513"/>
      <c r="U221" s="1514"/>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518</v>
      </c>
    </row>
    <row r="225" spans="1:31">
      <c r="B225" s="132"/>
      <c r="C225" s="140"/>
      <c r="D225" s="139"/>
      <c r="E225" s="140"/>
      <c r="F225" s="139"/>
      <c r="G225" s="140"/>
      <c r="I225" s="158" t="s">
        <v>354</v>
      </c>
      <c r="J225" s="139"/>
      <c r="K225" s="141" t="s">
        <v>390</v>
      </c>
      <c r="L225" s="139"/>
      <c r="M225" s="158" t="s">
        <v>354</v>
      </c>
      <c r="N225" s="139"/>
      <c r="O225" s="158" t="s">
        <v>354</v>
      </c>
      <c r="P225" s="139"/>
      <c r="Q225" s="158" t="s">
        <v>354</v>
      </c>
      <c r="R225" s="139"/>
      <c r="S225" s="158" t="s">
        <v>354</v>
      </c>
      <c r="T225" s="139"/>
      <c r="U225" s="158" t="s">
        <v>354</v>
      </c>
      <c r="V225" s="162"/>
      <c r="W225" s="177"/>
      <c r="X225" s="133">
        <f>COUNTIF(C224:U225,"U/P")</f>
        <v>1</v>
      </c>
      <c r="Y225" s="133">
        <v>0</v>
      </c>
      <c r="Z225" s="133">
        <v>0</v>
      </c>
      <c r="AB225" s="133" t="s">
        <v>278</v>
      </c>
    </row>
    <row r="226" spans="1:31">
      <c r="B226" s="132"/>
      <c r="C226" s="141"/>
      <c r="D226" s="139"/>
      <c r="E226" s="141"/>
      <c r="F226" s="139"/>
      <c r="G226" s="141"/>
      <c r="I226" s="141"/>
      <c r="J226" s="139"/>
      <c r="K226" s="141"/>
      <c r="L226" s="139"/>
      <c r="M226" s="141" t="s">
        <v>376</v>
      </c>
      <c r="N226" s="139"/>
      <c r="O226" s="141"/>
      <c r="P226" s="139"/>
      <c r="Q226" s="141"/>
      <c r="R226" s="139"/>
      <c r="S226" s="141" t="s">
        <v>376</v>
      </c>
      <c r="T226" s="139"/>
      <c r="U226" s="141" t="s">
        <v>376</v>
      </c>
      <c r="V226" s="162"/>
      <c r="W226" s="280"/>
      <c r="X226" s="133">
        <f>COUNTIF(C224:U224,"ROW")</f>
        <v>0</v>
      </c>
      <c r="Y226" s="133">
        <v>0</v>
      </c>
      <c r="Z226" s="133">
        <v>0</v>
      </c>
      <c r="AB226" s="133" t="s">
        <v>228</v>
      </c>
    </row>
    <row r="227" spans="1:31" ht="13">
      <c r="B227" s="132"/>
      <c r="C227" s="144" t="s">
        <v>377</v>
      </c>
      <c r="E227" s="384" t="s">
        <v>297</v>
      </c>
      <c r="G227" s="144" t="s">
        <v>378</v>
      </c>
      <c r="I227" s="384" t="s">
        <v>236</v>
      </c>
      <c r="K227" s="384" t="s">
        <v>237</v>
      </c>
      <c r="M227" s="384" t="s">
        <v>214</v>
      </c>
      <c r="O227" s="384" t="s">
        <v>213</v>
      </c>
      <c r="Q227" s="384" t="s">
        <v>212</v>
      </c>
      <c r="S227" s="384" t="s">
        <v>209</v>
      </c>
      <c r="U227" s="384" t="s">
        <v>231</v>
      </c>
      <c r="W227" s="280"/>
    </row>
    <row r="228" spans="1:31" ht="13">
      <c r="B228" s="132"/>
      <c r="C228" s="144" t="s">
        <v>330</v>
      </c>
      <c r="E228" s="145" t="s">
        <v>182</v>
      </c>
      <c r="G228" s="144" t="s">
        <v>115</v>
      </c>
      <c r="I228" s="145" t="s">
        <v>296</v>
      </c>
      <c r="K228" s="145" t="s">
        <v>182</v>
      </c>
      <c r="M228" s="145" t="s">
        <v>185</v>
      </c>
      <c r="O228" s="145" t="s">
        <v>182</v>
      </c>
      <c r="Q228" s="145" t="s">
        <v>182</v>
      </c>
      <c r="S228" s="145" t="s">
        <v>182</v>
      </c>
      <c r="U228" s="145" t="s">
        <v>182</v>
      </c>
      <c r="W228" s="280"/>
    </row>
    <row r="229" spans="1:31">
      <c r="B229" s="132"/>
      <c r="C229" s="1515" t="s">
        <v>703</v>
      </c>
      <c r="D229" s="1516"/>
      <c r="E229" s="1516"/>
      <c r="F229" s="1516"/>
      <c r="G229" s="160" t="s">
        <v>366</v>
      </c>
      <c r="H229" s="155"/>
      <c r="I229" s="160" t="s">
        <v>366</v>
      </c>
      <c r="J229" s="155"/>
      <c r="K229" s="160" t="s">
        <v>331</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712</v>
      </c>
      <c r="W232" s="281"/>
      <c r="X232" s="133">
        <f>COUNTIF(C233:U233,"F")</f>
        <v>4</v>
      </c>
      <c r="Y232" s="133">
        <f>COUNTIF(C231:U231,"E")</f>
        <v>0</v>
      </c>
      <c r="Z232" s="133">
        <f>COUNTIF(C233:V233,"Er")</f>
        <v>0</v>
      </c>
      <c r="AB232" s="133" t="s">
        <v>518</v>
      </c>
    </row>
    <row r="233" spans="1:31">
      <c r="B233" s="132"/>
      <c r="C233" s="140"/>
      <c r="D233" s="139"/>
      <c r="E233" s="140"/>
      <c r="F233" s="139"/>
      <c r="G233" s="140"/>
      <c r="I233" s="158" t="s">
        <v>354</v>
      </c>
      <c r="J233" s="139"/>
      <c r="K233" s="158" t="s">
        <v>354</v>
      </c>
      <c r="L233" s="139"/>
      <c r="M233" s="158" t="s">
        <v>354</v>
      </c>
      <c r="N233" s="139"/>
      <c r="O233" s="158" t="s">
        <v>354</v>
      </c>
      <c r="P233" s="139"/>
      <c r="Q233" s="141" t="s">
        <v>390</v>
      </c>
      <c r="R233" s="139"/>
      <c r="S233" s="140"/>
      <c r="T233" s="139"/>
      <c r="U233" s="140"/>
      <c r="V233" s="162"/>
      <c r="W233" s="280"/>
      <c r="X233" s="133">
        <f>COUNTIF(C233:U233,"U/P")</f>
        <v>1</v>
      </c>
      <c r="Y233" s="133">
        <v>0</v>
      </c>
      <c r="Z233" s="133">
        <v>0</v>
      </c>
      <c r="AB233" s="133" t="s">
        <v>278</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228</v>
      </c>
    </row>
    <row r="235" spans="1:31" ht="13">
      <c r="B235" s="132"/>
      <c r="C235" s="144" t="s">
        <v>379</v>
      </c>
      <c r="E235" s="384" t="s">
        <v>263</v>
      </c>
      <c r="G235" s="144" t="s">
        <v>380</v>
      </c>
      <c r="I235" s="384" t="s">
        <v>215</v>
      </c>
      <c r="K235" s="384" t="s">
        <v>216</v>
      </c>
      <c r="M235" s="384" t="s">
        <v>239</v>
      </c>
      <c r="O235" s="384" t="s">
        <v>240</v>
      </c>
      <c r="Q235" s="384" t="s">
        <v>241</v>
      </c>
      <c r="S235" s="144" t="s">
        <v>381</v>
      </c>
      <c r="U235" s="384" t="s">
        <v>383</v>
      </c>
      <c r="W235" s="280"/>
    </row>
    <row r="236" spans="1:31" ht="13">
      <c r="B236" s="132"/>
      <c r="C236" s="144" t="s">
        <v>319</v>
      </c>
      <c r="E236" s="145" t="s">
        <v>318</v>
      </c>
      <c r="G236" s="144" t="s">
        <v>344</v>
      </c>
      <c r="I236" s="145" t="s">
        <v>296</v>
      </c>
      <c r="K236" s="145" t="s">
        <v>317</v>
      </c>
      <c r="M236" s="145" t="s">
        <v>296</v>
      </c>
      <c r="O236" s="145" t="s">
        <v>317</v>
      </c>
      <c r="Q236" s="145" t="s">
        <v>318</v>
      </c>
      <c r="S236" s="144" t="s">
        <v>319</v>
      </c>
      <c r="U236" s="145" t="s">
        <v>317</v>
      </c>
      <c r="W236" s="280"/>
    </row>
    <row r="237" spans="1:31" ht="13">
      <c r="B237" s="132"/>
      <c r="C237" s="144"/>
      <c r="E237" s="145"/>
      <c r="G237" s="145"/>
      <c r="I237" s="144"/>
      <c r="K237" s="160" t="s">
        <v>366</v>
      </c>
      <c r="M237" s="145"/>
      <c r="O237" s="144"/>
      <c r="Q237" s="282" t="s">
        <v>375</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518</v>
      </c>
    </row>
    <row r="242" spans="1:31" ht="13">
      <c r="B242" s="132"/>
      <c r="C242" s="140"/>
      <c r="D242" s="139"/>
      <c r="E242" s="140"/>
      <c r="F242" s="139"/>
      <c r="G242" s="140"/>
      <c r="I242" s="140"/>
      <c r="J242" s="139"/>
      <c r="K242" s="138" t="s">
        <v>228</v>
      </c>
      <c r="L242" s="139"/>
      <c r="M242" s="138" t="s">
        <v>228</v>
      </c>
      <c r="N242" s="139"/>
      <c r="O242" s="138" t="s">
        <v>228</v>
      </c>
      <c r="P242" s="139"/>
      <c r="Q242" s="138" t="s">
        <v>228</v>
      </c>
      <c r="R242" s="139"/>
      <c r="S242" s="138" t="s">
        <v>228</v>
      </c>
      <c r="T242" s="139"/>
      <c r="U242" s="138" t="s">
        <v>228</v>
      </c>
      <c r="V242" s="162"/>
      <c r="W242" s="280"/>
      <c r="X242" s="133">
        <f>COUNTIF(C242:U242,"U/P")</f>
        <v>0</v>
      </c>
      <c r="Y242" s="133">
        <v>0</v>
      </c>
      <c r="Z242" s="133">
        <v>0</v>
      </c>
      <c r="AB242" s="133" t="s">
        <v>278</v>
      </c>
    </row>
    <row r="243" spans="1:31">
      <c r="B243" s="132"/>
      <c r="C243" s="141"/>
      <c r="D243" s="139"/>
      <c r="E243" s="141"/>
      <c r="F243" s="139"/>
      <c r="G243" s="141"/>
      <c r="I243" s="141"/>
      <c r="J243" s="139"/>
      <c r="K243" s="141"/>
      <c r="L243" s="139"/>
      <c r="M243" s="141"/>
      <c r="N243" s="139"/>
      <c r="O243" s="141"/>
      <c r="P243" s="139"/>
      <c r="Q243" s="141"/>
      <c r="R243" s="139"/>
      <c r="S243" s="141"/>
      <c r="T243" s="139"/>
      <c r="U243" s="141" t="s">
        <v>390</v>
      </c>
      <c r="V243" s="162"/>
      <c r="W243" s="280"/>
      <c r="X243" s="133">
        <f>COUNTIF(C242:U242,"ROW")</f>
        <v>6</v>
      </c>
      <c r="Y243" s="133">
        <v>0</v>
      </c>
      <c r="Z243" s="133">
        <v>0</v>
      </c>
      <c r="AB243" s="133" t="s">
        <v>228</v>
      </c>
    </row>
    <row r="244" spans="1:31" ht="13">
      <c r="B244" s="132"/>
      <c r="C244" s="144" t="s">
        <v>384</v>
      </c>
      <c r="E244" s="384" t="s">
        <v>253</v>
      </c>
      <c r="G244" s="384" t="s">
        <v>385</v>
      </c>
      <c r="I244" s="144" t="s">
        <v>386</v>
      </c>
      <c r="K244" s="144" t="s">
        <v>257</v>
      </c>
      <c r="M244" s="144" t="s">
        <v>387</v>
      </c>
      <c r="O244" s="384" t="s">
        <v>267</v>
      </c>
      <c r="Q244" s="384" t="s">
        <v>268</v>
      </c>
      <c r="S244" s="384" t="s">
        <v>269</v>
      </c>
      <c r="U244" s="384" t="s">
        <v>227</v>
      </c>
      <c r="W244" s="280"/>
    </row>
    <row r="245" spans="1:31" ht="13">
      <c r="B245" s="132"/>
      <c r="C245" s="144" t="s">
        <v>343</v>
      </c>
      <c r="E245" s="145" t="s">
        <v>295</v>
      </c>
      <c r="G245" s="145" t="s">
        <v>296</v>
      </c>
      <c r="I245" s="144" t="s">
        <v>388</v>
      </c>
      <c r="K245" s="144" t="s">
        <v>248</v>
      </c>
      <c r="M245" s="144" t="s">
        <v>330</v>
      </c>
      <c r="O245" s="145" t="s">
        <v>296</v>
      </c>
      <c r="Q245" s="145" t="s">
        <v>317</v>
      </c>
      <c r="S245" s="145" t="s">
        <v>296</v>
      </c>
      <c r="U245" s="145" t="s">
        <v>296</v>
      </c>
      <c r="W245" s="280"/>
    </row>
    <row r="246" spans="1:31">
      <c r="B246" s="132"/>
      <c r="G246" s="160" t="s">
        <v>366</v>
      </c>
      <c r="K246" s="278" t="s">
        <v>366</v>
      </c>
      <c r="L246" s="276"/>
      <c r="M246" s="276"/>
      <c r="N246" s="276"/>
      <c r="O246" s="278" t="s">
        <v>331</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518</v>
      </c>
    </row>
    <row r="250" spans="1:31" ht="13">
      <c r="B250" s="132"/>
      <c r="C250" s="138" t="s">
        <v>228</v>
      </c>
      <c r="D250" s="139"/>
      <c r="E250" s="138" t="s">
        <v>228</v>
      </c>
      <c r="F250" s="139"/>
      <c r="G250" s="138" t="s">
        <v>228</v>
      </c>
      <c r="I250" s="138" t="s">
        <v>228</v>
      </c>
      <c r="J250" s="139"/>
      <c r="K250" s="138" t="s">
        <v>228</v>
      </c>
      <c r="L250" s="139"/>
      <c r="M250" s="158" t="s">
        <v>354</v>
      </c>
      <c r="N250" s="139"/>
      <c r="O250" s="138" t="s">
        <v>228</v>
      </c>
      <c r="P250" s="139"/>
      <c r="Q250" s="138" t="s">
        <v>228</v>
      </c>
      <c r="R250" s="139"/>
      <c r="S250" s="140"/>
      <c r="T250" s="139"/>
      <c r="U250" s="140"/>
      <c r="V250" s="162"/>
      <c r="W250" s="280"/>
      <c r="X250" s="133">
        <f>COUNTIF(C250:U250,"U/P")</f>
        <v>0</v>
      </c>
      <c r="Y250" s="133">
        <v>0</v>
      </c>
      <c r="Z250" s="133">
        <v>0</v>
      </c>
      <c r="AB250" s="133" t="s">
        <v>278</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228</v>
      </c>
    </row>
    <row r="252" spans="1:31" ht="13">
      <c r="B252" s="132"/>
      <c r="C252" s="384" t="s">
        <v>271</v>
      </c>
      <c r="E252" s="144" t="s">
        <v>391</v>
      </c>
      <c r="G252" s="384" t="s">
        <v>392</v>
      </c>
      <c r="I252" s="384" t="s">
        <v>393</v>
      </c>
      <c r="K252" s="144" t="s">
        <v>394</v>
      </c>
      <c r="M252" s="384" t="s">
        <v>225</v>
      </c>
      <c r="O252" s="144" t="s">
        <v>395</v>
      </c>
      <c r="Q252" s="144" t="s">
        <v>396</v>
      </c>
      <c r="S252" s="384" t="s">
        <v>258</v>
      </c>
      <c r="U252" s="144" t="s">
        <v>398</v>
      </c>
      <c r="W252" s="280"/>
    </row>
    <row r="253" spans="1:31" ht="13">
      <c r="B253" s="132"/>
      <c r="C253" s="145" t="s">
        <v>318</v>
      </c>
      <c r="E253" s="144" t="s">
        <v>388</v>
      </c>
      <c r="G253" s="145" t="s">
        <v>296</v>
      </c>
      <c r="I253" s="145" t="s">
        <v>317</v>
      </c>
      <c r="K253" s="144" t="s">
        <v>319</v>
      </c>
      <c r="M253" s="145" t="s">
        <v>317</v>
      </c>
      <c r="O253" s="144" t="s">
        <v>397</v>
      </c>
      <c r="Q253" s="144" t="s">
        <v>319</v>
      </c>
      <c r="S253" s="145" t="s">
        <v>296</v>
      </c>
      <c r="U253" s="144" t="s">
        <v>343</v>
      </c>
      <c r="W253" s="280"/>
    </row>
    <row r="254" spans="1:31" ht="13">
      <c r="B254" s="132"/>
      <c r="C254" s="275"/>
      <c r="D254" s="276"/>
      <c r="E254" s="277"/>
      <c r="F254" s="276"/>
      <c r="G254" s="277"/>
      <c r="H254" s="276"/>
      <c r="I254" s="275"/>
      <c r="J254" s="276"/>
      <c r="K254" s="277"/>
      <c r="L254" s="276"/>
      <c r="M254" s="277"/>
      <c r="N254" s="276"/>
      <c r="O254" s="275"/>
      <c r="P254" s="276"/>
      <c r="Q254" s="277"/>
      <c r="S254" s="282" t="s">
        <v>375</v>
      </c>
      <c r="U254" s="282" t="s">
        <v>375</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518</v>
      </c>
    </row>
    <row r="259" spans="1:31">
      <c r="B259" s="132"/>
      <c r="C259" s="141" t="s">
        <v>390</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278</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228</v>
      </c>
    </row>
    <row r="261" spans="1:31" ht="13">
      <c r="B261" s="132"/>
      <c r="C261" s="384" t="s">
        <v>244</v>
      </c>
      <c r="E261" s="144" t="s">
        <v>399</v>
      </c>
      <c r="G261" s="384" t="s">
        <v>277</v>
      </c>
      <c r="I261" s="384" t="s">
        <v>280</v>
      </c>
      <c r="K261" s="144" t="s">
        <v>400</v>
      </c>
      <c r="M261" s="144" t="s">
        <v>401</v>
      </c>
      <c r="O261" s="384" t="s">
        <v>402</v>
      </c>
      <c r="Q261" s="144" t="s">
        <v>403</v>
      </c>
      <c r="S261" s="384" t="s">
        <v>404</v>
      </c>
      <c r="U261" s="144" t="s">
        <v>405</v>
      </c>
      <c r="W261" s="280"/>
    </row>
    <row r="262" spans="1:31" ht="13">
      <c r="B262" s="132"/>
      <c r="C262" s="145" t="s">
        <v>296</v>
      </c>
      <c r="E262" s="144" t="s">
        <v>319</v>
      </c>
      <c r="G262" s="145" t="s">
        <v>317</v>
      </c>
      <c r="I262" s="145" t="s">
        <v>295</v>
      </c>
      <c r="K262" s="144" t="s">
        <v>319</v>
      </c>
      <c r="M262" s="144" t="s">
        <v>319</v>
      </c>
      <c r="O262" s="145" t="s">
        <v>295</v>
      </c>
      <c r="Q262" s="144" t="s">
        <v>319</v>
      </c>
      <c r="S262" s="145" t="s">
        <v>295</v>
      </c>
      <c r="U262" s="144" t="s">
        <v>343</v>
      </c>
      <c r="W262" s="280"/>
    </row>
    <row r="263" spans="1:31" ht="13">
      <c r="B263" s="132"/>
      <c r="C263" s="282" t="s">
        <v>375</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518</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278</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228</v>
      </c>
    </row>
    <row r="269" spans="1:31" ht="13">
      <c r="B269" s="132"/>
      <c r="C269" s="384" t="s">
        <v>406</v>
      </c>
      <c r="E269" s="384" t="s">
        <v>290</v>
      </c>
      <c r="G269" s="384" t="s">
        <v>407</v>
      </c>
      <c r="I269" s="144" t="s">
        <v>408</v>
      </c>
      <c r="K269" s="144" t="s">
        <v>409</v>
      </c>
      <c r="M269" s="144" t="s">
        <v>410</v>
      </c>
      <c r="O269" s="144" t="s">
        <v>411</v>
      </c>
      <c r="Q269" s="384" t="s">
        <v>412</v>
      </c>
      <c r="S269" s="384" t="s">
        <v>414</v>
      </c>
      <c r="U269" s="144" t="s">
        <v>415</v>
      </c>
      <c r="W269" s="280"/>
    </row>
    <row r="270" spans="1:31" ht="13">
      <c r="B270" s="132"/>
      <c r="C270" s="145" t="s">
        <v>296</v>
      </c>
      <c r="E270" s="145" t="s">
        <v>296</v>
      </c>
      <c r="G270" s="145" t="s">
        <v>296</v>
      </c>
      <c r="I270" s="144" t="s">
        <v>319</v>
      </c>
      <c r="K270" s="144" t="s">
        <v>319</v>
      </c>
      <c r="M270" s="144" t="s">
        <v>413</v>
      </c>
      <c r="O270" s="144" t="s">
        <v>413</v>
      </c>
      <c r="Q270" s="145" t="s">
        <v>296</v>
      </c>
      <c r="S270" s="145" t="s">
        <v>318</v>
      </c>
      <c r="U270" s="144" t="s">
        <v>119</v>
      </c>
      <c r="W270" s="280"/>
    </row>
    <row r="271" spans="1:31" ht="13">
      <c r="B271" s="132"/>
      <c r="C271" s="144"/>
      <c r="E271" s="145"/>
      <c r="G271" s="145"/>
      <c r="I271" s="144"/>
      <c r="K271" s="1517" t="s">
        <v>713</v>
      </c>
      <c r="L271" s="1518"/>
      <c r="M271" s="1518"/>
      <c r="N271" s="1518"/>
      <c r="O271" s="1518"/>
      <c r="P271" s="1518"/>
      <c r="Q271" s="1518"/>
      <c r="R271" s="1518"/>
      <c r="S271" s="1518"/>
      <c r="T271" s="1518"/>
      <c r="U271" s="1519"/>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518</v>
      </c>
    </row>
    <row r="275" spans="1:31" ht="13">
      <c r="B275" s="132"/>
      <c r="C275" s="138" t="s">
        <v>228</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278</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228</v>
      </c>
    </row>
    <row r="277" spans="1:31" ht="13">
      <c r="B277" s="132"/>
      <c r="C277" s="384" t="s">
        <v>217</v>
      </c>
      <c r="E277" s="144" t="s">
        <v>416</v>
      </c>
      <c r="G277" s="384" t="s">
        <v>294</v>
      </c>
      <c r="I277" s="144" t="s">
        <v>417</v>
      </c>
      <c r="K277" s="384" t="s">
        <v>418</v>
      </c>
      <c r="M277" s="144" t="s">
        <v>419</v>
      </c>
      <c r="O277" s="145" t="s">
        <v>420</v>
      </c>
      <c r="Q277" s="384" t="s">
        <v>714</v>
      </c>
      <c r="S277" s="384" t="s">
        <v>715</v>
      </c>
      <c r="U277" s="384" t="s">
        <v>716</v>
      </c>
      <c r="W277" s="280"/>
    </row>
    <row r="278" spans="1:31" ht="13">
      <c r="B278" s="132"/>
      <c r="C278" s="145" t="s">
        <v>296</v>
      </c>
      <c r="E278" s="144" t="s">
        <v>319</v>
      </c>
      <c r="G278" s="145" t="s">
        <v>296</v>
      </c>
      <c r="I278" s="144" t="s">
        <v>319</v>
      </c>
      <c r="K278" s="145" t="s">
        <v>317</v>
      </c>
      <c r="M278" s="144" t="s">
        <v>319</v>
      </c>
      <c r="O278" s="145" t="s">
        <v>296</v>
      </c>
      <c r="Q278" s="145" t="s">
        <v>296</v>
      </c>
      <c r="S278" s="145" t="s">
        <v>296</v>
      </c>
      <c r="U278" s="145" t="s">
        <v>296</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518</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278</v>
      </c>
    </row>
    <row r="284" spans="1:31" ht="13">
      <c r="B284" s="209"/>
      <c r="C284" s="386" t="s">
        <v>717</v>
      </c>
      <c r="D284" s="149"/>
      <c r="E284" s="147" t="s">
        <v>718</v>
      </c>
      <c r="F284" s="149"/>
      <c r="G284" s="386" t="s">
        <v>279</v>
      </c>
      <c r="H284" s="149"/>
      <c r="I284" s="386" t="s">
        <v>426</v>
      </c>
      <c r="J284" s="149"/>
      <c r="K284" s="386" t="s">
        <v>427</v>
      </c>
      <c r="L284" s="149"/>
      <c r="M284" s="386" t="s">
        <v>428</v>
      </c>
      <c r="N284" s="149"/>
      <c r="O284" s="386" t="s">
        <v>291</v>
      </c>
      <c r="P284" s="149"/>
      <c r="Q284" s="386" t="s">
        <v>429</v>
      </c>
      <c r="R284" s="149"/>
      <c r="S284" s="147" t="s">
        <v>431</v>
      </c>
      <c r="T284" s="149"/>
      <c r="U284" s="386" t="s">
        <v>432</v>
      </c>
      <c r="W284" s="236"/>
      <c r="X284" s="133">
        <f>COUNTIF(C282:U282,"ROW")</f>
        <v>0</v>
      </c>
      <c r="Y284" s="133">
        <v>0</v>
      </c>
      <c r="Z284" s="133">
        <v>0</v>
      </c>
      <c r="AB284" s="133" t="s">
        <v>228</v>
      </c>
    </row>
    <row r="285" spans="1:31" ht="13">
      <c r="B285" s="209"/>
      <c r="C285" s="148" t="s">
        <v>318</v>
      </c>
      <c r="D285" s="149"/>
      <c r="E285" s="147" t="s">
        <v>388</v>
      </c>
      <c r="F285" s="149"/>
      <c r="G285" s="148" t="s">
        <v>317</v>
      </c>
      <c r="H285" s="149"/>
      <c r="I285" s="148" t="s">
        <v>296</v>
      </c>
      <c r="J285" s="149"/>
      <c r="K285" s="148" t="s">
        <v>296</v>
      </c>
      <c r="L285" s="149"/>
      <c r="M285" s="148" t="s">
        <v>317</v>
      </c>
      <c r="N285" s="149"/>
      <c r="O285" s="148" t="s">
        <v>317</v>
      </c>
      <c r="P285" s="149"/>
      <c r="Q285" s="148" t="s">
        <v>317</v>
      </c>
      <c r="R285" s="149"/>
      <c r="S285" s="147" t="s">
        <v>344</v>
      </c>
      <c r="T285" s="149"/>
      <c r="U285" s="148" t="s">
        <v>318</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518</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278</v>
      </c>
    </row>
    <row r="292" spans="1:31" ht="13">
      <c r="B292" s="209"/>
      <c r="C292" s="386" t="s">
        <v>433</v>
      </c>
      <c r="E292" s="147" t="s">
        <v>719</v>
      </c>
      <c r="G292" s="147" t="s">
        <v>435</v>
      </c>
      <c r="I292" s="147" t="s">
        <v>720</v>
      </c>
      <c r="K292" s="147" t="s">
        <v>721</v>
      </c>
      <c r="M292" s="386" t="s">
        <v>438</v>
      </c>
      <c r="O292" s="386" t="s">
        <v>439</v>
      </c>
      <c r="Q292" s="147" t="s">
        <v>172</v>
      </c>
      <c r="S292" s="386" t="s">
        <v>441</v>
      </c>
      <c r="U292" s="147" t="s">
        <v>722</v>
      </c>
      <c r="W292" s="236"/>
      <c r="X292" s="133">
        <f>COUNTIF(C290:U290,"ROW")</f>
        <v>0</v>
      </c>
      <c r="Y292" s="133">
        <v>0</v>
      </c>
      <c r="Z292" s="133">
        <v>0</v>
      </c>
      <c r="AB292" s="133" t="s">
        <v>228</v>
      </c>
    </row>
    <row r="293" spans="1:31" ht="13">
      <c r="B293" s="209"/>
      <c r="C293" s="148" t="s">
        <v>296</v>
      </c>
      <c r="E293" s="147" t="s">
        <v>397</v>
      </c>
      <c r="G293" s="147" t="s">
        <v>529</v>
      </c>
      <c r="I293" s="147" t="s">
        <v>143</v>
      </c>
      <c r="K293" s="147" t="s">
        <v>143</v>
      </c>
      <c r="M293" s="148" t="s">
        <v>318</v>
      </c>
      <c r="O293" s="148" t="s">
        <v>318</v>
      </c>
      <c r="Q293" s="147" t="s">
        <v>115</v>
      </c>
      <c r="S293" s="386" t="s">
        <v>296</v>
      </c>
      <c r="U293" s="147" t="s">
        <v>125</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518</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278</v>
      </c>
    </row>
    <row r="300" spans="1:31" ht="13">
      <c r="B300" s="209"/>
      <c r="C300" s="386" t="s">
        <v>723</v>
      </c>
      <c r="E300" s="386" t="s">
        <v>724</v>
      </c>
      <c r="F300" s="149"/>
      <c r="G300" s="386" t="s">
        <v>725</v>
      </c>
      <c r="H300" s="149"/>
      <c r="I300" s="147" t="s">
        <v>726</v>
      </c>
      <c r="J300" s="149"/>
      <c r="K300" s="386" t="s">
        <v>449</v>
      </c>
      <c r="L300" s="149"/>
      <c r="M300" s="147" t="s">
        <v>727</v>
      </c>
      <c r="N300" s="149"/>
      <c r="O300" s="147" t="s">
        <v>451</v>
      </c>
      <c r="P300" s="149"/>
      <c r="Q300" s="386" t="s">
        <v>452</v>
      </c>
      <c r="R300" s="149"/>
      <c r="S300" s="147" t="s">
        <v>728</v>
      </c>
      <c r="T300" s="149"/>
      <c r="U300" s="147" t="s">
        <v>455</v>
      </c>
      <c r="W300" s="236"/>
      <c r="X300" s="133">
        <f>COUNTIF(C298:U298,"ROW")</f>
        <v>0</v>
      </c>
      <c r="Y300" s="133">
        <v>0</v>
      </c>
      <c r="Z300" s="133">
        <v>0</v>
      </c>
      <c r="AB300" s="133" t="s">
        <v>228</v>
      </c>
    </row>
    <row r="301" spans="1:31" ht="13">
      <c r="B301" s="209"/>
      <c r="C301" s="386" t="s">
        <v>317</v>
      </c>
      <c r="E301" s="386" t="s">
        <v>295</v>
      </c>
      <c r="F301" s="149"/>
      <c r="G301" s="386" t="s">
        <v>317</v>
      </c>
      <c r="H301" s="149"/>
      <c r="I301" s="147" t="s">
        <v>343</v>
      </c>
      <c r="J301" s="149"/>
      <c r="K301" s="386" t="s">
        <v>185</v>
      </c>
      <c r="L301" s="149"/>
      <c r="M301" s="147" t="s">
        <v>397</v>
      </c>
      <c r="N301" s="149"/>
      <c r="O301" s="147" t="s">
        <v>529</v>
      </c>
      <c r="P301" s="149"/>
      <c r="Q301" s="386" t="s">
        <v>248</v>
      </c>
      <c r="R301" s="149"/>
      <c r="S301" s="147" t="s">
        <v>319</v>
      </c>
      <c r="T301" s="149"/>
      <c r="U301" s="147" t="s">
        <v>729</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518</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278</v>
      </c>
    </row>
    <row r="308" spans="1:31" ht="13">
      <c r="B308" s="209"/>
      <c r="C308" s="386" t="s">
        <v>730</v>
      </c>
      <c r="E308" s="147" t="s">
        <v>731</v>
      </c>
      <c r="G308" s="386" t="s">
        <v>732</v>
      </c>
      <c r="I308" s="147" t="s">
        <v>458</v>
      </c>
      <c r="K308" s="147" t="s">
        <v>459</v>
      </c>
      <c r="M308" s="147" t="s">
        <v>460</v>
      </c>
      <c r="O308" s="147" t="s">
        <v>462</v>
      </c>
      <c r="Q308" s="386" t="s">
        <v>463</v>
      </c>
      <c r="S308" s="147" t="s">
        <v>464</v>
      </c>
      <c r="U308" s="386" t="s">
        <v>465</v>
      </c>
      <c r="W308" s="236"/>
      <c r="X308" s="133">
        <f>COUNTIF(C306:U306,"ROW")</f>
        <v>0</v>
      </c>
      <c r="Y308" s="133">
        <v>0</v>
      </c>
      <c r="Z308" s="133">
        <v>0</v>
      </c>
      <c r="AB308" s="133" t="s">
        <v>228</v>
      </c>
    </row>
    <row r="309" spans="1:31" ht="13">
      <c r="B309" s="209"/>
      <c r="C309" s="148" t="s">
        <v>318</v>
      </c>
      <c r="E309" s="147" t="s">
        <v>343</v>
      </c>
      <c r="G309" s="148" t="s">
        <v>296</v>
      </c>
      <c r="I309" s="147" t="s">
        <v>541</v>
      </c>
      <c r="K309" s="147" t="s">
        <v>132</v>
      </c>
      <c r="M309" s="147" t="s">
        <v>343</v>
      </c>
      <c r="O309" s="147" t="s">
        <v>343</v>
      </c>
      <c r="Q309" s="148" t="s">
        <v>295</v>
      </c>
      <c r="S309" s="147" t="s">
        <v>319</v>
      </c>
      <c r="U309" s="148" t="s">
        <v>317</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518</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278</v>
      </c>
    </row>
    <row r="316" spans="1:31" ht="13">
      <c r="B316" s="209"/>
      <c r="C316" s="147" t="s">
        <v>467</v>
      </c>
      <c r="E316" s="386" t="s">
        <v>468</v>
      </c>
      <c r="F316" s="149"/>
      <c r="G316" s="147" t="s">
        <v>469</v>
      </c>
      <c r="H316" s="149"/>
      <c r="I316" s="386" t="s">
        <v>470</v>
      </c>
      <c r="J316" s="149"/>
      <c r="K316" s="386" t="s">
        <v>471</v>
      </c>
      <c r="L316" s="149"/>
      <c r="M316" s="147" t="s">
        <v>472</v>
      </c>
      <c r="N316" s="149"/>
      <c r="O316" s="147" t="s">
        <v>473</v>
      </c>
      <c r="P316" s="149"/>
      <c r="Q316" s="386" t="s">
        <v>474</v>
      </c>
      <c r="R316" s="149"/>
      <c r="S316" s="386" t="s">
        <v>475</v>
      </c>
      <c r="T316" s="149"/>
      <c r="U316" s="147" t="s">
        <v>476</v>
      </c>
      <c r="W316" s="236"/>
      <c r="X316" s="133">
        <f>COUNTIF(C314:U314,"ROW")</f>
        <v>0</v>
      </c>
      <c r="Y316" s="133">
        <v>0</v>
      </c>
      <c r="Z316" s="133">
        <v>0</v>
      </c>
      <c r="AB316" s="133" t="s">
        <v>228</v>
      </c>
    </row>
    <row r="317" spans="1:31" ht="13">
      <c r="B317" s="209"/>
      <c r="C317" s="147" t="s">
        <v>343</v>
      </c>
      <c r="E317" s="148" t="s">
        <v>182</v>
      </c>
      <c r="F317" s="149"/>
      <c r="G317" s="147" t="s">
        <v>319</v>
      </c>
      <c r="H317" s="149"/>
      <c r="I317" s="148" t="s">
        <v>182</v>
      </c>
      <c r="J317" s="149"/>
      <c r="K317" s="148" t="s">
        <v>318</v>
      </c>
      <c r="L317" s="149"/>
      <c r="M317" s="147" t="s">
        <v>729</v>
      </c>
      <c r="N317" s="149"/>
      <c r="O317" s="147" t="s">
        <v>529</v>
      </c>
      <c r="P317" s="149"/>
      <c r="Q317" s="148" t="s">
        <v>317</v>
      </c>
      <c r="R317" s="149"/>
      <c r="S317" s="148" t="s">
        <v>296</v>
      </c>
      <c r="T317" s="149"/>
      <c r="U317" s="147" t="s">
        <v>319</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518</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278</v>
      </c>
    </row>
    <row r="324" spans="1:31" ht="13">
      <c r="B324" s="209"/>
      <c r="C324" s="386" t="s">
        <v>477</v>
      </c>
      <c r="E324" s="147" t="s">
        <v>478</v>
      </c>
      <c r="G324" s="147" t="s">
        <v>733</v>
      </c>
      <c r="I324" s="386" t="s">
        <v>734</v>
      </c>
      <c r="K324" s="386" t="s">
        <v>735</v>
      </c>
      <c r="M324" s="147" t="s">
        <v>736</v>
      </c>
      <c r="O324" s="147" t="s">
        <v>737</v>
      </c>
      <c r="Q324" s="147" t="s">
        <v>738</v>
      </c>
      <c r="S324" s="386" t="s">
        <v>739</v>
      </c>
      <c r="U324" s="386" t="s">
        <v>740</v>
      </c>
      <c r="W324" s="236"/>
      <c r="X324" s="133">
        <f>COUNTIF(C322:U322,"ROW")</f>
        <v>0</v>
      </c>
      <c r="Y324" s="133">
        <v>0</v>
      </c>
      <c r="Z324" s="133">
        <v>0</v>
      </c>
      <c r="AB324" s="133" t="s">
        <v>228</v>
      </c>
    </row>
    <row r="325" spans="1:31" ht="13">
      <c r="B325" s="209"/>
      <c r="C325" s="148" t="s">
        <v>318</v>
      </c>
      <c r="E325" s="147" t="s">
        <v>343</v>
      </c>
      <c r="G325" s="147" t="s">
        <v>729</v>
      </c>
      <c r="I325" s="148" t="s">
        <v>317</v>
      </c>
      <c r="K325" s="148" t="s">
        <v>317</v>
      </c>
      <c r="M325" s="147" t="s">
        <v>319</v>
      </c>
      <c r="O325" s="147" t="s">
        <v>729</v>
      </c>
      <c r="Q325" s="147" t="s">
        <v>729</v>
      </c>
      <c r="S325" s="148" t="s">
        <v>296</v>
      </c>
      <c r="U325" s="148" t="s">
        <v>296</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518</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278</v>
      </c>
    </row>
    <row r="332" spans="1:31" ht="13">
      <c r="B332" s="209"/>
      <c r="C332" s="386" t="s">
        <v>741</v>
      </c>
      <c r="E332" s="147" t="s">
        <v>742</v>
      </c>
      <c r="F332" s="149"/>
      <c r="G332" s="386" t="s">
        <v>743</v>
      </c>
      <c r="H332" s="149"/>
      <c r="I332" s="386" t="s">
        <v>744</v>
      </c>
      <c r="J332" s="149"/>
      <c r="K332" s="386" t="s">
        <v>745</v>
      </c>
      <c r="L332" s="149"/>
      <c r="M332" s="147" t="s">
        <v>746</v>
      </c>
      <c r="N332" s="149"/>
      <c r="O332" s="386" t="s">
        <v>747</v>
      </c>
      <c r="P332" s="149"/>
      <c r="Q332" s="147" t="s">
        <v>748</v>
      </c>
      <c r="R332" s="149"/>
      <c r="S332" s="386" t="s">
        <v>749</v>
      </c>
      <c r="T332" s="149"/>
      <c r="U332" s="147" t="s">
        <v>750</v>
      </c>
      <c r="W332" s="236"/>
      <c r="X332" s="133">
        <f>COUNTIF(C330:U330,"ROW")</f>
        <v>0</v>
      </c>
      <c r="Y332" s="133">
        <v>0</v>
      </c>
      <c r="Z332" s="133">
        <v>0</v>
      </c>
      <c r="AB332" s="133" t="s">
        <v>228</v>
      </c>
    </row>
    <row r="333" spans="1:31" ht="13">
      <c r="B333" s="209"/>
      <c r="C333" s="148" t="s">
        <v>296</v>
      </c>
      <c r="E333" s="147" t="s">
        <v>319</v>
      </c>
      <c r="F333" s="149"/>
      <c r="G333" s="148" t="s">
        <v>318</v>
      </c>
      <c r="H333" s="149"/>
      <c r="I333" s="148" t="s">
        <v>317</v>
      </c>
      <c r="J333" s="149"/>
      <c r="K333" s="148" t="s">
        <v>318</v>
      </c>
      <c r="L333" s="149"/>
      <c r="M333" s="147" t="s">
        <v>442</v>
      </c>
      <c r="N333" s="149"/>
      <c r="O333" s="148" t="s">
        <v>295</v>
      </c>
      <c r="P333" s="149"/>
      <c r="Q333" s="147" t="s">
        <v>729</v>
      </c>
      <c r="R333" s="149"/>
      <c r="S333" s="148" t="s">
        <v>318</v>
      </c>
      <c r="T333" s="149"/>
      <c r="U333" s="147" t="s">
        <v>319</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518</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278</v>
      </c>
    </row>
    <row r="341" spans="1:31" ht="13">
      <c r="B341" s="209"/>
      <c r="C341" s="386" t="s">
        <v>751</v>
      </c>
      <c r="E341" s="386" t="s">
        <v>752</v>
      </c>
      <c r="G341" s="147" t="s">
        <v>753</v>
      </c>
      <c r="I341" s="386" t="s">
        <v>754</v>
      </c>
      <c r="K341" s="147" t="s">
        <v>178</v>
      </c>
      <c r="M341" s="386" t="s">
        <v>755</v>
      </c>
      <c r="O341" s="386" t="s">
        <v>756</v>
      </c>
      <c r="Q341" s="147" t="s">
        <v>757</v>
      </c>
      <c r="S341" s="386" t="s">
        <v>758</v>
      </c>
      <c r="U341" s="386" t="s">
        <v>759</v>
      </c>
      <c r="W341" s="236"/>
      <c r="X341" s="133">
        <f>COUNTIF(C339:U339,"ROW")</f>
        <v>0</v>
      </c>
      <c r="Y341" s="133">
        <v>0</v>
      </c>
      <c r="Z341" s="133">
        <v>0</v>
      </c>
      <c r="AB341" s="133" t="s">
        <v>228</v>
      </c>
    </row>
    <row r="342" spans="1:31" ht="13">
      <c r="B342" s="209"/>
      <c r="C342" s="148" t="s">
        <v>317</v>
      </c>
      <c r="E342" s="148" t="s">
        <v>295</v>
      </c>
      <c r="G342" s="147" t="s">
        <v>397</v>
      </c>
      <c r="I342" s="148" t="s">
        <v>296</v>
      </c>
      <c r="K342" s="147" t="s">
        <v>125</v>
      </c>
      <c r="M342" s="148" t="s">
        <v>317</v>
      </c>
      <c r="O342" s="148" t="s">
        <v>317</v>
      </c>
      <c r="Q342" s="147" t="s">
        <v>125</v>
      </c>
      <c r="S342" s="148" t="s">
        <v>296</v>
      </c>
      <c r="U342" s="148" t="s">
        <v>296</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518</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278</v>
      </c>
    </row>
    <row r="349" spans="1:31" ht="13">
      <c r="B349" s="209"/>
      <c r="C349" s="386" t="s">
        <v>760</v>
      </c>
      <c r="E349" s="386" t="s">
        <v>761</v>
      </c>
      <c r="F349" s="149"/>
      <c r="G349" s="147" t="s">
        <v>762</v>
      </c>
      <c r="H349" s="149"/>
      <c r="I349" s="386" t="s">
        <v>180</v>
      </c>
      <c r="J349" s="149"/>
      <c r="K349" s="386" t="s">
        <v>181</v>
      </c>
      <c r="L349" s="149"/>
      <c r="M349" s="386" t="s">
        <v>183</v>
      </c>
      <c r="N349" s="149"/>
      <c r="O349" s="386" t="s">
        <v>763</v>
      </c>
      <c r="P349" s="149"/>
      <c r="Q349" s="386" t="s">
        <v>764</v>
      </c>
      <c r="R349" s="149"/>
      <c r="S349" s="386" t="s">
        <v>765</v>
      </c>
      <c r="T349" s="149"/>
      <c r="U349" s="386" t="s">
        <v>766</v>
      </c>
      <c r="W349" s="236"/>
      <c r="X349" s="133">
        <f>COUNTIF(C347:U347,"ROW")</f>
        <v>0</v>
      </c>
      <c r="Y349" s="133">
        <v>0</v>
      </c>
      <c r="Z349" s="133">
        <v>0</v>
      </c>
      <c r="AB349" s="133" t="s">
        <v>228</v>
      </c>
    </row>
    <row r="350" spans="1:31" ht="13">
      <c r="B350" s="209"/>
      <c r="C350" s="148" t="s">
        <v>296</v>
      </c>
      <c r="E350" s="148" t="s">
        <v>296</v>
      </c>
      <c r="F350" s="149"/>
      <c r="G350" s="147" t="s">
        <v>319</v>
      </c>
      <c r="H350" s="149"/>
      <c r="I350" s="148" t="s">
        <v>296</v>
      </c>
      <c r="J350" s="149"/>
      <c r="K350" s="148" t="s">
        <v>296</v>
      </c>
      <c r="L350" s="149"/>
      <c r="M350" s="148" t="s">
        <v>317</v>
      </c>
      <c r="N350" s="149"/>
      <c r="O350" s="148" t="s">
        <v>317</v>
      </c>
      <c r="P350" s="149"/>
      <c r="Q350" s="148" t="s">
        <v>317</v>
      </c>
      <c r="R350" s="149"/>
      <c r="S350" s="148" t="s">
        <v>317</v>
      </c>
      <c r="T350" s="149"/>
      <c r="U350" s="148" t="s">
        <v>296</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518</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278</v>
      </c>
    </row>
    <row r="357" spans="1:31" ht="13">
      <c r="B357" s="209"/>
      <c r="C357" s="386" t="s">
        <v>767</v>
      </c>
      <c r="E357" s="386" t="s">
        <v>768</v>
      </c>
      <c r="G357" s="147" t="s">
        <v>769</v>
      </c>
      <c r="I357" s="386" t="s">
        <v>770</v>
      </c>
      <c r="K357" s="386" t="s">
        <v>771</v>
      </c>
      <c r="M357" s="386" t="s">
        <v>772</v>
      </c>
      <c r="O357" s="147" t="s">
        <v>773</v>
      </c>
      <c r="Q357" s="386" t="s">
        <v>774</v>
      </c>
      <c r="S357" s="386" t="s">
        <v>775</v>
      </c>
      <c r="U357" s="386" t="s">
        <v>776</v>
      </c>
      <c r="W357" s="236"/>
      <c r="X357" s="133">
        <f>COUNTIF(C355:U355,"ROW")</f>
        <v>0</v>
      </c>
      <c r="Y357" s="133">
        <v>0</v>
      </c>
      <c r="Z357" s="133">
        <v>0</v>
      </c>
      <c r="AB357" s="133" t="s">
        <v>228</v>
      </c>
    </row>
    <row r="358" spans="1:31" ht="13">
      <c r="B358" s="209"/>
      <c r="C358" s="148" t="s">
        <v>317</v>
      </c>
      <c r="E358" s="148" t="s">
        <v>317</v>
      </c>
      <c r="G358" s="147" t="s">
        <v>344</v>
      </c>
      <c r="I358" s="148" t="s">
        <v>317</v>
      </c>
      <c r="K358" s="148" t="s">
        <v>296</v>
      </c>
      <c r="M358" s="148" t="s">
        <v>318</v>
      </c>
      <c r="O358" s="147" t="s">
        <v>319</v>
      </c>
      <c r="Q358" s="148" t="s">
        <v>296</v>
      </c>
      <c r="S358" s="148" t="s">
        <v>317</v>
      </c>
      <c r="U358" s="148" t="s">
        <v>318</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518</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278</v>
      </c>
    </row>
    <row r="365" spans="1:31" ht="13">
      <c r="B365" s="209"/>
      <c r="C365" s="147" t="s">
        <v>777</v>
      </c>
      <c r="E365" s="147" t="s">
        <v>778</v>
      </c>
      <c r="F365" s="149"/>
      <c r="G365" s="147" t="s">
        <v>779</v>
      </c>
      <c r="H365" s="149"/>
      <c r="I365" s="386" t="s">
        <v>780</v>
      </c>
      <c r="J365" s="149"/>
      <c r="K365" s="386" t="s">
        <v>781</v>
      </c>
      <c r="L365" s="149"/>
      <c r="M365" s="386" t="s">
        <v>782</v>
      </c>
      <c r="N365" s="149"/>
      <c r="O365" s="147" t="s">
        <v>783</v>
      </c>
      <c r="P365" s="149"/>
      <c r="Q365" s="386" t="s">
        <v>784</v>
      </c>
      <c r="R365" s="149"/>
      <c r="S365" s="147" t="s">
        <v>785</v>
      </c>
      <c r="T365" s="149"/>
      <c r="U365" s="386" t="s">
        <v>786</v>
      </c>
      <c r="W365" s="236"/>
      <c r="X365" s="133">
        <f>COUNTIF(C363:U363,"ROW")</f>
        <v>0</v>
      </c>
      <c r="Y365" s="133">
        <v>0</v>
      </c>
      <c r="Z365" s="133">
        <v>0</v>
      </c>
      <c r="AB365" s="133" t="s">
        <v>228</v>
      </c>
    </row>
    <row r="366" spans="1:31" ht="13">
      <c r="B366" s="209"/>
      <c r="C366" s="147" t="s">
        <v>343</v>
      </c>
      <c r="E366" s="147" t="s">
        <v>388</v>
      </c>
      <c r="F366" s="149"/>
      <c r="G366" s="147" t="s">
        <v>388</v>
      </c>
      <c r="H366" s="149"/>
      <c r="I366" s="148" t="s">
        <v>296</v>
      </c>
      <c r="J366" s="149"/>
      <c r="K366" s="148" t="s">
        <v>296</v>
      </c>
      <c r="L366" s="149"/>
      <c r="M366" s="148" t="s">
        <v>296</v>
      </c>
      <c r="N366" s="149"/>
      <c r="O366" s="147" t="s">
        <v>729</v>
      </c>
      <c r="P366" s="149"/>
      <c r="Q366" s="148" t="s">
        <v>295</v>
      </c>
      <c r="R366" s="149"/>
      <c r="S366" s="147" t="s">
        <v>344</v>
      </c>
      <c r="T366" s="149"/>
      <c r="U366" s="148" t="s">
        <v>317</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518</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278</v>
      </c>
    </row>
    <row r="374" spans="1:31" ht="13">
      <c r="B374" s="209"/>
      <c r="C374" s="386" t="s">
        <v>787</v>
      </c>
      <c r="E374" s="386" t="s">
        <v>788</v>
      </c>
      <c r="G374" s="147" t="s">
        <v>789</v>
      </c>
      <c r="I374" s="386" t="s">
        <v>790</v>
      </c>
      <c r="K374" s="386" t="s">
        <v>791</v>
      </c>
      <c r="M374" s="147" t="s">
        <v>792</v>
      </c>
      <c r="O374" s="147" t="s">
        <v>793</v>
      </c>
      <c r="Q374" s="386" t="s">
        <v>794</v>
      </c>
      <c r="S374" s="386" t="s">
        <v>795</v>
      </c>
      <c r="U374" s="386" t="s">
        <v>796</v>
      </c>
      <c r="W374" s="236"/>
      <c r="X374" s="133">
        <f>COUNTIF(C372:U372,"ROW")</f>
        <v>0</v>
      </c>
      <c r="Y374" s="133">
        <v>0</v>
      </c>
      <c r="Z374" s="133">
        <v>0</v>
      </c>
      <c r="AB374" s="133" t="s">
        <v>228</v>
      </c>
    </row>
    <row r="375" spans="1:31" ht="13">
      <c r="B375" s="209"/>
      <c r="C375" s="148" t="s">
        <v>317</v>
      </c>
      <c r="E375" s="148" t="s">
        <v>317</v>
      </c>
      <c r="G375" s="147" t="s">
        <v>319</v>
      </c>
      <c r="I375" s="148" t="s">
        <v>296</v>
      </c>
      <c r="K375" s="148" t="s">
        <v>318</v>
      </c>
      <c r="M375" s="147" t="s">
        <v>729</v>
      </c>
      <c r="O375" s="147" t="s">
        <v>729</v>
      </c>
      <c r="Q375" s="148" t="s">
        <v>317</v>
      </c>
      <c r="S375" s="148" t="s">
        <v>296</v>
      </c>
      <c r="U375" s="148" t="s">
        <v>317</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518</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278</v>
      </c>
    </row>
    <row r="382" spans="1:31" ht="13">
      <c r="B382" s="209"/>
      <c r="C382" s="386" t="s">
        <v>797</v>
      </c>
      <c r="D382" s="149"/>
      <c r="E382" s="386" t="s">
        <v>798</v>
      </c>
      <c r="G382" s="386" t="s">
        <v>799</v>
      </c>
      <c r="H382" s="149"/>
      <c r="I382" s="386" t="s">
        <v>800</v>
      </c>
      <c r="J382" s="149"/>
      <c r="K382" s="147" t="s">
        <v>801</v>
      </c>
      <c r="L382" s="149"/>
      <c r="M382" s="147" t="s">
        <v>802</v>
      </c>
      <c r="N382" s="149"/>
      <c r="O382" s="386" t="s">
        <v>803</v>
      </c>
      <c r="P382" s="149"/>
      <c r="Q382" s="386" t="s">
        <v>804</v>
      </c>
      <c r="R382" s="149"/>
      <c r="S382" s="386" t="s">
        <v>805</v>
      </c>
      <c r="T382" s="149"/>
      <c r="U382" s="386" t="s">
        <v>806</v>
      </c>
      <c r="W382" s="236"/>
      <c r="X382" s="133">
        <f>COUNTIF(C380:U380,"ROW")</f>
        <v>0</v>
      </c>
      <c r="Y382" s="133">
        <v>0</v>
      </c>
      <c r="Z382" s="133">
        <v>0</v>
      </c>
      <c r="AB382" s="133" t="s">
        <v>228</v>
      </c>
    </row>
    <row r="383" spans="1:31" ht="13">
      <c r="B383" s="209"/>
      <c r="C383" s="148" t="s">
        <v>317</v>
      </c>
      <c r="D383" s="149"/>
      <c r="E383" s="148" t="s">
        <v>317</v>
      </c>
      <c r="G383" s="148" t="s">
        <v>296</v>
      </c>
      <c r="H383" s="149"/>
      <c r="I383" s="148" t="s">
        <v>317</v>
      </c>
      <c r="J383" s="149"/>
      <c r="K383" s="147" t="s">
        <v>442</v>
      </c>
      <c r="L383" s="149"/>
      <c r="M383" s="147" t="s">
        <v>442</v>
      </c>
      <c r="N383" s="149"/>
      <c r="O383" s="148" t="s">
        <v>317</v>
      </c>
      <c r="P383" s="149"/>
      <c r="Q383" s="148" t="s">
        <v>296</v>
      </c>
      <c r="R383" s="149"/>
      <c r="S383" s="148" t="s">
        <v>296</v>
      </c>
      <c r="T383" s="149"/>
      <c r="U383" s="148" t="s">
        <v>317</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518</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278</v>
      </c>
    </row>
    <row r="391" spans="1:31" ht="13">
      <c r="B391" s="209"/>
      <c r="C391" s="147" t="s">
        <v>807</v>
      </c>
      <c r="E391" s="386" t="s">
        <v>808</v>
      </c>
      <c r="G391" s="386" t="s">
        <v>809</v>
      </c>
      <c r="I391" s="147" t="s">
        <v>193</v>
      </c>
      <c r="K391" s="386" t="s">
        <v>810</v>
      </c>
      <c r="M391" s="386" t="s">
        <v>811</v>
      </c>
      <c r="O391" s="386" t="s">
        <v>812</v>
      </c>
      <c r="Q391" s="386" t="s">
        <v>813</v>
      </c>
      <c r="S391" s="386" t="s">
        <v>814</v>
      </c>
      <c r="U391" s="386" t="s">
        <v>815</v>
      </c>
      <c r="W391" s="236"/>
      <c r="X391" s="133">
        <f>COUNTIF(C389:U389,"ROW")</f>
        <v>0</v>
      </c>
      <c r="Y391" s="133">
        <v>0</v>
      </c>
      <c r="Z391" s="133">
        <v>0</v>
      </c>
      <c r="AB391" s="133" t="s">
        <v>228</v>
      </c>
    </row>
    <row r="392" spans="1:31" ht="13">
      <c r="B392" s="209"/>
      <c r="C392" s="147" t="s">
        <v>319</v>
      </c>
      <c r="E392" s="148" t="s">
        <v>317</v>
      </c>
      <c r="G392" s="148" t="s">
        <v>296</v>
      </c>
      <c r="I392" s="147" t="s">
        <v>319</v>
      </c>
      <c r="K392" s="148" t="s">
        <v>317</v>
      </c>
      <c r="M392" s="148" t="s">
        <v>296</v>
      </c>
      <c r="O392" s="148" t="s">
        <v>317</v>
      </c>
      <c r="Q392" s="148" t="s">
        <v>317</v>
      </c>
      <c r="S392" s="148" t="s">
        <v>317</v>
      </c>
      <c r="U392" s="148" t="s">
        <v>317</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518</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278</v>
      </c>
    </row>
    <row r="399" spans="1:31" ht="13">
      <c r="B399" s="209"/>
      <c r="C399" s="386" t="s">
        <v>816</v>
      </c>
      <c r="E399" s="386" t="s">
        <v>817</v>
      </c>
      <c r="F399" s="149"/>
      <c r="G399" s="147" t="s">
        <v>194</v>
      </c>
      <c r="H399" s="149"/>
      <c r="I399" s="386" t="s">
        <v>818</v>
      </c>
      <c r="J399" s="149"/>
      <c r="K399" s="386" t="s">
        <v>819</v>
      </c>
      <c r="L399" s="149"/>
      <c r="M399" s="386" t="s">
        <v>820</v>
      </c>
      <c r="N399" s="149"/>
      <c r="O399" s="386" t="s">
        <v>821</v>
      </c>
      <c r="P399" s="149"/>
      <c r="Q399" s="386" t="s">
        <v>822</v>
      </c>
      <c r="R399" s="149"/>
      <c r="S399" s="386" t="s">
        <v>823</v>
      </c>
      <c r="T399" s="149"/>
      <c r="U399" s="386" t="s">
        <v>824</v>
      </c>
      <c r="W399" s="236"/>
      <c r="X399" s="133">
        <f>COUNTIF(C397:U397,"ROW")</f>
        <v>0</v>
      </c>
      <c r="Y399" s="133">
        <v>0</v>
      </c>
      <c r="Z399" s="133">
        <v>0</v>
      </c>
      <c r="AB399" s="133" t="s">
        <v>228</v>
      </c>
    </row>
    <row r="400" spans="1:31" ht="13">
      <c r="B400" s="209"/>
      <c r="C400" s="148" t="s">
        <v>296</v>
      </c>
      <c r="E400" s="148" t="s">
        <v>295</v>
      </c>
      <c r="F400" s="149"/>
      <c r="G400" s="147" t="s">
        <v>344</v>
      </c>
      <c r="H400" s="149"/>
      <c r="I400" s="148" t="s">
        <v>317</v>
      </c>
      <c r="J400" s="149"/>
      <c r="K400" s="148" t="s">
        <v>296</v>
      </c>
      <c r="L400" s="149"/>
      <c r="M400" s="148" t="s">
        <v>296</v>
      </c>
      <c r="N400" s="149"/>
      <c r="O400" s="148" t="s">
        <v>296</v>
      </c>
      <c r="P400" s="149"/>
      <c r="Q400" s="148" t="s">
        <v>317</v>
      </c>
      <c r="R400" s="149"/>
      <c r="S400" s="148" t="s">
        <v>296</v>
      </c>
      <c r="T400" s="149"/>
      <c r="U400" s="148" t="s">
        <v>296</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518</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278</v>
      </c>
    </row>
    <row r="408" spans="1:31" ht="13">
      <c r="B408" s="209"/>
      <c r="C408" s="386" t="s">
        <v>825</v>
      </c>
      <c r="E408" s="386" t="s">
        <v>826</v>
      </c>
      <c r="G408" s="147" t="s">
        <v>827</v>
      </c>
      <c r="I408" s="386" t="s">
        <v>828</v>
      </c>
      <c r="K408" s="147" t="s">
        <v>829</v>
      </c>
      <c r="M408" s="147" t="s">
        <v>830</v>
      </c>
      <c r="O408" s="147" t="s">
        <v>831</v>
      </c>
      <c r="Q408" s="147" t="s">
        <v>832</v>
      </c>
      <c r="S408" s="147" t="s">
        <v>833</v>
      </c>
      <c r="U408" s="147" t="s">
        <v>834</v>
      </c>
      <c r="W408" s="236"/>
      <c r="X408" s="133">
        <f>COUNTIF(C406:U406,"ROW")</f>
        <v>0</v>
      </c>
      <c r="Y408" s="133">
        <v>0</v>
      </c>
      <c r="Z408" s="133">
        <v>0</v>
      </c>
      <c r="AB408" s="133" t="s">
        <v>228</v>
      </c>
    </row>
    <row r="409" spans="1:31" ht="13">
      <c r="B409" s="209"/>
      <c r="C409" s="148" t="s">
        <v>296</v>
      </c>
      <c r="E409" s="148" t="s">
        <v>317</v>
      </c>
      <c r="G409" s="147" t="s">
        <v>344</v>
      </c>
      <c r="I409" s="148" t="s">
        <v>317</v>
      </c>
      <c r="K409" s="147" t="s">
        <v>430</v>
      </c>
      <c r="M409" s="147" t="s">
        <v>541</v>
      </c>
      <c r="O409" s="147" t="s">
        <v>541</v>
      </c>
      <c r="Q409" s="147" t="s">
        <v>117</v>
      </c>
      <c r="S409" s="147" t="s">
        <v>117</v>
      </c>
      <c r="U409" s="147" t="s">
        <v>330</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518</v>
      </c>
    </row>
    <row r="415" spans="1:31">
      <c r="B415" s="209"/>
      <c r="C415" s="141"/>
      <c r="D415" s="139"/>
      <c r="E415" s="141"/>
      <c r="F415" s="139"/>
      <c r="G415" s="141"/>
      <c r="I415" s="141"/>
      <c r="J415" s="162"/>
      <c r="K415" s="141"/>
      <c r="W415" s="236"/>
      <c r="X415" s="133">
        <f>COUNTIF(C415:U415,"U/P")</f>
        <v>0</v>
      </c>
      <c r="Y415" s="133">
        <v>0</v>
      </c>
      <c r="Z415" s="133">
        <v>0</v>
      </c>
      <c r="AB415" s="133" t="s">
        <v>278</v>
      </c>
    </row>
    <row r="416" spans="1:31" ht="13">
      <c r="B416" s="209"/>
      <c r="C416" s="147" t="s">
        <v>835</v>
      </c>
      <c r="E416" s="147" t="s">
        <v>836</v>
      </c>
      <c r="F416" s="149"/>
      <c r="G416" s="147" t="s">
        <v>837</v>
      </c>
      <c r="H416" s="149"/>
      <c r="I416" s="147" t="s">
        <v>838</v>
      </c>
      <c r="J416" s="149"/>
      <c r="K416" s="147" t="s">
        <v>519</v>
      </c>
      <c r="L416" s="149"/>
      <c r="M416" s="283"/>
      <c r="N416" s="149"/>
      <c r="O416" s="283"/>
      <c r="P416" s="149"/>
      <c r="Q416" s="283"/>
      <c r="R416" s="149"/>
      <c r="S416" s="283"/>
      <c r="T416" s="149"/>
      <c r="U416" s="283"/>
      <c r="W416" s="236"/>
      <c r="X416" s="133">
        <f>COUNTIF(C414:U414,"ROW")</f>
        <v>0</v>
      </c>
      <c r="Y416" s="133">
        <v>0</v>
      </c>
      <c r="Z416" s="133">
        <v>0</v>
      </c>
      <c r="AB416" s="133" t="s">
        <v>228</v>
      </c>
    </row>
    <row r="417" spans="2:32" ht="13">
      <c r="B417" s="209"/>
      <c r="C417" s="147" t="s">
        <v>201</v>
      </c>
      <c r="E417" s="147" t="s">
        <v>201</v>
      </c>
      <c r="F417" s="149"/>
      <c r="G417" s="147" t="s">
        <v>541</v>
      </c>
      <c r="H417" s="149"/>
      <c r="I417" s="147" t="s">
        <v>343</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839</v>
      </c>
      <c r="Z420" s="291"/>
      <c r="AA420" s="291" t="s">
        <v>840</v>
      </c>
      <c r="AB420" s="206"/>
      <c r="AC420" s="291" t="s">
        <v>841</v>
      </c>
      <c r="AD420" s="294"/>
    </row>
    <row r="421" spans="2:32" ht="29">
      <c r="B421" s="209"/>
      <c r="F421" s="284" t="s">
        <v>842</v>
      </c>
      <c r="G421" s="285" t="s">
        <v>843</v>
      </c>
      <c r="H421" s="285" t="s">
        <v>844</v>
      </c>
      <c r="I421" s="285" t="s">
        <v>62</v>
      </c>
      <c r="J421" s="285" t="s">
        <v>845</v>
      </c>
      <c r="K421" s="285" t="s">
        <v>846</v>
      </c>
      <c r="L421" s="285" t="s">
        <v>847</v>
      </c>
      <c r="M421" s="284" t="s">
        <v>848</v>
      </c>
      <c r="N421" s="285" t="s">
        <v>481</v>
      </c>
      <c r="O421" s="285" t="s">
        <v>34</v>
      </c>
      <c r="W421" s="265"/>
      <c r="X421" s="291">
        <f>SUM(X13+X21+X29+X37+X45+X53+X61+X70+X79+X88+X97+X106+X115+X124+X133+X141+X149+X157+X165+X174+X183+X192+X200+X209+X217+X225+X233+X242+X250+X259+X267+X275+X283+X291+X299+X307+X315+X323+X331+X340+X348+X356+X364+X373+X381+X390+X398+X407+X415)</f>
        <v>4</v>
      </c>
      <c r="Y421" s="206" t="s">
        <v>849</v>
      </c>
      <c r="Z421" s="291"/>
      <c r="AA421" s="206" t="s">
        <v>850</v>
      </c>
      <c r="AB421" s="206"/>
      <c r="AC421" s="295" t="s">
        <v>851</v>
      </c>
      <c r="AD421" s="206"/>
    </row>
    <row r="422" spans="2:32" ht="26">
      <c r="B422" s="209"/>
      <c r="F422" s="286" t="s">
        <v>852</v>
      </c>
      <c r="G422" s="57">
        <v>4</v>
      </c>
      <c r="H422" s="57">
        <v>3</v>
      </c>
      <c r="I422" s="57"/>
      <c r="J422" s="57"/>
      <c r="K422" s="57"/>
      <c r="L422" s="57">
        <v>2</v>
      </c>
      <c r="M422" s="57">
        <v>1</v>
      </c>
      <c r="N422" s="57">
        <f>SUM(G422:M422)</f>
        <v>10</v>
      </c>
      <c r="O422" s="1523"/>
      <c r="W422" s="265"/>
      <c r="X422" s="291">
        <v>13</v>
      </c>
      <c r="Y422" s="206" t="s">
        <v>853</v>
      </c>
      <c r="Z422" s="291"/>
      <c r="AA422" s="206" t="s">
        <v>854</v>
      </c>
      <c r="AB422" s="206"/>
      <c r="AC422" s="295" t="s">
        <v>855</v>
      </c>
      <c r="AD422" s="206"/>
    </row>
    <row r="423" spans="2:32" ht="26">
      <c r="B423" s="209"/>
      <c r="F423" s="286" t="s">
        <v>856</v>
      </c>
      <c r="G423" s="57"/>
      <c r="H423" s="57"/>
      <c r="I423" s="57"/>
      <c r="J423" s="57"/>
      <c r="K423" s="57"/>
      <c r="L423" s="57"/>
      <c r="M423" s="57"/>
      <c r="N423" s="57"/>
      <c r="O423" s="1524"/>
      <c r="W423" s="265"/>
      <c r="X423" s="291"/>
      <c r="Y423" s="291"/>
      <c r="Z423" s="291"/>
      <c r="AA423" s="291"/>
      <c r="AB423" s="294"/>
      <c r="AC423" s="294"/>
      <c r="AD423" s="206"/>
    </row>
    <row r="424" spans="2:32" ht="14.5">
      <c r="B424" s="209"/>
      <c r="F424" s="286" t="s">
        <v>857</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524"/>
      <c r="W424" s="265"/>
      <c r="X424" s="291">
        <v>3</v>
      </c>
      <c r="Y424" s="206" t="s">
        <v>858</v>
      </c>
      <c r="Z424" s="291"/>
      <c r="AA424" s="206" t="s">
        <v>859</v>
      </c>
      <c r="AB424" s="294"/>
      <c r="AC424" s="294"/>
      <c r="AD424" s="206"/>
    </row>
    <row r="425" spans="2:32">
      <c r="B425" s="209"/>
      <c r="W425" s="265"/>
      <c r="X425" s="291"/>
      <c r="Y425" s="291"/>
      <c r="Z425" s="291"/>
      <c r="AA425" s="291"/>
      <c r="AB425" s="294"/>
      <c r="AC425" s="294"/>
      <c r="AD425" s="206"/>
    </row>
    <row r="426" spans="2:32" ht="13" hidden="1">
      <c r="B426" s="209"/>
      <c r="F426" s="287"/>
      <c r="G426" s="287" t="s">
        <v>860</v>
      </c>
      <c r="H426" s="287" t="s">
        <v>861</v>
      </c>
      <c r="I426" s="287" t="s">
        <v>278</v>
      </c>
      <c r="J426" s="287" t="s">
        <v>857</v>
      </c>
      <c r="K426" s="287" t="s">
        <v>862</v>
      </c>
      <c r="L426" s="287" t="s">
        <v>861</v>
      </c>
      <c r="M426" s="287" t="s">
        <v>278</v>
      </c>
      <c r="N426" s="287" t="s">
        <v>857</v>
      </c>
      <c r="O426" s="287" t="s">
        <v>34</v>
      </c>
      <c r="W426" s="265"/>
      <c r="X426" s="291"/>
      <c r="Y426" s="291"/>
      <c r="Z426" s="291"/>
      <c r="AA426" s="291"/>
      <c r="AB426" s="294"/>
      <c r="AC426" s="294"/>
      <c r="AD426" s="206"/>
    </row>
    <row r="427" spans="2:32" ht="13" hidden="1">
      <c r="B427" s="209"/>
      <c r="F427" s="205" t="s">
        <v>479</v>
      </c>
      <c r="G427" s="206"/>
      <c r="H427" s="206"/>
      <c r="I427" s="206"/>
      <c r="J427" s="206"/>
      <c r="K427" s="206"/>
      <c r="L427" s="206"/>
      <c r="M427" s="228"/>
      <c r="N427" s="206"/>
      <c r="O427" s="1500"/>
      <c r="W427" s="265"/>
      <c r="X427" s="291"/>
      <c r="Y427" s="291"/>
      <c r="Z427" s="291"/>
      <c r="AA427" s="291"/>
      <c r="AB427" s="294"/>
      <c r="AC427" s="294"/>
      <c r="AD427" s="206"/>
    </row>
    <row r="428" spans="2:32" ht="13" hidden="1">
      <c r="B428" s="209"/>
      <c r="F428" s="205" t="s">
        <v>480</v>
      </c>
      <c r="G428" s="206"/>
      <c r="H428" s="206"/>
      <c r="I428" s="206"/>
      <c r="J428" s="206"/>
      <c r="K428" s="206"/>
      <c r="L428" s="206"/>
      <c r="M428" s="206"/>
      <c r="N428" s="206"/>
      <c r="O428" s="1501"/>
      <c r="Q428" s="229"/>
      <c r="W428" s="265"/>
      <c r="X428" s="291"/>
      <c r="Y428" s="291"/>
      <c r="Z428" s="291"/>
      <c r="AA428" s="291"/>
      <c r="AB428" s="294"/>
      <c r="AC428" s="294"/>
      <c r="AD428" s="206"/>
    </row>
    <row r="429" spans="2:32" ht="13" hidden="1">
      <c r="B429" s="209"/>
      <c r="F429" s="205" t="s">
        <v>481</v>
      </c>
      <c r="G429" s="206"/>
      <c r="H429" s="206"/>
      <c r="I429" s="206"/>
      <c r="J429" s="206"/>
      <c r="K429" s="206"/>
      <c r="L429" s="206"/>
      <c r="M429" s="206"/>
      <c r="N429" s="206"/>
      <c r="O429" s="1502"/>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520"/>
      <c r="C432" s="1521"/>
      <c r="D432" s="1521"/>
      <c r="E432" s="1521"/>
      <c r="F432" s="1521"/>
      <c r="G432" s="1521"/>
      <c r="H432" s="1521"/>
      <c r="I432" s="1521"/>
      <c r="J432" s="1521"/>
      <c r="K432" s="1521"/>
      <c r="L432" s="1521"/>
      <c r="M432" s="1521"/>
      <c r="N432" s="1521"/>
      <c r="O432" s="1521"/>
      <c r="P432" s="1521"/>
      <c r="Q432" s="1521"/>
      <c r="R432" s="1521"/>
      <c r="S432" s="1521"/>
      <c r="T432" s="1521"/>
      <c r="U432" s="1521"/>
      <c r="V432" s="1521"/>
      <c r="W432" s="1522"/>
    </row>
    <row r="433" spans="2:23">
      <c r="B433" s="209"/>
      <c r="W433" s="236"/>
    </row>
    <row r="434" spans="2:23">
      <c r="B434" s="209"/>
      <c r="E434" s="210"/>
      <c r="F434" s="210"/>
      <c r="G434" s="210"/>
      <c r="H434" s="210"/>
      <c r="I434" s="210"/>
      <c r="J434" s="210" t="s">
        <v>482</v>
      </c>
      <c r="K434" s="210"/>
      <c r="L434" s="210"/>
      <c r="W434" s="236"/>
    </row>
    <row r="435" spans="2:23" ht="13">
      <c r="B435" s="209"/>
      <c r="E435" s="210"/>
      <c r="F435" s="210"/>
      <c r="J435" s="210"/>
      <c r="L435" s="210"/>
      <c r="M435" s="133" t="s">
        <v>483</v>
      </c>
      <c r="S435" s="237" t="s">
        <v>484</v>
      </c>
      <c r="W435" s="236"/>
    </row>
    <row r="436" spans="2:23">
      <c r="B436" s="209"/>
      <c r="D436" s="211" t="s">
        <v>485</v>
      </c>
      <c r="E436" s="210"/>
      <c r="F436" s="210"/>
      <c r="J436" s="210"/>
      <c r="L436" s="210"/>
      <c r="W436" s="236"/>
    </row>
    <row r="437" spans="2:23">
      <c r="B437" s="209"/>
      <c r="D437" s="211" t="s">
        <v>486</v>
      </c>
      <c r="E437" s="210"/>
      <c r="F437" s="210"/>
      <c r="G437" s="158"/>
      <c r="H437" s="139"/>
      <c r="I437" s="212"/>
      <c r="J437" s="210"/>
      <c r="K437" s="158"/>
      <c r="L437" s="210"/>
      <c r="M437" s="133" t="s">
        <v>487</v>
      </c>
      <c r="W437" s="236"/>
    </row>
    <row r="438" spans="2:23" ht="13">
      <c r="B438" s="209"/>
      <c r="D438" s="211" t="s">
        <v>488</v>
      </c>
      <c r="E438" s="210"/>
      <c r="F438" s="210"/>
      <c r="G438" s="213"/>
      <c r="H438" s="139"/>
      <c r="I438" s="214" t="s">
        <v>390</v>
      </c>
      <c r="J438" s="210"/>
      <c r="K438" s="213"/>
      <c r="L438" s="210"/>
      <c r="S438" s="237" t="s">
        <v>489</v>
      </c>
      <c r="W438" s="236"/>
    </row>
    <row r="439" spans="2:23">
      <c r="B439" s="209"/>
      <c r="E439" s="210"/>
      <c r="F439" s="210"/>
      <c r="G439" s="210"/>
      <c r="H439" s="210"/>
      <c r="I439" s="210"/>
      <c r="J439" s="210"/>
      <c r="K439" s="210"/>
      <c r="L439" s="210"/>
      <c r="N439" s="133" t="s">
        <v>77</v>
      </c>
      <c r="W439" s="236"/>
    </row>
    <row r="440" spans="2:23">
      <c r="B440" s="209"/>
      <c r="D440" s="215"/>
      <c r="E440" s="143"/>
      <c r="F440" s="215"/>
      <c r="G440" s="216"/>
      <c r="H440" s="217"/>
      <c r="I440" s="215">
        <v>325</v>
      </c>
      <c r="J440" s="215" t="s">
        <v>219</v>
      </c>
      <c r="K440" s="143"/>
      <c r="L440" s="215"/>
      <c r="W440" s="236"/>
    </row>
    <row r="441" spans="2:23">
      <c r="B441" s="209"/>
      <c r="D441" s="215"/>
      <c r="E441" s="143"/>
      <c r="F441" s="215"/>
      <c r="G441" s="143"/>
      <c r="H441" s="217"/>
      <c r="I441" s="143"/>
      <c r="J441" s="215"/>
      <c r="K441" s="143"/>
      <c r="L441" s="215"/>
      <c r="M441" s="143"/>
      <c r="N441" s="216" t="s">
        <v>490</v>
      </c>
      <c r="O441" s="143"/>
      <c r="P441" s="215"/>
      <c r="Q441" s="143"/>
      <c r="R441" s="215"/>
      <c r="S441" s="239" t="s">
        <v>491</v>
      </c>
      <c r="T441" s="215"/>
      <c r="U441" s="143"/>
      <c r="V441" s="215"/>
      <c r="W441" s="236"/>
    </row>
    <row r="442" spans="2:23">
      <c r="B442" s="209"/>
      <c r="C442" s="211" t="s">
        <v>492</v>
      </c>
      <c r="D442" s="215"/>
      <c r="E442" s="143"/>
      <c r="F442" s="218" t="s">
        <v>228</v>
      </c>
      <c r="G442" s="133" t="s">
        <v>228</v>
      </c>
      <c r="H442" s="217"/>
      <c r="I442" s="143"/>
      <c r="J442" s="133" t="s">
        <v>493</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494</v>
      </c>
      <c r="D444" s="215"/>
      <c r="E444" s="143"/>
      <c r="F444" s="143" t="s">
        <v>495</v>
      </c>
      <c r="G444" s="216" t="s">
        <v>109</v>
      </c>
      <c r="H444" s="217"/>
      <c r="I444" s="219"/>
      <c r="J444" s="216" t="s">
        <v>496</v>
      </c>
      <c r="K444" s="143"/>
      <c r="L444" s="215"/>
      <c r="N444" s="216" t="s">
        <v>497</v>
      </c>
      <c r="O444" s="143"/>
      <c r="P444" s="215"/>
      <c r="Q444" s="143"/>
      <c r="R444" s="215"/>
      <c r="S444" s="240" t="s">
        <v>498</v>
      </c>
      <c r="T444" s="215"/>
      <c r="U444" s="143"/>
      <c r="V444" s="215"/>
      <c r="W444" s="236"/>
    </row>
    <row r="445" spans="2:23">
      <c r="B445" s="209"/>
      <c r="D445" s="215"/>
      <c r="E445" s="143"/>
      <c r="F445" s="143"/>
      <c r="G445" s="143"/>
      <c r="H445" s="217"/>
      <c r="I445" s="143"/>
      <c r="J445" s="216" t="s">
        <v>499</v>
      </c>
      <c r="K445" s="143"/>
      <c r="L445" s="215"/>
      <c r="M445" s="143"/>
      <c r="N445" s="215"/>
      <c r="O445" s="143"/>
      <c r="P445" s="215"/>
      <c r="Q445" s="143"/>
      <c r="R445" s="215"/>
      <c r="S445" s="240" t="s">
        <v>500</v>
      </c>
      <c r="T445" s="215"/>
      <c r="U445" s="143"/>
      <c r="V445" s="215"/>
      <c r="W445" s="236"/>
    </row>
    <row r="446" spans="2:23">
      <c r="B446" s="209"/>
      <c r="C446" s="211" t="s">
        <v>501</v>
      </c>
      <c r="D446" s="143"/>
      <c r="E446" s="143"/>
      <c r="F446" s="220" t="s">
        <v>502</v>
      </c>
      <c r="G446" s="216" t="s">
        <v>503</v>
      </c>
      <c r="H446" s="217"/>
      <c r="I446" s="143"/>
      <c r="J446" s="216" t="s">
        <v>504</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505</v>
      </c>
      <c r="D448" s="143"/>
      <c r="E448" s="143"/>
      <c r="F448" s="222"/>
      <c r="G448" s="143" t="s">
        <v>506</v>
      </c>
      <c r="H448" s="217"/>
      <c r="I448" s="143"/>
      <c r="J448" s="215"/>
      <c r="K448" s="143"/>
      <c r="L448" s="215"/>
      <c r="M448" s="231"/>
      <c r="N448" s="232" t="s">
        <v>507</v>
      </c>
      <c r="O448" s="143"/>
      <c r="P448" s="215"/>
      <c r="Q448" s="143"/>
      <c r="R448" s="215"/>
      <c r="S448" s="216" t="s">
        <v>508</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509</v>
      </c>
      <c r="D450" s="143"/>
      <c r="E450" s="210"/>
      <c r="F450" s="143" t="s">
        <v>220</v>
      </c>
      <c r="G450" s="143" t="s">
        <v>510</v>
      </c>
      <c r="H450" s="217"/>
      <c r="I450" s="143"/>
      <c r="J450" s="233" t="s">
        <v>511</v>
      </c>
      <c r="K450" s="143"/>
      <c r="L450" s="215"/>
      <c r="N450" s="216" t="s">
        <v>512</v>
      </c>
      <c r="O450" s="143"/>
      <c r="P450" s="215"/>
      <c r="Q450" s="143"/>
      <c r="R450" s="242"/>
      <c r="S450" s="243" t="s">
        <v>513</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1" customWidth="1"/>
    <col min="2" max="2" width="7.54296875" style="322" customWidth="1"/>
    <col min="3" max="3" width="4.81640625" style="321" hidden="1" customWidth="1"/>
    <col min="4" max="4" width="12.54296875" style="322" customWidth="1"/>
    <col min="5" max="5" width="26.1796875" style="322" customWidth="1"/>
    <col min="6" max="6" width="25.81640625" style="322" customWidth="1"/>
    <col min="7" max="235" width="30.54296875" style="321" customWidth="1"/>
    <col min="236" max="236" width="6.54296875" style="321" customWidth="1"/>
    <col min="237" max="237" width="7.54296875" style="321" customWidth="1"/>
    <col min="238" max="238" width="4.81640625" style="321" customWidth="1"/>
    <col min="239" max="239" width="11.81640625" style="321" customWidth="1"/>
    <col min="240" max="240" width="9.81640625" style="321" customWidth="1"/>
    <col min="241" max="241" width="3" style="321" customWidth="1"/>
    <col min="242" max="242" width="7.1796875" style="321" customWidth="1"/>
    <col min="243" max="243" width="22.81640625" style="321" customWidth="1"/>
    <col min="244" max="244" width="7.1796875" style="321" customWidth="1"/>
    <col min="245" max="245" width="9" style="321" hidden="1" customWidth="1"/>
    <col min="246" max="246" width="8.81640625" style="321" customWidth="1"/>
    <col min="247" max="247" width="9.81640625" style="321" customWidth="1"/>
    <col min="248" max="248" width="10.54296875" style="321" customWidth="1"/>
    <col min="249" max="249" width="12.1796875" style="321" customWidth="1"/>
    <col min="250" max="250" width="11.1796875" style="321" customWidth="1"/>
    <col min="251" max="251" width="6.81640625" style="321" customWidth="1"/>
    <col min="252" max="491" width="30.54296875" style="321" customWidth="1"/>
    <col min="492" max="492" width="6.54296875" style="321" customWidth="1"/>
    <col min="493" max="493" width="7.54296875" style="321" customWidth="1"/>
    <col min="494" max="494" width="4.81640625" style="321" customWidth="1"/>
    <col min="495" max="495" width="11.81640625" style="321" customWidth="1"/>
    <col min="496" max="496" width="9.81640625" style="321" customWidth="1"/>
    <col min="497" max="497" width="3" style="321" customWidth="1"/>
    <col min="498" max="498" width="7.1796875" style="321" customWidth="1"/>
    <col min="499" max="499" width="22.81640625" style="321" customWidth="1"/>
    <col min="500" max="500" width="7.1796875" style="321" customWidth="1"/>
    <col min="501" max="501" width="9" style="321" hidden="1" customWidth="1"/>
    <col min="502" max="502" width="8.81640625" style="321" customWidth="1"/>
    <col min="503" max="503" width="9.81640625" style="321" customWidth="1"/>
    <col min="504" max="504" width="10.54296875" style="321" customWidth="1"/>
    <col min="505" max="505" width="12.1796875" style="321" customWidth="1"/>
    <col min="506" max="506" width="11.1796875" style="321" customWidth="1"/>
    <col min="507" max="507" width="6.81640625" style="321" customWidth="1"/>
    <col min="508" max="747" width="30.54296875" style="321" customWidth="1"/>
    <col min="748" max="748" width="6.54296875" style="321" customWidth="1"/>
    <col min="749" max="749" width="7.54296875" style="321" customWidth="1"/>
    <col min="750" max="750" width="4.81640625" style="321" customWidth="1"/>
    <col min="751" max="751" width="11.81640625" style="321" customWidth="1"/>
    <col min="752" max="752" width="9.81640625" style="321" customWidth="1"/>
    <col min="753" max="753" width="3" style="321" customWidth="1"/>
    <col min="754" max="754" width="7.1796875" style="321" customWidth="1"/>
    <col min="755" max="755" width="22.81640625" style="321" customWidth="1"/>
    <col min="756" max="756" width="7.1796875" style="321" customWidth="1"/>
    <col min="757" max="757" width="9" style="321" hidden="1" customWidth="1"/>
    <col min="758" max="758" width="8.81640625" style="321" customWidth="1"/>
    <col min="759" max="759" width="9.81640625" style="321" customWidth="1"/>
    <col min="760" max="760" width="10.54296875" style="321" customWidth="1"/>
    <col min="761" max="761" width="12.1796875" style="321" customWidth="1"/>
    <col min="762" max="762" width="11.1796875" style="321" customWidth="1"/>
    <col min="763" max="763" width="6.81640625" style="321" customWidth="1"/>
    <col min="764" max="1003" width="30.54296875" style="321" customWidth="1"/>
    <col min="1004" max="1004" width="6.54296875" style="321" customWidth="1"/>
    <col min="1005" max="1005" width="7.54296875" style="321" customWidth="1"/>
    <col min="1006" max="1006" width="4.81640625" style="321" customWidth="1"/>
    <col min="1007" max="1007" width="11.81640625" style="321" customWidth="1"/>
    <col min="1008" max="1008" width="9.81640625" style="321" customWidth="1"/>
    <col min="1009" max="1009" width="3" style="321" customWidth="1"/>
    <col min="1010" max="1010" width="7.1796875" style="321" customWidth="1"/>
    <col min="1011" max="1011" width="22.81640625" style="321" customWidth="1"/>
    <col min="1012" max="1012" width="7.1796875" style="321" customWidth="1"/>
    <col min="1013" max="1013" width="9" style="321" hidden="1" customWidth="1"/>
    <col min="1014" max="1014" width="8.81640625" style="321" customWidth="1"/>
    <col min="1015" max="1015" width="9.81640625" style="321" customWidth="1"/>
    <col min="1016" max="1016" width="10.54296875" style="321" customWidth="1"/>
    <col min="1017" max="1017" width="12.1796875" style="321" customWidth="1"/>
    <col min="1018" max="1018" width="11.1796875" style="321" customWidth="1"/>
    <col min="1019" max="1019" width="6.81640625" style="321" customWidth="1"/>
    <col min="1020" max="1259" width="30.54296875" style="321" customWidth="1"/>
    <col min="1260" max="1260" width="6.54296875" style="321" customWidth="1"/>
    <col min="1261" max="1261" width="7.54296875" style="321" customWidth="1"/>
    <col min="1262" max="1262" width="4.81640625" style="321" customWidth="1"/>
    <col min="1263" max="1263" width="11.81640625" style="321" customWidth="1"/>
    <col min="1264" max="1264" width="9.81640625" style="321" customWidth="1"/>
    <col min="1265" max="1265" width="3" style="321" customWidth="1"/>
    <col min="1266" max="1266" width="7.1796875" style="321" customWidth="1"/>
    <col min="1267" max="1267" width="22.81640625" style="321" customWidth="1"/>
    <col min="1268" max="1268" width="7.1796875" style="321" customWidth="1"/>
    <col min="1269" max="1269" width="9" style="321" hidden="1" customWidth="1"/>
    <col min="1270" max="1270" width="8.81640625" style="321" customWidth="1"/>
    <col min="1271" max="1271" width="9.81640625" style="321" customWidth="1"/>
    <col min="1272" max="1272" width="10.54296875" style="321" customWidth="1"/>
    <col min="1273" max="1273" width="12.1796875" style="321" customWidth="1"/>
    <col min="1274" max="1274" width="11.1796875" style="321" customWidth="1"/>
    <col min="1275" max="1275" width="6.81640625" style="321" customWidth="1"/>
    <col min="1276" max="1515" width="30.54296875" style="321" customWidth="1"/>
    <col min="1516" max="1516" width="6.54296875" style="321" customWidth="1"/>
    <col min="1517" max="1517" width="7.54296875" style="321" customWidth="1"/>
    <col min="1518" max="1518" width="4.81640625" style="321" customWidth="1"/>
    <col min="1519" max="1519" width="11.81640625" style="321" customWidth="1"/>
    <col min="1520" max="1520" width="9.81640625" style="321" customWidth="1"/>
    <col min="1521" max="1521" width="3" style="321" customWidth="1"/>
    <col min="1522" max="1522" width="7.1796875" style="321" customWidth="1"/>
    <col min="1523" max="1523" width="22.81640625" style="321" customWidth="1"/>
    <col min="1524" max="1524" width="7.1796875" style="321" customWidth="1"/>
    <col min="1525" max="1525" width="9" style="321" hidden="1" customWidth="1"/>
    <col min="1526" max="1526" width="8.81640625" style="321" customWidth="1"/>
    <col min="1527" max="1527" width="9.81640625" style="321" customWidth="1"/>
    <col min="1528" max="1528" width="10.54296875" style="321" customWidth="1"/>
    <col min="1529" max="1529" width="12.1796875" style="321" customWidth="1"/>
    <col min="1530" max="1530" width="11.1796875" style="321" customWidth="1"/>
    <col min="1531" max="1531" width="6.81640625" style="321" customWidth="1"/>
    <col min="1532" max="1771" width="30.54296875" style="321" customWidth="1"/>
    <col min="1772" max="1772" width="6.54296875" style="321" customWidth="1"/>
    <col min="1773" max="1773" width="7.54296875" style="321" customWidth="1"/>
    <col min="1774" max="1774" width="4.81640625" style="321" customWidth="1"/>
    <col min="1775" max="1775" width="11.81640625" style="321" customWidth="1"/>
    <col min="1776" max="1776" width="9.81640625" style="321" customWidth="1"/>
    <col min="1777" max="1777" width="3" style="321" customWidth="1"/>
    <col min="1778" max="1778" width="7.1796875" style="321" customWidth="1"/>
    <col min="1779" max="1779" width="22.81640625" style="321" customWidth="1"/>
    <col min="1780" max="1780" width="7.1796875" style="321" customWidth="1"/>
    <col min="1781" max="1781" width="9" style="321" hidden="1" customWidth="1"/>
    <col min="1782" max="1782" width="8.81640625" style="321" customWidth="1"/>
    <col min="1783" max="1783" width="9.81640625" style="321" customWidth="1"/>
    <col min="1784" max="1784" width="10.54296875" style="321" customWidth="1"/>
    <col min="1785" max="1785" width="12.1796875" style="321" customWidth="1"/>
    <col min="1786" max="1786" width="11.1796875" style="321" customWidth="1"/>
    <col min="1787" max="1787" width="6.81640625" style="321" customWidth="1"/>
    <col min="1788" max="2027" width="30.54296875" style="321" customWidth="1"/>
    <col min="2028" max="2028" width="6.54296875" style="321" customWidth="1"/>
    <col min="2029" max="2029" width="7.54296875" style="321" customWidth="1"/>
    <col min="2030" max="2030" width="4.81640625" style="321" customWidth="1"/>
    <col min="2031" max="2031" width="11.81640625" style="321" customWidth="1"/>
    <col min="2032" max="2032" width="9.81640625" style="321" customWidth="1"/>
    <col min="2033" max="2033" width="3" style="321" customWidth="1"/>
    <col min="2034" max="2034" width="7.1796875" style="321" customWidth="1"/>
    <col min="2035" max="2035" width="22.81640625" style="321" customWidth="1"/>
    <col min="2036" max="2036" width="7.1796875" style="321" customWidth="1"/>
    <col min="2037" max="2037" width="9" style="321" hidden="1" customWidth="1"/>
    <col min="2038" max="2038" width="8.81640625" style="321" customWidth="1"/>
    <col min="2039" max="2039" width="9.81640625" style="321" customWidth="1"/>
    <col min="2040" max="2040" width="10.54296875" style="321" customWidth="1"/>
    <col min="2041" max="2041" width="12.1796875" style="321" customWidth="1"/>
    <col min="2042" max="2042" width="11.1796875" style="321" customWidth="1"/>
    <col min="2043" max="2043" width="6.81640625" style="321" customWidth="1"/>
    <col min="2044" max="2283" width="30.54296875" style="321" customWidth="1"/>
    <col min="2284" max="2284" width="6.54296875" style="321" customWidth="1"/>
    <col min="2285" max="2285" width="7.54296875" style="321" customWidth="1"/>
    <col min="2286" max="2286" width="4.81640625" style="321" customWidth="1"/>
    <col min="2287" max="2287" width="11.81640625" style="321" customWidth="1"/>
    <col min="2288" max="2288" width="9.81640625" style="321" customWidth="1"/>
    <col min="2289" max="2289" width="3" style="321" customWidth="1"/>
    <col min="2290" max="2290" width="7.1796875" style="321" customWidth="1"/>
    <col min="2291" max="2291" width="22.81640625" style="321" customWidth="1"/>
    <col min="2292" max="2292" width="7.1796875" style="321" customWidth="1"/>
    <col min="2293" max="2293" width="9" style="321" hidden="1" customWidth="1"/>
    <col min="2294" max="2294" width="8.81640625" style="321" customWidth="1"/>
    <col min="2295" max="2295" width="9.81640625" style="321" customWidth="1"/>
    <col min="2296" max="2296" width="10.54296875" style="321" customWidth="1"/>
    <col min="2297" max="2297" width="12.1796875" style="321" customWidth="1"/>
    <col min="2298" max="2298" width="11.1796875" style="321" customWidth="1"/>
    <col min="2299" max="2299" width="6.81640625" style="321" customWidth="1"/>
    <col min="2300" max="2539" width="30.54296875" style="321" customWidth="1"/>
    <col min="2540" max="2540" width="6.54296875" style="321" customWidth="1"/>
    <col min="2541" max="2541" width="7.54296875" style="321" customWidth="1"/>
    <col min="2542" max="2542" width="4.81640625" style="321" customWidth="1"/>
    <col min="2543" max="2543" width="11.81640625" style="321" customWidth="1"/>
    <col min="2544" max="2544" width="9.81640625" style="321" customWidth="1"/>
    <col min="2545" max="2545" width="3" style="321" customWidth="1"/>
    <col min="2546" max="2546" width="7.1796875" style="321" customWidth="1"/>
    <col min="2547" max="2547" width="22.81640625" style="321" customWidth="1"/>
    <col min="2548" max="2548" width="7.1796875" style="321" customWidth="1"/>
    <col min="2549" max="2549" width="9" style="321" hidden="1" customWidth="1"/>
    <col min="2550" max="2550" width="8.81640625" style="321" customWidth="1"/>
    <col min="2551" max="2551" width="9.81640625" style="321" customWidth="1"/>
    <col min="2552" max="2552" width="10.54296875" style="321" customWidth="1"/>
    <col min="2553" max="2553" width="12.1796875" style="321" customWidth="1"/>
    <col min="2554" max="2554" width="11.1796875" style="321" customWidth="1"/>
    <col min="2555" max="2555" width="6.81640625" style="321" customWidth="1"/>
    <col min="2556" max="2795" width="30.54296875" style="321" customWidth="1"/>
    <col min="2796" max="2796" width="6.54296875" style="321" customWidth="1"/>
    <col min="2797" max="2797" width="7.54296875" style="321" customWidth="1"/>
    <col min="2798" max="2798" width="4.81640625" style="321" customWidth="1"/>
    <col min="2799" max="2799" width="11.81640625" style="321" customWidth="1"/>
    <col min="2800" max="2800" width="9.81640625" style="321" customWidth="1"/>
    <col min="2801" max="2801" width="3" style="321" customWidth="1"/>
    <col min="2802" max="2802" width="7.1796875" style="321" customWidth="1"/>
    <col min="2803" max="2803" width="22.81640625" style="321" customWidth="1"/>
    <col min="2804" max="2804" width="7.1796875" style="321" customWidth="1"/>
    <col min="2805" max="2805" width="9" style="321" hidden="1" customWidth="1"/>
    <col min="2806" max="2806" width="8.81640625" style="321" customWidth="1"/>
    <col min="2807" max="2807" width="9.81640625" style="321" customWidth="1"/>
    <col min="2808" max="2808" width="10.54296875" style="321" customWidth="1"/>
    <col min="2809" max="2809" width="12.1796875" style="321" customWidth="1"/>
    <col min="2810" max="2810" width="11.1796875" style="321" customWidth="1"/>
    <col min="2811" max="2811" width="6.81640625" style="321" customWidth="1"/>
    <col min="2812" max="3051" width="30.54296875" style="321" customWidth="1"/>
    <col min="3052" max="3052" width="6.54296875" style="321" customWidth="1"/>
    <col min="3053" max="3053" width="7.54296875" style="321" customWidth="1"/>
    <col min="3054" max="3054" width="4.81640625" style="321" customWidth="1"/>
    <col min="3055" max="3055" width="11.81640625" style="321" customWidth="1"/>
    <col min="3056" max="3056" width="9.81640625" style="321" customWidth="1"/>
    <col min="3057" max="3057" width="3" style="321" customWidth="1"/>
    <col min="3058" max="3058" width="7.1796875" style="321" customWidth="1"/>
    <col min="3059" max="3059" width="22.81640625" style="321" customWidth="1"/>
    <col min="3060" max="3060" width="7.1796875" style="321" customWidth="1"/>
    <col min="3061" max="3061" width="9" style="321" hidden="1" customWidth="1"/>
    <col min="3062" max="3062" width="8.81640625" style="321" customWidth="1"/>
    <col min="3063" max="3063" width="9.81640625" style="321" customWidth="1"/>
    <col min="3064" max="3064" width="10.54296875" style="321" customWidth="1"/>
    <col min="3065" max="3065" width="12.1796875" style="321" customWidth="1"/>
    <col min="3066" max="3066" width="11.1796875" style="321" customWidth="1"/>
    <col min="3067" max="3067" width="6.81640625" style="321" customWidth="1"/>
    <col min="3068" max="3307" width="30.54296875" style="321" customWidth="1"/>
    <col min="3308" max="3308" width="6.54296875" style="321" customWidth="1"/>
    <col min="3309" max="3309" width="7.54296875" style="321" customWidth="1"/>
    <col min="3310" max="3310" width="4.81640625" style="321" customWidth="1"/>
    <col min="3311" max="3311" width="11.81640625" style="321" customWidth="1"/>
    <col min="3312" max="3312" width="9.81640625" style="321" customWidth="1"/>
    <col min="3313" max="3313" width="3" style="321" customWidth="1"/>
    <col min="3314" max="3314" width="7.1796875" style="321" customWidth="1"/>
    <col min="3315" max="3315" width="22.81640625" style="321" customWidth="1"/>
    <col min="3316" max="3316" width="7.1796875" style="321" customWidth="1"/>
    <col min="3317" max="3317" width="9" style="321" hidden="1" customWidth="1"/>
    <col min="3318" max="3318" width="8.81640625" style="321" customWidth="1"/>
    <col min="3319" max="3319" width="9.81640625" style="321" customWidth="1"/>
    <col min="3320" max="3320" width="10.54296875" style="321" customWidth="1"/>
    <col min="3321" max="3321" width="12.1796875" style="321" customWidth="1"/>
    <col min="3322" max="3322" width="11.1796875" style="321" customWidth="1"/>
    <col min="3323" max="3323" width="6.81640625" style="321" customWidth="1"/>
    <col min="3324" max="3563" width="30.54296875" style="321" customWidth="1"/>
    <col min="3564" max="3564" width="6.54296875" style="321" customWidth="1"/>
    <col min="3565" max="3565" width="7.54296875" style="321" customWidth="1"/>
    <col min="3566" max="3566" width="4.81640625" style="321" customWidth="1"/>
    <col min="3567" max="3567" width="11.81640625" style="321" customWidth="1"/>
    <col min="3568" max="3568" width="9.81640625" style="321" customWidth="1"/>
    <col min="3569" max="3569" width="3" style="321" customWidth="1"/>
    <col min="3570" max="3570" width="7.1796875" style="321" customWidth="1"/>
    <col min="3571" max="3571" width="22.81640625" style="321" customWidth="1"/>
    <col min="3572" max="3572" width="7.1796875" style="321" customWidth="1"/>
    <col min="3573" max="3573" width="9" style="321" hidden="1" customWidth="1"/>
    <col min="3574" max="3574" width="8.81640625" style="321" customWidth="1"/>
    <col min="3575" max="3575" width="9.81640625" style="321" customWidth="1"/>
    <col min="3576" max="3576" width="10.54296875" style="321" customWidth="1"/>
    <col min="3577" max="3577" width="12.1796875" style="321" customWidth="1"/>
    <col min="3578" max="3578" width="11.1796875" style="321" customWidth="1"/>
    <col min="3579" max="3579" width="6.81640625" style="321" customWidth="1"/>
    <col min="3580" max="3819" width="30.54296875" style="321" customWidth="1"/>
    <col min="3820" max="3820" width="6.54296875" style="321" customWidth="1"/>
    <col min="3821" max="3821" width="7.54296875" style="321" customWidth="1"/>
    <col min="3822" max="3822" width="4.81640625" style="321" customWidth="1"/>
    <col min="3823" max="3823" width="11.81640625" style="321" customWidth="1"/>
    <col min="3824" max="3824" width="9.81640625" style="321" customWidth="1"/>
    <col min="3825" max="3825" width="3" style="321" customWidth="1"/>
    <col min="3826" max="3826" width="7.1796875" style="321" customWidth="1"/>
    <col min="3827" max="3827" width="22.81640625" style="321" customWidth="1"/>
    <col min="3828" max="3828" width="7.1796875" style="321" customWidth="1"/>
    <col min="3829" max="3829" width="9" style="321" hidden="1" customWidth="1"/>
    <col min="3830" max="3830" width="8.81640625" style="321" customWidth="1"/>
    <col min="3831" max="3831" width="9.81640625" style="321" customWidth="1"/>
    <col min="3832" max="3832" width="10.54296875" style="321" customWidth="1"/>
    <col min="3833" max="3833" width="12.1796875" style="321" customWidth="1"/>
    <col min="3834" max="3834" width="11.1796875" style="321" customWidth="1"/>
    <col min="3835" max="3835" width="6.81640625" style="321" customWidth="1"/>
    <col min="3836" max="4075" width="30.54296875" style="321" customWidth="1"/>
    <col min="4076" max="4076" width="6.54296875" style="321" customWidth="1"/>
    <col min="4077" max="4077" width="7.54296875" style="321" customWidth="1"/>
    <col min="4078" max="4078" width="4.81640625" style="321" customWidth="1"/>
    <col min="4079" max="4079" width="11.81640625" style="321" customWidth="1"/>
    <col min="4080" max="4080" width="9.81640625" style="321" customWidth="1"/>
    <col min="4081" max="4081" width="3" style="321" customWidth="1"/>
    <col min="4082" max="4082" width="7.1796875" style="321" customWidth="1"/>
    <col min="4083" max="4083" width="22.81640625" style="321" customWidth="1"/>
    <col min="4084" max="4084" width="7.1796875" style="321" customWidth="1"/>
    <col min="4085" max="4085" width="9" style="321" hidden="1" customWidth="1"/>
    <col min="4086" max="4086" width="8.81640625" style="321" customWidth="1"/>
    <col min="4087" max="4087" width="9.81640625" style="321" customWidth="1"/>
    <col min="4088" max="4088" width="10.54296875" style="321" customWidth="1"/>
    <col min="4089" max="4089" width="12.1796875" style="321" customWidth="1"/>
    <col min="4090" max="4090" width="11.1796875" style="321" customWidth="1"/>
    <col min="4091" max="4091" width="6.81640625" style="321" customWidth="1"/>
    <col min="4092" max="4331" width="30.54296875" style="321" customWidth="1"/>
    <col min="4332" max="4332" width="6.54296875" style="321" customWidth="1"/>
    <col min="4333" max="4333" width="7.54296875" style="321" customWidth="1"/>
    <col min="4334" max="4334" width="4.81640625" style="321" customWidth="1"/>
    <col min="4335" max="4335" width="11.81640625" style="321" customWidth="1"/>
    <col min="4336" max="4336" width="9.81640625" style="321" customWidth="1"/>
    <col min="4337" max="4337" width="3" style="321" customWidth="1"/>
    <col min="4338" max="4338" width="7.1796875" style="321" customWidth="1"/>
    <col min="4339" max="4339" width="22.81640625" style="321" customWidth="1"/>
    <col min="4340" max="4340" width="7.1796875" style="321" customWidth="1"/>
    <col min="4341" max="4341" width="9" style="321" hidden="1" customWidth="1"/>
    <col min="4342" max="4342" width="8.81640625" style="321" customWidth="1"/>
    <col min="4343" max="4343" width="9.81640625" style="321" customWidth="1"/>
    <col min="4344" max="4344" width="10.54296875" style="321" customWidth="1"/>
    <col min="4345" max="4345" width="12.1796875" style="321" customWidth="1"/>
    <col min="4346" max="4346" width="11.1796875" style="321" customWidth="1"/>
    <col min="4347" max="4347" width="6.81640625" style="321" customWidth="1"/>
    <col min="4348" max="4587" width="30.54296875" style="321" customWidth="1"/>
    <col min="4588" max="4588" width="6.54296875" style="321" customWidth="1"/>
    <col min="4589" max="4589" width="7.54296875" style="321" customWidth="1"/>
    <col min="4590" max="4590" width="4.81640625" style="321" customWidth="1"/>
    <col min="4591" max="4591" width="11.81640625" style="321" customWidth="1"/>
    <col min="4592" max="4592" width="9.81640625" style="321" customWidth="1"/>
    <col min="4593" max="4593" width="3" style="321" customWidth="1"/>
    <col min="4594" max="4594" width="7.1796875" style="321" customWidth="1"/>
    <col min="4595" max="4595" width="22.81640625" style="321" customWidth="1"/>
    <col min="4596" max="4596" width="7.1796875" style="321" customWidth="1"/>
    <col min="4597" max="4597" width="9" style="321" hidden="1" customWidth="1"/>
    <col min="4598" max="4598" width="8.81640625" style="321" customWidth="1"/>
    <col min="4599" max="4599" width="9.81640625" style="321" customWidth="1"/>
    <col min="4600" max="4600" width="10.54296875" style="321" customWidth="1"/>
    <col min="4601" max="4601" width="12.1796875" style="321" customWidth="1"/>
    <col min="4602" max="4602" width="11.1796875" style="321" customWidth="1"/>
    <col min="4603" max="4603" width="6.81640625" style="321" customWidth="1"/>
    <col min="4604" max="4843" width="30.54296875" style="321" customWidth="1"/>
    <col min="4844" max="4844" width="6.54296875" style="321" customWidth="1"/>
    <col min="4845" max="4845" width="7.54296875" style="321" customWidth="1"/>
    <col min="4846" max="4846" width="4.81640625" style="321" customWidth="1"/>
    <col min="4847" max="4847" width="11.81640625" style="321" customWidth="1"/>
    <col min="4848" max="4848" width="9.81640625" style="321" customWidth="1"/>
    <col min="4849" max="4849" width="3" style="321" customWidth="1"/>
    <col min="4850" max="4850" width="7.1796875" style="321" customWidth="1"/>
    <col min="4851" max="4851" width="22.81640625" style="321" customWidth="1"/>
    <col min="4852" max="4852" width="7.1796875" style="321" customWidth="1"/>
    <col min="4853" max="4853" width="9" style="321" hidden="1" customWidth="1"/>
    <col min="4854" max="4854" width="8.81640625" style="321" customWidth="1"/>
    <col min="4855" max="4855" width="9.81640625" style="321" customWidth="1"/>
    <col min="4856" max="4856" width="10.54296875" style="321" customWidth="1"/>
    <col min="4857" max="4857" width="12.1796875" style="321" customWidth="1"/>
    <col min="4858" max="4858" width="11.1796875" style="321" customWidth="1"/>
    <col min="4859" max="4859" width="6.81640625" style="321" customWidth="1"/>
    <col min="4860" max="5099" width="30.54296875" style="321" customWidth="1"/>
    <col min="5100" max="5100" width="6.54296875" style="321" customWidth="1"/>
    <col min="5101" max="5101" width="7.54296875" style="321" customWidth="1"/>
    <col min="5102" max="5102" width="4.81640625" style="321" customWidth="1"/>
    <col min="5103" max="5103" width="11.81640625" style="321" customWidth="1"/>
    <col min="5104" max="5104" width="9.81640625" style="321" customWidth="1"/>
    <col min="5105" max="5105" width="3" style="321" customWidth="1"/>
    <col min="5106" max="5106" width="7.1796875" style="321" customWidth="1"/>
    <col min="5107" max="5107" width="22.81640625" style="321" customWidth="1"/>
    <col min="5108" max="5108" width="7.1796875" style="321" customWidth="1"/>
    <col min="5109" max="5109" width="9" style="321" hidden="1" customWidth="1"/>
    <col min="5110" max="5110" width="8.81640625" style="321" customWidth="1"/>
    <col min="5111" max="5111" width="9.81640625" style="321" customWidth="1"/>
    <col min="5112" max="5112" width="10.54296875" style="321" customWidth="1"/>
    <col min="5113" max="5113" width="12.1796875" style="321" customWidth="1"/>
    <col min="5114" max="5114" width="11.1796875" style="321" customWidth="1"/>
    <col min="5115" max="5115" width="6.81640625" style="321" customWidth="1"/>
    <col min="5116" max="5355" width="30.54296875" style="321" customWidth="1"/>
    <col min="5356" max="5356" width="6.54296875" style="321" customWidth="1"/>
    <col min="5357" max="5357" width="7.54296875" style="321" customWidth="1"/>
    <col min="5358" max="5358" width="4.81640625" style="321" customWidth="1"/>
    <col min="5359" max="5359" width="11.81640625" style="321" customWidth="1"/>
    <col min="5360" max="5360" width="9.81640625" style="321" customWidth="1"/>
    <col min="5361" max="5361" width="3" style="321" customWidth="1"/>
    <col min="5362" max="5362" width="7.1796875" style="321" customWidth="1"/>
    <col min="5363" max="5363" width="22.81640625" style="321" customWidth="1"/>
    <col min="5364" max="5364" width="7.1796875" style="321" customWidth="1"/>
    <col min="5365" max="5365" width="9" style="321" hidden="1" customWidth="1"/>
    <col min="5366" max="5366" width="8.81640625" style="321" customWidth="1"/>
    <col min="5367" max="5367" width="9.81640625" style="321" customWidth="1"/>
    <col min="5368" max="5368" width="10.54296875" style="321" customWidth="1"/>
    <col min="5369" max="5369" width="12.1796875" style="321" customWidth="1"/>
    <col min="5370" max="5370" width="11.1796875" style="321" customWidth="1"/>
    <col min="5371" max="5371" width="6.81640625" style="321" customWidth="1"/>
    <col min="5372" max="5611" width="30.54296875" style="321" customWidth="1"/>
    <col min="5612" max="5612" width="6.54296875" style="321" customWidth="1"/>
    <col min="5613" max="5613" width="7.54296875" style="321" customWidth="1"/>
    <col min="5614" max="5614" width="4.81640625" style="321" customWidth="1"/>
    <col min="5615" max="5615" width="11.81640625" style="321" customWidth="1"/>
    <col min="5616" max="5616" width="9.81640625" style="321" customWidth="1"/>
    <col min="5617" max="5617" width="3" style="321" customWidth="1"/>
    <col min="5618" max="5618" width="7.1796875" style="321" customWidth="1"/>
    <col min="5619" max="5619" width="22.81640625" style="321" customWidth="1"/>
    <col min="5620" max="5620" width="7.1796875" style="321" customWidth="1"/>
    <col min="5621" max="5621" width="9" style="321" hidden="1" customWidth="1"/>
    <col min="5622" max="5622" width="8.81640625" style="321" customWidth="1"/>
    <col min="5623" max="5623" width="9.81640625" style="321" customWidth="1"/>
    <col min="5624" max="5624" width="10.54296875" style="321" customWidth="1"/>
    <col min="5625" max="5625" width="12.1796875" style="321" customWidth="1"/>
    <col min="5626" max="5626" width="11.1796875" style="321" customWidth="1"/>
    <col min="5627" max="5627" width="6.81640625" style="321" customWidth="1"/>
    <col min="5628" max="5867" width="30.54296875" style="321" customWidth="1"/>
    <col min="5868" max="5868" width="6.54296875" style="321" customWidth="1"/>
    <col min="5869" max="5869" width="7.54296875" style="321" customWidth="1"/>
    <col min="5870" max="5870" width="4.81640625" style="321" customWidth="1"/>
    <col min="5871" max="5871" width="11.81640625" style="321" customWidth="1"/>
    <col min="5872" max="5872" width="9.81640625" style="321" customWidth="1"/>
    <col min="5873" max="5873" width="3" style="321" customWidth="1"/>
    <col min="5874" max="5874" width="7.1796875" style="321" customWidth="1"/>
    <col min="5875" max="5875" width="22.81640625" style="321" customWidth="1"/>
    <col min="5876" max="5876" width="7.1796875" style="321" customWidth="1"/>
    <col min="5877" max="5877" width="9" style="321" hidden="1" customWidth="1"/>
    <col min="5878" max="5878" width="8.81640625" style="321" customWidth="1"/>
    <col min="5879" max="5879" width="9.81640625" style="321" customWidth="1"/>
    <col min="5880" max="5880" width="10.54296875" style="321" customWidth="1"/>
    <col min="5881" max="5881" width="12.1796875" style="321" customWidth="1"/>
    <col min="5882" max="5882" width="11.1796875" style="321" customWidth="1"/>
    <col min="5883" max="5883" width="6.81640625" style="321" customWidth="1"/>
    <col min="5884" max="6123" width="30.54296875" style="321" customWidth="1"/>
    <col min="6124" max="6124" width="6.54296875" style="321" customWidth="1"/>
    <col min="6125" max="6125" width="7.54296875" style="321" customWidth="1"/>
    <col min="6126" max="6126" width="4.81640625" style="321" customWidth="1"/>
    <col min="6127" max="6127" width="11.81640625" style="321" customWidth="1"/>
    <col min="6128" max="6128" width="9.81640625" style="321" customWidth="1"/>
    <col min="6129" max="6129" width="3" style="321" customWidth="1"/>
    <col min="6130" max="6130" width="7.1796875" style="321" customWidth="1"/>
    <col min="6131" max="6131" width="22.81640625" style="321" customWidth="1"/>
    <col min="6132" max="6132" width="7.1796875" style="321" customWidth="1"/>
    <col min="6133" max="6133" width="9" style="321" hidden="1" customWidth="1"/>
    <col min="6134" max="6134" width="8.81640625" style="321" customWidth="1"/>
    <col min="6135" max="6135" width="9.81640625" style="321" customWidth="1"/>
    <col min="6136" max="6136" width="10.54296875" style="321" customWidth="1"/>
    <col min="6137" max="6137" width="12.1796875" style="321" customWidth="1"/>
    <col min="6138" max="6138" width="11.1796875" style="321" customWidth="1"/>
    <col min="6139" max="6139" width="6.81640625" style="321" customWidth="1"/>
    <col min="6140" max="6379" width="30.54296875" style="321" customWidth="1"/>
    <col min="6380" max="6380" width="6.54296875" style="321" customWidth="1"/>
    <col min="6381" max="6381" width="7.54296875" style="321" customWidth="1"/>
    <col min="6382" max="6382" width="4.81640625" style="321" customWidth="1"/>
    <col min="6383" max="6383" width="11.81640625" style="321" customWidth="1"/>
    <col min="6384" max="6384" width="9.81640625" style="321" customWidth="1"/>
    <col min="6385" max="6385" width="3" style="321" customWidth="1"/>
    <col min="6386" max="6386" width="7.1796875" style="321" customWidth="1"/>
    <col min="6387" max="6387" width="22.81640625" style="321" customWidth="1"/>
    <col min="6388" max="6388" width="7.1796875" style="321" customWidth="1"/>
    <col min="6389" max="6389" width="9" style="321" hidden="1" customWidth="1"/>
    <col min="6390" max="6390" width="8.81640625" style="321" customWidth="1"/>
    <col min="6391" max="6391" width="9.81640625" style="321" customWidth="1"/>
    <col min="6392" max="6392" width="10.54296875" style="321" customWidth="1"/>
    <col min="6393" max="6393" width="12.1796875" style="321" customWidth="1"/>
    <col min="6394" max="6394" width="11.1796875" style="321" customWidth="1"/>
    <col min="6395" max="6395" width="6.81640625" style="321" customWidth="1"/>
    <col min="6396" max="6635" width="30.54296875" style="321" customWidth="1"/>
    <col min="6636" max="6636" width="6.54296875" style="321" customWidth="1"/>
    <col min="6637" max="6637" width="7.54296875" style="321" customWidth="1"/>
    <col min="6638" max="6638" width="4.81640625" style="321" customWidth="1"/>
    <col min="6639" max="6639" width="11.81640625" style="321" customWidth="1"/>
    <col min="6640" max="6640" width="9.81640625" style="321" customWidth="1"/>
    <col min="6641" max="6641" width="3" style="321" customWidth="1"/>
    <col min="6642" max="6642" width="7.1796875" style="321" customWidth="1"/>
    <col min="6643" max="6643" width="22.81640625" style="321" customWidth="1"/>
    <col min="6644" max="6644" width="7.1796875" style="321" customWidth="1"/>
    <col min="6645" max="6645" width="9" style="321" hidden="1" customWidth="1"/>
    <col min="6646" max="6646" width="8.81640625" style="321" customWidth="1"/>
    <col min="6647" max="6647" width="9.81640625" style="321" customWidth="1"/>
    <col min="6648" max="6648" width="10.54296875" style="321" customWidth="1"/>
    <col min="6649" max="6649" width="12.1796875" style="321" customWidth="1"/>
    <col min="6650" max="6650" width="11.1796875" style="321" customWidth="1"/>
    <col min="6651" max="6651" width="6.81640625" style="321" customWidth="1"/>
    <col min="6652" max="6891" width="30.54296875" style="321" customWidth="1"/>
    <col min="6892" max="6892" width="6.54296875" style="321" customWidth="1"/>
    <col min="6893" max="6893" width="7.54296875" style="321" customWidth="1"/>
    <col min="6894" max="6894" width="4.81640625" style="321" customWidth="1"/>
    <col min="6895" max="6895" width="11.81640625" style="321" customWidth="1"/>
    <col min="6896" max="6896" width="9.81640625" style="321" customWidth="1"/>
    <col min="6897" max="6897" width="3" style="321" customWidth="1"/>
    <col min="6898" max="6898" width="7.1796875" style="321" customWidth="1"/>
    <col min="6899" max="6899" width="22.81640625" style="321" customWidth="1"/>
    <col min="6900" max="6900" width="7.1796875" style="321" customWidth="1"/>
    <col min="6901" max="6901" width="9" style="321" hidden="1" customWidth="1"/>
    <col min="6902" max="6902" width="8.81640625" style="321" customWidth="1"/>
    <col min="6903" max="6903" width="9.81640625" style="321" customWidth="1"/>
    <col min="6904" max="6904" width="10.54296875" style="321" customWidth="1"/>
    <col min="6905" max="6905" width="12.1796875" style="321" customWidth="1"/>
    <col min="6906" max="6906" width="11.1796875" style="321" customWidth="1"/>
    <col min="6907" max="6907" width="6.81640625" style="321" customWidth="1"/>
    <col min="6908" max="7147" width="30.54296875" style="321" customWidth="1"/>
    <col min="7148" max="7148" width="6.54296875" style="321" customWidth="1"/>
    <col min="7149" max="7149" width="7.54296875" style="321" customWidth="1"/>
    <col min="7150" max="7150" width="4.81640625" style="321" customWidth="1"/>
    <col min="7151" max="7151" width="11.81640625" style="321" customWidth="1"/>
    <col min="7152" max="7152" width="9.81640625" style="321" customWidth="1"/>
    <col min="7153" max="7153" width="3" style="321" customWidth="1"/>
    <col min="7154" max="7154" width="7.1796875" style="321" customWidth="1"/>
    <col min="7155" max="7155" width="22.81640625" style="321" customWidth="1"/>
    <col min="7156" max="7156" width="7.1796875" style="321" customWidth="1"/>
    <col min="7157" max="7157" width="9" style="321" hidden="1" customWidth="1"/>
    <col min="7158" max="7158" width="8.81640625" style="321" customWidth="1"/>
    <col min="7159" max="7159" width="9.81640625" style="321" customWidth="1"/>
    <col min="7160" max="7160" width="10.54296875" style="321" customWidth="1"/>
    <col min="7161" max="7161" width="12.1796875" style="321" customWidth="1"/>
    <col min="7162" max="7162" width="11.1796875" style="321" customWidth="1"/>
    <col min="7163" max="7163" width="6.81640625" style="321" customWidth="1"/>
    <col min="7164" max="7403" width="30.54296875" style="321" customWidth="1"/>
    <col min="7404" max="7404" width="6.54296875" style="321" customWidth="1"/>
    <col min="7405" max="7405" width="7.54296875" style="321" customWidth="1"/>
    <col min="7406" max="7406" width="4.81640625" style="321" customWidth="1"/>
    <col min="7407" max="7407" width="11.81640625" style="321" customWidth="1"/>
    <col min="7408" max="7408" width="9.81640625" style="321" customWidth="1"/>
    <col min="7409" max="7409" width="3" style="321" customWidth="1"/>
    <col min="7410" max="7410" width="7.1796875" style="321" customWidth="1"/>
    <col min="7411" max="7411" width="22.81640625" style="321" customWidth="1"/>
    <col min="7412" max="7412" width="7.1796875" style="321" customWidth="1"/>
    <col min="7413" max="7413" width="9" style="321" hidden="1" customWidth="1"/>
    <col min="7414" max="7414" width="8.81640625" style="321" customWidth="1"/>
    <col min="7415" max="7415" width="9.81640625" style="321" customWidth="1"/>
    <col min="7416" max="7416" width="10.54296875" style="321" customWidth="1"/>
    <col min="7417" max="7417" width="12.1796875" style="321" customWidth="1"/>
    <col min="7418" max="7418" width="11.1796875" style="321" customWidth="1"/>
    <col min="7419" max="7419" width="6.81640625" style="321" customWidth="1"/>
    <col min="7420" max="7659" width="30.54296875" style="321" customWidth="1"/>
    <col min="7660" max="7660" width="6.54296875" style="321" customWidth="1"/>
    <col min="7661" max="7661" width="7.54296875" style="321" customWidth="1"/>
    <col min="7662" max="7662" width="4.81640625" style="321" customWidth="1"/>
    <col min="7663" max="7663" width="11.81640625" style="321" customWidth="1"/>
    <col min="7664" max="7664" width="9.81640625" style="321" customWidth="1"/>
    <col min="7665" max="7665" width="3" style="321" customWidth="1"/>
    <col min="7666" max="7666" width="7.1796875" style="321" customWidth="1"/>
    <col min="7667" max="7667" width="22.81640625" style="321" customWidth="1"/>
    <col min="7668" max="7668" width="7.1796875" style="321" customWidth="1"/>
    <col min="7669" max="7669" width="9" style="321" hidden="1" customWidth="1"/>
    <col min="7670" max="7670" width="8.81640625" style="321" customWidth="1"/>
    <col min="7671" max="7671" width="9.81640625" style="321" customWidth="1"/>
    <col min="7672" max="7672" width="10.54296875" style="321" customWidth="1"/>
    <col min="7673" max="7673" width="12.1796875" style="321" customWidth="1"/>
    <col min="7674" max="7674" width="11.1796875" style="321" customWidth="1"/>
    <col min="7675" max="7675" width="6.81640625" style="321" customWidth="1"/>
    <col min="7676" max="7915" width="30.54296875" style="321" customWidth="1"/>
    <col min="7916" max="7916" width="6.54296875" style="321" customWidth="1"/>
    <col min="7917" max="7917" width="7.54296875" style="321" customWidth="1"/>
    <col min="7918" max="7918" width="4.81640625" style="321" customWidth="1"/>
    <col min="7919" max="7919" width="11.81640625" style="321" customWidth="1"/>
    <col min="7920" max="7920" width="9.81640625" style="321" customWidth="1"/>
    <col min="7921" max="7921" width="3" style="321" customWidth="1"/>
    <col min="7922" max="7922" width="7.1796875" style="321" customWidth="1"/>
    <col min="7923" max="7923" width="22.81640625" style="321" customWidth="1"/>
    <col min="7924" max="7924" width="7.1796875" style="321" customWidth="1"/>
    <col min="7925" max="7925" width="9" style="321" hidden="1" customWidth="1"/>
    <col min="7926" max="7926" width="8.81640625" style="321" customWidth="1"/>
    <col min="7927" max="7927" width="9.81640625" style="321" customWidth="1"/>
    <col min="7928" max="7928" width="10.54296875" style="321" customWidth="1"/>
    <col min="7929" max="7929" width="12.1796875" style="321" customWidth="1"/>
    <col min="7930" max="7930" width="11.1796875" style="321" customWidth="1"/>
    <col min="7931" max="7931" width="6.81640625" style="321" customWidth="1"/>
    <col min="7932" max="8171" width="30.54296875" style="321" customWidth="1"/>
    <col min="8172" max="8172" width="6.54296875" style="321" customWidth="1"/>
    <col min="8173" max="8173" width="7.54296875" style="321" customWidth="1"/>
    <col min="8174" max="8174" width="4.81640625" style="321" customWidth="1"/>
    <col min="8175" max="8175" width="11.81640625" style="321" customWidth="1"/>
    <col min="8176" max="8176" width="9.81640625" style="321" customWidth="1"/>
    <col min="8177" max="8177" width="3" style="321" customWidth="1"/>
    <col min="8178" max="8178" width="7.1796875" style="321" customWidth="1"/>
    <col min="8179" max="8179" width="22.81640625" style="321" customWidth="1"/>
    <col min="8180" max="8180" width="7.1796875" style="321" customWidth="1"/>
    <col min="8181" max="8181" width="9" style="321" hidden="1" customWidth="1"/>
    <col min="8182" max="8182" width="8.81640625" style="321" customWidth="1"/>
    <col min="8183" max="8183" width="9.81640625" style="321" customWidth="1"/>
    <col min="8184" max="8184" width="10.54296875" style="321" customWidth="1"/>
    <col min="8185" max="8185" width="12.1796875" style="321" customWidth="1"/>
    <col min="8186" max="8186" width="11.1796875" style="321" customWidth="1"/>
    <col min="8187" max="8187" width="6.81640625" style="321" customWidth="1"/>
    <col min="8188" max="8427" width="30.54296875" style="321" customWidth="1"/>
    <col min="8428" max="8428" width="6.54296875" style="321" customWidth="1"/>
    <col min="8429" max="8429" width="7.54296875" style="321" customWidth="1"/>
    <col min="8430" max="8430" width="4.81640625" style="321" customWidth="1"/>
    <col min="8431" max="8431" width="11.81640625" style="321" customWidth="1"/>
    <col min="8432" max="8432" width="9.81640625" style="321" customWidth="1"/>
    <col min="8433" max="8433" width="3" style="321" customWidth="1"/>
    <col min="8434" max="8434" width="7.1796875" style="321" customWidth="1"/>
    <col min="8435" max="8435" width="22.81640625" style="321" customWidth="1"/>
    <col min="8436" max="8436" width="7.1796875" style="321" customWidth="1"/>
    <col min="8437" max="8437" width="9" style="321" hidden="1" customWidth="1"/>
    <col min="8438" max="8438" width="8.81640625" style="321" customWidth="1"/>
    <col min="8439" max="8439" width="9.81640625" style="321" customWidth="1"/>
    <col min="8440" max="8440" width="10.54296875" style="321" customWidth="1"/>
    <col min="8441" max="8441" width="12.1796875" style="321" customWidth="1"/>
    <col min="8442" max="8442" width="11.1796875" style="321" customWidth="1"/>
    <col min="8443" max="8443" width="6.81640625" style="321" customWidth="1"/>
    <col min="8444" max="8683" width="30.54296875" style="321" customWidth="1"/>
    <col min="8684" max="8684" width="6.54296875" style="321" customWidth="1"/>
    <col min="8685" max="8685" width="7.54296875" style="321" customWidth="1"/>
    <col min="8686" max="8686" width="4.81640625" style="321" customWidth="1"/>
    <col min="8687" max="8687" width="11.81640625" style="321" customWidth="1"/>
    <col min="8688" max="8688" width="9.81640625" style="321" customWidth="1"/>
    <col min="8689" max="8689" width="3" style="321" customWidth="1"/>
    <col min="8690" max="8690" width="7.1796875" style="321" customWidth="1"/>
    <col min="8691" max="8691" width="22.81640625" style="321" customWidth="1"/>
    <col min="8692" max="8692" width="7.1796875" style="321" customWidth="1"/>
    <col min="8693" max="8693" width="9" style="321" hidden="1" customWidth="1"/>
    <col min="8694" max="8694" width="8.81640625" style="321" customWidth="1"/>
    <col min="8695" max="8695" width="9.81640625" style="321" customWidth="1"/>
    <col min="8696" max="8696" width="10.54296875" style="321" customWidth="1"/>
    <col min="8697" max="8697" width="12.1796875" style="321" customWidth="1"/>
    <col min="8698" max="8698" width="11.1796875" style="321" customWidth="1"/>
    <col min="8699" max="8699" width="6.81640625" style="321" customWidth="1"/>
    <col min="8700" max="8939" width="30.54296875" style="321" customWidth="1"/>
    <col min="8940" max="8940" width="6.54296875" style="321" customWidth="1"/>
    <col min="8941" max="8941" width="7.54296875" style="321" customWidth="1"/>
    <col min="8942" max="8942" width="4.81640625" style="321" customWidth="1"/>
    <col min="8943" max="8943" width="11.81640625" style="321" customWidth="1"/>
    <col min="8944" max="8944" width="9.81640625" style="321" customWidth="1"/>
    <col min="8945" max="8945" width="3" style="321" customWidth="1"/>
    <col min="8946" max="8946" width="7.1796875" style="321" customWidth="1"/>
    <col min="8947" max="8947" width="22.81640625" style="321" customWidth="1"/>
    <col min="8948" max="8948" width="7.1796875" style="321" customWidth="1"/>
    <col min="8949" max="8949" width="9" style="321" hidden="1" customWidth="1"/>
    <col min="8950" max="8950" width="8.81640625" style="321" customWidth="1"/>
    <col min="8951" max="8951" width="9.81640625" style="321" customWidth="1"/>
    <col min="8952" max="8952" width="10.54296875" style="321" customWidth="1"/>
    <col min="8953" max="8953" width="12.1796875" style="321" customWidth="1"/>
    <col min="8954" max="8954" width="11.1796875" style="321" customWidth="1"/>
    <col min="8955" max="8955" width="6.81640625" style="321" customWidth="1"/>
    <col min="8956" max="9195" width="30.54296875" style="321" customWidth="1"/>
    <col min="9196" max="9196" width="6.54296875" style="321" customWidth="1"/>
    <col min="9197" max="9197" width="7.54296875" style="321" customWidth="1"/>
    <col min="9198" max="9198" width="4.81640625" style="321" customWidth="1"/>
    <col min="9199" max="9199" width="11.81640625" style="321" customWidth="1"/>
    <col min="9200" max="9200" width="9.81640625" style="321" customWidth="1"/>
    <col min="9201" max="9201" width="3" style="321" customWidth="1"/>
    <col min="9202" max="9202" width="7.1796875" style="321" customWidth="1"/>
    <col min="9203" max="9203" width="22.81640625" style="321" customWidth="1"/>
    <col min="9204" max="9204" width="7.1796875" style="321" customWidth="1"/>
    <col min="9205" max="9205" width="9" style="321" hidden="1" customWidth="1"/>
    <col min="9206" max="9206" width="8.81640625" style="321" customWidth="1"/>
    <col min="9207" max="9207" width="9.81640625" style="321" customWidth="1"/>
    <col min="9208" max="9208" width="10.54296875" style="321" customWidth="1"/>
    <col min="9209" max="9209" width="12.1796875" style="321" customWidth="1"/>
    <col min="9210" max="9210" width="11.1796875" style="321" customWidth="1"/>
    <col min="9211" max="9211" width="6.81640625" style="321" customWidth="1"/>
    <col min="9212" max="9451" width="30.54296875" style="321" customWidth="1"/>
    <col min="9452" max="9452" width="6.54296875" style="321" customWidth="1"/>
    <col min="9453" max="9453" width="7.54296875" style="321" customWidth="1"/>
    <col min="9454" max="9454" width="4.81640625" style="321" customWidth="1"/>
    <col min="9455" max="9455" width="11.81640625" style="321" customWidth="1"/>
    <col min="9456" max="9456" width="9.81640625" style="321" customWidth="1"/>
    <col min="9457" max="9457" width="3" style="321" customWidth="1"/>
    <col min="9458" max="9458" width="7.1796875" style="321" customWidth="1"/>
    <col min="9459" max="9459" width="22.81640625" style="321" customWidth="1"/>
    <col min="9460" max="9460" width="7.1796875" style="321" customWidth="1"/>
    <col min="9461" max="9461" width="9" style="321" hidden="1" customWidth="1"/>
    <col min="9462" max="9462" width="8.81640625" style="321" customWidth="1"/>
    <col min="9463" max="9463" width="9.81640625" style="321" customWidth="1"/>
    <col min="9464" max="9464" width="10.54296875" style="321" customWidth="1"/>
    <col min="9465" max="9465" width="12.1796875" style="321" customWidth="1"/>
    <col min="9466" max="9466" width="11.1796875" style="321" customWidth="1"/>
    <col min="9467" max="9467" width="6.81640625" style="321" customWidth="1"/>
    <col min="9468" max="9707" width="30.54296875" style="321" customWidth="1"/>
    <col min="9708" max="9708" width="6.54296875" style="321" customWidth="1"/>
    <col min="9709" max="9709" width="7.54296875" style="321" customWidth="1"/>
    <col min="9710" max="9710" width="4.81640625" style="321" customWidth="1"/>
    <col min="9711" max="9711" width="11.81640625" style="321" customWidth="1"/>
    <col min="9712" max="9712" width="9.81640625" style="321" customWidth="1"/>
    <col min="9713" max="9713" width="3" style="321" customWidth="1"/>
    <col min="9714" max="9714" width="7.1796875" style="321" customWidth="1"/>
    <col min="9715" max="9715" width="22.81640625" style="321" customWidth="1"/>
    <col min="9716" max="9716" width="7.1796875" style="321" customWidth="1"/>
    <col min="9717" max="9717" width="9" style="321" hidden="1" customWidth="1"/>
    <col min="9718" max="9718" width="8.81640625" style="321" customWidth="1"/>
    <col min="9719" max="9719" width="9.81640625" style="321" customWidth="1"/>
    <col min="9720" max="9720" width="10.54296875" style="321" customWidth="1"/>
    <col min="9721" max="9721" width="12.1796875" style="321" customWidth="1"/>
    <col min="9722" max="9722" width="11.1796875" style="321" customWidth="1"/>
    <col min="9723" max="9723" width="6.81640625" style="321" customWidth="1"/>
    <col min="9724" max="9963" width="30.54296875" style="321" customWidth="1"/>
    <col min="9964" max="9964" width="6.54296875" style="321" customWidth="1"/>
    <col min="9965" max="9965" width="7.54296875" style="321" customWidth="1"/>
    <col min="9966" max="9966" width="4.81640625" style="321" customWidth="1"/>
    <col min="9967" max="9967" width="11.81640625" style="321" customWidth="1"/>
    <col min="9968" max="9968" width="9.81640625" style="321" customWidth="1"/>
    <col min="9969" max="9969" width="3" style="321" customWidth="1"/>
    <col min="9970" max="9970" width="7.1796875" style="321" customWidth="1"/>
    <col min="9971" max="9971" width="22.81640625" style="321" customWidth="1"/>
    <col min="9972" max="9972" width="7.1796875" style="321" customWidth="1"/>
    <col min="9973" max="9973" width="9" style="321" hidden="1" customWidth="1"/>
    <col min="9974" max="9974" width="8.81640625" style="321" customWidth="1"/>
    <col min="9975" max="9975" width="9.81640625" style="321" customWidth="1"/>
    <col min="9976" max="9976" width="10.54296875" style="321" customWidth="1"/>
    <col min="9977" max="9977" width="12.1796875" style="321" customWidth="1"/>
    <col min="9978" max="9978" width="11.1796875" style="321" customWidth="1"/>
    <col min="9979" max="9979" width="6.81640625" style="321" customWidth="1"/>
    <col min="9980" max="10219" width="30.54296875" style="321" customWidth="1"/>
    <col min="10220" max="10220" width="6.54296875" style="321" customWidth="1"/>
    <col min="10221" max="10221" width="7.54296875" style="321" customWidth="1"/>
    <col min="10222" max="10222" width="4.81640625" style="321" customWidth="1"/>
    <col min="10223" max="10223" width="11.81640625" style="321" customWidth="1"/>
    <col min="10224" max="10224" width="9.81640625" style="321" customWidth="1"/>
    <col min="10225" max="10225" width="3" style="321" customWidth="1"/>
    <col min="10226" max="10226" width="7.1796875" style="321" customWidth="1"/>
    <col min="10227" max="10227" width="22.81640625" style="321" customWidth="1"/>
    <col min="10228" max="10228" width="7.1796875" style="321" customWidth="1"/>
    <col min="10229" max="10229" width="9" style="321" hidden="1" customWidth="1"/>
    <col min="10230" max="10230" width="8.81640625" style="321" customWidth="1"/>
    <col min="10231" max="10231" width="9.81640625" style="321" customWidth="1"/>
    <col min="10232" max="10232" width="10.54296875" style="321" customWidth="1"/>
    <col min="10233" max="10233" width="12.1796875" style="321" customWidth="1"/>
    <col min="10234" max="10234" width="11.1796875" style="321" customWidth="1"/>
    <col min="10235" max="10235" width="6.81640625" style="321" customWidth="1"/>
    <col min="10236" max="10475" width="30.54296875" style="321" customWidth="1"/>
    <col min="10476" max="10476" width="6.54296875" style="321" customWidth="1"/>
    <col min="10477" max="10477" width="7.54296875" style="321" customWidth="1"/>
    <col min="10478" max="10478" width="4.81640625" style="321" customWidth="1"/>
    <col min="10479" max="10479" width="11.81640625" style="321" customWidth="1"/>
    <col min="10480" max="10480" width="9.81640625" style="321" customWidth="1"/>
    <col min="10481" max="10481" width="3" style="321" customWidth="1"/>
    <col min="10482" max="10482" width="7.1796875" style="321" customWidth="1"/>
    <col min="10483" max="10483" width="22.81640625" style="321" customWidth="1"/>
    <col min="10484" max="10484" width="7.1796875" style="321" customWidth="1"/>
    <col min="10485" max="10485" width="9" style="321" hidden="1" customWidth="1"/>
    <col min="10486" max="10486" width="8.81640625" style="321" customWidth="1"/>
    <col min="10487" max="10487" width="9.81640625" style="321" customWidth="1"/>
    <col min="10488" max="10488" width="10.54296875" style="321" customWidth="1"/>
    <col min="10489" max="10489" width="12.1796875" style="321" customWidth="1"/>
    <col min="10490" max="10490" width="11.1796875" style="321" customWidth="1"/>
    <col min="10491" max="10491" width="6.81640625" style="321" customWidth="1"/>
    <col min="10492" max="10731" width="30.54296875" style="321" customWidth="1"/>
    <col min="10732" max="10732" width="6.54296875" style="321" customWidth="1"/>
    <col min="10733" max="10733" width="7.54296875" style="321" customWidth="1"/>
    <col min="10734" max="10734" width="4.81640625" style="321" customWidth="1"/>
    <col min="10735" max="10735" width="11.81640625" style="321" customWidth="1"/>
    <col min="10736" max="10736" width="9.81640625" style="321" customWidth="1"/>
    <col min="10737" max="10737" width="3" style="321" customWidth="1"/>
    <col min="10738" max="10738" width="7.1796875" style="321" customWidth="1"/>
    <col min="10739" max="10739" width="22.81640625" style="321" customWidth="1"/>
    <col min="10740" max="10740" width="7.1796875" style="321" customWidth="1"/>
    <col min="10741" max="10741" width="9" style="321" hidden="1" customWidth="1"/>
    <col min="10742" max="10742" width="8.81640625" style="321" customWidth="1"/>
    <col min="10743" max="10743" width="9.81640625" style="321" customWidth="1"/>
    <col min="10744" max="10744" width="10.54296875" style="321" customWidth="1"/>
    <col min="10745" max="10745" width="12.1796875" style="321" customWidth="1"/>
    <col min="10746" max="10746" width="11.1796875" style="321" customWidth="1"/>
    <col min="10747" max="10747" width="6.81640625" style="321" customWidth="1"/>
    <col min="10748" max="10987" width="30.54296875" style="321" customWidth="1"/>
    <col min="10988" max="10988" width="6.54296875" style="321" customWidth="1"/>
    <col min="10989" max="10989" width="7.54296875" style="321" customWidth="1"/>
    <col min="10990" max="10990" width="4.81640625" style="321" customWidth="1"/>
    <col min="10991" max="10991" width="11.81640625" style="321" customWidth="1"/>
    <col min="10992" max="10992" width="9.81640625" style="321" customWidth="1"/>
    <col min="10993" max="10993" width="3" style="321" customWidth="1"/>
    <col min="10994" max="10994" width="7.1796875" style="321" customWidth="1"/>
    <col min="10995" max="10995" width="22.81640625" style="321" customWidth="1"/>
    <col min="10996" max="10996" width="7.1796875" style="321" customWidth="1"/>
    <col min="10997" max="10997" width="9" style="321" hidden="1" customWidth="1"/>
    <col min="10998" max="10998" width="8.81640625" style="321" customWidth="1"/>
    <col min="10999" max="10999" width="9.81640625" style="321" customWidth="1"/>
    <col min="11000" max="11000" width="10.54296875" style="321" customWidth="1"/>
    <col min="11001" max="11001" width="12.1796875" style="321" customWidth="1"/>
    <col min="11002" max="11002" width="11.1796875" style="321" customWidth="1"/>
    <col min="11003" max="11003" width="6.81640625" style="321" customWidth="1"/>
    <col min="11004" max="11243" width="30.54296875" style="321" customWidth="1"/>
    <col min="11244" max="11244" width="6.54296875" style="321" customWidth="1"/>
    <col min="11245" max="11245" width="7.54296875" style="321" customWidth="1"/>
    <col min="11246" max="11246" width="4.81640625" style="321" customWidth="1"/>
    <col min="11247" max="11247" width="11.81640625" style="321" customWidth="1"/>
    <col min="11248" max="11248" width="9.81640625" style="321" customWidth="1"/>
    <col min="11249" max="11249" width="3" style="321" customWidth="1"/>
    <col min="11250" max="11250" width="7.1796875" style="321" customWidth="1"/>
    <col min="11251" max="11251" width="22.81640625" style="321" customWidth="1"/>
    <col min="11252" max="11252" width="7.1796875" style="321" customWidth="1"/>
    <col min="11253" max="11253" width="9" style="321" hidden="1" customWidth="1"/>
    <col min="11254" max="11254" width="8.81640625" style="321" customWidth="1"/>
    <col min="11255" max="11255" width="9.81640625" style="321" customWidth="1"/>
    <col min="11256" max="11256" width="10.54296875" style="321" customWidth="1"/>
    <col min="11257" max="11257" width="12.1796875" style="321" customWidth="1"/>
    <col min="11258" max="11258" width="11.1796875" style="321" customWidth="1"/>
    <col min="11259" max="11259" width="6.81640625" style="321" customWidth="1"/>
    <col min="11260" max="11499" width="30.54296875" style="321" customWidth="1"/>
    <col min="11500" max="11500" width="6.54296875" style="321" customWidth="1"/>
    <col min="11501" max="11501" width="7.54296875" style="321" customWidth="1"/>
    <col min="11502" max="11502" width="4.81640625" style="321" customWidth="1"/>
    <col min="11503" max="11503" width="11.81640625" style="321" customWidth="1"/>
    <col min="11504" max="11504" width="9.81640625" style="321" customWidth="1"/>
    <col min="11505" max="11505" width="3" style="321" customWidth="1"/>
    <col min="11506" max="11506" width="7.1796875" style="321" customWidth="1"/>
    <col min="11507" max="11507" width="22.81640625" style="321" customWidth="1"/>
    <col min="11508" max="11508" width="7.1796875" style="321" customWidth="1"/>
    <col min="11509" max="11509" width="9" style="321" hidden="1" customWidth="1"/>
    <col min="11510" max="11510" width="8.81640625" style="321" customWidth="1"/>
    <col min="11511" max="11511" width="9.81640625" style="321" customWidth="1"/>
    <col min="11512" max="11512" width="10.54296875" style="321" customWidth="1"/>
    <col min="11513" max="11513" width="12.1796875" style="321" customWidth="1"/>
    <col min="11514" max="11514" width="11.1796875" style="321" customWidth="1"/>
    <col min="11515" max="11515" width="6.81640625" style="321" customWidth="1"/>
    <col min="11516" max="11755" width="30.54296875" style="321" customWidth="1"/>
    <col min="11756" max="11756" width="6.54296875" style="321" customWidth="1"/>
    <col min="11757" max="11757" width="7.54296875" style="321" customWidth="1"/>
    <col min="11758" max="11758" width="4.81640625" style="321" customWidth="1"/>
    <col min="11759" max="11759" width="11.81640625" style="321" customWidth="1"/>
    <col min="11760" max="11760" width="9.81640625" style="321" customWidth="1"/>
    <col min="11761" max="11761" width="3" style="321" customWidth="1"/>
    <col min="11762" max="11762" width="7.1796875" style="321" customWidth="1"/>
    <col min="11763" max="11763" width="22.81640625" style="321" customWidth="1"/>
    <col min="11764" max="11764" width="7.1796875" style="321" customWidth="1"/>
    <col min="11765" max="11765" width="9" style="321" hidden="1" customWidth="1"/>
    <col min="11766" max="11766" width="8.81640625" style="321" customWidth="1"/>
    <col min="11767" max="11767" width="9.81640625" style="321" customWidth="1"/>
    <col min="11768" max="11768" width="10.54296875" style="321" customWidth="1"/>
    <col min="11769" max="11769" width="12.1796875" style="321" customWidth="1"/>
    <col min="11770" max="11770" width="11.1796875" style="321" customWidth="1"/>
    <col min="11771" max="11771" width="6.81640625" style="321" customWidth="1"/>
    <col min="11772" max="12011" width="30.54296875" style="321" customWidth="1"/>
    <col min="12012" max="12012" width="6.54296875" style="321" customWidth="1"/>
    <col min="12013" max="12013" width="7.54296875" style="321" customWidth="1"/>
    <col min="12014" max="12014" width="4.81640625" style="321" customWidth="1"/>
    <col min="12015" max="12015" width="11.81640625" style="321" customWidth="1"/>
    <col min="12016" max="12016" width="9.81640625" style="321" customWidth="1"/>
    <col min="12017" max="12017" width="3" style="321" customWidth="1"/>
    <col min="12018" max="12018" width="7.1796875" style="321" customWidth="1"/>
    <col min="12019" max="12019" width="22.81640625" style="321" customWidth="1"/>
    <col min="12020" max="12020" width="7.1796875" style="321" customWidth="1"/>
    <col min="12021" max="12021" width="9" style="321" hidden="1" customWidth="1"/>
    <col min="12022" max="12022" width="8.81640625" style="321" customWidth="1"/>
    <col min="12023" max="12023" width="9.81640625" style="321" customWidth="1"/>
    <col min="12024" max="12024" width="10.54296875" style="321" customWidth="1"/>
    <col min="12025" max="12025" width="12.1796875" style="321" customWidth="1"/>
    <col min="12026" max="12026" width="11.1796875" style="321" customWidth="1"/>
    <col min="12027" max="12027" width="6.81640625" style="321" customWidth="1"/>
    <col min="12028" max="12267" width="30.54296875" style="321" customWidth="1"/>
    <col min="12268" max="12268" width="6.54296875" style="321" customWidth="1"/>
    <col min="12269" max="12269" width="7.54296875" style="321" customWidth="1"/>
    <col min="12270" max="12270" width="4.81640625" style="321" customWidth="1"/>
    <col min="12271" max="12271" width="11.81640625" style="321" customWidth="1"/>
    <col min="12272" max="12272" width="9.81640625" style="321" customWidth="1"/>
    <col min="12273" max="12273" width="3" style="321" customWidth="1"/>
    <col min="12274" max="12274" width="7.1796875" style="321" customWidth="1"/>
    <col min="12275" max="12275" width="22.81640625" style="321" customWidth="1"/>
    <col min="12276" max="12276" width="7.1796875" style="321" customWidth="1"/>
    <col min="12277" max="12277" width="9" style="321" hidden="1" customWidth="1"/>
    <col min="12278" max="12278" width="8.81640625" style="321" customWidth="1"/>
    <col min="12279" max="12279" width="9.81640625" style="321" customWidth="1"/>
    <col min="12280" max="12280" width="10.54296875" style="321" customWidth="1"/>
    <col min="12281" max="12281" width="12.1796875" style="321" customWidth="1"/>
    <col min="12282" max="12282" width="11.1796875" style="321" customWidth="1"/>
    <col min="12283" max="12283" width="6.81640625" style="321" customWidth="1"/>
    <col min="12284" max="12523" width="30.54296875" style="321" customWidth="1"/>
    <col min="12524" max="12524" width="6.54296875" style="321" customWidth="1"/>
    <col min="12525" max="12525" width="7.54296875" style="321" customWidth="1"/>
    <col min="12526" max="12526" width="4.81640625" style="321" customWidth="1"/>
    <col min="12527" max="12527" width="11.81640625" style="321" customWidth="1"/>
    <col min="12528" max="12528" width="9.81640625" style="321" customWidth="1"/>
    <col min="12529" max="12529" width="3" style="321" customWidth="1"/>
    <col min="12530" max="12530" width="7.1796875" style="321" customWidth="1"/>
    <col min="12531" max="12531" width="22.81640625" style="321" customWidth="1"/>
    <col min="12532" max="12532" width="7.1796875" style="321" customWidth="1"/>
    <col min="12533" max="12533" width="9" style="321" hidden="1" customWidth="1"/>
    <col min="12534" max="12534" width="8.81640625" style="321" customWidth="1"/>
    <col min="12535" max="12535" width="9.81640625" style="321" customWidth="1"/>
    <col min="12536" max="12536" width="10.54296875" style="321" customWidth="1"/>
    <col min="12537" max="12537" width="12.1796875" style="321" customWidth="1"/>
    <col min="12538" max="12538" width="11.1796875" style="321" customWidth="1"/>
    <col min="12539" max="12539" width="6.81640625" style="321" customWidth="1"/>
    <col min="12540" max="12779" width="30.54296875" style="321" customWidth="1"/>
    <col min="12780" max="12780" width="6.54296875" style="321" customWidth="1"/>
    <col min="12781" max="12781" width="7.54296875" style="321" customWidth="1"/>
    <col min="12782" max="12782" width="4.81640625" style="321" customWidth="1"/>
    <col min="12783" max="12783" width="11.81640625" style="321" customWidth="1"/>
    <col min="12784" max="12784" width="9.81640625" style="321" customWidth="1"/>
    <col min="12785" max="12785" width="3" style="321" customWidth="1"/>
    <col min="12786" max="12786" width="7.1796875" style="321" customWidth="1"/>
    <col min="12787" max="12787" width="22.81640625" style="321" customWidth="1"/>
    <col min="12788" max="12788" width="7.1796875" style="321" customWidth="1"/>
    <col min="12789" max="12789" width="9" style="321" hidden="1" customWidth="1"/>
    <col min="12790" max="12790" width="8.81640625" style="321" customWidth="1"/>
    <col min="12791" max="12791" width="9.81640625" style="321" customWidth="1"/>
    <col min="12792" max="12792" width="10.54296875" style="321" customWidth="1"/>
    <col min="12793" max="12793" width="12.1796875" style="321" customWidth="1"/>
    <col min="12794" max="12794" width="11.1796875" style="321" customWidth="1"/>
    <col min="12795" max="12795" width="6.81640625" style="321" customWidth="1"/>
    <col min="12796" max="13035" width="30.54296875" style="321" customWidth="1"/>
    <col min="13036" max="13036" width="6.54296875" style="321" customWidth="1"/>
    <col min="13037" max="13037" width="7.54296875" style="321" customWidth="1"/>
    <col min="13038" max="13038" width="4.81640625" style="321" customWidth="1"/>
    <col min="13039" max="13039" width="11.81640625" style="321" customWidth="1"/>
    <col min="13040" max="13040" width="9.81640625" style="321" customWidth="1"/>
    <col min="13041" max="13041" width="3" style="321" customWidth="1"/>
    <col min="13042" max="13042" width="7.1796875" style="321" customWidth="1"/>
    <col min="13043" max="13043" width="22.81640625" style="321" customWidth="1"/>
    <col min="13044" max="13044" width="7.1796875" style="321" customWidth="1"/>
    <col min="13045" max="13045" width="9" style="321" hidden="1" customWidth="1"/>
    <col min="13046" max="13046" width="8.81640625" style="321" customWidth="1"/>
    <col min="13047" max="13047" width="9.81640625" style="321" customWidth="1"/>
    <col min="13048" max="13048" width="10.54296875" style="321" customWidth="1"/>
    <col min="13049" max="13049" width="12.1796875" style="321" customWidth="1"/>
    <col min="13050" max="13050" width="11.1796875" style="321" customWidth="1"/>
    <col min="13051" max="13051" width="6.81640625" style="321" customWidth="1"/>
    <col min="13052" max="13291" width="30.54296875" style="321" customWidth="1"/>
    <col min="13292" max="13292" width="6.54296875" style="321" customWidth="1"/>
    <col min="13293" max="13293" width="7.54296875" style="321" customWidth="1"/>
    <col min="13294" max="13294" width="4.81640625" style="321" customWidth="1"/>
    <col min="13295" max="13295" width="11.81640625" style="321" customWidth="1"/>
    <col min="13296" max="13296" width="9.81640625" style="321" customWidth="1"/>
    <col min="13297" max="13297" width="3" style="321" customWidth="1"/>
    <col min="13298" max="13298" width="7.1796875" style="321" customWidth="1"/>
    <col min="13299" max="13299" width="22.81640625" style="321" customWidth="1"/>
    <col min="13300" max="13300" width="7.1796875" style="321" customWidth="1"/>
    <col min="13301" max="13301" width="9" style="321" hidden="1" customWidth="1"/>
    <col min="13302" max="13302" width="8.81640625" style="321" customWidth="1"/>
    <col min="13303" max="13303" width="9.81640625" style="321" customWidth="1"/>
    <col min="13304" max="13304" width="10.54296875" style="321" customWidth="1"/>
    <col min="13305" max="13305" width="12.1796875" style="321" customWidth="1"/>
    <col min="13306" max="13306" width="11.1796875" style="321" customWidth="1"/>
    <col min="13307" max="13307" width="6.81640625" style="321" customWidth="1"/>
    <col min="13308" max="13547" width="30.54296875" style="321" customWidth="1"/>
    <col min="13548" max="13548" width="6.54296875" style="321" customWidth="1"/>
    <col min="13549" max="13549" width="7.54296875" style="321" customWidth="1"/>
    <col min="13550" max="13550" width="4.81640625" style="321" customWidth="1"/>
    <col min="13551" max="13551" width="11.81640625" style="321" customWidth="1"/>
    <col min="13552" max="13552" width="9.81640625" style="321" customWidth="1"/>
    <col min="13553" max="13553" width="3" style="321" customWidth="1"/>
    <col min="13554" max="13554" width="7.1796875" style="321" customWidth="1"/>
    <col min="13555" max="13555" width="22.81640625" style="321" customWidth="1"/>
    <col min="13556" max="13556" width="7.1796875" style="321" customWidth="1"/>
    <col min="13557" max="13557" width="9" style="321" hidden="1" customWidth="1"/>
    <col min="13558" max="13558" width="8.81640625" style="321" customWidth="1"/>
    <col min="13559" max="13559" width="9.81640625" style="321" customWidth="1"/>
    <col min="13560" max="13560" width="10.54296875" style="321" customWidth="1"/>
    <col min="13561" max="13561" width="12.1796875" style="321" customWidth="1"/>
    <col min="13562" max="13562" width="11.1796875" style="321" customWidth="1"/>
    <col min="13563" max="13563" width="6.81640625" style="321" customWidth="1"/>
    <col min="13564" max="13803" width="30.54296875" style="321" customWidth="1"/>
    <col min="13804" max="13804" width="6.54296875" style="321" customWidth="1"/>
    <col min="13805" max="13805" width="7.54296875" style="321" customWidth="1"/>
    <col min="13806" max="13806" width="4.81640625" style="321" customWidth="1"/>
    <col min="13807" max="13807" width="11.81640625" style="321" customWidth="1"/>
    <col min="13808" max="13808" width="9.81640625" style="321" customWidth="1"/>
    <col min="13809" max="13809" width="3" style="321" customWidth="1"/>
    <col min="13810" max="13810" width="7.1796875" style="321" customWidth="1"/>
    <col min="13811" max="13811" width="22.81640625" style="321" customWidth="1"/>
    <col min="13812" max="13812" width="7.1796875" style="321" customWidth="1"/>
    <col min="13813" max="13813" width="9" style="321" hidden="1" customWidth="1"/>
    <col min="13814" max="13814" width="8.81640625" style="321" customWidth="1"/>
    <col min="13815" max="13815" width="9.81640625" style="321" customWidth="1"/>
    <col min="13816" max="13816" width="10.54296875" style="321" customWidth="1"/>
    <col min="13817" max="13817" width="12.1796875" style="321" customWidth="1"/>
    <col min="13818" max="13818" width="11.1796875" style="321" customWidth="1"/>
    <col min="13819" max="13819" width="6.81640625" style="321" customWidth="1"/>
    <col min="13820" max="14059" width="30.54296875" style="321" customWidth="1"/>
    <col min="14060" max="14060" width="6.54296875" style="321" customWidth="1"/>
    <col min="14061" max="14061" width="7.54296875" style="321" customWidth="1"/>
    <col min="14062" max="14062" width="4.81640625" style="321" customWidth="1"/>
    <col min="14063" max="14063" width="11.81640625" style="321" customWidth="1"/>
    <col min="14064" max="14064" width="9.81640625" style="321" customWidth="1"/>
    <col min="14065" max="14065" width="3" style="321" customWidth="1"/>
    <col min="14066" max="14066" width="7.1796875" style="321" customWidth="1"/>
    <col min="14067" max="14067" width="22.81640625" style="321" customWidth="1"/>
    <col min="14068" max="14068" width="7.1796875" style="321" customWidth="1"/>
    <col min="14069" max="14069" width="9" style="321" hidden="1" customWidth="1"/>
    <col min="14070" max="14070" width="8.81640625" style="321" customWidth="1"/>
    <col min="14071" max="14071" width="9.81640625" style="321" customWidth="1"/>
    <col min="14072" max="14072" width="10.54296875" style="321" customWidth="1"/>
    <col min="14073" max="14073" width="12.1796875" style="321" customWidth="1"/>
    <col min="14074" max="14074" width="11.1796875" style="321" customWidth="1"/>
    <col min="14075" max="14075" width="6.81640625" style="321" customWidth="1"/>
    <col min="14076" max="14315" width="30.54296875" style="321" customWidth="1"/>
    <col min="14316" max="14316" width="6.54296875" style="321" customWidth="1"/>
    <col min="14317" max="14317" width="7.54296875" style="321" customWidth="1"/>
    <col min="14318" max="14318" width="4.81640625" style="321" customWidth="1"/>
    <col min="14319" max="14319" width="11.81640625" style="321" customWidth="1"/>
    <col min="14320" max="14320" width="9.81640625" style="321" customWidth="1"/>
    <col min="14321" max="14321" width="3" style="321" customWidth="1"/>
    <col min="14322" max="14322" width="7.1796875" style="321" customWidth="1"/>
    <col min="14323" max="14323" width="22.81640625" style="321" customWidth="1"/>
    <col min="14324" max="14324" width="7.1796875" style="321" customWidth="1"/>
    <col min="14325" max="14325" width="9" style="321" hidden="1" customWidth="1"/>
    <col min="14326" max="14326" width="8.81640625" style="321" customWidth="1"/>
    <col min="14327" max="14327" width="9.81640625" style="321" customWidth="1"/>
    <col min="14328" max="14328" width="10.54296875" style="321" customWidth="1"/>
    <col min="14329" max="14329" width="12.1796875" style="321" customWidth="1"/>
    <col min="14330" max="14330" width="11.1796875" style="321" customWidth="1"/>
    <col min="14331" max="14331" width="6.81640625" style="321" customWidth="1"/>
    <col min="14332" max="14571" width="30.54296875" style="321" customWidth="1"/>
    <col min="14572" max="14572" width="6.54296875" style="321" customWidth="1"/>
    <col min="14573" max="14573" width="7.54296875" style="321" customWidth="1"/>
    <col min="14574" max="14574" width="4.81640625" style="321" customWidth="1"/>
    <col min="14575" max="14575" width="11.81640625" style="321" customWidth="1"/>
    <col min="14576" max="14576" width="9.81640625" style="321" customWidth="1"/>
    <col min="14577" max="14577" width="3" style="321" customWidth="1"/>
    <col min="14578" max="14578" width="7.1796875" style="321" customWidth="1"/>
    <col min="14579" max="14579" width="22.81640625" style="321" customWidth="1"/>
    <col min="14580" max="14580" width="7.1796875" style="321" customWidth="1"/>
    <col min="14581" max="14581" width="9" style="321" hidden="1" customWidth="1"/>
    <col min="14582" max="14582" width="8.81640625" style="321" customWidth="1"/>
    <col min="14583" max="14583" width="9.81640625" style="321" customWidth="1"/>
    <col min="14584" max="14584" width="10.54296875" style="321" customWidth="1"/>
    <col min="14585" max="14585" width="12.1796875" style="321" customWidth="1"/>
    <col min="14586" max="14586" width="11.1796875" style="321" customWidth="1"/>
    <col min="14587" max="14587" width="6.81640625" style="321" customWidth="1"/>
    <col min="14588" max="14827" width="30.54296875" style="321" customWidth="1"/>
    <col min="14828" max="14828" width="6.54296875" style="321" customWidth="1"/>
    <col min="14829" max="14829" width="7.54296875" style="321" customWidth="1"/>
    <col min="14830" max="14830" width="4.81640625" style="321" customWidth="1"/>
    <col min="14831" max="14831" width="11.81640625" style="321" customWidth="1"/>
    <col min="14832" max="14832" width="9.81640625" style="321" customWidth="1"/>
    <col min="14833" max="14833" width="3" style="321" customWidth="1"/>
    <col min="14834" max="14834" width="7.1796875" style="321" customWidth="1"/>
    <col min="14835" max="14835" width="22.81640625" style="321" customWidth="1"/>
    <col min="14836" max="14836" width="7.1796875" style="321" customWidth="1"/>
    <col min="14837" max="14837" width="9" style="321" hidden="1" customWidth="1"/>
    <col min="14838" max="14838" width="8.81640625" style="321" customWidth="1"/>
    <col min="14839" max="14839" width="9.81640625" style="321" customWidth="1"/>
    <col min="14840" max="14840" width="10.54296875" style="321" customWidth="1"/>
    <col min="14841" max="14841" width="12.1796875" style="321" customWidth="1"/>
    <col min="14842" max="14842" width="11.1796875" style="321" customWidth="1"/>
    <col min="14843" max="14843" width="6.81640625" style="321" customWidth="1"/>
    <col min="14844" max="15083" width="30.54296875" style="321" customWidth="1"/>
    <col min="15084" max="15084" width="6.54296875" style="321" customWidth="1"/>
    <col min="15085" max="15085" width="7.54296875" style="321" customWidth="1"/>
    <col min="15086" max="15086" width="4.81640625" style="321" customWidth="1"/>
    <col min="15087" max="15087" width="11.81640625" style="321" customWidth="1"/>
    <col min="15088" max="15088" width="9.81640625" style="321" customWidth="1"/>
    <col min="15089" max="15089" width="3" style="321" customWidth="1"/>
    <col min="15090" max="15090" width="7.1796875" style="321" customWidth="1"/>
    <col min="15091" max="15091" width="22.81640625" style="321" customWidth="1"/>
    <col min="15092" max="15092" width="7.1796875" style="321" customWidth="1"/>
    <col min="15093" max="15093" width="9" style="321" hidden="1" customWidth="1"/>
    <col min="15094" max="15094" width="8.81640625" style="321" customWidth="1"/>
    <col min="15095" max="15095" width="9.81640625" style="321" customWidth="1"/>
    <col min="15096" max="15096" width="10.54296875" style="321" customWidth="1"/>
    <col min="15097" max="15097" width="12.1796875" style="321" customWidth="1"/>
    <col min="15098" max="15098" width="11.1796875" style="321" customWidth="1"/>
    <col min="15099" max="15099" width="6.81640625" style="321" customWidth="1"/>
    <col min="15100" max="15339" width="30.54296875" style="321" customWidth="1"/>
    <col min="15340" max="15340" width="6.54296875" style="321" customWidth="1"/>
    <col min="15341" max="15341" width="7.54296875" style="321" customWidth="1"/>
    <col min="15342" max="15342" width="4.81640625" style="321" customWidth="1"/>
    <col min="15343" max="15343" width="11.81640625" style="321" customWidth="1"/>
    <col min="15344" max="15344" width="9.81640625" style="321" customWidth="1"/>
    <col min="15345" max="15345" width="3" style="321" customWidth="1"/>
    <col min="15346" max="15346" width="7.1796875" style="321" customWidth="1"/>
    <col min="15347" max="15347" width="22.81640625" style="321" customWidth="1"/>
    <col min="15348" max="15348" width="7.1796875" style="321" customWidth="1"/>
    <col min="15349" max="15349" width="9" style="321" hidden="1" customWidth="1"/>
    <col min="15350" max="15350" width="8.81640625" style="321" customWidth="1"/>
    <col min="15351" max="15351" width="9.81640625" style="321" customWidth="1"/>
    <col min="15352" max="15352" width="10.54296875" style="321" customWidth="1"/>
    <col min="15353" max="15353" width="12.1796875" style="321" customWidth="1"/>
    <col min="15354" max="15354" width="11.1796875" style="321" customWidth="1"/>
    <col min="15355" max="15355" width="6.81640625" style="321" customWidth="1"/>
    <col min="15356" max="15595" width="30.54296875" style="321" customWidth="1"/>
    <col min="15596" max="15596" width="6.54296875" style="321" customWidth="1"/>
    <col min="15597" max="15597" width="7.54296875" style="321" customWidth="1"/>
    <col min="15598" max="15598" width="4.81640625" style="321" customWidth="1"/>
    <col min="15599" max="15599" width="11.81640625" style="321" customWidth="1"/>
    <col min="15600" max="15600" width="9.81640625" style="321" customWidth="1"/>
    <col min="15601" max="15601" width="3" style="321" customWidth="1"/>
    <col min="15602" max="15602" width="7.1796875" style="321" customWidth="1"/>
    <col min="15603" max="15603" width="22.81640625" style="321" customWidth="1"/>
    <col min="15604" max="15604" width="7.1796875" style="321" customWidth="1"/>
    <col min="15605" max="15605" width="9" style="321" hidden="1" customWidth="1"/>
    <col min="15606" max="15606" width="8.81640625" style="321" customWidth="1"/>
    <col min="15607" max="15607" width="9.81640625" style="321" customWidth="1"/>
    <col min="15608" max="15608" width="10.54296875" style="321" customWidth="1"/>
    <col min="15609" max="15609" width="12.1796875" style="321" customWidth="1"/>
    <col min="15610" max="15610" width="11.1796875" style="321" customWidth="1"/>
    <col min="15611" max="15611" width="6.81640625" style="321" customWidth="1"/>
    <col min="15612" max="15851" width="30.54296875" style="321" customWidth="1"/>
    <col min="15852" max="15852" width="6.54296875" style="321" customWidth="1"/>
    <col min="15853" max="15853" width="7.54296875" style="321" customWidth="1"/>
    <col min="15854" max="15854" width="4.81640625" style="321" customWidth="1"/>
    <col min="15855" max="15855" width="11.81640625" style="321" customWidth="1"/>
    <col min="15856" max="15856" width="9.81640625" style="321" customWidth="1"/>
    <col min="15857" max="15857" width="3" style="321" customWidth="1"/>
    <col min="15858" max="15858" width="7.1796875" style="321" customWidth="1"/>
    <col min="15859" max="15859" width="22.81640625" style="321" customWidth="1"/>
    <col min="15860" max="15860" width="7.1796875" style="321" customWidth="1"/>
    <col min="15861" max="15861" width="9" style="321" hidden="1" customWidth="1"/>
    <col min="15862" max="15862" width="8.81640625" style="321" customWidth="1"/>
    <col min="15863" max="15863" width="9.81640625" style="321" customWidth="1"/>
    <col min="15864" max="15864" width="10.54296875" style="321" customWidth="1"/>
    <col min="15865" max="15865" width="12.1796875" style="321" customWidth="1"/>
    <col min="15866" max="15866" width="11.1796875" style="321" customWidth="1"/>
    <col min="15867" max="15867" width="6.81640625" style="321" customWidth="1"/>
    <col min="15868" max="16107" width="30.54296875" style="321" customWidth="1"/>
    <col min="16108" max="16108" width="6.54296875" style="321" customWidth="1"/>
    <col min="16109" max="16109" width="7.54296875" style="321" customWidth="1"/>
    <col min="16110" max="16110" width="4.81640625" style="321" customWidth="1"/>
    <col min="16111" max="16111" width="11.81640625" style="321" customWidth="1"/>
    <col min="16112" max="16112" width="9.81640625" style="321" customWidth="1"/>
    <col min="16113" max="16113" width="3" style="321" customWidth="1"/>
    <col min="16114" max="16114" width="7.1796875" style="321" customWidth="1"/>
    <col min="16115" max="16115" width="22.81640625" style="321" customWidth="1"/>
    <col min="16116" max="16116" width="7.1796875" style="321" customWidth="1"/>
    <col min="16117" max="16117" width="9" style="321" hidden="1" customWidth="1"/>
    <col min="16118" max="16118" width="8.81640625" style="321" customWidth="1"/>
    <col min="16119" max="16119" width="9.81640625" style="321" customWidth="1"/>
    <col min="16120" max="16120" width="10.54296875" style="321" customWidth="1"/>
    <col min="16121" max="16121" width="12.1796875" style="321" customWidth="1"/>
    <col min="16122" max="16122" width="11.1796875" style="321" customWidth="1"/>
    <col min="16123" max="16123" width="6.81640625" style="321" customWidth="1"/>
    <col min="16124" max="16384" width="30.54296875" style="321" customWidth="1"/>
  </cols>
  <sheetData>
    <row r="1" spans="1:24" ht="15.5">
      <c r="A1" s="1436" t="s">
        <v>78</v>
      </c>
      <c r="B1" s="1437"/>
      <c r="C1" s="1437"/>
      <c r="D1" s="1437"/>
      <c r="E1" s="1437"/>
      <c r="F1" s="1437"/>
      <c r="G1" s="1437"/>
      <c r="H1" s="1437"/>
      <c r="I1" s="1437"/>
      <c r="J1" s="1437"/>
      <c r="K1" s="1437"/>
      <c r="L1" s="1437"/>
      <c r="M1" s="1437"/>
      <c r="N1" s="1437"/>
      <c r="O1" s="1437"/>
      <c r="P1" s="1437"/>
      <c r="Q1" s="1437"/>
      <c r="R1" s="1437"/>
      <c r="S1" s="1437"/>
      <c r="T1" s="1437"/>
      <c r="U1" s="1437"/>
      <c r="V1" s="1437"/>
      <c r="W1" s="1437"/>
      <c r="X1" s="1438"/>
    </row>
    <row r="2" spans="1:24" ht="15.5">
      <c r="A2" s="1439" t="s">
        <v>79</v>
      </c>
      <c r="B2" s="1440"/>
      <c r="C2" s="1440"/>
      <c r="D2" s="1440"/>
      <c r="E2" s="1440"/>
      <c r="F2" s="1440"/>
      <c r="G2" s="1440"/>
      <c r="H2" s="1440"/>
      <c r="I2" s="1440"/>
      <c r="J2" s="1440"/>
      <c r="K2" s="1440"/>
      <c r="L2" s="1440"/>
      <c r="M2" s="1440"/>
      <c r="N2" s="1440"/>
      <c r="O2" s="1440"/>
      <c r="P2" s="1440"/>
      <c r="Q2" s="1440"/>
      <c r="R2" s="1440"/>
      <c r="S2" s="1440"/>
      <c r="T2" s="1440"/>
      <c r="U2" s="1440"/>
      <c r="V2" s="1440"/>
      <c r="W2" s="1440"/>
      <c r="X2" s="1441"/>
    </row>
    <row r="3" spans="1:24" ht="15.5">
      <c r="A3" s="1439" t="s">
        <v>80</v>
      </c>
      <c r="B3" s="1440"/>
      <c r="C3" s="1440"/>
      <c r="D3" s="1440"/>
      <c r="E3" s="1440"/>
      <c r="F3" s="1440"/>
      <c r="G3" s="1440"/>
      <c r="H3" s="1440"/>
      <c r="I3" s="1440"/>
      <c r="J3" s="1440"/>
      <c r="K3" s="1440"/>
      <c r="L3" s="1440"/>
      <c r="M3" s="1440"/>
      <c r="N3" s="1440"/>
      <c r="O3" s="1440"/>
      <c r="P3" s="1440"/>
      <c r="Q3" s="1440"/>
      <c r="R3" s="1440"/>
      <c r="S3" s="1440"/>
      <c r="T3" s="1440"/>
      <c r="U3" s="1440"/>
      <c r="V3" s="1440"/>
      <c r="W3" s="1440"/>
      <c r="X3" s="1441"/>
    </row>
    <row r="4" spans="1:24" ht="15.5">
      <c r="A4" s="334"/>
      <c r="B4" s="524"/>
      <c r="C4" s="334"/>
      <c r="D4" s="334"/>
      <c r="E4" s="334"/>
      <c r="F4" s="334"/>
      <c r="G4" s="334"/>
      <c r="H4" s="334"/>
      <c r="I4" s="334"/>
      <c r="J4" s="334"/>
      <c r="K4" s="334"/>
      <c r="L4" s="334"/>
      <c r="M4" s="334"/>
      <c r="N4" s="334"/>
      <c r="O4" s="334"/>
      <c r="P4" s="334"/>
      <c r="Q4" s="334"/>
      <c r="R4" s="334"/>
      <c r="S4" s="334"/>
      <c r="T4" s="334"/>
      <c r="U4" s="334"/>
      <c r="V4" s="334"/>
      <c r="W4" s="334"/>
      <c r="X4" s="334"/>
    </row>
    <row r="6" spans="1:24">
      <c r="A6" s="321" t="s">
        <v>218</v>
      </c>
    </row>
    <row r="7" spans="1:24" ht="13" customHeight="1">
      <c r="A7" s="1482" t="s">
        <v>203</v>
      </c>
      <c r="B7" s="1482" t="s">
        <v>204</v>
      </c>
      <c r="C7" s="1484" t="s">
        <v>219</v>
      </c>
      <c r="D7" s="1482" t="s">
        <v>205</v>
      </c>
      <c r="E7" s="1483" t="s">
        <v>264</v>
      </c>
      <c r="F7" s="1483" t="s">
        <v>265</v>
      </c>
      <c r="G7" s="1483" t="s">
        <v>266</v>
      </c>
    </row>
    <row r="8" spans="1:24">
      <c r="A8" s="1483"/>
      <c r="B8" s="1483"/>
      <c r="C8" s="1484"/>
      <c r="D8" s="1483"/>
      <c r="E8" s="1485"/>
      <c r="F8" s="1485"/>
      <c r="G8" s="1485"/>
    </row>
    <row r="9" spans="1:24" ht="14.5">
      <c r="A9" s="325">
        <v>1</v>
      </c>
      <c r="B9" s="326" t="s">
        <v>270</v>
      </c>
      <c r="C9" s="327"/>
      <c r="D9" s="309"/>
      <c r="E9" s="333"/>
      <c r="F9" s="325"/>
      <c r="G9" s="316"/>
    </row>
    <row r="10" spans="1:24" ht="14.25" customHeight="1">
      <c r="A10" s="325">
        <f>A9+1</f>
        <v>2</v>
      </c>
      <c r="B10" s="316" t="s">
        <v>286</v>
      </c>
      <c r="C10" s="327"/>
      <c r="D10" s="316"/>
      <c r="E10" s="316"/>
      <c r="F10" s="316" t="s">
        <v>228</v>
      </c>
      <c r="G10" s="327"/>
    </row>
    <row r="11" spans="1:24">
      <c r="A11" s="325">
        <f t="shared" ref="A11:A40" si="0">A10+1</f>
        <v>3</v>
      </c>
      <c r="B11" s="316" t="s">
        <v>402</v>
      </c>
      <c r="C11" s="327"/>
      <c r="D11" s="316"/>
      <c r="E11" s="316"/>
      <c r="F11" s="316" t="s">
        <v>228</v>
      </c>
      <c r="G11" s="327"/>
    </row>
    <row r="12" spans="1:24" ht="15.5">
      <c r="A12" s="325">
        <f t="shared" si="0"/>
        <v>4</v>
      </c>
      <c r="B12" s="316" t="s">
        <v>438</v>
      </c>
      <c r="C12" s="327"/>
      <c r="D12" s="316"/>
      <c r="E12" s="316"/>
      <c r="F12" s="316"/>
      <c r="G12" s="327"/>
      <c r="I12" s="335"/>
    </row>
    <row r="13" spans="1:24">
      <c r="A13" s="325">
        <f t="shared" si="0"/>
        <v>5</v>
      </c>
      <c r="B13" s="316" t="s">
        <v>439</v>
      </c>
      <c r="C13" s="327"/>
      <c r="D13" s="316"/>
      <c r="E13" s="316"/>
      <c r="F13" s="316" t="s">
        <v>1308</v>
      </c>
      <c r="G13" s="327"/>
      <c r="H13" s="321" t="s">
        <v>1309</v>
      </c>
    </row>
    <row r="14" spans="1:24">
      <c r="A14" s="325">
        <f t="shared" si="0"/>
        <v>6</v>
      </c>
      <c r="B14" s="316" t="s">
        <v>1118</v>
      </c>
      <c r="C14" s="327"/>
      <c r="D14" s="316"/>
      <c r="E14" s="316"/>
      <c r="F14" s="316"/>
      <c r="G14" s="327"/>
    </row>
    <row r="15" spans="1:24">
      <c r="A15" s="325">
        <f t="shared" si="0"/>
        <v>7</v>
      </c>
      <c r="B15" s="316" t="s">
        <v>404</v>
      </c>
      <c r="C15" s="327"/>
      <c r="D15" s="316"/>
      <c r="E15" s="316"/>
      <c r="F15" s="316" t="s">
        <v>228</v>
      </c>
      <c r="G15" s="327"/>
    </row>
    <row r="16" spans="1:24">
      <c r="A16" s="325">
        <f t="shared" si="0"/>
        <v>8</v>
      </c>
      <c r="B16" s="316" t="s">
        <v>267</v>
      </c>
      <c r="C16" s="342"/>
      <c r="D16" s="342"/>
      <c r="E16" s="342"/>
      <c r="F16" s="342"/>
      <c r="G16" s="342"/>
    </row>
    <row r="17" spans="1:7">
      <c r="A17" s="325">
        <f t="shared" si="0"/>
        <v>9</v>
      </c>
      <c r="B17" s="316" t="s">
        <v>272</v>
      </c>
      <c r="C17" s="316"/>
      <c r="D17" s="342"/>
      <c r="E17" s="342"/>
      <c r="F17" s="342"/>
      <c r="G17" s="342"/>
    </row>
    <row r="18" spans="1:7">
      <c r="A18" s="325">
        <f t="shared" si="0"/>
        <v>10</v>
      </c>
      <c r="B18" s="325" t="s">
        <v>433</v>
      </c>
      <c r="C18" s="341"/>
      <c r="D18" s="341"/>
      <c r="E18" s="519"/>
      <c r="F18" s="341"/>
      <c r="G18" s="342"/>
    </row>
    <row r="19" spans="1:7">
      <c r="A19" s="325">
        <f t="shared" si="0"/>
        <v>11</v>
      </c>
      <c r="B19" s="325" t="s">
        <v>281</v>
      </c>
      <c r="C19" s="341"/>
      <c r="D19" s="341"/>
      <c r="E19" s="341"/>
      <c r="F19" s="341"/>
      <c r="G19" s="341"/>
    </row>
    <row r="20" spans="1:7">
      <c r="A20" s="325">
        <f t="shared" si="0"/>
        <v>12</v>
      </c>
      <c r="B20" s="316" t="s">
        <v>372</v>
      </c>
      <c r="C20" s="338"/>
      <c r="D20" s="342"/>
      <c r="E20" s="342"/>
      <c r="F20" s="342"/>
      <c r="G20" s="338"/>
    </row>
    <row r="21" spans="1:7">
      <c r="A21" s="325">
        <f t="shared" si="0"/>
        <v>13</v>
      </c>
      <c r="B21" s="316" t="s">
        <v>288</v>
      </c>
      <c r="C21" s="338"/>
      <c r="D21" s="342"/>
      <c r="E21" s="342"/>
      <c r="F21" s="342"/>
      <c r="G21" s="338"/>
    </row>
    <row r="22" spans="1:7">
      <c r="A22" s="325">
        <f t="shared" si="0"/>
        <v>14</v>
      </c>
      <c r="B22" s="316" t="s">
        <v>291</v>
      </c>
      <c r="C22" s="342"/>
      <c r="D22" s="342"/>
      <c r="E22" s="342"/>
      <c r="F22" s="342"/>
      <c r="G22" s="342"/>
    </row>
    <row r="23" spans="1:7">
      <c r="A23" s="325">
        <f t="shared" si="0"/>
        <v>15</v>
      </c>
      <c r="B23" s="316" t="s">
        <v>325</v>
      </c>
      <c r="C23" s="338"/>
      <c r="D23" s="342"/>
      <c r="E23" s="342"/>
      <c r="F23" s="342"/>
      <c r="G23" s="338"/>
    </row>
    <row r="24" spans="1:7">
      <c r="A24" s="325">
        <f t="shared" si="0"/>
        <v>16</v>
      </c>
      <c r="B24" s="316" t="s">
        <v>350</v>
      </c>
      <c r="C24" s="338"/>
      <c r="D24" s="342"/>
      <c r="E24" s="342"/>
      <c r="F24" s="342"/>
      <c r="G24" s="338"/>
    </row>
    <row r="25" spans="1:7">
      <c r="A25" s="325">
        <f t="shared" si="0"/>
        <v>17</v>
      </c>
      <c r="B25" s="316" t="s">
        <v>463</v>
      </c>
      <c r="C25" s="338"/>
      <c r="D25" s="342"/>
      <c r="E25" s="342"/>
      <c r="F25" s="342"/>
      <c r="G25" s="338"/>
    </row>
    <row r="26" spans="1:7">
      <c r="A26" s="325">
        <f t="shared" si="0"/>
        <v>18</v>
      </c>
      <c r="B26" s="316" t="s">
        <v>468</v>
      </c>
      <c r="C26" s="338"/>
      <c r="D26" s="342"/>
      <c r="E26" s="342"/>
      <c r="F26" s="342"/>
      <c r="G26" s="338"/>
    </row>
    <row r="27" spans="1:7">
      <c r="A27" s="325">
        <f t="shared" si="0"/>
        <v>19</v>
      </c>
      <c r="B27" s="316" t="s">
        <v>1294</v>
      </c>
      <c r="C27" s="338"/>
      <c r="D27" s="342"/>
      <c r="E27" s="342"/>
      <c r="F27" s="342"/>
      <c r="G27" s="338"/>
    </row>
    <row r="28" spans="1:7">
      <c r="A28" s="325">
        <f t="shared" si="0"/>
        <v>20</v>
      </c>
      <c r="B28" s="316" t="s">
        <v>1295</v>
      </c>
      <c r="C28" s="338"/>
      <c r="D28" s="342"/>
      <c r="E28" s="342"/>
      <c r="F28" s="342"/>
      <c r="G28" s="338"/>
    </row>
    <row r="29" spans="1:7">
      <c r="A29" s="325">
        <f t="shared" si="0"/>
        <v>21</v>
      </c>
      <c r="B29" s="316" t="s">
        <v>1293</v>
      </c>
      <c r="C29" s="338"/>
      <c r="D29" s="342"/>
      <c r="E29" s="342"/>
      <c r="F29" s="342"/>
      <c r="G29" s="338"/>
    </row>
    <row r="30" spans="1:7">
      <c r="A30" s="325">
        <f t="shared" si="0"/>
        <v>22</v>
      </c>
      <c r="B30" s="316" t="s">
        <v>1296</v>
      </c>
      <c r="C30" s="338"/>
      <c r="D30" s="342"/>
      <c r="E30" s="342"/>
      <c r="F30" s="342"/>
      <c r="G30" s="338"/>
    </row>
    <row r="31" spans="1:7">
      <c r="A31" s="325">
        <f t="shared" si="0"/>
        <v>23</v>
      </c>
      <c r="B31" s="316" t="s">
        <v>1297</v>
      </c>
      <c r="C31" s="338"/>
      <c r="D31" s="342"/>
      <c r="E31" s="342"/>
      <c r="F31" s="342"/>
      <c r="G31" s="338"/>
    </row>
    <row r="32" spans="1:7">
      <c r="A32" s="325">
        <f t="shared" si="0"/>
        <v>24</v>
      </c>
      <c r="B32" s="316" t="s">
        <v>324</v>
      </c>
      <c r="C32" s="338"/>
      <c r="D32" s="342"/>
      <c r="E32" s="342"/>
      <c r="F32" s="342"/>
      <c r="G32" s="338"/>
    </row>
    <row r="33" spans="1:7">
      <c r="A33" s="325">
        <f t="shared" si="0"/>
        <v>25</v>
      </c>
      <c r="B33" s="316" t="s">
        <v>740</v>
      </c>
      <c r="C33" s="338"/>
      <c r="D33" s="342"/>
      <c r="E33" s="342"/>
      <c r="F33" s="342"/>
      <c r="G33" s="338"/>
    </row>
    <row r="34" spans="1:7">
      <c r="A34" s="325">
        <f t="shared" si="0"/>
        <v>26</v>
      </c>
      <c r="B34" s="316" t="s">
        <v>1304</v>
      </c>
      <c r="C34" s="338"/>
      <c r="D34" s="342"/>
      <c r="E34" s="342"/>
      <c r="F34" s="342"/>
      <c r="G34" s="338"/>
    </row>
    <row r="35" spans="1:7">
      <c r="A35" s="325">
        <f t="shared" si="0"/>
        <v>27</v>
      </c>
      <c r="B35" s="316" t="s">
        <v>1305</v>
      </c>
      <c r="C35" s="338"/>
      <c r="D35" s="342"/>
      <c r="E35" s="342"/>
      <c r="F35" s="342"/>
      <c r="G35" s="338"/>
    </row>
    <row r="36" spans="1:7">
      <c r="A36" s="325">
        <f t="shared" si="0"/>
        <v>28</v>
      </c>
      <c r="B36" s="316" t="s">
        <v>1303</v>
      </c>
      <c r="C36" s="327"/>
      <c r="D36" s="342"/>
      <c r="E36" s="342"/>
      <c r="F36" s="342"/>
      <c r="G36" s="338"/>
    </row>
    <row r="37" spans="1:7">
      <c r="A37" s="325">
        <f t="shared" si="0"/>
        <v>29</v>
      </c>
      <c r="B37" s="316" t="s">
        <v>731</v>
      </c>
      <c r="C37" s="327"/>
      <c r="D37" s="342"/>
      <c r="E37" s="342"/>
      <c r="F37" s="342"/>
      <c r="G37" s="338"/>
    </row>
    <row r="38" spans="1:7">
      <c r="A38" s="325">
        <f t="shared" si="0"/>
        <v>30</v>
      </c>
      <c r="B38" s="316" t="s">
        <v>1321</v>
      </c>
      <c r="C38" s="327"/>
      <c r="D38" s="342"/>
      <c r="E38" s="342"/>
      <c r="F38" s="342"/>
      <c r="G38" s="338"/>
    </row>
    <row r="39" spans="1:7">
      <c r="A39" s="341">
        <f t="shared" si="0"/>
        <v>31</v>
      </c>
      <c r="B39" s="565" t="s">
        <v>810</v>
      </c>
      <c r="C39" s="338"/>
      <c r="D39" s="342"/>
      <c r="E39" s="342"/>
      <c r="F39" s="342"/>
      <c r="G39" s="338"/>
    </row>
    <row r="40" spans="1:7">
      <c r="A40" s="341">
        <f t="shared" si="0"/>
        <v>32</v>
      </c>
      <c r="B40" s="565" t="s">
        <v>816</v>
      </c>
      <c r="C40" s="338"/>
      <c r="D40" s="342"/>
      <c r="E40" s="342"/>
      <c r="F40" s="342"/>
      <c r="G40" s="338"/>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413" priority="1"/>
    <cfRule type="duplicateValues" dxfId="3412" priority="9"/>
    <cfRule type="duplicateValues" dxfId="3411" priority="10"/>
    <cfRule type="duplicateValues" dxfId="3410" priority="15"/>
    <cfRule type="duplicateValues" dxfId="3409" priority="16"/>
  </conditionalFormatting>
  <conditionalFormatting sqref="B10 B7:B8">
    <cfRule type="duplicateValues" dxfId="3408" priority="1879"/>
  </conditionalFormatting>
  <conditionalFormatting sqref="B10:B38 B1:B8 B41:B1048576">
    <cfRule type="duplicateValues" dxfId="3407" priority="21"/>
  </conditionalFormatting>
  <conditionalFormatting sqref="B18:B22 B7:B8 B10:B13 B16">
    <cfRule type="duplicateValues" dxfId="3406" priority="2012" stopIfTrue="1"/>
    <cfRule type="duplicateValues" dxfId="3405" priority="2013"/>
  </conditionalFormatting>
  <conditionalFormatting sqref="B18:B22 B7:B8 B16 B10:B13">
    <cfRule type="duplicateValues" dxfId="3404" priority="2022"/>
  </conditionalFormatting>
  <conditionalFormatting sqref="B23:B38 B1:B6 B41:B1048576">
    <cfRule type="duplicateValues" dxfId="3403" priority="35"/>
  </conditionalFormatting>
  <conditionalFormatting sqref="B23:B38 B41:B64911">
    <cfRule type="duplicateValues" dxfId="3402" priority="2036" stopIfTrue="1"/>
  </conditionalFormatting>
  <conditionalFormatting sqref="B23:B38 B41:B1048576">
    <cfRule type="duplicateValues" dxfId="3401" priority="53"/>
  </conditionalFormatting>
  <conditionalFormatting sqref="D10">
    <cfRule type="duplicateValues" dxfId="3400" priority="1893"/>
    <cfRule type="duplicateValues" dxfId="3399" priority="1894"/>
    <cfRule type="duplicateValues" dxfId="3398"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87" t="s">
        <v>1645</v>
      </c>
      <c r="C1" s="887" t="s">
        <v>1119</v>
      </c>
      <c r="D1" s="887" t="s">
        <v>1092</v>
      </c>
      <c r="E1" s="310"/>
      <c r="F1" s="887" t="s">
        <v>206</v>
      </c>
      <c r="G1" s="893" t="s">
        <v>207</v>
      </c>
      <c r="H1" s="310" t="s">
        <v>1646</v>
      </c>
    </row>
    <row r="2" spans="2:8">
      <c r="B2" s="630">
        <v>1</v>
      </c>
      <c r="C2" s="631" t="s">
        <v>269</v>
      </c>
      <c r="D2" s="631" t="s">
        <v>182</v>
      </c>
      <c r="E2" s="636"/>
      <c r="F2" s="636" t="s">
        <v>210</v>
      </c>
      <c r="G2" s="634">
        <v>45799</v>
      </c>
      <c r="H2" s="634">
        <v>45812</v>
      </c>
    </row>
    <row r="3" spans="2:8">
      <c r="B3" s="630">
        <f>B2+1</f>
        <v>2</v>
      </c>
      <c r="C3" s="632" t="s">
        <v>477</v>
      </c>
      <c r="D3" s="632" t="s">
        <v>242</v>
      </c>
      <c r="E3" s="636"/>
      <c r="F3" s="636" t="s">
        <v>210</v>
      </c>
      <c r="G3" s="635">
        <v>45807</v>
      </c>
      <c r="H3" s="635">
        <v>45813</v>
      </c>
    </row>
    <row r="4" spans="2:8">
      <c r="B4" s="630">
        <f t="shared" ref="B4:B26" si="0">B3+1</f>
        <v>3</v>
      </c>
      <c r="C4" s="631" t="s">
        <v>1334</v>
      </c>
      <c r="D4" s="631" t="s">
        <v>115</v>
      </c>
      <c r="E4" s="636"/>
      <c r="F4" s="636" t="s">
        <v>292</v>
      </c>
      <c r="G4" s="634">
        <v>45805</v>
      </c>
      <c r="H4" s="634">
        <v>45814</v>
      </c>
    </row>
    <row r="5" spans="2:8">
      <c r="B5" s="630">
        <f t="shared" si="0"/>
        <v>4</v>
      </c>
      <c r="C5" s="632" t="s">
        <v>1368</v>
      </c>
      <c r="D5" s="632" t="s">
        <v>115</v>
      </c>
      <c r="E5" s="636"/>
      <c r="F5" s="636" t="s">
        <v>210</v>
      </c>
      <c r="G5" s="889">
        <v>45809</v>
      </c>
      <c r="H5" s="889">
        <v>45815</v>
      </c>
    </row>
    <row r="6" spans="2:8">
      <c r="B6" s="630">
        <f t="shared" si="0"/>
        <v>5</v>
      </c>
      <c r="C6" s="632" t="s">
        <v>811</v>
      </c>
      <c r="D6" s="632" t="s">
        <v>182</v>
      </c>
      <c r="E6" s="636"/>
      <c r="F6" s="636" t="s">
        <v>210</v>
      </c>
      <c r="G6" s="634">
        <v>45810</v>
      </c>
      <c r="H6" s="634">
        <v>45816</v>
      </c>
    </row>
    <row r="7" spans="2:8">
      <c r="B7" s="630">
        <f t="shared" si="0"/>
        <v>6</v>
      </c>
      <c r="C7" s="632" t="s">
        <v>393</v>
      </c>
      <c r="D7" s="632" t="s">
        <v>182</v>
      </c>
      <c r="E7" s="636"/>
      <c r="F7" s="636" t="s">
        <v>210</v>
      </c>
      <c r="G7" s="634">
        <v>45810</v>
      </c>
      <c r="H7" s="634">
        <v>45818</v>
      </c>
    </row>
    <row r="8" spans="2:8">
      <c r="B8" s="630">
        <f t="shared" si="0"/>
        <v>7</v>
      </c>
      <c r="C8" s="632" t="s">
        <v>1371</v>
      </c>
      <c r="D8" s="632" t="s">
        <v>125</v>
      </c>
      <c r="E8" s="636"/>
      <c r="F8" s="636" t="s">
        <v>210</v>
      </c>
      <c r="G8" s="635">
        <v>45877</v>
      </c>
      <c r="H8" s="890">
        <v>45820</v>
      </c>
    </row>
    <row r="9" spans="2:8">
      <c r="B9" s="630">
        <f t="shared" si="0"/>
        <v>8</v>
      </c>
      <c r="C9" s="632" t="s">
        <v>814</v>
      </c>
      <c r="D9" s="632" t="s">
        <v>182</v>
      </c>
      <c r="E9" s="636"/>
      <c r="F9" s="636" t="s">
        <v>210</v>
      </c>
      <c r="G9" s="635">
        <v>45812</v>
      </c>
      <c r="H9" s="635">
        <v>45820</v>
      </c>
    </row>
    <row r="10" spans="2:8">
      <c r="B10" s="630">
        <f t="shared" si="0"/>
        <v>9</v>
      </c>
      <c r="C10" s="632" t="s">
        <v>1370</v>
      </c>
      <c r="D10" s="632" t="s">
        <v>143</v>
      </c>
      <c r="E10" s="636"/>
      <c r="F10" s="636" t="s">
        <v>210</v>
      </c>
      <c r="G10" s="634">
        <v>45813</v>
      </c>
      <c r="H10" s="634">
        <v>45823</v>
      </c>
    </row>
    <row r="11" spans="2:8">
      <c r="B11" s="630">
        <f t="shared" si="0"/>
        <v>10</v>
      </c>
      <c r="C11" s="631" t="s">
        <v>392</v>
      </c>
      <c r="D11" s="631" t="s">
        <v>242</v>
      </c>
      <c r="E11" s="636"/>
      <c r="F11" s="636" t="s">
        <v>210</v>
      </c>
      <c r="G11" s="634">
        <v>45818</v>
      </c>
      <c r="H11" s="634">
        <v>45823</v>
      </c>
    </row>
    <row r="12" spans="2:8">
      <c r="B12" s="630">
        <f t="shared" si="0"/>
        <v>11</v>
      </c>
      <c r="C12" s="632" t="s">
        <v>193</v>
      </c>
      <c r="D12" s="632" t="s">
        <v>115</v>
      </c>
      <c r="E12" s="636"/>
      <c r="F12" s="636" t="s">
        <v>210</v>
      </c>
      <c r="G12" s="635">
        <v>45816</v>
      </c>
      <c r="H12" s="634">
        <v>45823</v>
      </c>
    </row>
    <row r="13" spans="2:8">
      <c r="B13" s="630">
        <f t="shared" si="0"/>
        <v>12</v>
      </c>
      <c r="C13" s="632" t="s">
        <v>159</v>
      </c>
      <c r="D13" s="632" t="s">
        <v>115</v>
      </c>
      <c r="E13" s="636"/>
      <c r="F13" s="636" t="s">
        <v>210</v>
      </c>
      <c r="G13" s="634">
        <v>45821</v>
      </c>
      <c r="H13" s="889">
        <v>45824</v>
      </c>
    </row>
    <row r="14" spans="2:8">
      <c r="B14" s="630">
        <f t="shared" si="0"/>
        <v>13</v>
      </c>
      <c r="C14" s="632" t="s">
        <v>813</v>
      </c>
      <c r="D14" s="632" t="s">
        <v>182</v>
      </c>
      <c r="E14" s="636"/>
      <c r="F14" s="636" t="s">
        <v>210</v>
      </c>
      <c r="G14" s="634">
        <v>45821</v>
      </c>
      <c r="H14" s="634">
        <v>45824</v>
      </c>
    </row>
    <row r="15" spans="2:8">
      <c r="B15" s="630">
        <f t="shared" si="0"/>
        <v>14</v>
      </c>
      <c r="C15" s="632" t="s">
        <v>157</v>
      </c>
      <c r="D15" s="632" t="s">
        <v>132</v>
      </c>
      <c r="E15" s="636"/>
      <c r="F15" s="636" t="s">
        <v>210</v>
      </c>
      <c r="G15" s="635">
        <v>45824</v>
      </c>
      <c r="H15" s="890">
        <v>45828</v>
      </c>
    </row>
    <row r="16" spans="2:8">
      <c r="B16" s="630">
        <f t="shared" si="0"/>
        <v>15</v>
      </c>
      <c r="C16" s="632" t="s">
        <v>810</v>
      </c>
      <c r="D16" s="632" t="s">
        <v>182</v>
      </c>
      <c r="E16" s="636"/>
      <c r="F16" s="636" t="s">
        <v>210</v>
      </c>
      <c r="G16" s="634">
        <v>45823</v>
      </c>
      <c r="H16" s="634">
        <v>45829</v>
      </c>
    </row>
    <row r="17" spans="2:8">
      <c r="B17" s="630">
        <f t="shared" si="0"/>
        <v>16</v>
      </c>
      <c r="C17" s="633" t="s">
        <v>816</v>
      </c>
      <c r="D17" s="633" t="s">
        <v>182</v>
      </c>
      <c r="E17" s="637"/>
      <c r="F17" s="637" t="s">
        <v>210</v>
      </c>
      <c r="G17" s="638">
        <v>45823</v>
      </c>
      <c r="H17" s="638">
        <v>45830</v>
      </c>
    </row>
    <row r="18" spans="2:8">
      <c r="B18" s="630">
        <f t="shared" si="0"/>
        <v>17</v>
      </c>
      <c r="C18" s="633" t="s">
        <v>415</v>
      </c>
      <c r="D18" s="633" t="s">
        <v>119</v>
      </c>
      <c r="E18" s="637"/>
      <c r="F18" s="637" t="s">
        <v>292</v>
      </c>
      <c r="G18" s="638">
        <v>45824</v>
      </c>
      <c r="H18" s="638">
        <v>45831</v>
      </c>
    </row>
    <row r="19" spans="2:8">
      <c r="B19" s="630">
        <f t="shared" si="0"/>
        <v>18</v>
      </c>
      <c r="C19" s="617" t="s">
        <v>809</v>
      </c>
      <c r="D19" s="617" t="s">
        <v>182</v>
      </c>
      <c r="E19" s="325"/>
      <c r="F19" s="325" t="s">
        <v>210</v>
      </c>
      <c r="G19" s="642">
        <v>45830</v>
      </c>
      <c r="H19" s="642">
        <v>45833</v>
      </c>
    </row>
    <row r="20" spans="2:8">
      <c r="B20" s="630">
        <f t="shared" si="0"/>
        <v>19</v>
      </c>
      <c r="C20" s="628" t="s">
        <v>812</v>
      </c>
      <c r="D20" s="628" t="s">
        <v>182</v>
      </c>
      <c r="E20" s="843"/>
      <c r="F20" s="843" t="s">
        <v>210</v>
      </c>
      <c r="G20" s="643">
        <v>45830</v>
      </c>
      <c r="H20" s="643">
        <v>45833</v>
      </c>
    </row>
    <row r="21" spans="2:8">
      <c r="B21" s="630">
        <f t="shared" si="0"/>
        <v>20</v>
      </c>
      <c r="C21" s="646" t="s">
        <v>1496</v>
      </c>
      <c r="D21" s="646" t="s">
        <v>119</v>
      </c>
      <c r="E21" s="844"/>
      <c r="F21" s="844" t="s">
        <v>210</v>
      </c>
      <c r="G21" s="647">
        <v>45828</v>
      </c>
      <c r="H21" s="891">
        <v>45834</v>
      </c>
    </row>
    <row r="22" spans="2:8">
      <c r="B22" s="630">
        <f t="shared" si="0"/>
        <v>21</v>
      </c>
      <c r="C22" s="617" t="s">
        <v>1303</v>
      </c>
      <c r="D22" s="617" t="s">
        <v>125</v>
      </c>
      <c r="E22" s="325"/>
      <c r="F22" s="325" t="s">
        <v>210</v>
      </c>
      <c r="G22" s="645">
        <v>45825</v>
      </c>
      <c r="H22" s="648">
        <v>45835</v>
      </c>
    </row>
    <row r="23" spans="2:8">
      <c r="B23" s="630">
        <f t="shared" si="0"/>
        <v>22</v>
      </c>
      <c r="C23" s="628" t="s">
        <v>372</v>
      </c>
      <c r="D23" s="628" t="s">
        <v>185</v>
      </c>
      <c r="E23" s="843"/>
      <c r="F23" s="843" t="s">
        <v>292</v>
      </c>
      <c r="G23" s="544">
        <v>45833</v>
      </c>
      <c r="H23" s="892">
        <v>45838</v>
      </c>
    </row>
    <row r="24" spans="2:8">
      <c r="B24" s="630">
        <f t="shared" si="0"/>
        <v>23</v>
      </c>
      <c r="C24" s="617" t="s">
        <v>1372</v>
      </c>
      <c r="D24" s="617" t="s">
        <v>115</v>
      </c>
      <c r="E24" s="325"/>
      <c r="F24" s="325" t="s">
        <v>210</v>
      </c>
      <c r="G24" s="642">
        <v>45818</v>
      </c>
      <c r="H24" s="834">
        <v>45838</v>
      </c>
    </row>
    <row r="25" spans="2:8">
      <c r="B25" s="630">
        <f t="shared" si="0"/>
        <v>24</v>
      </c>
      <c r="C25" s="548" t="s">
        <v>808</v>
      </c>
      <c r="D25" s="548" t="s">
        <v>185</v>
      </c>
      <c r="E25" s="316"/>
      <c r="F25" s="316" t="s">
        <v>210</v>
      </c>
      <c r="G25" s="648">
        <v>45833</v>
      </c>
      <c r="H25" s="834">
        <v>45838</v>
      </c>
    </row>
    <row r="26" spans="2:8">
      <c r="B26" s="630">
        <f t="shared" si="0"/>
        <v>25</v>
      </c>
      <c r="C26" s="548" t="s">
        <v>817</v>
      </c>
      <c r="D26" s="548" t="s">
        <v>182</v>
      </c>
      <c r="E26" s="316"/>
      <c r="F26" s="316" t="s">
        <v>210</v>
      </c>
      <c r="G26" s="544">
        <v>45833</v>
      </c>
      <c r="H26" s="834">
        <v>45838</v>
      </c>
    </row>
  </sheetData>
  <conditionalFormatting sqref="C1">
    <cfRule type="duplicateValues" dxfId="3397" priority="1"/>
  </conditionalFormatting>
  <conditionalFormatting sqref="C2:C9 C11:C26">
    <cfRule type="duplicateValues" dxfId="3396" priority="6"/>
    <cfRule type="duplicateValues" dxfId="3395" priority="7"/>
    <cfRule type="duplicateValues" dxfId="3394" priority="8" stopIfTrue="1"/>
  </conditionalFormatting>
  <conditionalFormatting sqref="C2:C26">
    <cfRule type="duplicateValues" dxfId="3393" priority="2"/>
  </conditionalFormatting>
  <conditionalFormatting sqref="C10">
    <cfRule type="duplicateValues" dxfId="3392" priority="3"/>
    <cfRule type="duplicateValues" dxfId="3391" priority="4"/>
    <cfRule type="duplicateValues" dxfId="3390"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G312"/>
  <sheetViews>
    <sheetView view="pageBreakPreview" topLeftCell="A221" zoomScale="90" zoomScaleNormal="90" zoomScaleSheetLayoutView="90" workbookViewId="0">
      <selection activeCell="M225" sqref="M225:M226"/>
    </sheetView>
  </sheetViews>
  <sheetFormatPr defaultColWidth="9" defaultRowHeight="13"/>
  <cols>
    <col min="1" max="1" width="4.1796875" style="322" customWidth="1"/>
    <col min="2" max="2" width="7.54296875" style="322" customWidth="1"/>
    <col min="3" max="3" width="4.81640625" style="322" hidden="1" customWidth="1"/>
    <col min="4" max="4" width="10.54296875" style="322" customWidth="1"/>
    <col min="5" max="7" width="9.6328125" style="322" hidden="1" customWidth="1"/>
    <col min="8" max="8" width="12" style="322" hidden="1" customWidth="1"/>
    <col min="9" max="9" width="9.6328125" style="322" hidden="1" customWidth="1"/>
    <col min="10" max="10" width="9" style="322" customWidth="1"/>
    <col min="11" max="11" width="9.81640625" style="322" customWidth="1"/>
    <col min="12" max="12" width="14.90625" style="322" customWidth="1"/>
    <col min="13" max="13" width="12" style="322" customWidth="1"/>
    <col min="14" max="14" width="23.453125" style="322" bestFit="1" customWidth="1"/>
    <col min="15" max="15" width="15.1796875" style="322" hidden="1" customWidth="1"/>
    <col min="16" max="16" width="28.36328125" style="322" customWidth="1"/>
    <col min="17" max="245" width="30.54296875" style="322" customWidth="1"/>
    <col min="246" max="246" width="6.54296875" style="322" customWidth="1"/>
    <col min="247" max="247" width="7.54296875" style="322" customWidth="1"/>
    <col min="248" max="248" width="4.81640625" style="322" customWidth="1"/>
    <col min="249" max="249" width="11.81640625" style="322" customWidth="1"/>
    <col min="250" max="250" width="9.81640625" style="322" customWidth="1"/>
    <col min="251" max="251" width="3" style="322" customWidth="1"/>
    <col min="252" max="252" width="7.1796875" style="322" customWidth="1"/>
    <col min="253" max="253" width="22.81640625" style="322" customWidth="1"/>
    <col min="254" max="254" width="7.1796875" style="322" customWidth="1"/>
    <col min="255" max="255" width="9" style="322" hidden="1" customWidth="1"/>
    <col min="256" max="256" width="8.81640625" style="322" customWidth="1"/>
    <col min="257" max="257" width="9.81640625" style="322" customWidth="1"/>
    <col min="258" max="258" width="10.54296875" style="322" customWidth="1"/>
    <col min="259" max="259" width="12.1796875" style="322" customWidth="1"/>
    <col min="260" max="260" width="11.1796875" style="322" customWidth="1"/>
    <col min="261" max="261" width="6.81640625" style="322" customWidth="1"/>
    <col min="262" max="501" width="30.54296875" style="322" customWidth="1"/>
    <col min="502" max="502" width="6.54296875" style="322" customWidth="1"/>
    <col min="503" max="503" width="7.54296875" style="322" customWidth="1"/>
    <col min="504" max="504" width="4.81640625" style="322" customWidth="1"/>
    <col min="505" max="505" width="11.81640625" style="322" customWidth="1"/>
    <col min="506" max="506" width="9.81640625" style="322" customWidth="1"/>
    <col min="507" max="507" width="3" style="322" customWidth="1"/>
    <col min="508" max="508" width="7.1796875" style="322" customWidth="1"/>
    <col min="509" max="509" width="22.81640625" style="322" customWidth="1"/>
    <col min="510" max="510" width="7.1796875" style="322" customWidth="1"/>
    <col min="511" max="511" width="9" style="322" hidden="1" customWidth="1"/>
    <col min="512" max="512" width="8.81640625" style="322" customWidth="1"/>
    <col min="513" max="513" width="9.81640625" style="322" customWidth="1"/>
    <col min="514" max="514" width="10.54296875" style="322" customWidth="1"/>
    <col min="515" max="515" width="12.1796875" style="322" customWidth="1"/>
    <col min="516" max="516" width="11.1796875" style="322" customWidth="1"/>
    <col min="517" max="517" width="6.81640625" style="322" customWidth="1"/>
    <col min="518" max="757" width="30.54296875" style="322" customWidth="1"/>
    <col min="758" max="758" width="6.54296875" style="322" customWidth="1"/>
    <col min="759" max="759" width="7.54296875" style="322" customWidth="1"/>
    <col min="760" max="760" width="4.81640625" style="322" customWidth="1"/>
    <col min="761" max="761" width="11.81640625" style="322" customWidth="1"/>
    <col min="762" max="762" width="9.81640625" style="322" customWidth="1"/>
    <col min="763" max="763" width="3" style="322" customWidth="1"/>
    <col min="764" max="764" width="7.1796875" style="322" customWidth="1"/>
    <col min="765" max="765" width="22.81640625" style="322" customWidth="1"/>
    <col min="766" max="766" width="7.1796875" style="322" customWidth="1"/>
    <col min="767" max="767" width="9" style="322" hidden="1" customWidth="1"/>
    <col min="768" max="768" width="8.81640625" style="322" customWidth="1"/>
    <col min="769" max="769" width="9.81640625" style="322" customWidth="1"/>
    <col min="770" max="770" width="10.54296875" style="322" customWidth="1"/>
    <col min="771" max="771" width="12.1796875" style="322" customWidth="1"/>
    <col min="772" max="772" width="11.1796875" style="322" customWidth="1"/>
    <col min="773" max="773" width="6.81640625" style="322" customWidth="1"/>
    <col min="774" max="1013" width="30.54296875" style="322" customWidth="1"/>
    <col min="1014" max="1014" width="6.54296875" style="322" customWidth="1"/>
    <col min="1015" max="1015" width="7.54296875" style="322" customWidth="1"/>
    <col min="1016" max="1016" width="4.81640625" style="322" customWidth="1"/>
    <col min="1017" max="1017" width="11.81640625" style="322" customWidth="1"/>
    <col min="1018" max="1018" width="9.81640625" style="322" customWidth="1"/>
    <col min="1019" max="1019" width="3" style="322" customWidth="1"/>
    <col min="1020" max="1020" width="7.1796875" style="322" customWidth="1"/>
    <col min="1021" max="1021" width="22.81640625" style="322" customWidth="1"/>
    <col min="1022" max="1022" width="7.1796875" style="322" customWidth="1"/>
    <col min="1023" max="1023" width="9" style="322" hidden="1" customWidth="1"/>
    <col min="1024" max="1024" width="8.81640625" style="322" customWidth="1"/>
    <col min="1025" max="1025" width="9.81640625" style="322" customWidth="1"/>
    <col min="1026" max="1026" width="10.54296875" style="322" customWidth="1"/>
    <col min="1027" max="1027" width="12.1796875" style="322" customWidth="1"/>
    <col min="1028" max="1028" width="11.1796875" style="322" customWidth="1"/>
    <col min="1029" max="1029" width="6.81640625" style="322" customWidth="1"/>
    <col min="1030" max="1269" width="30.54296875" style="322" customWidth="1"/>
    <col min="1270" max="1270" width="6.54296875" style="322" customWidth="1"/>
    <col min="1271" max="1271" width="7.54296875" style="322" customWidth="1"/>
    <col min="1272" max="1272" width="4.81640625" style="322" customWidth="1"/>
    <col min="1273" max="1273" width="11.81640625" style="322" customWidth="1"/>
    <col min="1274" max="1274" width="9.81640625" style="322" customWidth="1"/>
    <col min="1275" max="1275" width="3" style="322" customWidth="1"/>
    <col min="1276" max="1276" width="7.1796875" style="322" customWidth="1"/>
    <col min="1277" max="1277" width="22.81640625" style="322" customWidth="1"/>
    <col min="1278" max="1278" width="7.1796875" style="322" customWidth="1"/>
    <col min="1279" max="1279" width="9" style="322" hidden="1" customWidth="1"/>
    <col min="1280" max="1280" width="8.81640625" style="322" customWidth="1"/>
    <col min="1281" max="1281" width="9.81640625" style="322" customWidth="1"/>
    <col min="1282" max="1282" width="10.54296875" style="322" customWidth="1"/>
    <col min="1283" max="1283" width="12.1796875" style="322" customWidth="1"/>
    <col min="1284" max="1284" width="11.1796875" style="322" customWidth="1"/>
    <col min="1285" max="1285" width="6.81640625" style="322" customWidth="1"/>
    <col min="1286" max="1525" width="30.54296875" style="322" customWidth="1"/>
    <col min="1526" max="1526" width="6.54296875" style="322" customWidth="1"/>
    <col min="1527" max="1527" width="7.54296875" style="322" customWidth="1"/>
    <col min="1528" max="1528" width="4.81640625" style="322" customWidth="1"/>
    <col min="1529" max="1529" width="11.81640625" style="322" customWidth="1"/>
    <col min="1530" max="1530" width="9.81640625" style="322" customWidth="1"/>
    <col min="1531" max="1531" width="3" style="322" customWidth="1"/>
    <col min="1532" max="1532" width="7.1796875" style="322" customWidth="1"/>
    <col min="1533" max="1533" width="22.81640625" style="322" customWidth="1"/>
    <col min="1534" max="1534" width="7.1796875" style="322" customWidth="1"/>
    <col min="1535" max="1535" width="9" style="322" hidden="1" customWidth="1"/>
    <col min="1536" max="1536" width="8.81640625" style="322" customWidth="1"/>
    <col min="1537" max="1537" width="9.81640625" style="322" customWidth="1"/>
    <col min="1538" max="1538" width="10.54296875" style="322" customWidth="1"/>
    <col min="1539" max="1539" width="12.1796875" style="322" customWidth="1"/>
    <col min="1540" max="1540" width="11.1796875" style="322" customWidth="1"/>
    <col min="1541" max="1541" width="6.81640625" style="322" customWidth="1"/>
    <col min="1542" max="1781" width="30.54296875" style="322" customWidth="1"/>
    <col min="1782" max="1782" width="6.54296875" style="322" customWidth="1"/>
    <col min="1783" max="1783" width="7.54296875" style="322" customWidth="1"/>
    <col min="1784" max="1784" width="4.81640625" style="322" customWidth="1"/>
    <col min="1785" max="1785" width="11.81640625" style="322" customWidth="1"/>
    <col min="1786" max="1786" width="9.81640625" style="322" customWidth="1"/>
    <col min="1787" max="1787" width="3" style="322" customWidth="1"/>
    <col min="1788" max="1788" width="7.1796875" style="322" customWidth="1"/>
    <col min="1789" max="1789" width="22.81640625" style="322" customWidth="1"/>
    <col min="1790" max="1790" width="7.1796875" style="322" customWidth="1"/>
    <col min="1791" max="1791" width="9" style="322" hidden="1" customWidth="1"/>
    <col min="1792" max="1792" width="8.81640625" style="322" customWidth="1"/>
    <col min="1793" max="1793" width="9.81640625" style="322" customWidth="1"/>
    <col min="1794" max="1794" width="10.54296875" style="322" customWidth="1"/>
    <col min="1795" max="1795" width="12.1796875" style="322" customWidth="1"/>
    <col min="1796" max="1796" width="11.1796875" style="322" customWidth="1"/>
    <col min="1797" max="1797" width="6.81640625" style="322" customWidth="1"/>
    <col min="1798" max="2037" width="30.54296875" style="322" customWidth="1"/>
    <col min="2038" max="2038" width="6.54296875" style="322" customWidth="1"/>
    <col min="2039" max="2039" width="7.54296875" style="322" customWidth="1"/>
    <col min="2040" max="2040" width="4.81640625" style="322" customWidth="1"/>
    <col min="2041" max="2041" width="11.81640625" style="322" customWidth="1"/>
    <col min="2042" max="2042" width="9.81640625" style="322" customWidth="1"/>
    <col min="2043" max="2043" width="3" style="322" customWidth="1"/>
    <col min="2044" max="2044" width="7.1796875" style="322" customWidth="1"/>
    <col min="2045" max="2045" width="22.81640625" style="322" customWidth="1"/>
    <col min="2046" max="2046" width="7.1796875" style="322" customWidth="1"/>
    <col min="2047" max="2047" width="9" style="322" hidden="1" customWidth="1"/>
    <col min="2048" max="2048" width="8.81640625" style="322" customWidth="1"/>
    <col min="2049" max="2049" width="9.81640625" style="322" customWidth="1"/>
    <col min="2050" max="2050" width="10.54296875" style="322" customWidth="1"/>
    <col min="2051" max="2051" width="12.1796875" style="322" customWidth="1"/>
    <col min="2052" max="2052" width="11.1796875" style="322" customWidth="1"/>
    <col min="2053" max="2053" width="6.81640625" style="322" customWidth="1"/>
    <col min="2054" max="2293" width="30.54296875" style="322" customWidth="1"/>
    <col min="2294" max="2294" width="6.54296875" style="322" customWidth="1"/>
    <col min="2295" max="2295" width="7.54296875" style="322" customWidth="1"/>
    <col min="2296" max="2296" width="4.81640625" style="322" customWidth="1"/>
    <col min="2297" max="2297" width="11.81640625" style="322" customWidth="1"/>
    <col min="2298" max="2298" width="9.81640625" style="322" customWidth="1"/>
    <col min="2299" max="2299" width="3" style="322" customWidth="1"/>
    <col min="2300" max="2300" width="7.1796875" style="322" customWidth="1"/>
    <col min="2301" max="2301" width="22.81640625" style="322" customWidth="1"/>
    <col min="2302" max="2302" width="7.1796875" style="322" customWidth="1"/>
    <col min="2303" max="2303" width="9" style="322" hidden="1" customWidth="1"/>
    <col min="2304" max="2304" width="8.81640625" style="322" customWidth="1"/>
    <col min="2305" max="2305" width="9.81640625" style="322" customWidth="1"/>
    <col min="2306" max="2306" width="10.54296875" style="322" customWidth="1"/>
    <col min="2307" max="2307" width="12.1796875" style="322" customWidth="1"/>
    <col min="2308" max="2308" width="11.1796875" style="322" customWidth="1"/>
    <col min="2309" max="2309" width="6.81640625" style="322" customWidth="1"/>
    <col min="2310" max="2549" width="30.54296875" style="322" customWidth="1"/>
    <col min="2550" max="2550" width="6.54296875" style="322" customWidth="1"/>
    <col min="2551" max="2551" width="7.54296875" style="322" customWidth="1"/>
    <col min="2552" max="2552" width="4.81640625" style="322" customWidth="1"/>
    <col min="2553" max="2553" width="11.81640625" style="322" customWidth="1"/>
    <col min="2554" max="2554" width="9.81640625" style="322" customWidth="1"/>
    <col min="2555" max="2555" width="3" style="322" customWidth="1"/>
    <col min="2556" max="2556" width="7.1796875" style="322" customWidth="1"/>
    <col min="2557" max="2557" width="22.81640625" style="322" customWidth="1"/>
    <col min="2558" max="2558" width="7.1796875" style="322" customWidth="1"/>
    <col min="2559" max="2559" width="9" style="322" hidden="1" customWidth="1"/>
    <col min="2560" max="2560" width="8.81640625" style="322" customWidth="1"/>
    <col min="2561" max="2561" width="9.81640625" style="322" customWidth="1"/>
    <col min="2562" max="2562" width="10.54296875" style="322" customWidth="1"/>
    <col min="2563" max="2563" width="12.1796875" style="322" customWidth="1"/>
    <col min="2564" max="2564" width="11.1796875" style="322" customWidth="1"/>
    <col min="2565" max="2565" width="6.81640625" style="322" customWidth="1"/>
    <col min="2566" max="2805" width="30.54296875" style="322" customWidth="1"/>
    <col min="2806" max="2806" width="6.54296875" style="322" customWidth="1"/>
    <col min="2807" max="2807" width="7.54296875" style="322" customWidth="1"/>
    <col min="2808" max="2808" width="4.81640625" style="322" customWidth="1"/>
    <col min="2809" max="2809" width="11.81640625" style="322" customWidth="1"/>
    <col min="2810" max="2810" width="9.81640625" style="322" customWidth="1"/>
    <col min="2811" max="2811" width="3" style="322" customWidth="1"/>
    <col min="2812" max="2812" width="7.1796875" style="322" customWidth="1"/>
    <col min="2813" max="2813" width="22.81640625" style="322" customWidth="1"/>
    <col min="2814" max="2814" width="7.1796875" style="322" customWidth="1"/>
    <col min="2815" max="2815" width="9" style="322" hidden="1" customWidth="1"/>
    <col min="2816" max="2816" width="8.81640625" style="322" customWidth="1"/>
    <col min="2817" max="2817" width="9.81640625" style="322" customWidth="1"/>
    <col min="2818" max="2818" width="10.54296875" style="322" customWidth="1"/>
    <col min="2819" max="2819" width="12.1796875" style="322" customWidth="1"/>
    <col min="2820" max="2820" width="11.1796875" style="322" customWidth="1"/>
    <col min="2821" max="2821" width="6.81640625" style="322" customWidth="1"/>
    <col min="2822" max="3061" width="30.54296875" style="322" customWidth="1"/>
    <col min="3062" max="3062" width="6.54296875" style="322" customWidth="1"/>
    <col min="3063" max="3063" width="7.54296875" style="322" customWidth="1"/>
    <col min="3064" max="3064" width="4.81640625" style="322" customWidth="1"/>
    <col min="3065" max="3065" width="11.81640625" style="322" customWidth="1"/>
    <col min="3066" max="3066" width="9.81640625" style="322" customWidth="1"/>
    <col min="3067" max="3067" width="3" style="322" customWidth="1"/>
    <col min="3068" max="3068" width="7.1796875" style="322" customWidth="1"/>
    <col min="3069" max="3069" width="22.81640625" style="322" customWidth="1"/>
    <col min="3070" max="3070" width="7.1796875" style="322" customWidth="1"/>
    <col min="3071" max="3071" width="9" style="322" hidden="1" customWidth="1"/>
    <col min="3072" max="3072" width="8.81640625" style="322" customWidth="1"/>
    <col min="3073" max="3073" width="9.81640625" style="322" customWidth="1"/>
    <col min="3074" max="3074" width="10.54296875" style="322" customWidth="1"/>
    <col min="3075" max="3075" width="12.1796875" style="322" customWidth="1"/>
    <col min="3076" max="3076" width="11.1796875" style="322" customWidth="1"/>
    <col min="3077" max="3077" width="6.81640625" style="322" customWidth="1"/>
    <col min="3078" max="3317" width="30.54296875" style="322" customWidth="1"/>
    <col min="3318" max="3318" width="6.54296875" style="322" customWidth="1"/>
    <col min="3319" max="3319" width="7.54296875" style="322" customWidth="1"/>
    <col min="3320" max="3320" width="4.81640625" style="322" customWidth="1"/>
    <col min="3321" max="3321" width="11.81640625" style="322" customWidth="1"/>
    <col min="3322" max="3322" width="9.81640625" style="322" customWidth="1"/>
    <col min="3323" max="3323" width="3" style="322" customWidth="1"/>
    <col min="3324" max="3324" width="7.1796875" style="322" customWidth="1"/>
    <col min="3325" max="3325" width="22.81640625" style="322" customWidth="1"/>
    <col min="3326" max="3326" width="7.1796875" style="322" customWidth="1"/>
    <col min="3327" max="3327" width="9" style="322" hidden="1" customWidth="1"/>
    <col min="3328" max="3328" width="8.81640625" style="322" customWidth="1"/>
    <col min="3329" max="3329" width="9.81640625" style="322" customWidth="1"/>
    <col min="3330" max="3330" width="10.54296875" style="322" customWidth="1"/>
    <col min="3331" max="3331" width="12.1796875" style="322" customWidth="1"/>
    <col min="3332" max="3332" width="11.1796875" style="322" customWidth="1"/>
    <col min="3333" max="3333" width="6.81640625" style="322" customWidth="1"/>
    <col min="3334" max="3573" width="30.54296875" style="322" customWidth="1"/>
    <col min="3574" max="3574" width="6.54296875" style="322" customWidth="1"/>
    <col min="3575" max="3575" width="7.54296875" style="322" customWidth="1"/>
    <col min="3576" max="3576" width="4.81640625" style="322" customWidth="1"/>
    <col min="3577" max="3577" width="11.81640625" style="322" customWidth="1"/>
    <col min="3578" max="3578" width="9.81640625" style="322" customWidth="1"/>
    <col min="3579" max="3579" width="3" style="322" customWidth="1"/>
    <col min="3580" max="3580" width="7.1796875" style="322" customWidth="1"/>
    <col min="3581" max="3581" width="22.81640625" style="322" customWidth="1"/>
    <col min="3582" max="3582" width="7.1796875" style="322" customWidth="1"/>
    <col min="3583" max="3583" width="9" style="322" hidden="1" customWidth="1"/>
    <col min="3584" max="3584" width="8.81640625" style="322" customWidth="1"/>
    <col min="3585" max="3585" width="9.81640625" style="322" customWidth="1"/>
    <col min="3586" max="3586" width="10.54296875" style="322" customWidth="1"/>
    <col min="3587" max="3587" width="12.1796875" style="322" customWidth="1"/>
    <col min="3588" max="3588" width="11.1796875" style="322" customWidth="1"/>
    <col min="3589" max="3589" width="6.81640625" style="322" customWidth="1"/>
    <col min="3590" max="3829" width="30.54296875" style="322" customWidth="1"/>
    <col min="3830" max="3830" width="6.54296875" style="322" customWidth="1"/>
    <col min="3831" max="3831" width="7.54296875" style="322" customWidth="1"/>
    <col min="3832" max="3832" width="4.81640625" style="322" customWidth="1"/>
    <col min="3833" max="3833" width="11.81640625" style="322" customWidth="1"/>
    <col min="3834" max="3834" width="9.81640625" style="322" customWidth="1"/>
    <col min="3835" max="3835" width="3" style="322" customWidth="1"/>
    <col min="3836" max="3836" width="7.1796875" style="322" customWidth="1"/>
    <col min="3837" max="3837" width="22.81640625" style="322" customWidth="1"/>
    <col min="3838" max="3838" width="7.1796875" style="322" customWidth="1"/>
    <col min="3839" max="3839" width="9" style="322" hidden="1" customWidth="1"/>
    <col min="3840" max="3840" width="8.81640625" style="322" customWidth="1"/>
    <col min="3841" max="3841" width="9.81640625" style="322" customWidth="1"/>
    <col min="3842" max="3842" width="10.54296875" style="322" customWidth="1"/>
    <col min="3843" max="3843" width="12.1796875" style="322" customWidth="1"/>
    <col min="3844" max="3844" width="11.1796875" style="322" customWidth="1"/>
    <col min="3845" max="3845" width="6.81640625" style="322" customWidth="1"/>
    <col min="3846" max="4085" width="30.54296875" style="322" customWidth="1"/>
    <col min="4086" max="4086" width="6.54296875" style="322" customWidth="1"/>
    <col min="4087" max="4087" width="7.54296875" style="322" customWidth="1"/>
    <col min="4088" max="4088" width="4.81640625" style="322" customWidth="1"/>
    <col min="4089" max="4089" width="11.81640625" style="322" customWidth="1"/>
    <col min="4090" max="4090" width="9.81640625" style="322" customWidth="1"/>
    <col min="4091" max="4091" width="3" style="322" customWidth="1"/>
    <col min="4092" max="4092" width="7.1796875" style="322" customWidth="1"/>
    <col min="4093" max="4093" width="22.81640625" style="322" customWidth="1"/>
    <col min="4094" max="4094" width="7.1796875" style="322" customWidth="1"/>
    <col min="4095" max="4095" width="9" style="322" hidden="1" customWidth="1"/>
    <col min="4096" max="4096" width="8.81640625" style="322" customWidth="1"/>
    <col min="4097" max="4097" width="9.81640625" style="322" customWidth="1"/>
    <col min="4098" max="4098" width="10.54296875" style="322" customWidth="1"/>
    <col min="4099" max="4099" width="12.1796875" style="322" customWidth="1"/>
    <col min="4100" max="4100" width="11.1796875" style="322" customWidth="1"/>
    <col min="4101" max="4101" width="6.81640625" style="322" customWidth="1"/>
    <col min="4102" max="4341" width="30.54296875" style="322" customWidth="1"/>
    <col min="4342" max="4342" width="6.54296875" style="322" customWidth="1"/>
    <col min="4343" max="4343" width="7.54296875" style="322" customWidth="1"/>
    <col min="4344" max="4344" width="4.81640625" style="322" customWidth="1"/>
    <col min="4345" max="4345" width="11.81640625" style="322" customWidth="1"/>
    <col min="4346" max="4346" width="9.81640625" style="322" customWidth="1"/>
    <col min="4347" max="4347" width="3" style="322" customWidth="1"/>
    <col min="4348" max="4348" width="7.1796875" style="322" customWidth="1"/>
    <col min="4349" max="4349" width="22.81640625" style="322" customWidth="1"/>
    <col min="4350" max="4350" width="7.1796875" style="322" customWidth="1"/>
    <col min="4351" max="4351" width="9" style="322" hidden="1" customWidth="1"/>
    <col min="4352" max="4352" width="8.81640625" style="322" customWidth="1"/>
    <col min="4353" max="4353" width="9.81640625" style="322" customWidth="1"/>
    <col min="4354" max="4354" width="10.54296875" style="322" customWidth="1"/>
    <col min="4355" max="4355" width="12.1796875" style="322" customWidth="1"/>
    <col min="4356" max="4356" width="11.1796875" style="322" customWidth="1"/>
    <col min="4357" max="4357" width="6.81640625" style="322" customWidth="1"/>
    <col min="4358" max="4597" width="30.54296875" style="322" customWidth="1"/>
    <col min="4598" max="4598" width="6.54296875" style="322" customWidth="1"/>
    <col min="4599" max="4599" width="7.54296875" style="322" customWidth="1"/>
    <col min="4600" max="4600" width="4.81640625" style="322" customWidth="1"/>
    <col min="4601" max="4601" width="11.81640625" style="322" customWidth="1"/>
    <col min="4602" max="4602" width="9.81640625" style="322" customWidth="1"/>
    <col min="4603" max="4603" width="3" style="322" customWidth="1"/>
    <col min="4604" max="4604" width="7.1796875" style="322" customWidth="1"/>
    <col min="4605" max="4605" width="22.81640625" style="322" customWidth="1"/>
    <col min="4606" max="4606" width="7.1796875" style="322" customWidth="1"/>
    <col min="4607" max="4607" width="9" style="322" hidden="1" customWidth="1"/>
    <col min="4608" max="4608" width="8.81640625" style="322" customWidth="1"/>
    <col min="4609" max="4609" width="9.81640625" style="322" customWidth="1"/>
    <col min="4610" max="4610" width="10.54296875" style="322" customWidth="1"/>
    <col min="4611" max="4611" width="12.1796875" style="322" customWidth="1"/>
    <col min="4612" max="4612" width="11.1796875" style="322" customWidth="1"/>
    <col min="4613" max="4613" width="6.81640625" style="322" customWidth="1"/>
    <col min="4614" max="4853" width="30.54296875" style="322" customWidth="1"/>
    <col min="4854" max="4854" width="6.54296875" style="322" customWidth="1"/>
    <col min="4855" max="4855" width="7.54296875" style="322" customWidth="1"/>
    <col min="4856" max="4856" width="4.81640625" style="322" customWidth="1"/>
    <col min="4857" max="4857" width="11.81640625" style="322" customWidth="1"/>
    <col min="4858" max="4858" width="9.81640625" style="322" customWidth="1"/>
    <col min="4859" max="4859" width="3" style="322" customWidth="1"/>
    <col min="4860" max="4860" width="7.1796875" style="322" customWidth="1"/>
    <col min="4861" max="4861" width="22.81640625" style="322" customWidth="1"/>
    <col min="4862" max="4862" width="7.1796875" style="322" customWidth="1"/>
    <col min="4863" max="4863" width="9" style="322" hidden="1" customWidth="1"/>
    <col min="4864" max="4864" width="8.81640625" style="322" customWidth="1"/>
    <col min="4865" max="4865" width="9.81640625" style="322" customWidth="1"/>
    <col min="4866" max="4866" width="10.54296875" style="322" customWidth="1"/>
    <col min="4867" max="4867" width="12.1796875" style="322" customWidth="1"/>
    <col min="4868" max="4868" width="11.1796875" style="322" customWidth="1"/>
    <col min="4869" max="4869" width="6.81640625" style="322" customWidth="1"/>
    <col min="4870" max="5109" width="30.54296875" style="322" customWidth="1"/>
    <col min="5110" max="5110" width="6.54296875" style="322" customWidth="1"/>
    <col min="5111" max="5111" width="7.54296875" style="322" customWidth="1"/>
    <col min="5112" max="5112" width="4.81640625" style="322" customWidth="1"/>
    <col min="5113" max="5113" width="11.81640625" style="322" customWidth="1"/>
    <col min="5114" max="5114" width="9.81640625" style="322" customWidth="1"/>
    <col min="5115" max="5115" width="3" style="322" customWidth="1"/>
    <col min="5116" max="5116" width="7.1796875" style="322" customWidth="1"/>
    <col min="5117" max="5117" width="22.81640625" style="322" customWidth="1"/>
    <col min="5118" max="5118" width="7.1796875" style="322" customWidth="1"/>
    <col min="5119" max="5119" width="9" style="322" hidden="1" customWidth="1"/>
    <col min="5120" max="5120" width="8.81640625" style="322" customWidth="1"/>
    <col min="5121" max="5121" width="9.81640625" style="322" customWidth="1"/>
    <col min="5122" max="5122" width="10.54296875" style="322" customWidth="1"/>
    <col min="5123" max="5123" width="12.1796875" style="322" customWidth="1"/>
    <col min="5124" max="5124" width="11.1796875" style="322" customWidth="1"/>
    <col min="5125" max="5125" width="6.81640625" style="322" customWidth="1"/>
    <col min="5126" max="5365" width="30.54296875" style="322" customWidth="1"/>
    <col min="5366" max="5366" width="6.54296875" style="322" customWidth="1"/>
    <col min="5367" max="5367" width="7.54296875" style="322" customWidth="1"/>
    <col min="5368" max="5368" width="4.81640625" style="322" customWidth="1"/>
    <col min="5369" max="5369" width="11.81640625" style="322" customWidth="1"/>
    <col min="5370" max="5370" width="9.81640625" style="322" customWidth="1"/>
    <col min="5371" max="5371" width="3" style="322" customWidth="1"/>
    <col min="5372" max="5372" width="7.1796875" style="322" customWidth="1"/>
    <col min="5373" max="5373" width="22.81640625" style="322" customWidth="1"/>
    <col min="5374" max="5374" width="7.1796875" style="322" customWidth="1"/>
    <col min="5375" max="5375" width="9" style="322" hidden="1" customWidth="1"/>
    <col min="5376" max="5376" width="8.81640625" style="322" customWidth="1"/>
    <col min="5377" max="5377" width="9.81640625" style="322" customWidth="1"/>
    <col min="5378" max="5378" width="10.54296875" style="322" customWidth="1"/>
    <col min="5379" max="5379" width="12.1796875" style="322" customWidth="1"/>
    <col min="5380" max="5380" width="11.1796875" style="322" customWidth="1"/>
    <col min="5381" max="5381" width="6.81640625" style="322" customWidth="1"/>
    <col min="5382" max="5621" width="30.54296875" style="322" customWidth="1"/>
    <col min="5622" max="5622" width="6.54296875" style="322" customWidth="1"/>
    <col min="5623" max="5623" width="7.54296875" style="322" customWidth="1"/>
    <col min="5624" max="5624" width="4.81640625" style="322" customWidth="1"/>
    <col min="5625" max="5625" width="11.81640625" style="322" customWidth="1"/>
    <col min="5626" max="5626" width="9.81640625" style="322" customWidth="1"/>
    <col min="5627" max="5627" width="3" style="322" customWidth="1"/>
    <col min="5628" max="5628" width="7.1796875" style="322" customWidth="1"/>
    <col min="5629" max="5629" width="22.81640625" style="322" customWidth="1"/>
    <col min="5630" max="5630" width="7.1796875" style="322" customWidth="1"/>
    <col min="5631" max="5631" width="9" style="322" hidden="1" customWidth="1"/>
    <col min="5632" max="5632" width="8.81640625" style="322" customWidth="1"/>
    <col min="5633" max="5633" width="9.81640625" style="322" customWidth="1"/>
    <col min="5634" max="5634" width="10.54296875" style="322" customWidth="1"/>
    <col min="5635" max="5635" width="12.1796875" style="322" customWidth="1"/>
    <col min="5636" max="5636" width="11.1796875" style="322" customWidth="1"/>
    <col min="5637" max="5637" width="6.81640625" style="322" customWidth="1"/>
    <col min="5638" max="5877" width="30.54296875" style="322" customWidth="1"/>
    <col min="5878" max="5878" width="6.54296875" style="322" customWidth="1"/>
    <col min="5879" max="5879" width="7.54296875" style="322" customWidth="1"/>
    <col min="5880" max="5880" width="4.81640625" style="322" customWidth="1"/>
    <col min="5881" max="5881" width="11.81640625" style="322" customWidth="1"/>
    <col min="5882" max="5882" width="9.81640625" style="322" customWidth="1"/>
    <col min="5883" max="5883" width="3" style="322" customWidth="1"/>
    <col min="5884" max="5884" width="7.1796875" style="322" customWidth="1"/>
    <col min="5885" max="5885" width="22.81640625" style="322" customWidth="1"/>
    <col min="5886" max="5886" width="7.1796875" style="322" customWidth="1"/>
    <col min="5887" max="5887" width="9" style="322" hidden="1" customWidth="1"/>
    <col min="5888" max="5888" width="8.81640625" style="322" customWidth="1"/>
    <col min="5889" max="5889" width="9.81640625" style="322" customWidth="1"/>
    <col min="5890" max="5890" width="10.54296875" style="322" customWidth="1"/>
    <col min="5891" max="5891" width="12.1796875" style="322" customWidth="1"/>
    <col min="5892" max="5892" width="11.1796875" style="322" customWidth="1"/>
    <col min="5893" max="5893" width="6.81640625" style="322" customWidth="1"/>
    <col min="5894" max="6133" width="30.54296875" style="322" customWidth="1"/>
    <col min="6134" max="6134" width="6.54296875" style="322" customWidth="1"/>
    <col min="6135" max="6135" width="7.54296875" style="322" customWidth="1"/>
    <col min="6136" max="6136" width="4.81640625" style="322" customWidth="1"/>
    <col min="6137" max="6137" width="11.81640625" style="322" customWidth="1"/>
    <col min="6138" max="6138" width="9.81640625" style="322" customWidth="1"/>
    <col min="6139" max="6139" width="3" style="322" customWidth="1"/>
    <col min="6140" max="6140" width="7.1796875" style="322" customWidth="1"/>
    <col min="6141" max="6141" width="22.81640625" style="322" customWidth="1"/>
    <col min="6142" max="6142" width="7.1796875" style="322" customWidth="1"/>
    <col min="6143" max="6143" width="9" style="322" hidden="1" customWidth="1"/>
    <col min="6144" max="6144" width="8.81640625" style="322" customWidth="1"/>
    <col min="6145" max="6145" width="9.81640625" style="322" customWidth="1"/>
    <col min="6146" max="6146" width="10.54296875" style="322" customWidth="1"/>
    <col min="6147" max="6147" width="12.1796875" style="322" customWidth="1"/>
    <col min="6148" max="6148" width="11.1796875" style="322" customWidth="1"/>
    <col min="6149" max="6149" width="6.81640625" style="322" customWidth="1"/>
    <col min="6150" max="6389" width="30.54296875" style="322" customWidth="1"/>
    <col min="6390" max="6390" width="6.54296875" style="322" customWidth="1"/>
    <col min="6391" max="6391" width="7.54296875" style="322" customWidth="1"/>
    <col min="6392" max="6392" width="4.81640625" style="322" customWidth="1"/>
    <col min="6393" max="6393" width="11.81640625" style="322" customWidth="1"/>
    <col min="6394" max="6394" width="9.81640625" style="322" customWidth="1"/>
    <col min="6395" max="6395" width="3" style="322" customWidth="1"/>
    <col min="6396" max="6396" width="7.1796875" style="322" customWidth="1"/>
    <col min="6397" max="6397" width="22.81640625" style="322" customWidth="1"/>
    <col min="6398" max="6398" width="7.1796875" style="322" customWidth="1"/>
    <col min="6399" max="6399" width="9" style="322" hidden="1" customWidth="1"/>
    <col min="6400" max="6400" width="8.81640625" style="322" customWidth="1"/>
    <col min="6401" max="6401" width="9.81640625" style="322" customWidth="1"/>
    <col min="6402" max="6402" width="10.54296875" style="322" customWidth="1"/>
    <col min="6403" max="6403" width="12.1796875" style="322" customWidth="1"/>
    <col min="6404" max="6404" width="11.1796875" style="322" customWidth="1"/>
    <col min="6405" max="6405" width="6.81640625" style="322" customWidth="1"/>
    <col min="6406" max="6645" width="30.54296875" style="322" customWidth="1"/>
    <col min="6646" max="6646" width="6.54296875" style="322" customWidth="1"/>
    <col min="6647" max="6647" width="7.54296875" style="322" customWidth="1"/>
    <col min="6648" max="6648" width="4.81640625" style="322" customWidth="1"/>
    <col min="6649" max="6649" width="11.81640625" style="322" customWidth="1"/>
    <col min="6650" max="6650" width="9.81640625" style="322" customWidth="1"/>
    <col min="6651" max="6651" width="3" style="322" customWidth="1"/>
    <col min="6652" max="6652" width="7.1796875" style="322" customWidth="1"/>
    <col min="6653" max="6653" width="22.81640625" style="322" customWidth="1"/>
    <col min="6654" max="6654" width="7.1796875" style="322" customWidth="1"/>
    <col min="6655" max="6655" width="9" style="322" hidden="1" customWidth="1"/>
    <col min="6656" max="6656" width="8.81640625" style="322" customWidth="1"/>
    <col min="6657" max="6657" width="9.81640625" style="322" customWidth="1"/>
    <col min="6658" max="6658" width="10.54296875" style="322" customWidth="1"/>
    <col min="6659" max="6659" width="12.1796875" style="322" customWidth="1"/>
    <col min="6660" max="6660" width="11.1796875" style="322" customWidth="1"/>
    <col min="6661" max="6661" width="6.81640625" style="322" customWidth="1"/>
    <col min="6662" max="6901" width="30.54296875" style="322" customWidth="1"/>
    <col min="6902" max="6902" width="6.54296875" style="322" customWidth="1"/>
    <col min="6903" max="6903" width="7.54296875" style="322" customWidth="1"/>
    <col min="6904" max="6904" width="4.81640625" style="322" customWidth="1"/>
    <col min="6905" max="6905" width="11.81640625" style="322" customWidth="1"/>
    <col min="6906" max="6906" width="9.81640625" style="322" customWidth="1"/>
    <col min="6907" max="6907" width="3" style="322" customWidth="1"/>
    <col min="6908" max="6908" width="7.1796875" style="322" customWidth="1"/>
    <col min="6909" max="6909" width="22.81640625" style="322" customWidth="1"/>
    <col min="6910" max="6910" width="7.1796875" style="322" customWidth="1"/>
    <col min="6911" max="6911" width="9" style="322" hidden="1" customWidth="1"/>
    <col min="6912" max="6912" width="8.81640625" style="322" customWidth="1"/>
    <col min="6913" max="6913" width="9.81640625" style="322" customWidth="1"/>
    <col min="6914" max="6914" width="10.54296875" style="322" customWidth="1"/>
    <col min="6915" max="6915" width="12.1796875" style="322" customWidth="1"/>
    <col min="6916" max="6916" width="11.1796875" style="322" customWidth="1"/>
    <col min="6917" max="6917" width="6.81640625" style="322" customWidth="1"/>
    <col min="6918" max="7157" width="30.54296875" style="322" customWidth="1"/>
    <col min="7158" max="7158" width="6.54296875" style="322" customWidth="1"/>
    <col min="7159" max="7159" width="7.54296875" style="322" customWidth="1"/>
    <col min="7160" max="7160" width="4.81640625" style="322" customWidth="1"/>
    <col min="7161" max="7161" width="11.81640625" style="322" customWidth="1"/>
    <col min="7162" max="7162" width="9.81640625" style="322" customWidth="1"/>
    <col min="7163" max="7163" width="3" style="322" customWidth="1"/>
    <col min="7164" max="7164" width="7.1796875" style="322" customWidth="1"/>
    <col min="7165" max="7165" width="22.81640625" style="322" customWidth="1"/>
    <col min="7166" max="7166" width="7.1796875" style="322" customWidth="1"/>
    <col min="7167" max="7167" width="9" style="322" hidden="1" customWidth="1"/>
    <col min="7168" max="7168" width="8.81640625" style="322" customWidth="1"/>
    <col min="7169" max="7169" width="9.81640625" style="322" customWidth="1"/>
    <col min="7170" max="7170" width="10.54296875" style="322" customWidth="1"/>
    <col min="7171" max="7171" width="12.1796875" style="322" customWidth="1"/>
    <col min="7172" max="7172" width="11.1796875" style="322" customWidth="1"/>
    <col min="7173" max="7173" width="6.81640625" style="322" customWidth="1"/>
    <col min="7174" max="7413" width="30.54296875" style="322" customWidth="1"/>
    <col min="7414" max="7414" width="6.54296875" style="322" customWidth="1"/>
    <col min="7415" max="7415" width="7.54296875" style="322" customWidth="1"/>
    <col min="7416" max="7416" width="4.81640625" style="322" customWidth="1"/>
    <col min="7417" max="7417" width="11.81640625" style="322" customWidth="1"/>
    <col min="7418" max="7418" width="9.81640625" style="322" customWidth="1"/>
    <col min="7419" max="7419" width="3" style="322" customWidth="1"/>
    <col min="7420" max="7420" width="7.1796875" style="322" customWidth="1"/>
    <col min="7421" max="7421" width="22.81640625" style="322" customWidth="1"/>
    <col min="7422" max="7422" width="7.1796875" style="322" customWidth="1"/>
    <col min="7423" max="7423" width="9" style="322" hidden="1" customWidth="1"/>
    <col min="7424" max="7424" width="8.81640625" style="322" customWidth="1"/>
    <col min="7425" max="7425" width="9.81640625" style="322" customWidth="1"/>
    <col min="7426" max="7426" width="10.54296875" style="322" customWidth="1"/>
    <col min="7427" max="7427" width="12.1796875" style="322" customWidth="1"/>
    <col min="7428" max="7428" width="11.1796875" style="322" customWidth="1"/>
    <col min="7429" max="7429" width="6.81640625" style="322" customWidth="1"/>
    <col min="7430" max="7669" width="30.54296875" style="322" customWidth="1"/>
    <col min="7670" max="7670" width="6.54296875" style="322" customWidth="1"/>
    <col min="7671" max="7671" width="7.54296875" style="322" customWidth="1"/>
    <col min="7672" max="7672" width="4.81640625" style="322" customWidth="1"/>
    <col min="7673" max="7673" width="11.81640625" style="322" customWidth="1"/>
    <col min="7674" max="7674" width="9.81640625" style="322" customWidth="1"/>
    <col min="7675" max="7675" width="3" style="322" customWidth="1"/>
    <col min="7676" max="7676" width="7.1796875" style="322" customWidth="1"/>
    <col min="7677" max="7677" width="22.81640625" style="322" customWidth="1"/>
    <col min="7678" max="7678" width="7.1796875" style="322" customWidth="1"/>
    <col min="7679" max="7679" width="9" style="322" hidden="1" customWidth="1"/>
    <col min="7680" max="7680" width="8.81640625" style="322" customWidth="1"/>
    <col min="7681" max="7681" width="9.81640625" style="322" customWidth="1"/>
    <col min="7682" max="7682" width="10.54296875" style="322" customWidth="1"/>
    <col min="7683" max="7683" width="12.1796875" style="322" customWidth="1"/>
    <col min="7684" max="7684" width="11.1796875" style="322" customWidth="1"/>
    <col min="7685" max="7685" width="6.81640625" style="322" customWidth="1"/>
    <col min="7686" max="7925" width="30.54296875" style="322" customWidth="1"/>
    <col min="7926" max="7926" width="6.54296875" style="322" customWidth="1"/>
    <col min="7927" max="7927" width="7.54296875" style="322" customWidth="1"/>
    <col min="7928" max="7928" width="4.81640625" style="322" customWidth="1"/>
    <col min="7929" max="7929" width="11.81640625" style="322" customWidth="1"/>
    <col min="7930" max="7930" width="9.81640625" style="322" customWidth="1"/>
    <col min="7931" max="7931" width="3" style="322" customWidth="1"/>
    <col min="7932" max="7932" width="7.1796875" style="322" customWidth="1"/>
    <col min="7933" max="7933" width="22.81640625" style="322" customWidth="1"/>
    <col min="7934" max="7934" width="7.1796875" style="322" customWidth="1"/>
    <col min="7935" max="7935" width="9" style="322" hidden="1" customWidth="1"/>
    <col min="7936" max="7936" width="8.81640625" style="322" customWidth="1"/>
    <col min="7937" max="7937" width="9.81640625" style="322" customWidth="1"/>
    <col min="7938" max="7938" width="10.54296875" style="322" customWidth="1"/>
    <col min="7939" max="7939" width="12.1796875" style="322" customWidth="1"/>
    <col min="7940" max="7940" width="11.1796875" style="322" customWidth="1"/>
    <col min="7941" max="7941" width="6.81640625" style="322" customWidth="1"/>
    <col min="7942" max="8181" width="30.54296875" style="322" customWidth="1"/>
    <col min="8182" max="8182" width="6.54296875" style="322" customWidth="1"/>
    <col min="8183" max="8183" width="7.54296875" style="322" customWidth="1"/>
    <col min="8184" max="8184" width="4.81640625" style="322" customWidth="1"/>
    <col min="8185" max="8185" width="11.81640625" style="322" customWidth="1"/>
    <col min="8186" max="8186" width="9.81640625" style="322" customWidth="1"/>
    <col min="8187" max="8187" width="3" style="322" customWidth="1"/>
    <col min="8188" max="8188" width="7.1796875" style="322" customWidth="1"/>
    <col min="8189" max="8189" width="22.81640625" style="322" customWidth="1"/>
    <col min="8190" max="8190" width="7.1796875" style="322" customWidth="1"/>
    <col min="8191" max="8191" width="9" style="322" hidden="1" customWidth="1"/>
    <col min="8192" max="8192" width="8.81640625" style="322" customWidth="1"/>
    <col min="8193" max="8193" width="9.81640625" style="322" customWidth="1"/>
    <col min="8194" max="8194" width="10.54296875" style="322" customWidth="1"/>
    <col min="8195" max="8195" width="12.1796875" style="322" customWidth="1"/>
    <col min="8196" max="8196" width="11.1796875" style="322" customWidth="1"/>
    <col min="8197" max="8197" width="6.81640625" style="322" customWidth="1"/>
    <col min="8198" max="8437" width="30.54296875" style="322" customWidth="1"/>
    <col min="8438" max="8438" width="6.54296875" style="322" customWidth="1"/>
    <col min="8439" max="8439" width="7.54296875" style="322" customWidth="1"/>
    <col min="8440" max="8440" width="4.81640625" style="322" customWidth="1"/>
    <col min="8441" max="8441" width="11.81640625" style="322" customWidth="1"/>
    <col min="8442" max="8442" width="9.81640625" style="322" customWidth="1"/>
    <col min="8443" max="8443" width="3" style="322" customWidth="1"/>
    <col min="8444" max="8444" width="7.1796875" style="322" customWidth="1"/>
    <col min="8445" max="8445" width="22.81640625" style="322" customWidth="1"/>
    <col min="8446" max="8446" width="7.1796875" style="322" customWidth="1"/>
    <col min="8447" max="8447" width="9" style="322" hidden="1" customWidth="1"/>
    <col min="8448" max="8448" width="8.81640625" style="322" customWidth="1"/>
    <col min="8449" max="8449" width="9.81640625" style="322" customWidth="1"/>
    <col min="8450" max="8450" width="10.54296875" style="322" customWidth="1"/>
    <col min="8451" max="8451" width="12.1796875" style="322" customWidth="1"/>
    <col min="8452" max="8452" width="11.1796875" style="322" customWidth="1"/>
    <col min="8453" max="8453" width="6.81640625" style="322" customWidth="1"/>
    <col min="8454" max="8693" width="30.54296875" style="322" customWidth="1"/>
    <col min="8694" max="8694" width="6.54296875" style="322" customWidth="1"/>
    <col min="8695" max="8695" width="7.54296875" style="322" customWidth="1"/>
    <col min="8696" max="8696" width="4.81640625" style="322" customWidth="1"/>
    <col min="8697" max="8697" width="11.81640625" style="322" customWidth="1"/>
    <col min="8698" max="8698" width="9.81640625" style="322" customWidth="1"/>
    <col min="8699" max="8699" width="3" style="322" customWidth="1"/>
    <col min="8700" max="8700" width="7.1796875" style="322" customWidth="1"/>
    <col min="8701" max="8701" width="22.81640625" style="322" customWidth="1"/>
    <col min="8702" max="8702" width="7.1796875" style="322" customWidth="1"/>
    <col min="8703" max="8703" width="9" style="322" hidden="1" customWidth="1"/>
    <col min="8704" max="8704" width="8.81640625" style="322" customWidth="1"/>
    <col min="8705" max="8705" width="9.81640625" style="322" customWidth="1"/>
    <col min="8706" max="8706" width="10.54296875" style="322" customWidth="1"/>
    <col min="8707" max="8707" width="12.1796875" style="322" customWidth="1"/>
    <col min="8708" max="8708" width="11.1796875" style="322" customWidth="1"/>
    <col min="8709" max="8709" width="6.81640625" style="322" customWidth="1"/>
    <col min="8710" max="8949" width="30.54296875" style="322" customWidth="1"/>
    <col min="8950" max="8950" width="6.54296875" style="322" customWidth="1"/>
    <col min="8951" max="8951" width="7.54296875" style="322" customWidth="1"/>
    <col min="8952" max="8952" width="4.81640625" style="322" customWidth="1"/>
    <col min="8953" max="8953" width="11.81640625" style="322" customWidth="1"/>
    <col min="8954" max="8954" width="9.81640625" style="322" customWidth="1"/>
    <col min="8955" max="8955" width="3" style="322" customWidth="1"/>
    <col min="8956" max="8956" width="7.1796875" style="322" customWidth="1"/>
    <col min="8957" max="8957" width="22.81640625" style="322" customWidth="1"/>
    <col min="8958" max="8958" width="7.1796875" style="322" customWidth="1"/>
    <col min="8959" max="8959" width="9" style="322" hidden="1" customWidth="1"/>
    <col min="8960" max="8960" width="8.81640625" style="322" customWidth="1"/>
    <col min="8961" max="8961" width="9.81640625" style="322" customWidth="1"/>
    <col min="8962" max="8962" width="10.54296875" style="322" customWidth="1"/>
    <col min="8963" max="8963" width="12.1796875" style="322" customWidth="1"/>
    <col min="8964" max="8964" width="11.1796875" style="322" customWidth="1"/>
    <col min="8965" max="8965" width="6.81640625" style="322" customWidth="1"/>
    <col min="8966" max="9205" width="30.54296875" style="322" customWidth="1"/>
    <col min="9206" max="9206" width="6.54296875" style="322" customWidth="1"/>
    <col min="9207" max="9207" width="7.54296875" style="322" customWidth="1"/>
    <col min="9208" max="9208" width="4.81640625" style="322" customWidth="1"/>
    <col min="9209" max="9209" width="11.81640625" style="322" customWidth="1"/>
    <col min="9210" max="9210" width="9.81640625" style="322" customWidth="1"/>
    <col min="9211" max="9211" width="3" style="322" customWidth="1"/>
    <col min="9212" max="9212" width="7.1796875" style="322" customWidth="1"/>
    <col min="9213" max="9213" width="22.81640625" style="322" customWidth="1"/>
    <col min="9214" max="9214" width="7.1796875" style="322" customWidth="1"/>
    <col min="9215" max="9215" width="9" style="322" hidden="1" customWidth="1"/>
    <col min="9216" max="9216" width="8.81640625" style="322" customWidth="1"/>
    <col min="9217" max="9217" width="9.81640625" style="322" customWidth="1"/>
    <col min="9218" max="9218" width="10.54296875" style="322" customWidth="1"/>
    <col min="9219" max="9219" width="12.1796875" style="322" customWidth="1"/>
    <col min="9220" max="9220" width="11.1796875" style="322" customWidth="1"/>
    <col min="9221" max="9221" width="6.81640625" style="322" customWidth="1"/>
    <col min="9222" max="9461" width="30.54296875" style="322" customWidth="1"/>
    <col min="9462" max="9462" width="6.54296875" style="322" customWidth="1"/>
    <col min="9463" max="9463" width="7.54296875" style="322" customWidth="1"/>
    <col min="9464" max="9464" width="4.81640625" style="322" customWidth="1"/>
    <col min="9465" max="9465" width="11.81640625" style="322" customWidth="1"/>
    <col min="9466" max="9466" width="9.81640625" style="322" customWidth="1"/>
    <col min="9467" max="9467" width="3" style="322" customWidth="1"/>
    <col min="9468" max="9468" width="7.1796875" style="322" customWidth="1"/>
    <col min="9469" max="9469" width="22.81640625" style="322" customWidth="1"/>
    <col min="9470" max="9470" width="7.1796875" style="322" customWidth="1"/>
    <col min="9471" max="9471" width="9" style="322" hidden="1" customWidth="1"/>
    <col min="9472" max="9472" width="8.81640625" style="322" customWidth="1"/>
    <col min="9473" max="9473" width="9.81640625" style="322" customWidth="1"/>
    <col min="9474" max="9474" width="10.54296875" style="322" customWidth="1"/>
    <col min="9475" max="9475" width="12.1796875" style="322" customWidth="1"/>
    <col min="9476" max="9476" width="11.1796875" style="322" customWidth="1"/>
    <col min="9477" max="9477" width="6.81640625" style="322" customWidth="1"/>
    <col min="9478" max="9717" width="30.54296875" style="322" customWidth="1"/>
    <col min="9718" max="9718" width="6.54296875" style="322" customWidth="1"/>
    <col min="9719" max="9719" width="7.54296875" style="322" customWidth="1"/>
    <col min="9720" max="9720" width="4.81640625" style="322" customWidth="1"/>
    <col min="9721" max="9721" width="11.81640625" style="322" customWidth="1"/>
    <col min="9722" max="9722" width="9.81640625" style="322" customWidth="1"/>
    <col min="9723" max="9723" width="3" style="322" customWidth="1"/>
    <col min="9724" max="9724" width="7.1796875" style="322" customWidth="1"/>
    <col min="9725" max="9725" width="22.81640625" style="322" customWidth="1"/>
    <col min="9726" max="9726" width="7.1796875" style="322" customWidth="1"/>
    <col min="9727" max="9727" width="9" style="322" hidden="1" customWidth="1"/>
    <col min="9728" max="9728" width="8.81640625" style="322" customWidth="1"/>
    <col min="9729" max="9729" width="9.81640625" style="322" customWidth="1"/>
    <col min="9730" max="9730" width="10.54296875" style="322" customWidth="1"/>
    <col min="9731" max="9731" width="12.1796875" style="322" customWidth="1"/>
    <col min="9732" max="9732" width="11.1796875" style="322" customWidth="1"/>
    <col min="9733" max="9733" width="6.81640625" style="322" customWidth="1"/>
    <col min="9734" max="9973" width="30.54296875" style="322" customWidth="1"/>
    <col min="9974" max="9974" width="6.54296875" style="322" customWidth="1"/>
    <col min="9975" max="9975" width="7.54296875" style="322" customWidth="1"/>
    <col min="9976" max="9976" width="4.81640625" style="322" customWidth="1"/>
    <col min="9977" max="9977" width="11.81640625" style="322" customWidth="1"/>
    <col min="9978" max="9978" width="9.81640625" style="322" customWidth="1"/>
    <col min="9979" max="9979" width="3" style="322" customWidth="1"/>
    <col min="9980" max="9980" width="7.1796875" style="322" customWidth="1"/>
    <col min="9981" max="9981" width="22.81640625" style="322" customWidth="1"/>
    <col min="9982" max="9982" width="7.1796875" style="322" customWidth="1"/>
    <col min="9983" max="9983" width="9" style="322" hidden="1" customWidth="1"/>
    <col min="9984" max="9984" width="8.81640625" style="322" customWidth="1"/>
    <col min="9985" max="9985" width="9.81640625" style="322" customWidth="1"/>
    <col min="9986" max="9986" width="10.54296875" style="322" customWidth="1"/>
    <col min="9987" max="9987" width="12.1796875" style="322" customWidth="1"/>
    <col min="9988" max="9988" width="11.1796875" style="322" customWidth="1"/>
    <col min="9989" max="9989" width="6.81640625" style="322" customWidth="1"/>
    <col min="9990" max="10229" width="30.54296875" style="322" customWidth="1"/>
    <col min="10230" max="10230" width="6.54296875" style="322" customWidth="1"/>
    <col min="10231" max="10231" width="7.54296875" style="322" customWidth="1"/>
    <col min="10232" max="10232" width="4.81640625" style="322" customWidth="1"/>
    <col min="10233" max="10233" width="11.81640625" style="322" customWidth="1"/>
    <col min="10234" max="10234" width="9.81640625" style="322" customWidth="1"/>
    <col min="10235" max="10235" width="3" style="322" customWidth="1"/>
    <col min="10236" max="10236" width="7.1796875" style="322" customWidth="1"/>
    <col min="10237" max="10237" width="22.81640625" style="322" customWidth="1"/>
    <col min="10238" max="10238" width="7.1796875" style="322" customWidth="1"/>
    <col min="10239" max="10239" width="9" style="322" hidden="1" customWidth="1"/>
    <col min="10240" max="10240" width="8.81640625" style="322" customWidth="1"/>
    <col min="10241" max="10241" width="9.81640625" style="322" customWidth="1"/>
    <col min="10242" max="10242" width="10.54296875" style="322" customWidth="1"/>
    <col min="10243" max="10243" width="12.1796875" style="322" customWidth="1"/>
    <col min="10244" max="10244" width="11.1796875" style="322" customWidth="1"/>
    <col min="10245" max="10245" width="6.81640625" style="322" customWidth="1"/>
    <col min="10246" max="10485" width="30.54296875" style="322" customWidth="1"/>
    <col min="10486" max="10486" width="6.54296875" style="322" customWidth="1"/>
    <col min="10487" max="10487" width="7.54296875" style="322" customWidth="1"/>
    <col min="10488" max="10488" width="4.81640625" style="322" customWidth="1"/>
    <col min="10489" max="10489" width="11.81640625" style="322" customWidth="1"/>
    <col min="10490" max="10490" width="9.81640625" style="322" customWidth="1"/>
    <col min="10491" max="10491" width="3" style="322" customWidth="1"/>
    <col min="10492" max="10492" width="7.1796875" style="322" customWidth="1"/>
    <col min="10493" max="10493" width="22.81640625" style="322" customWidth="1"/>
    <col min="10494" max="10494" width="7.1796875" style="322" customWidth="1"/>
    <col min="10495" max="10495" width="9" style="322" hidden="1" customWidth="1"/>
    <col min="10496" max="10496" width="8.81640625" style="322" customWidth="1"/>
    <col min="10497" max="10497" width="9.81640625" style="322" customWidth="1"/>
    <col min="10498" max="10498" width="10.54296875" style="322" customWidth="1"/>
    <col min="10499" max="10499" width="12.1796875" style="322" customWidth="1"/>
    <col min="10500" max="10500" width="11.1796875" style="322" customWidth="1"/>
    <col min="10501" max="10501" width="6.81640625" style="322" customWidth="1"/>
    <col min="10502" max="10741" width="30.54296875" style="322" customWidth="1"/>
    <col min="10742" max="10742" width="6.54296875" style="322" customWidth="1"/>
    <col min="10743" max="10743" width="7.54296875" style="322" customWidth="1"/>
    <col min="10744" max="10744" width="4.81640625" style="322" customWidth="1"/>
    <col min="10745" max="10745" width="11.81640625" style="322" customWidth="1"/>
    <col min="10746" max="10746" width="9.81640625" style="322" customWidth="1"/>
    <col min="10747" max="10747" width="3" style="322" customWidth="1"/>
    <col min="10748" max="10748" width="7.1796875" style="322" customWidth="1"/>
    <col min="10749" max="10749" width="22.81640625" style="322" customWidth="1"/>
    <col min="10750" max="10750" width="7.1796875" style="322" customWidth="1"/>
    <col min="10751" max="10751" width="9" style="322" hidden="1" customWidth="1"/>
    <col min="10752" max="10752" width="8.81640625" style="322" customWidth="1"/>
    <col min="10753" max="10753" width="9.81640625" style="322" customWidth="1"/>
    <col min="10754" max="10754" width="10.54296875" style="322" customWidth="1"/>
    <col min="10755" max="10755" width="12.1796875" style="322" customWidth="1"/>
    <col min="10756" max="10756" width="11.1796875" style="322" customWidth="1"/>
    <col min="10757" max="10757" width="6.81640625" style="322" customWidth="1"/>
    <col min="10758" max="10997" width="30.54296875" style="322" customWidth="1"/>
    <col min="10998" max="10998" width="6.54296875" style="322" customWidth="1"/>
    <col min="10999" max="10999" width="7.54296875" style="322" customWidth="1"/>
    <col min="11000" max="11000" width="4.81640625" style="322" customWidth="1"/>
    <col min="11001" max="11001" width="11.81640625" style="322" customWidth="1"/>
    <col min="11002" max="11002" width="9.81640625" style="322" customWidth="1"/>
    <col min="11003" max="11003" width="3" style="322" customWidth="1"/>
    <col min="11004" max="11004" width="7.1796875" style="322" customWidth="1"/>
    <col min="11005" max="11005" width="22.81640625" style="322" customWidth="1"/>
    <col min="11006" max="11006" width="7.1796875" style="322" customWidth="1"/>
    <col min="11007" max="11007" width="9" style="322" hidden="1" customWidth="1"/>
    <col min="11008" max="11008" width="8.81640625" style="322" customWidth="1"/>
    <col min="11009" max="11009" width="9.81640625" style="322" customWidth="1"/>
    <col min="11010" max="11010" width="10.54296875" style="322" customWidth="1"/>
    <col min="11011" max="11011" width="12.1796875" style="322" customWidth="1"/>
    <col min="11012" max="11012" width="11.1796875" style="322" customWidth="1"/>
    <col min="11013" max="11013" width="6.81640625" style="322" customWidth="1"/>
    <col min="11014" max="11253" width="30.54296875" style="322" customWidth="1"/>
    <col min="11254" max="11254" width="6.54296875" style="322" customWidth="1"/>
    <col min="11255" max="11255" width="7.54296875" style="322" customWidth="1"/>
    <col min="11256" max="11256" width="4.81640625" style="322" customWidth="1"/>
    <col min="11257" max="11257" width="11.81640625" style="322" customWidth="1"/>
    <col min="11258" max="11258" width="9.81640625" style="322" customWidth="1"/>
    <col min="11259" max="11259" width="3" style="322" customWidth="1"/>
    <col min="11260" max="11260" width="7.1796875" style="322" customWidth="1"/>
    <col min="11261" max="11261" width="22.81640625" style="322" customWidth="1"/>
    <col min="11262" max="11262" width="7.1796875" style="322" customWidth="1"/>
    <col min="11263" max="11263" width="9" style="322" hidden="1" customWidth="1"/>
    <col min="11264" max="11264" width="8.81640625" style="322" customWidth="1"/>
    <col min="11265" max="11265" width="9.81640625" style="322" customWidth="1"/>
    <col min="11266" max="11266" width="10.54296875" style="322" customWidth="1"/>
    <col min="11267" max="11267" width="12.1796875" style="322" customWidth="1"/>
    <col min="11268" max="11268" width="11.1796875" style="322" customWidth="1"/>
    <col min="11269" max="11269" width="6.81640625" style="322" customWidth="1"/>
    <col min="11270" max="11509" width="30.54296875" style="322" customWidth="1"/>
    <col min="11510" max="11510" width="6.54296875" style="322" customWidth="1"/>
    <col min="11511" max="11511" width="7.54296875" style="322" customWidth="1"/>
    <col min="11512" max="11512" width="4.81640625" style="322" customWidth="1"/>
    <col min="11513" max="11513" width="11.81640625" style="322" customWidth="1"/>
    <col min="11514" max="11514" width="9.81640625" style="322" customWidth="1"/>
    <col min="11515" max="11515" width="3" style="322" customWidth="1"/>
    <col min="11516" max="11516" width="7.1796875" style="322" customWidth="1"/>
    <col min="11517" max="11517" width="22.81640625" style="322" customWidth="1"/>
    <col min="11518" max="11518" width="7.1796875" style="322" customWidth="1"/>
    <col min="11519" max="11519" width="9" style="322" hidden="1" customWidth="1"/>
    <col min="11520" max="11520" width="8.81640625" style="322" customWidth="1"/>
    <col min="11521" max="11521" width="9.81640625" style="322" customWidth="1"/>
    <col min="11522" max="11522" width="10.54296875" style="322" customWidth="1"/>
    <col min="11523" max="11523" width="12.1796875" style="322" customWidth="1"/>
    <col min="11524" max="11524" width="11.1796875" style="322" customWidth="1"/>
    <col min="11525" max="11525" width="6.81640625" style="322" customWidth="1"/>
    <col min="11526" max="11765" width="30.54296875" style="322" customWidth="1"/>
    <col min="11766" max="11766" width="6.54296875" style="322" customWidth="1"/>
    <col min="11767" max="11767" width="7.54296875" style="322" customWidth="1"/>
    <col min="11768" max="11768" width="4.81640625" style="322" customWidth="1"/>
    <col min="11769" max="11769" width="11.81640625" style="322" customWidth="1"/>
    <col min="11770" max="11770" width="9.81640625" style="322" customWidth="1"/>
    <col min="11771" max="11771" width="3" style="322" customWidth="1"/>
    <col min="11772" max="11772" width="7.1796875" style="322" customWidth="1"/>
    <col min="11773" max="11773" width="22.81640625" style="322" customWidth="1"/>
    <col min="11774" max="11774" width="7.1796875" style="322" customWidth="1"/>
    <col min="11775" max="11775" width="9" style="322" hidden="1" customWidth="1"/>
    <col min="11776" max="11776" width="8.81640625" style="322" customWidth="1"/>
    <col min="11777" max="11777" width="9.81640625" style="322" customWidth="1"/>
    <col min="11778" max="11778" width="10.54296875" style="322" customWidth="1"/>
    <col min="11779" max="11779" width="12.1796875" style="322" customWidth="1"/>
    <col min="11780" max="11780" width="11.1796875" style="322" customWidth="1"/>
    <col min="11781" max="11781" width="6.81640625" style="322" customWidth="1"/>
    <col min="11782" max="12021" width="30.54296875" style="322" customWidth="1"/>
    <col min="12022" max="12022" width="6.54296875" style="322" customWidth="1"/>
    <col min="12023" max="12023" width="7.54296875" style="322" customWidth="1"/>
    <col min="12024" max="12024" width="4.81640625" style="322" customWidth="1"/>
    <col min="12025" max="12025" width="11.81640625" style="322" customWidth="1"/>
    <col min="12026" max="12026" width="9.81640625" style="322" customWidth="1"/>
    <col min="12027" max="12027" width="3" style="322" customWidth="1"/>
    <col min="12028" max="12028" width="7.1796875" style="322" customWidth="1"/>
    <col min="12029" max="12029" width="22.81640625" style="322" customWidth="1"/>
    <col min="12030" max="12030" width="7.1796875" style="322" customWidth="1"/>
    <col min="12031" max="12031" width="9" style="322" hidden="1" customWidth="1"/>
    <col min="12032" max="12032" width="8.81640625" style="322" customWidth="1"/>
    <col min="12033" max="12033" width="9.81640625" style="322" customWidth="1"/>
    <col min="12034" max="12034" width="10.54296875" style="322" customWidth="1"/>
    <col min="12035" max="12035" width="12.1796875" style="322" customWidth="1"/>
    <col min="12036" max="12036" width="11.1796875" style="322" customWidth="1"/>
    <col min="12037" max="12037" width="6.81640625" style="322" customWidth="1"/>
    <col min="12038" max="12277" width="30.54296875" style="322" customWidth="1"/>
    <col min="12278" max="12278" width="6.54296875" style="322" customWidth="1"/>
    <col min="12279" max="12279" width="7.54296875" style="322" customWidth="1"/>
    <col min="12280" max="12280" width="4.81640625" style="322" customWidth="1"/>
    <col min="12281" max="12281" width="11.81640625" style="322" customWidth="1"/>
    <col min="12282" max="12282" width="9.81640625" style="322" customWidth="1"/>
    <col min="12283" max="12283" width="3" style="322" customWidth="1"/>
    <col min="12284" max="12284" width="7.1796875" style="322" customWidth="1"/>
    <col min="12285" max="12285" width="22.81640625" style="322" customWidth="1"/>
    <col min="12286" max="12286" width="7.1796875" style="322" customWidth="1"/>
    <col min="12287" max="12287" width="9" style="322" hidden="1" customWidth="1"/>
    <col min="12288" max="12288" width="8.81640625" style="322" customWidth="1"/>
    <col min="12289" max="12289" width="9.81640625" style="322" customWidth="1"/>
    <col min="12290" max="12290" width="10.54296875" style="322" customWidth="1"/>
    <col min="12291" max="12291" width="12.1796875" style="322" customWidth="1"/>
    <col min="12292" max="12292" width="11.1796875" style="322" customWidth="1"/>
    <col min="12293" max="12293" width="6.81640625" style="322" customWidth="1"/>
    <col min="12294" max="12533" width="30.54296875" style="322" customWidth="1"/>
    <col min="12534" max="12534" width="6.54296875" style="322" customWidth="1"/>
    <col min="12535" max="12535" width="7.54296875" style="322" customWidth="1"/>
    <col min="12536" max="12536" width="4.81640625" style="322" customWidth="1"/>
    <col min="12537" max="12537" width="11.81640625" style="322" customWidth="1"/>
    <col min="12538" max="12538" width="9.81640625" style="322" customWidth="1"/>
    <col min="12539" max="12539" width="3" style="322" customWidth="1"/>
    <col min="12540" max="12540" width="7.1796875" style="322" customWidth="1"/>
    <col min="12541" max="12541" width="22.81640625" style="322" customWidth="1"/>
    <col min="12542" max="12542" width="7.1796875" style="322" customWidth="1"/>
    <col min="12543" max="12543" width="9" style="322" hidden="1" customWidth="1"/>
    <col min="12544" max="12544" width="8.81640625" style="322" customWidth="1"/>
    <col min="12545" max="12545" width="9.81640625" style="322" customWidth="1"/>
    <col min="12546" max="12546" width="10.54296875" style="322" customWidth="1"/>
    <col min="12547" max="12547" width="12.1796875" style="322" customWidth="1"/>
    <col min="12548" max="12548" width="11.1796875" style="322" customWidth="1"/>
    <col min="12549" max="12549" width="6.81640625" style="322" customWidth="1"/>
    <col min="12550" max="12789" width="30.54296875" style="322" customWidth="1"/>
    <col min="12790" max="12790" width="6.54296875" style="322" customWidth="1"/>
    <col min="12791" max="12791" width="7.54296875" style="322" customWidth="1"/>
    <col min="12792" max="12792" width="4.81640625" style="322" customWidth="1"/>
    <col min="12793" max="12793" width="11.81640625" style="322" customWidth="1"/>
    <col min="12794" max="12794" width="9.81640625" style="322" customWidth="1"/>
    <col min="12795" max="12795" width="3" style="322" customWidth="1"/>
    <col min="12796" max="12796" width="7.1796875" style="322" customWidth="1"/>
    <col min="12797" max="12797" width="22.81640625" style="322" customWidth="1"/>
    <col min="12798" max="12798" width="7.1796875" style="322" customWidth="1"/>
    <col min="12799" max="12799" width="9" style="322" hidden="1" customWidth="1"/>
    <col min="12800" max="12800" width="8.81640625" style="322" customWidth="1"/>
    <col min="12801" max="12801" width="9.81640625" style="322" customWidth="1"/>
    <col min="12802" max="12802" width="10.54296875" style="322" customWidth="1"/>
    <col min="12803" max="12803" width="12.1796875" style="322" customWidth="1"/>
    <col min="12804" max="12804" width="11.1796875" style="322" customWidth="1"/>
    <col min="12805" max="12805" width="6.81640625" style="322" customWidth="1"/>
    <col min="12806" max="13045" width="30.54296875" style="322" customWidth="1"/>
    <col min="13046" max="13046" width="6.54296875" style="322" customWidth="1"/>
    <col min="13047" max="13047" width="7.54296875" style="322" customWidth="1"/>
    <col min="13048" max="13048" width="4.81640625" style="322" customWidth="1"/>
    <col min="13049" max="13049" width="11.81640625" style="322" customWidth="1"/>
    <col min="13050" max="13050" width="9.81640625" style="322" customWidth="1"/>
    <col min="13051" max="13051" width="3" style="322" customWidth="1"/>
    <col min="13052" max="13052" width="7.1796875" style="322" customWidth="1"/>
    <col min="13053" max="13053" width="22.81640625" style="322" customWidth="1"/>
    <col min="13054" max="13054" width="7.1796875" style="322" customWidth="1"/>
    <col min="13055" max="13055" width="9" style="322" hidden="1" customWidth="1"/>
    <col min="13056" max="13056" width="8.81640625" style="322" customWidth="1"/>
    <col min="13057" max="13057" width="9.81640625" style="322" customWidth="1"/>
    <col min="13058" max="13058" width="10.54296875" style="322" customWidth="1"/>
    <col min="13059" max="13059" width="12.1796875" style="322" customWidth="1"/>
    <col min="13060" max="13060" width="11.1796875" style="322" customWidth="1"/>
    <col min="13061" max="13061" width="6.81640625" style="322" customWidth="1"/>
    <col min="13062" max="13301" width="30.54296875" style="322" customWidth="1"/>
    <col min="13302" max="13302" width="6.54296875" style="322" customWidth="1"/>
    <col min="13303" max="13303" width="7.54296875" style="322" customWidth="1"/>
    <col min="13304" max="13304" width="4.81640625" style="322" customWidth="1"/>
    <col min="13305" max="13305" width="11.81640625" style="322" customWidth="1"/>
    <col min="13306" max="13306" width="9.81640625" style="322" customWidth="1"/>
    <col min="13307" max="13307" width="3" style="322" customWidth="1"/>
    <col min="13308" max="13308" width="7.1796875" style="322" customWidth="1"/>
    <col min="13309" max="13309" width="22.81640625" style="322" customWidth="1"/>
    <col min="13310" max="13310" width="7.1796875" style="322" customWidth="1"/>
    <col min="13311" max="13311" width="9" style="322" hidden="1" customWidth="1"/>
    <col min="13312" max="13312" width="8.81640625" style="322" customWidth="1"/>
    <col min="13313" max="13313" width="9.81640625" style="322" customWidth="1"/>
    <col min="13314" max="13314" width="10.54296875" style="322" customWidth="1"/>
    <col min="13315" max="13315" width="12.1796875" style="322" customWidth="1"/>
    <col min="13316" max="13316" width="11.1796875" style="322" customWidth="1"/>
    <col min="13317" max="13317" width="6.81640625" style="322" customWidth="1"/>
    <col min="13318" max="13557" width="30.54296875" style="322" customWidth="1"/>
    <col min="13558" max="13558" width="6.54296875" style="322" customWidth="1"/>
    <col min="13559" max="13559" width="7.54296875" style="322" customWidth="1"/>
    <col min="13560" max="13560" width="4.81640625" style="322" customWidth="1"/>
    <col min="13561" max="13561" width="11.81640625" style="322" customWidth="1"/>
    <col min="13562" max="13562" width="9.81640625" style="322" customWidth="1"/>
    <col min="13563" max="13563" width="3" style="322" customWidth="1"/>
    <col min="13564" max="13564" width="7.1796875" style="322" customWidth="1"/>
    <col min="13565" max="13565" width="22.81640625" style="322" customWidth="1"/>
    <col min="13566" max="13566" width="7.1796875" style="322" customWidth="1"/>
    <col min="13567" max="13567" width="9" style="322" hidden="1" customWidth="1"/>
    <col min="13568" max="13568" width="8.81640625" style="322" customWidth="1"/>
    <col min="13569" max="13569" width="9.81640625" style="322" customWidth="1"/>
    <col min="13570" max="13570" width="10.54296875" style="322" customWidth="1"/>
    <col min="13571" max="13571" width="12.1796875" style="322" customWidth="1"/>
    <col min="13572" max="13572" width="11.1796875" style="322" customWidth="1"/>
    <col min="13573" max="13573" width="6.81640625" style="322" customWidth="1"/>
    <col min="13574" max="13813" width="30.54296875" style="322" customWidth="1"/>
    <col min="13814" max="13814" width="6.54296875" style="322" customWidth="1"/>
    <col min="13815" max="13815" width="7.54296875" style="322" customWidth="1"/>
    <col min="13816" max="13816" width="4.81640625" style="322" customWidth="1"/>
    <col min="13817" max="13817" width="11.81640625" style="322" customWidth="1"/>
    <col min="13818" max="13818" width="9.81640625" style="322" customWidth="1"/>
    <col min="13819" max="13819" width="3" style="322" customWidth="1"/>
    <col min="13820" max="13820" width="7.1796875" style="322" customWidth="1"/>
    <col min="13821" max="13821" width="22.81640625" style="322" customWidth="1"/>
    <col min="13822" max="13822" width="7.1796875" style="322" customWidth="1"/>
    <col min="13823" max="13823" width="9" style="322" hidden="1" customWidth="1"/>
    <col min="13824" max="13824" width="8.81640625" style="322" customWidth="1"/>
    <col min="13825" max="13825" width="9.81640625" style="322" customWidth="1"/>
    <col min="13826" max="13826" width="10.54296875" style="322" customWidth="1"/>
    <col min="13827" max="13827" width="12.1796875" style="322" customWidth="1"/>
    <col min="13828" max="13828" width="11.1796875" style="322" customWidth="1"/>
    <col min="13829" max="13829" width="6.81640625" style="322" customWidth="1"/>
    <col min="13830" max="14069" width="30.54296875" style="322" customWidth="1"/>
    <col min="14070" max="14070" width="6.54296875" style="322" customWidth="1"/>
    <col min="14071" max="14071" width="7.54296875" style="322" customWidth="1"/>
    <col min="14072" max="14072" width="4.81640625" style="322" customWidth="1"/>
    <col min="14073" max="14073" width="11.81640625" style="322" customWidth="1"/>
    <col min="14074" max="14074" width="9.81640625" style="322" customWidth="1"/>
    <col min="14075" max="14075" width="3" style="322" customWidth="1"/>
    <col min="14076" max="14076" width="7.1796875" style="322" customWidth="1"/>
    <col min="14077" max="14077" width="22.81640625" style="322" customWidth="1"/>
    <col min="14078" max="14078" width="7.1796875" style="322" customWidth="1"/>
    <col min="14079" max="14079" width="9" style="322" hidden="1" customWidth="1"/>
    <col min="14080" max="14080" width="8.81640625" style="322" customWidth="1"/>
    <col min="14081" max="14081" width="9.81640625" style="322" customWidth="1"/>
    <col min="14082" max="14082" width="10.54296875" style="322" customWidth="1"/>
    <col min="14083" max="14083" width="12.1796875" style="322" customWidth="1"/>
    <col min="14084" max="14084" width="11.1796875" style="322" customWidth="1"/>
    <col min="14085" max="14085" width="6.81640625" style="322" customWidth="1"/>
    <col min="14086" max="14325" width="30.54296875" style="322" customWidth="1"/>
    <col min="14326" max="14326" width="6.54296875" style="322" customWidth="1"/>
    <col min="14327" max="14327" width="7.54296875" style="322" customWidth="1"/>
    <col min="14328" max="14328" width="4.81640625" style="322" customWidth="1"/>
    <col min="14329" max="14329" width="11.81640625" style="322" customWidth="1"/>
    <col min="14330" max="14330" width="9.81640625" style="322" customWidth="1"/>
    <col min="14331" max="14331" width="3" style="322" customWidth="1"/>
    <col min="14332" max="14332" width="7.1796875" style="322" customWidth="1"/>
    <col min="14333" max="14333" width="22.81640625" style="322" customWidth="1"/>
    <col min="14334" max="14334" width="7.1796875" style="322" customWidth="1"/>
    <col min="14335" max="14335" width="9" style="322" hidden="1" customWidth="1"/>
    <col min="14336" max="14336" width="8.81640625" style="322" customWidth="1"/>
    <col min="14337" max="14337" width="9.81640625" style="322" customWidth="1"/>
    <col min="14338" max="14338" width="10.54296875" style="322" customWidth="1"/>
    <col min="14339" max="14339" width="12.1796875" style="322" customWidth="1"/>
    <col min="14340" max="14340" width="11.1796875" style="322" customWidth="1"/>
    <col min="14341" max="14341" width="6.81640625" style="322" customWidth="1"/>
    <col min="14342" max="14581" width="30.54296875" style="322" customWidth="1"/>
    <col min="14582" max="14582" width="6.54296875" style="322" customWidth="1"/>
    <col min="14583" max="14583" width="7.54296875" style="322" customWidth="1"/>
    <col min="14584" max="14584" width="4.81640625" style="322" customWidth="1"/>
    <col min="14585" max="14585" width="11.81640625" style="322" customWidth="1"/>
    <col min="14586" max="14586" width="9.81640625" style="322" customWidth="1"/>
    <col min="14587" max="14587" width="3" style="322" customWidth="1"/>
    <col min="14588" max="14588" width="7.1796875" style="322" customWidth="1"/>
    <col min="14589" max="14589" width="22.81640625" style="322" customWidth="1"/>
    <col min="14590" max="14590" width="7.1796875" style="322" customWidth="1"/>
    <col min="14591" max="14591" width="9" style="322" hidden="1" customWidth="1"/>
    <col min="14592" max="14592" width="8.81640625" style="322" customWidth="1"/>
    <col min="14593" max="14593" width="9.81640625" style="322" customWidth="1"/>
    <col min="14594" max="14594" width="10.54296875" style="322" customWidth="1"/>
    <col min="14595" max="14595" width="12.1796875" style="322" customWidth="1"/>
    <col min="14596" max="14596" width="11.1796875" style="322" customWidth="1"/>
    <col min="14597" max="14597" width="6.81640625" style="322" customWidth="1"/>
    <col min="14598" max="14837" width="30.54296875" style="322" customWidth="1"/>
    <col min="14838" max="14838" width="6.54296875" style="322" customWidth="1"/>
    <col min="14839" max="14839" width="7.54296875" style="322" customWidth="1"/>
    <col min="14840" max="14840" width="4.81640625" style="322" customWidth="1"/>
    <col min="14841" max="14841" width="11.81640625" style="322" customWidth="1"/>
    <col min="14842" max="14842" width="9.81640625" style="322" customWidth="1"/>
    <col min="14843" max="14843" width="3" style="322" customWidth="1"/>
    <col min="14844" max="14844" width="7.1796875" style="322" customWidth="1"/>
    <col min="14845" max="14845" width="22.81640625" style="322" customWidth="1"/>
    <col min="14846" max="14846" width="7.1796875" style="322" customWidth="1"/>
    <col min="14847" max="14847" width="9" style="322" hidden="1" customWidth="1"/>
    <col min="14848" max="14848" width="8.81640625" style="322" customWidth="1"/>
    <col min="14849" max="14849" width="9.81640625" style="322" customWidth="1"/>
    <col min="14850" max="14850" width="10.54296875" style="322" customWidth="1"/>
    <col min="14851" max="14851" width="12.1796875" style="322" customWidth="1"/>
    <col min="14852" max="14852" width="11.1796875" style="322" customWidth="1"/>
    <col min="14853" max="14853" width="6.81640625" style="322" customWidth="1"/>
    <col min="14854" max="15093" width="30.54296875" style="322" customWidth="1"/>
    <col min="15094" max="15094" width="6.54296875" style="322" customWidth="1"/>
    <col min="15095" max="15095" width="7.54296875" style="322" customWidth="1"/>
    <col min="15096" max="15096" width="4.81640625" style="322" customWidth="1"/>
    <col min="15097" max="15097" width="11.81640625" style="322" customWidth="1"/>
    <col min="15098" max="15098" width="9.81640625" style="322" customWidth="1"/>
    <col min="15099" max="15099" width="3" style="322" customWidth="1"/>
    <col min="15100" max="15100" width="7.1796875" style="322" customWidth="1"/>
    <col min="15101" max="15101" width="22.81640625" style="322" customWidth="1"/>
    <col min="15102" max="15102" width="7.1796875" style="322" customWidth="1"/>
    <col min="15103" max="15103" width="9" style="322" hidden="1" customWidth="1"/>
    <col min="15104" max="15104" width="8.81640625" style="322" customWidth="1"/>
    <col min="15105" max="15105" width="9.81640625" style="322" customWidth="1"/>
    <col min="15106" max="15106" width="10.54296875" style="322" customWidth="1"/>
    <col min="15107" max="15107" width="12.1796875" style="322" customWidth="1"/>
    <col min="15108" max="15108" width="11.1796875" style="322" customWidth="1"/>
    <col min="15109" max="15109" width="6.81640625" style="322" customWidth="1"/>
    <col min="15110" max="15349" width="30.54296875" style="322" customWidth="1"/>
    <col min="15350" max="15350" width="6.54296875" style="322" customWidth="1"/>
    <col min="15351" max="15351" width="7.54296875" style="322" customWidth="1"/>
    <col min="15352" max="15352" width="4.81640625" style="322" customWidth="1"/>
    <col min="15353" max="15353" width="11.81640625" style="322" customWidth="1"/>
    <col min="15354" max="15354" width="9.81640625" style="322" customWidth="1"/>
    <col min="15355" max="15355" width="3" style="322" customWidth="1"/>
    <col min="15356" max="15356" width="7.1796875" style="322" customWidth="1"/>
    <col min="15357" max="15357" width="22.81640625" style="322" customWidth="1"/>
    <col min="15358" max="15358" width="7.1796875" style="322" customWidth="1"/>
    <col min="15359" max="15359" width="9" style="322" hidden="1" customWidth="1"/>
    <col min="15360" max="15360" width="8.81640625" style="322" customWidth="1"/>
    <col min="15361" max="15361" width="9.81640625" style="322" customWidth="1"/>
    <col min="15362" max="15362" width="10.54296875" style="322" customWidth="1"/>
    <col min="15363" max="15363" width="12.1796875" style="322" customWidth="1"/>
    <col min="15364" max="15364" width="11.1796875" style="322" customWidth="1"/>
    <col min="15365" max="15365" width="6.81640625" style="322" customWidth="1"/>
    <col min="15366" max="15605" width="30.54296875" style="322" customWidth="1"/>
    <col min="15606" max="15606" width="6.54296875" style="322" customWidth="1"/>
    <col min="15607" max="15607" width="7.54296875" style="322" customWidth="1"/>
    <col min="15608" max="15608" width="4.81640625" style="322" customWidth="1"/>
    <col min="15609" max="15609" width="11.81640625" style="322" customWidth="1"/>
    <col min="15610" max="15610" width="9.81640625" style="322" customWidth="1"/>
    <col min="15611" max="15611" width="3" style="322" customWidth="1"/>
    <col min="15612" max="15612" width="7.1796875" style="322" customWidth="1"/>
    <col min="15613" max="15613" width="22.81640625" style="322" customWidth="1"/>
    <col min="15614" max="15614" width="7.1796875" style="322" customWidth="1"/>
    <col min="15615" max="15615" width="9" style="322" hidden="1" customWidth="1"/>
    <col min="15616" max="15616" width="8.81640625" style="322" customWidth="1"/>
    <col min="15617" max="15617" width="9.81640625" style="322" customWidth="1"/>
    <col min="15618" max="15618" width="10.54296875" style="322" customWidth="1"/>
    <col min="15619" max="15619" width="12.1796875" style="322" customWidth="1"/>
    <col min="15620" max="15620" width="11.1796875" style="322" customWidth="1"/>
    <col min="15621" max="15621" width="6.81640625" style="322" customWidth="1"/>
    <col min="15622" max="15861" width="30.54296875" style="322" customWidth="1"/>
    <col min="15862" max="15862" width="6.54296875" style="322" customWidth="1"/>
    <col min="15863" max="15863" width="7.54296875" style="322" customWidth="1"/>
    <col min="15864" max="15864" width="4.81640625" style="322" customWidth="1"/>
    <col min="15865" max="15865" width="11.81640625" style="322" customWidth="1"/>
    <col min="15866" max="15866" width="9.81640625" style="322" customWidth="1"/>
    <col min="15867" max="15867" width="3" style="322" customWidth="1"/>
    <col min="15868" max="15868" width="7.1796875" style="322" customWidth="1"/>
    <col min="15869" max="15869" width="22.81640625" style="322" customWidth="1"/>
    <col min="15870" max="15870" width="7.1796875" style="322" customWidth="1"/>
    <col min="15871" max="15871" width="9" style="322" hidden="1" customWidth="1"/>
    <col min="15872" max="15872" width="8.81640625" style="322" customWidth="1"/>
    <col min="15873" max="15873" width="9.81640625" style="322" customWidth="1"/>
    <col min="15874" max="15874" width="10.54296875" style="322" customWidth="1"/>
    <col min="15875" max="15875" width="12.1796875" style="322" customWidth="1"/>
    <col min="15876" max="15876" width="11.1796875" style="322" customWidth="1"/>
    <col min="15877" max="15877" width="6.81640625" style="322" customWidth="1"/>
    <col min="15878" max="16117" width="30.54296875" style="322" customWidth="1"/>
    <col min="16118" max="16118" width="6.54296875" style="322" customWidth="1"/>
    <col min="16119" max="16119" width="7.54296875" style="322" customWidth="1"/>
    <col min="16120" max="16120" width="4.81640625" style="322" customWidth="1"/>
    <col min="16121" max="16121" width="11.81640625" style="322" customWidth="1"/>
    <col min="16122" max="16122" width="9.81640625" style="322" customWidth="1"/>
    <col min="16123" max="16123" width="3" style="322" customWidth="1"/>
    <col min="16124" max="16124" width="7.1796875" style="322" customWidth="1"/>
    <col min="16125" max="16125" width="22.81640625" style="322" customWidth="1"/>
    <col min="16126" max="16126" width="7.1796875" style="322" customWidth="1"/>
    <col min="16127" max="16127" width="9" style="322" hidden="1" customWidth="1"/>
    <col min="16128" max="16128" width="8.81640625" style="322" customWidth="1"/>
    <col min="16129" max="16129" width="9.81640625" style="322" customWidth="1"/>
    <col min="16130" max="16130" width="10.54296875" style="322" customWidth="1"/>
    <col min="16131" max="16131" width="12.1796875" style="322" customWidth="1"/>
    <col min="16132" max="16132" width="11.1796875" style="322" customWidth="1"/>
    <col min="16133" max="16133" width="6.81640625" style="322" customWidth="1"/>
    <col min="16134" max="16384" width="30.54296875" style="322" customWidth="1"/>
  </cols>
  <sheetData>
    <row r="1" spans="1:34" ht="15.5">
      <c r="A1" s="1526" t="s">
        <v>78</v>
      </c>
      <c r="B1" s="1527"/>
      <c r="C1" s="1527"/>
      <c r="D1" s="1527"/>
      <c r="E1" s="1527"/>
      <c r="F1" s="1527"/>
      <c r="G1" s="1527"/>
      <c r="H1" s="1527"/>
      <c r="I1" s="1527"/>
      <c r="J1" s="1527"/>
      <c r="K1" s="1527"/>
      <c r="L1" s="1527"/>
      <c r="M1" s="1527"/>
      <c r="N1" s="1527"/>
      <c r="O1" s="1527"/>
      <c r="P1" s="1527"/>
      <c r="Q1" s="1527"/>
      <c r="R1" s="1527"/>
      <c r="S1" s="1527"/>
      <c r="T1" s="1527"/>
      <c r="U1" s="1527"/>
      <c r="V1" s="1527"/>
      <c r="W1" s="1527"/>
      <c r="X1" s="1527"/>
      <c r="Y1" s="1527"/>
      <c r="Z1" s="1527"/>
      <c r="AA1" s="1527"/>
      <c r="AB1" s="1527"/>
      <c r="AC1" s="1527"/>
      <c r="AD1" s="1527"/>
      <c r="AE1" s="1527"/>
      <c r="AF1" s="1527"/>
      <c r="AG1" s="1527"/>
      <c r="AH1" s="1528"/>
    </row>
    <row r="2" spans="1:34" ht="15.5">
      <c r="A2" s="1529" t="s">
        <v>79</v>
      </c>
      <c r="B2" s="1417"/>
      <c r="C2" s="1417"/>
      <c r="D2" s="1417"/>
      <c r="E2" s="1417"/>
      <c r="F2" s="1417"/>
      <c r="G2" s="1417"/>
      <c r="H2" s="1417"/>
      <c r="I2" s="1417"/>
      <c r="J2" s="1417"/>
      <c r="K2" s="1417"/>
      <c r="L2" s="1417"/>
      <c r="M2" s="1417"/>
      <c r="N2" s="1417"/>
      <c r="O2" s="1417"/>
      <c r="P2" s="1417"/>
      <c r="Q2" s="1417"/>
      <c r="R2" s="1417"/>
      <c r="S2" s="1417"/>
      <c r="T2" s="1417"/>
      <c r="U2" s="1417"/>
      <c r="V2" s="1417"/>
      <c r="W2" s="1417"/>
      <c r="X2" s="1417"/>
      <c r="Y2" s="1417"/>
      <c r="Z2" s="1417"/>
      <c r="AA2" s="1417"/>
      <c r="AB2" s="1417"/>
      <c r="AC2" s="1417"/>
      <c r="AD2" s="1417"/>
      <c r="AE2" s="1417"/>
      <c r="AF2" s="1417"/>
      <c r="AG2" s="1417"/>
      <c r="AH2" s="1530"/>
    </row>
    <row r="3" spans="1:34" ht="15.5">
      <c r="A3" s="1529" t="s">
        <v>80</v>
      </c>
      <c r="B3" s="1417"/>
      <c r="C3" s="1417"/>
      <c r="D3" s="1417"/>
      <c r="E3" s="1417"/>
      <c r="F3" s="1417"/>
      <c r="G3" s="1417"/>
      <c r="H3" s="1417"/>
      <c r="I3" s="1417"/>
      <c r="J3" s="1417"/>
      <c r="K3" s="1417"/>
      <c r="L3" s="1417"/>
      <c r="M3" s="1417"/>
      <c r="N3" s="1417"/>
      <c r="O3" s="1417"/>
      <c r="P3" s="1417"/>
      <c r="Q3" s="1417"/>
      <c r="R3" s="1417"/>
      <c r="S3" s="1417"/>
      <c r="T3" s="1417"/>
      <c r="U3" s="1417"/>
      <c r="V3" s="1417"/>
      <c r="W3" s="1417"/>
      <c r="X3" s="1417"/>
      <c r="Y3" s="1417"/>
      <c r="Z3" s="1417"/>
      <c r="AA3" s="1417"/>
      <c r="AB3" s="1417"/>
      <c r="AC3" s="1417"/>
      <c r="AD3" s="1417"/>
      <c r="AE3" s="1417"/>
      <c r="AF3" s="1417"/>
      <c r="AG3" s="1417"/>
      <c r="AH3" s="1530"/>
    </row>
    <row r="5" spans="1:34" ht="14.5">
      <c r="A5" s="322" t="s">
        <v>218</v>
      </c>
      <c r="N5" s="57">
        <f>SUBTOTAL(3,N9:N227)</f>
        <v>219</v>
      </c>
    </row>
    <row r="6" spans="1:34">
      <c r="A6" s="1482" t="s">
        <v>203</v>
      </c>
      <c r="B6" s="1482" t="s">
        <v>204</v>
      </c>
      <c r="C6" s="1484" t="s">
        <v>219</v>
      </c>
      <c r="D6" s="1482" t="s">
        <v>205</v>
      </c>
      <c r="E6" s="1483" t="s">
        <v>1049</v>
      </c>
      <c r="F6" s="1483" t="s">
        <v>1572</v>
      </c>
      <c r="G6" s="1483" t="s">
        <v>1180</v>
      </c>
      <c r="H6" s="1483" t="s">
        <v>1573</v>
      </c>
      <c r="I6" s="1483" t="s">
        <v>1574</v>
      </c>
      <c r="J6" s="1483" t="s">
        <v>220</v>
      </c>
      <c r="K6" s="1482" t="s">
        <v>221</v>
      </c>
      <c r="L6" s="1482"/>
      <c r="M6" s="1482"/>
      <c r="N6" s="1482"/>
      <c r="O6" s="1482"/>
    </row>
    <row r="7" spans="1:34" ht="26">
      <c r="A7" s="1483"/>
      <c r="B7" s="1483"/>
      <c r="C7" s="1484"/>
      <c r="D7" s="1483"/>
      <c r="E7" s="1485"/>
      <c r="F7" s="1485"/>
      <c r="G7" s="1485"/>
      <c r="H7" s="1485"/>
      <c r="I7" s="1485"/>
      <c r="J7" s="1485"/>
      <c r="K7" s="1483"/>
      <c r="L7" s="312" t="s">
        <v>222</v>
      </c>
      <c r="M7" s="312" t="s">
        <v>208</v>
      </c>
      <c r="N7" s="311" t="s">
        <v>223</v>
      </c>
      <c r="O7" s="311" t="s">
        <v>224</v>
      </c>
      <c r="P7" s="311" t="s">
        <v>34</v>
      </c>
    </row>
    <row r="8" spans="1:34" ht="15.5">
      <c r="A8" s="323">
        <v>1</v>
      </c>
      <c r="B8" s="314" t="s">
        <v>225</v>
      </c>
      <c r="C8" s="314" t="s">
        <v>225</v>
      </c>
      <c r="D8" s="314" t="s">
        <v>185</v>
      </c>
      <c r="E8" s="839">
        <v>1.86</v>
      </c>
      <c r="F8" s="839">
        <v>12.47</v>
      </c>
      <c r="G8" s="839">
        <v>134.69999999999999</v>
      </c>
      <c r="H8" s="841">
        <v>1.115</v>
      </c>
      <c r="I8" s="839">
        <v>0.29899999999999999</v>
      </c>
      <c r="J8" s="840"/>
      <c r="K8" s="840" t="s">
        <v>210</v>
      </c>
      <c r="L8" s="314">
        <v>45665</v>
      </c>
      <c r="M8" s="314">
        <v>45674</v>
      </c>
      <c r="N8" s="1088" t="s">
        <v>226</v>
      </c>
      <c r="O8" s="314">
        <v>45674</v>
      </c>
      <c r="P8" s="1089" t="s">
        <v>211</v>
      </c>
    </row>
    <row r="9" spans="1:34" ht="14.25" customHeight="1">
      <c r="A9" s="325">
        <f>A8+1</f>
        <v>2</v>
      </c>
      <c r="B9" s="314" t="s">
        <v>231</v>
      </c>
      <c r="C9" s="314" t="s">
        <v>231</v>
      </c>
      <c r="D9" s="314" t="s">
        <v>182</v>
      </c>
      <c r="E9" s="839">
        <v>1.57</v>
      </c>
      <c r="F9" s="839">
        <v>11.05</v>
      </c>
      <c r="G9" s="839">
        <v>115.3</v>
      </c>
      <c r="H9" s="841">
        <v>0.91900000000000004</v>
      </c>
      <c r="I9" s="842">
        <v>0.29899999999999999</v>
      </c>
      <c r="J9" s="840"/>
      <c r="K9" s="840" t="s">
        <v>210</v>
      </c>
      <c r="L9" s="314">
        <v>45675</v>
      </c>
      <c r="M9" s="314">
        <v>45684</v>
      </c>
      <c r="N9" s="314" t="s">
        <v>232</v>
      </c>
      <c r="O9" s="314"/>
      <c r="P9" s="1089" t="s">
        <v>211</v>
      </c>
    </row>
    <row r="10" spans="1:34" ht="14.25" customHeight="1">
      <c r="A10" s="325">
        <f t="shared" ref="A10:A73" si="0">A9+1</f>
        <v>3</v>
      </c>
      <c r="B10" s="314" t="s">
        <v>209</v>
      </c>
      <c r="C10" s="314"/>
      <c r="D10" s="314" t="s">
        <v>182</v>
      </c>
      <c r="E10" s="839">
        <v>1.57</v>
      </c>
      <c r="F10" s="839">
        <v>11.05</v>
      </c>
      <c r="G10" s="839">
        <v>115.3</v>
      </c>
      <c r="H10" s="841">
        <v>0.91900000000000004</v>
      </c>
      <c r="I10" s="842">
        <v>0.29899999999999999</v>
      </c>
      <c r="J10" s="840"/>
      <c r="K10" s="840" t="s">
        <v>210</v>
      </c>
      <c r="L10" s="314">
        <v>45685</v>
      </c>
      <c r="M10" s="314">
        <v>45690</v>
      </c>
      <c r="N10" s="314" t="s">
        <v>232</v>
      </c>
      <c r="O10" s="314"/>
      <c r="P10" s="1089" t="s">
        <v>211</v>
      </c>
    </row>
    <row r="11" spans="1:34" ht="14.25" customHeight="1">
      <c r="A11" s="325">
        <f t="shared" si="0"/>
        <v>4</v>
      </c>
      <c r="B11" s="314" t="s">
        <v>212</v>
      </c>
      <c r="C11" s="314"/>
      <c r="D11" s="314" t="s">
        <v>182</v>
      </c>
      <c r="E11" s="839">
        <v>1.57</v>
      </c>
      <c r="F11" s="839">
        <v>11.05</v>
      </c>
      <c r="G11" s="839">
        <v>115.3</v>
      </c>
      <c r="H11" s="841">
        <v>0.91900000000000004</v>
      </c>
      <c r="I11" s="842">
        <v>0.29899999999999999</v>
      </c>
      <c r="J11" s="840"/>
      <c r="K11" s="840" t="s">
        <v>210</v>
      </c>
      <c r="L11" s="314">
        <v>45691</v>
      </c>
      <c r="M11" s="314">
        <v>45693</v>
      </c>
      <c r="N11" s="314" t="s">
        <v>232</v>
      </c>
      <c r="O11" s="314"/>
      <c r="P11" s="1089" t="s">
        <v>211</v>
      </c>
    </row>
    <row r="12" spans="1:34" ht="17.5" customHeight="1">
      <c r="A12" s="325">
        <f t="shared" si="0"/>
        <v>5</v>
      </c>
      <c r="B12" s="314" t="s">
        <v>213</v>
      </c>
      <c r="C12" s="314"/>
      <c r="D12" s="314" t="s">
        <v>182</v>
      </c>
      <c r="E12" s="839">
        <v>1.57</v>
      </c>
      <c r="F12" s="839">
        <v>11.05</v>
      </c>
      <c r="G12" s="839">
        <v>115.3</v>
      </c>
      <c r="H12" s="841">
        <v>0.91900000000000004</v>
      </c>
      <c r="I12" s="842">
        <v>0.29899999999999999</v>
      </c>
      <c r="J12" s="840"/>
      <c r="K12" s="840" t="s">
        <v>210</v>
      </c>
      <c r="L12" s="314">
        <v>45686</v>
      </c>
      <c r="M12" s="314">
        <v>45693</v>
      </c>
      <c r="N12" s="845" t="s">
        <v>1614</v>
      </c>
      <c r="O12" s="314"/>
      <c r="P12" s="1089" t="s">
        <v>211</v>
      </c>
    </row>
    <row r="13" spans="1:34" ht="15.5">
      <c r="A13" s="325">
        <f t="shared" si="0"/>
        <v>6</v>
      </c>
      <c r="B13" s="314" t="s">
        <v>214</v>
      </c>
      <c r="C13" s="314"/>
      <c r="D13" s="314" t="s">
        <v>185</v>
      </c>
      <c r="E13" s="839">
        <v>1.86</v>
      </c>
      <c r="F13" s="839">
        <v>12.47</v>
      </c>
      <c r="G13" s="839">
        <v>134.69999999999999</v>
      </c>
      <c r="H13" s="841">
        <v>1.115</v>
      </c>
      <c r="I13" s="839">
        <v>0.29899999999999999</v>
      </c>
      <c r="J13" s="840"/>
      <c r="K13" s="840" t="s">
        <v>210</v>
      </c>
      <c r="L13" s="314">
        <v>24</v>
      </c>
      <c r="M13" s="314">
        <v>45698</v>
      </c>
      <c r="N13" s="845" t="s">
        <v>1614</v>
      </c>
      <c r="O13" s="314"/>
      <c r="P13" s="1089" t="s">
        <v>211</v>
      </c>
    </row>
    <row r="14" spans="1:34" ht="14.25" customHeight="1">
      <c r="A14" s="325">
        <f t="shared" si="0"/>
        <v>7</v>
      </c>
      <c r="B14" s="314" t="s">
        <v>236</v>
      </c>
      <c r="C14" s="314"/>
      <c r="D14" s="314" t="s">
        <v>182</v>
      </c>
      <c r="E14" s="839">
        <v>1.57</v>
      </c>
      <c r="F14" s="839">
        <v>11.05</v>
      </c>
      <c r="G14" s="839">
        <v>115.3</v>
      </c>
      <c r="H14" s="841">
        <v>0.91900000000000004</v>
      </c>
      <c r="I14" s="842">
        <v>0.29899999999999999</v>
      </c>
      <c r="J14" s="840"/>
      <c r="K14" s="840" t="s">
        <v>210</v>
      </c>
      <c r="L14" s="314">
        <v>45697</v>
      </c>
      <c r="M14" s="314">
        <v>45705</v>
      </c>
      <c r="N14" s="845" t="s">
        <v>1614</v>
      </c>
      <c r="O14" s="314"/>
      <c r="P14" s="1089" t="s">
        <v>211</v>
      </c>
    </row>
    <row r="15" spans="1:34" ht="14" customHeight="1">
      <c r="A15" s="325">
        <f t="shared" si="0"/>
        <v>8</v>
      </c>
      <c r="B15" s="314" t="s">
        <v>237</v>
      </c>
      <c r="C15" s="314"/>
      <c r="D15" s="314" t="s">
        <v>182</v>
      </c>
      <c r="E15" s="839">
        <v>1.57</v>
      </c>
      <c r="F15" s="839">
        <v>11.05</v>
      </c>
      <c r="G15" s="839">
        <v>115.3</v>
      </c>
      <c r="H15" s="841">
        <v>0.91900000000000004</v>
      </c>
      <c r="I15" s="842">
        <v>0.29899999999999999</v>
      </c>
      <c r="J15" s="840"/>
      <c r="K15" s="840" t="s">
        <v>210</v>
      </c>
      <c r="L15" s="314">
        <v>45700</v>
      </c>
      <c r="M15" s="314">
        <v>45706</v>
      </c>
      <c r="N15" s="845" t="s">
        <v>1614</v>
      </c>
      <c r="O15" s="314"/>
      <c r="P15" s="1089" t="s">
        <v>211</v>
      </c>
    </row>
    <row r="16" spans="1:34" ht="15.5">
      <c r="A16" s="325">
        <f t="shared" si="0"/>
        <v>9</v>
      </c>
      <c r="B16" s="314" t="s">
        <v>215</v>
      </c>
      <c r="C16" s="314"/>
      <c r="D16" s="314" t="s">
        <v>182</v>
      </c>
      <c r="E16" s="839">
        <v>1.57</v>
      </c>
      <c r="F16" s="839">
        <v>11.05</v>
      </c>
      <c r="G16" s="839">
        <v>115.3</v>
      </c>
      <c r="H16" s="841">
        <v>0.91900000000000004</v>
      </c>
      <c r="I16" s="842">
        <v>0.29899999999999999</v>
      </c>
      <c r="J16" s="840"/>
      <c r="K16" s="840" t="s">
        <v>210</v>
      </c>
      <c r="L16" s="314">
        <v>45691</v>
      </c>
      <c r="M16" s="314">
        <v>45699</v>
      </c>
      <c r="N16" s="314" t="s">
        <v>254</v>
      </c>
      <c r="O16" s="314"/>
      <c r="P16" s="1089" t="s">
        <v>211</v>
      </c>
    </row>
    <row r="17" spans="1:17" ht="15.5">
      <c r="A17" s="325">
        <f t="shared" si="0"/>
        <v>10</v>
      </c>
      <c r="B17" s="314" t="s">
        <v>216</v>
      </c>
      <c r="C17" s="314"/>
      <c r="D17" s="314" t="s">
        <v>185</v>
      </c>
      <c r="E17" s="839">
        <v>1.86</v>
      </c>
      <c r="F17" s="839">
        <v>12.47</v>
      </c>
      <c r="G17" s="839">
        <v>134.69999999999999</v>
      </c>
      <c r="H17" s="841">
        <v>1.115</v>
      </c>
      <c r="I17" s="839">
        <v>0.29899999999999999</v>
      </c>
      <c r="J17" s="840"/>
      <c r="K17" s="840" t="s">
        <v>210</v>
      </c>
      <c r="L17" s="314">
        <v>45691</v>
      </c>
      <c r="M17" s="314">
        <v>45697</v>
      </c>
      <c r="N17" s="314" t="s">
        <v>232</v>
      </c>
      <c r="O17" s="314"/>
      <c r="P17" s="1089" t="s">
        <v>211</v>
      </c>
    </row>
    <row r="18" spans="1:17" ht="15.5">
      <c r="A18" s="325">
        <f t="shared" si="0"/>
        <v>11</v>
      </c>
      <c r="B18" s="314" t="s">
        <v>239</v>
      </c>
      <c r="C18" s="314"/>
      <c r="D18" s="314" t="s">
        <v>182</v>
      </c>
      <c r="E18" s="839">
        <v>1.57</v>
      </c>
      <c r="F18" s="839">
        <v>11.05</v>
      </c>
      <c r="G18" s="839">
        <v>17</v>
      </c>
      <c r="H18" s="841">
        <v>0.91900000000000004</v>
      </c>
      <c r="I18" s="842">
        <v>41</v>
      </c>
      <c r="J18" s="840"/>
      <c r="K18" s="840" t="s">
        <v>210</v>
      </c>
      <c r="L18" s="314">
        <v>45696</v>
      </c>
      <c r="M18" s="314">
        <v>45702</v>
      </c>
      <c r="N18" s="314" t="s">
        <v>232</v>
      </c>
      <c r="O18" s="314"/>
      <c r="P18" s="1089" t="s">
        <v>211</v>
      </c>
    </row>
    <row r="19" spans="1:17" ht="15.5">
      <c r="A19" s="325">
        <f t="shared" si="0"/>
        <v>12</v>
      </c>
      <c r="B19" s="314" t="s">
        <v>240</v>
      </c>
      <c r="C19" s="314"/>
      <c r="D19" s="314" t="s">
        <v>185</v>
      </c>
      <c r="E19" s="839">
        <v>1.86</v>
      </c>
      <c r="F19" s="839">
        <v>12.47</v>
      </c>
      <c r="G19" s="839">
        <v>134.69999999999999</v>
      </c>
      <c r="H19" s="841">
        <v>1.115</v>
      </c>
      <c r="I19" s="839">
        <v>0.29899999999999999</v>
      </c>
      <c r="J19" s="840"/>
      <c r="K19" s="840" t="s">
        <v>210</v>
      </c>
      <c r="L19" s="314">
        <v>45699</v>
      </c>
      <c r="M19" s="314">
        <v>45705</v>
      </c>
      <c r="N19" s="314" t="s">
        <v>254</v>
      </c>
      <c r="O19" s="314"/>
      <c r="P19" s="1089" t="s">
        <v>211</v>
      </c>
    </row>
    <row r="20" spans="1:17" ht="15.5">
      <c r="A20" s="325">
        <f t="shared" si="0"/>
        <v>13</v>
      </c>
      <c r="B20" s="314" t="s">
        <v>241</v>
      </c>
      <c r="C20" s="314"/>
      <c r="D20" s="314" t="s">
        <v>242</v>
      </c>
      <c r="E20" s="839">
        <v>1.86</v>
      </c>
      <c r="F20" s="839">
        <v>12.47</v>
      </c>
      <c r="G20" s="839">
        <v>134.69999999999999</v>
      </c>
      <c r="H20" s="841">
        <v>1.115</v>
      </c>
      <c r="I20" s="839">
        <v>0.29899999999999999</v>
      </c>
      <c r="J20" s="840"/>
      <c r="K20" s="840" t="s">
        <v>210</v>
      </c>
      <c r="L20" s="314">
        <v>45701</v>
      </c>
      <c r="M20" s="314">
        <v>45707</v>
      </c>
      <c r="N20" s="314" t="s">
        <v>232</v>
      </c>
      <c r="O20" s="314"/>
      <c r="P20" s="1089" t="s">
        <v>211</v>
      </c>
    </row>
    <row r="21" spans="1:17" ht="15.5">
      <c r="A21" s="325">
        <f t="shared" si="0"/>
        <v>14</v>
      </c>
      <c r="B21" s="314" t="s">
        <v>251</v>
      </c>
      <c r="C21" s="314"/>
      <c r="D21" s="314" t="s">
        <v>248</v>
      </c>
      <c r="E21" s="839">
        <v>1.86</v>
      </c>
      <c r="F21" s="839">
        <v>12.47</v>
      </c>
      <c r="G21" s="839">
        <v>134.69999999999999</v>
      </c>
      <c r="H21" s="841">
        <v>1.115</v>
      </c>
      <c r="I21" s="839">
        <v>0.29899999999999999</v>
      </c>
      <c r="J21" s="840"/>
      <c r="K21" s="840" t="s">
        <v>210</v>
      </c>
      <c r="L21" s="314">
        <v>45705</v>
      </c>
      <c r="M21" s="314">
        <v>45710</v>
      </c>
      <c r="N21" s="845" t="s">
        <v>1614</v>
      </c>
      <c r="O21" s="314"/>
      <c r="P21" s="1089" t="s">
        <v>211</v>
      </c>
    </row>
    <row r="22" spans="1:17" ht="15.5">
      <c r="A22" s="325">
        <f t="shared" si="0"/>
        <v>15</v>
      </c>
      <c r="B22" s="314" t="s">
        <v>244</v>
      </c>
      <c r="C22" s="314"/>
      <c r="D22" s="314" t="s">
        <v>182</v>
      </c>
      <c r="E22" s="839">
        <v>1.57</v>
      </c>
      <c r="F22" s="839">
        <v>11.05</v>
      </c>
      <c r="G22" s="839">
        <v>115.3</v>
      </c>
      <c r="H22" s="841">
        <v>0.91900000000000004</v>
      </c>
      <c r="I22" s="842">
        <v>0.29899999999999999</v>
      </c>
      <c r="J22" s="840"/>
      <c r="K22" s="840" t="s">
        <v>210</v>
      </c>
      <c r="L22" s="314">
        <v>45698</v>
      </c>
      <c r="M22" s="314">
        <v>45710</v>
      </c>
      <c r="N22" s="314" t="s">
        <v>245</v>
      </c>
      <c r="O22" s="314"/>
      <c r="P22" s="1089" t="s">
        <v>211</v>
      </c>
    </row>
    <row r="23" spans="1:17" ht="15.5">
      <c r="A23" s="325">
        <f t="shared" si="0"/>
        <v>16</v>
      </c>
      <c r="B23" s="326" t="s">
        <v>253</v>
      </c>
      <c r="C23" s="316"/>
      <c r="D23" s="314" t="s">
        <v>248</v>
      </c>
      <c r="E23" s="839">
        <v>1.86</v>
      </c>
      <c r="F23" s="839">
        <v>12.47</v>
      </c>
      <c r="G23" s="839">
        <v>134.69999999999999</v>
      </c>
      <c r="H23" s="841">
        <v>1.115</v>
      </c>
      <c r="I23" s="839">
        <v>0.29899999999999999</v>
      </c>
      <c r="J23" s="840"/>
      <c r="K23" s="840" t="s">
        <v>210</v>
      </c>
      <c r="L23" s="314">
        <v>45705</v>
      </c>
      <c r="M23" s="314">
        <v>45711</v>
      </c>
      <c r="N23" s="314" t="s">
        <v>254</v>
      </c>
      <c r="O23" s="314"/>
      <c r="P23" s="1089" t="s">
        <v>211</v>
      </c>
    </row>
    <row r="24" spans="1:17" ht="15.5">
      <c r="A24" s="325">
        <f t="shared" si="0"/>
        <v>17</v>
      </c>
      <c r="B24" s="331" t="s">
        <v>217</v>
      </c>
      <c r="C24" s="845"/>
      <c r="D24" s="314" t="s">
        <v>182</v>
      </c>
      <c r="E24" s="839">
        <v>1.08</v>
      </c>
      <c r="F24" s="839">
        <v>8.68</v>
      </c>
      <c r="G24" s="839">
        <v>50.1</v>
      </c>
      <c r="H24" s="841">
        <v>0.78800000000000003</v>
      </c>
      <c r="I24" s="842">
        <v>0.29899999999999999</v>
      </c>
      <c r="J24" s="840"/>
      <c r="K24" s="840" t="s">
        <v>292</v>
      </c>
      <c r="L24" s="314">
        <v>45708</v>
      </c>
      <c r="M24" s="314">
        <v>45713</v>
      </c>
      <c r="N24" s="314" t="s">
        <v>255</v>
      </c>
      <c r="O24" s="314"/>
      <c r="P24" s="1089" t="s">
        <v>211</v>
      </c>
    </row>
    <row r="25" spans="1:17" ht="15.5">
      <c r="A25" s="325">
        <f t="shared" si="0"/>
        <v>18</v>
      </c>
      <c r="B25" s="331" t="s">
        <v>259</v>
      </c>
      <c r="C25" s="309"/>
      <c r="D25" s="314" t="s">
        <v>248</v>
      </c>
      <c r="E25" s="839">
        <v>1.86</v>
      </c>
      <c r="F25" s="839">
        <v>12.47</v>
      </c>
      <c r="G25" s="839">
        <v>134.69999999999999</v>
      </c>
      <c r="H25" s="841">
        <v>1.115</v>
      </c>
      <c r="I25" s="839">
        <v>0.29899999999999999</v>
      </c>
      <c r="J25" s="840"/>
      <c r="K25" s="840" t="s">
        <v>210</v>
      </c>
      <c r="L25" s="314">
        <v>45709</v>
      </c>
      <c r="M25" s="314">
        <v>45713</v>
      </c>
      <c r="N25" s="845" t="s">
        <v>1614</v>
      </c>
      <c r="O25" s="314"/>
      <c r="P25" s="1089" t="s">
        <v>211</v>
      </c>
    </row>
    <row r="26" spans="1:17" ht="15.5">
      <c r="A26" s="325">
        <f t="shared" si="0"/>
        <v>19</v>
      </c>
      <c r="B26" s="326" t="s">
        <v>247</v>
      </c>
      <c r="C26" s="316"/>
      <c r="D26" s="314" t="s">
        <v>248</v>
      </c>
      <c r="E26" s="839">
        <v>1.86</v>
      </c>
      <c r="F26" s="839">
        <v>12.47</v>
      </c>
      <c r="G26" s="839">
        <v>134.69999999999999</v>
      </c>
      <c r="H26" s="841">
        <v>1.115</v>
      </c>
      <c r="I26" s="839">
        <v>0.29899999999999999</v>
      </c>
      <c r="J26" s="840"/>
      <c r="K26" s="840" t="s">
        <v>210</v>
      </c>
      <c r="L26" s="314">
        <v>45705</v>
      </c>
      <c r="M26" s="314">
        <v>45716</v>
      </c>
      <c r="N26" s="314" t="s">
        <v>249</v>
      </c>
      <c r="O26" s="314"/>
      <c r="P26" s="1089" t="s">
        <v>211</v>
      </c>
      <c r="Q26" s="1090"/>
    </row>
    <row r="27" spans="1:17" ht="14.25" customHeight="1">
      <c r="A27" s="325">
        <f t="shared" si="0"/>
        <v>20</v>
      </c>
      <c r="B27" s="326" t="s">
        <v>257</v>
      </c>
      <c r="C27" s="316"/>
      <c r="D27" s="314" t="s">
        <v>248</v>
      </c>
      <c r="E27" s="839">
        <v>1.86</v>
      </c>
      <c r="F27" s="839">
        <v>12.47</v>
      </c>
      <c r="G27" s="839">
        <v>134.69999999999999</v>
      </c>
      <c r="H27" s="841">
        <v>1.115</v>
      </c>
      <c r="I27" s="839">
        <v>0.29899999999999999</v>
      </c>
      <c r="J27" s="840"/>
      <c r="K27" s="840" t="s">
        <v>210</v>
      </c>
      <c r="L27" s="314">
        <v>45708</v>
      </c>
      <c r="M27" s="314">
        <v>45715</v>
      </c>
      <c r="N27" s="314" t="s">
        <v>232</v>
      </c>
      <c r="O27" s="314"/>
      <c r="P27" s="1089" t="s">
        <v>211</v>
      </c>
      <c r="Q27" s="1090"/>
    </row>
    <row r="28" spans="1:17" ht="15.5">
      <c r="A28" s="325">
        <f t="shared" si="0"/>
        <v>21</v>
      </c>
      <c r="B28" s="331" t="s">
        <v>262</v>
      </c>
      <c r="C28" s="309"/>
      <c r="D28" s="314" t="s">
        <v>242</v>
      </c>
      <c r="E28" s="839">
        <v>1.86</v>
      </c>
      <c r="F28" s="839">
        <v>12.47</v>
      </c>
      <c r="G28" s="839">
        <v>134.69999999999999</v>
      </c>
      <c r="H28" s="841">
        <v>1.115</v>
      </c>
      <c r="I28" s="839">
        <v>0.29899999999999999</v>
      </c>
      <c r="J28" s="840"/>
      <c r="K28" s="840" t="s">
        <v>210</v>
      </c>
      <c r="L28" s="314">
        <v>45711</v>
      </c>
      <c r="M28" s="314">
        <v>45725</v>
      </c>
      <c r="N28" s="314" t="s">
        <v>245</v>
      </c>
      <c r="O28" s="314"/>
      <c r="P28" s="1089" t="s">
        <v>211</v>
      </c>
    </row>
    <row r="29" spans="1:17" ht="15.5">
      <c r="A29" s="325">
        <f t="shared" si="0"/>
        <v>22</v>
      </c>
      <c r="B29" s="331" t="s">
        <v>263</v>
      </c>
      <c r="C29" s="309"/>
      <c r="D29" s="314" t="s">
        <v>242</v>
      </c>
      <c r="E29" s="839">
        <v>1.86</v>
      </c>
      <c r="F29" s="839">
        <v>12.47</v>
      </c>
      <c r="G29" s="839">
        <v>134.69999999999999</v>
      </c>
      <c r="H29" s="841">
        <v>1.115</v>
      </c>
      <c r="I29" s="839">
        <v>0.29899999999999999</v>
      </c>
      <c r="J29" s="323"/>
      <c r="K29" s="840" t="s">
        <v>210</v>
      </c>
      <c r="L29" s="314">
        <v>45712</v>
      </c>
      <c r="M29" s="314">
        <v>45718</v>
      </c>
      <c r="N29" s="314" t="s">
        <v>254</v>
      </c>
      <c r="O29" s="309"/>
      <c r="P29" s="1089" t="s">
        <v>211</v>
      </c>
    </row>
    <row r="30" spans="1:17" ht="15.5">
      <c r="A30" s="325">
        <f t="shared" si="0"/>
        <v>23</v>
      </c>
      <c r="B30" s="326" t="s">
        <v>293</v>
      </c>
      <c r="C30" s="309"/>
      <c r="D30" s="314" t="s">
        <v>182</v>
      </c>
      <c r="E30" s="839">
        <v>1.57</v>
      </c>
      <c r="F30" s="839">
        <v>11.05</v>
      </c>
      <c r="G30" s="839">
        <v>115.3</v>
      </c>
      <c r="H30" s="841">
        <v>0.91900000000000004</v>
      </c>
      <c r="I30" s="842">
        <v>0.29899999999999999</v>
      </c>
      <c r="J30" s="323"/>
      <c r="K30" s="840" t="s">
        <v>210</v>
      </c>
      <c r="L30" s="314">
        <v>45712</v>
      </c>
      <c r="M30" s="314">
        <v>45716</v>
      </c>
      <c r="N30" s="845" t="s">
        <v>1614</v>
      </c>
      <c r="O30" s="309"/>
      <c r="P30" s="1089" t="s">
        <v>211</v>
      </c>
    </row>
    <row r="31" spans="1:17" ht="15.5">
      <c r="A31" s="325">
        <f t="shared" si="0"/>
        <v>24</v>
      </c>
      <c r="B31" s="316" t="s">
        <v>294</v>
      </c>
      <c r="C31" s="316"/>
      <c r="D31" s="316" t="s">
        <v>182</v>
      </c>
      <c r="E31" s="839">
        <v>1.57</v>
      </c>
      <c r="F31" s="839">
        <v>11.05</v>
      </c>
      <c r="G31" s="839">
        <v>115.3</v>
      </c>
      <c r="H31" s="841">
        <v>0.91900000000000004</v>
      </c>
      <c r="I31" s="842">
        <v>0.29899999999999999</v>
      </c>
      <c r="J31" s="316"/>
      <c r="K31" s="840" t="s">
        <v>210</v>
      </c>
      <c r="L31" s="314">
        <v>45713</v>
      </c>
      <c r="M31" s="314">
        <v>45716</v>
      </c>
      <c r="N31" s="314" t="s">
        <v>255</v>
      </c>
      <c r="O31" s="316"/>
      <c r="P31" s="1089" t="s">
        <v>211</v>
      </c>
    </row>
    <row r="32" spans="1:17" ht="15.5">
      <c r="A32" s="325">
        <f t="shared" si="0"/>
        <v>25</v>
      </c>
      <c r="B32" s="316" t="s">
        <v>279</v>
      </c>
      <c r="C32" s="316"/>
      <c r="D32" s="316" t="s">
        <v>242</v>
      </c>
      <c r="E32" s="839">
        <v>1.86</v>
      </c>
      <c r="F32" s="839">
        <v>12.47</v>
      </c>
      <c r="G32" s="839">
        <v>134.69999999999999</v>
      </c>
      <c r="H32" s="841">
        <v>1.115</v>
      </c>
      <c r="I32" s="839">
        <v>0.29899999999999999</v>
      </c>
      <c r="J32" s="316"/>
      <c r="K32" s="840" t="s">
        <v>210</v>
      </c>
      <c r="L32" s="314">
        <v>45715</v>
      </c>
      <c r="M32" s="1008">
        <v>45726</v>
      </c>
      <c r="N32" s="314" t="s">
        <v>1291</v>
      </c>
      <c r="O32" s="316"/>
      <c r="P32" s="1089" t="s">
        <v>211</v>
      </c>
    </row>
    <row r="33" spans="1:16" ht="15.5">
      <c r="A33" s="325">
        <f t="shared" si="0"/>
        <v>26</v>
      </c>
      <c r="B33" s="316" t="s">
        <v>260</v>
      </c>
      <c r="C33" s="316"/>
      <c r="D33" s="316" t="s">
        <v>182</v>
      </c>
      <c r="E33" s="839">
        <v>1.57</v>
      </c>
      <c r="F33" s="839">
        <v>11.05</v>
      </c>
      <c r="G33" s="839">
        <v>115.3</v>
      </c>
      <c r="H33" s="841">
        <v>0.91900000000000004</v>
      </c>
      <c r="I33" s="842">
        <v>0.29899999999999999</v>
      </c>
      <c r="J33" s="316"/>
      <c r="K33" s="840" t="s">
        <v>210</v>
      </c>
      <c r="L33" s="314">
        <v>45716</v>
      </c>
      <c r="M33" s="1008">
        <v>45722</v>
      </c>
      <c r="N33" s="314" t="s">
        <v>249</v>
      </c>
      <c r="O33" s="316"/>
      <c r="P33" s="1089" t="s">
        <v>211</v>
      </c>
    </row>
    <row r="34" spans="1:16" ht="15.5">
      <c r="A34" s="325">
        <f t="shared" si="0"/>
        <v>27</v>
      </c>
      <c r="B34" s="316" t="s">
        <v>276</v>
      </c>
      <c r="C34" s="316"/>
      <c r="D34" s="316" t="s">
        <v>182</v>
      </c>
      <c r="E34" s="839">
        <v>1.57</v>
      </c>
      <c r="F34" s="839">
        <v>11.05</v>
      </c>
      <c r="G34" s="839">
        <v>115.3</v>
      </c>
      <c r="H34" s="841">
        <v>0.91900000000000004</v>
      </c>
      <c r="I34" s="842">
        <v>0.29899999999999999</v>
      </c>
      <c r="J34" s="316"/>
      <c r="K34" s="840" t="s">
        <v>210</v>
      </c>
      <c r="L34" s="314">
        <v>45718</v>
      </c>
      <c r="M34" s="1008">
        <v>45723</v>
      </c>
      <c r="N34" s="314" t="s">
        <v>255</v>
      </c>
      <c r="O34" s="316"/>
      <c r="P34" s="1089" t="s">
        <v>211</v>
      </c>
    </row>
    <row r="35" spans="1:16" ht="15.5">
      <c r="A35" s="325">
        <f t="shared" si="0"/>
        <v>28</v>
      </c>
      <c r="B35" s="316" t="s">
        <v>268</v>
      </c>
      <c r="C35" s="316"/>
      <c r="D35" s="316" t="s">
        <v>185</v>
      </c>
      <c r="E35" s="839">
        <v>1.86</v>
      </c>
      <c r="F35" s="839">
        <v>12.47</v>
      </c>
      <c r="G35" s="839">
        <v>134.69999999999999</v>
      </c>
      <c r="H35" s="841">
        <v>1.115</v>
      </c>
      <c r="I35" s="839">
        <v>0.29899999999999999</v>
      </c>
      <c r="J35" s="316"/>
      <c r="K35" s="840" t="s">
        <v>210</v>
      </c>
      <c r="L35" s="314">
        <v>45718</v>
      </c>
      <c r="M35" s="1008">
        <v>45724</v>
      </c>
      <c r="N35" s="314" t="s">
        <v>232</v>
      </c>
      <c r="O35" s="316"/>
      <c r="P35" s="1089" t="s">
        <v>211</v>
      </c>
    </row>
    <row r="36" spans="1:16" ht="15.5">
      <c r="A36" s="325">
        <f t="shared" si="0"/>
        <v>29</v>
      </c>
      <c r="B36" s="316" t="s">
        <v>274</v>
      </c>
      <c r="C36" s="316"/>
      <c r="D36" s="316" t="s">
        <v>248</v>
      </c>
      <c r="E36" s="839">
        <v>1.86</v>
      </c>
      <c r="F36" s="839">
        <v>12.47</v>
      </c>
      <c r="G36" s="839">
        <v>134.69999999999999</v>
      </c>
      <c r="H36" s="841">
        <v>1.115</v>
      </c>
      <c r="I36" s="839">
        <v>0.29899999999999999</v>
      </c>
      <c r="J36" s="316"/>
      <c r="K36" s="840" t="s">
        <v>210</v>
      </c>
      <c r="L36" s="314">
        <v>45719</v>
      </c>
      <c r="M36" s="1008">
        <v>45723</v>
      </c>
      <c r="N36" s="845" t="s">
        <v>1614</v>
      </c>
      <c r="O36" s="316"/>
      <c r="P36" s="1089" t="s">
        <v>211</v>
      </c>
    </row>
    <row r="37" spans="1:16" ht="15.5">
      <c r="A37" s="325">
        <f t="shared" si="0"/>
        <v>30</v>
      </c>
      <c r="B37" s="316" t="s">
        <v>261</v>
      </c>
      <c r="C37" s="316"/>
      <c r="D37" s="316" t="s">
        <v>185</v>
      </c>
      <c r="E37" s="839">
        <v>1.86</v>
      </c>
      <c r="F37" s="839">
        <v>12.47</v>
      </c>
      <c r="G37" s="839">
        <v>134.69999999999999</v>
      </c>
      <c r="H37" s="841">
        <v>1.115</v>
      </c>
      <c r="I37" s="839">
        <v>0.29899999999999999</v>
      </c>
      <c r="J37" s="316"/>
      <c r="K37" s="840" t="s">
        <v>210</v>
      </c>
      <c r="L37" s="314">
        <v>45721</v>
      </c>
      <c r="M37" s="1008">
        <v>45727</v>
      </c>
      <c r="N37" s="314" t="s">
        <v>249</v>
      </c>
      <c r="O37" s="316"/>
      <c r="P37" s="1089" t="s">
        <v>211</v>
      </c>
    </row>
    <row r="38" spans="1:16" ht="15.5">
      <c r="A38" s="325">
        <f t="shared" si="0"/>
        <v>31</v>
      </c>
      <c r="B38" s="316" t="s">
        <v>275</v>
      </c>
      <c r="C38" s="316"/>
      <c r="D38" s="316" t="s">
        <v>248</v>
      </c>
      <c r="E38" s="839">
        <v>1.86</v>
      </c>
      <c r="F38" s="839">
        <v>12.47</v>
      </c>
      <c r="G38" s="839">
        <v>134.69999999999999</v>
      </c>
      <c r="H38" s="841">
        <v>1.115</v>
      </c>
      <c r="I38" s="839">
        <v>0.29899999999999999</v>
      </c>
      <c r="J38" s="316"/>
      <c r="K38" s="840" t="s">
        <v>210</v>
      </c>
      <c r="L38" s="314">
        <v>45722</v>
      </c>
      <c r="M38" s="1008">
        <v>45726</v>
      </c>
      <c r="N38" s="845" t="s">
        <v>1614</v>
      </c>
      <c r="O38" s="316"/>
      <c r="P38" s="1089" t="s">
        <v>211</v>
      </c>
    </row>
    <row r="39" spans="1:16" ht="15.5">
      <c r="A39" s="325">
        <f t="shared" si="0"/>
        <v>32</v>
      </c>
      <c r="B39" s="316" t="s">
        <v>258</v>
      </c>
      <c r="C39" s="316"/>
      <c r="D39" s="316" t="s">
        <v>182</v>
      </c>
      <c r="E39" s="839">
        <v>1.57</v>
      </c>
      <c r="F39" s="839">
        <v>11.05</v>
      </c>
      <c r="G39" s="839">
        <v>115.3</v>
      </c>
      <c r="H39" s="841">
        <v>0.91900000000000004</v>
      </c>
      <c r="I39" s="842">
        <v>0.29899999999999999</v>
      </c>
      <c r="J39" s="316"/>
      <c r="K39" s="840" t="s">
        <v>210</v>
      </c>
      <c r="L39" s="314">
        <v>45720</v>
      </c>
      <c r="M39" s="1008">
        <v>45726</v>
      </c>
      <c r="N39" s="314" t="s">
        <v>254</v>
      </c>
      <c r="O39" s="316"/>
      <c r="P39" s="1089" t="s">
        <v>211</v>
      </c>
    </row>
    <row r="40" spans="1:16" ht="15.5">
      <c r="A40" s="325">
        <f t="shared" si="0"/>
        <v>33</v>
      </c>
      <c r="B40" s="316" t="s">
        <v>277</v>
      </c>
      <c r="C40" s="316"/>
      <c r="D40" s="316" t="s">
        <v>185</v>
      </c>
      <c r="E40" s="839">
        <v>1.86</v>
      </c>
      <c r="F40" s="839">
        <v>12.47</v>
      </c>
      <c r="G40" s="839">
        <v>134.69999999999999</v>
      </c>
      <c r="H40" s="841">
        <v>1.115</v>
      </c>
      <c r="I40" s="839">
        <v>0.29899999999999999</v>
      </c>
      <c r="J40" s="316"/>
      <c r="K40" s="316" t="s">
        <v>210</v>
      </c>
      <c r="L40" s="314">
        <v>45731</v>
      </c>
      <c r="M40" s="1008">
        <v>45740</v>
      </c>
      <c r="N40" s="314" t="s">
        <v>254</v>
      </c>
      <c r="O40" s="316"/>
      <c r="P40" s="1089" t="s">
        <v>211</v>
      </c>
    </row>
    <row r="41" spans="1:16" ht="15.5">
      <c r="A41" s="325">
        <f t="shared" si="0"/>
        <v>34</v>
      </c>
      <c r="B41" s="316" t="s">
        <v>285</v>
      </c>
      <c r="C41" s="316"/>
      <c r="D41" s="316" t="s">
        <v>185</v>
      </c>
      <c r="E41" s="839">
        <v>1.86</v>
      </c>
      <c r="F41" s="839">
        <v>12.47</v>
      </c>
      <c r="G41" s="839">
        <v>134.69999999999999</v>
      </c>
      <c r="H41" s="841">
        <v>1.115</v>
      </c>
      <c r="I41" s="839">
        <v>0.29899999999999999</v>
      </c>
      <c r="J41" s="316"/>
      <c r="K41" s="316" t="s">
        <v>210</v>
      </c>
      <c r="L41" s="314">
        <v>45735</v>
      </c>
      <c r="M41" s="1008">
        <v>45742</v>
      </c>
      <c r="N41" s="845" t="s">
        <v>1614</v>
      </c>
      <c r="O41" s="316"/>
      <c r="P41" s="1089" t="s">
        <v>211</v>
      </c>
    </row>
    <row r="42" spans="1:16" ht="15.5">
      <c r="A42" s="325">
        <f t="shared" si="0"/>
        <v>35</v>
      </c>
      <c r="B42" s="316" t="s">
        <v>289</v>
      </c>
      <c r="C42" s="316"/>
      <c r="D42" s="316" t="s">
        <v>182</v>
      </c>
      <c r="E42" s="839">
        <v>1.08</v>
      </c>
      <c r="F42" s="839">
        <v>8.68</v>
      </c>
      <c r="G42" s="839">
        <v>50.1</v>
      </c>
      <c r="H42" s="841">
        <v>0.78800000000000003</v>
      </c>
      <c r="I42" s="842">
        <v>0.29899999999999999</v>
      </c>
      <c r="J42" s="316"/>
      <c r="K42" s="840" t="s">
        <v>292</v>
      </c>
      <c r="L42" s="314">
        <v>45729</v>
      </c>
      <c r="M42" s="1008">
        <v>45746</v>
      </c>
      <c r="N42" s="314" t="s">
        <v>1291</v>
      </c>
      <c r="O42" s="316"/>
      <c r="P42" s="1089" t="s">
        <v>211</v>
      </c>
    </row>
    <row r="43" spans="1:16" ht="15.5">
      <c r="A43" s="325">
        <f t="shared" si="0"/>
        <v>36</v>
      </c>
      <c r="B43" s="316" t="s">
        <v>280</v>
      </c>
      <c r="C43" s="316"/>
      <c r="D43" s="316" t="s">
        <v>248</v>
      </c>
      <c r="E43" s="839">
        <v>1.86</v>
      </c>
      <c r="F43" s="839">
        <v>12.47</v>
      </c>
      <c r="G43" s="839">
        <v>134.69999999999999</v>
      </c>
      <c r="H43" s="841">
        <v>1.115</v>
      </c>
      <c r="I43" s="839">
        <v>0.29899999999999999</v>
      </c>
      <c r="J43" s="316"/>
      <c r="K43" s="316" t="s">
        <v>210</v>
      </c>
      <c r="L43" s="314">
        <v>45738</v>
      </c>
      <c r="M43" s="1008">
        <v>45746</v>
      </c>
      <c r="N43" s="314" t="s">
        <v>254</v>
      </c>
      <c r="O43" s="316"/>
      <c r="P43" s="1089" t="s">
        <v>211</v>
      </c>
    </row>
    <row r="44" spans="1:16" ht="15.5">
      <c r="A44" s="325">
        <f t="shared" si="0"/>
        <v>37</v>
      </c>
      <c r="B44" s="316" t="s">
        <v>284</v>
      </c>
      <c r="C44" s="316"/>
      <c r="D44" s="316" t="s">
        <v>185</v>
      </c>
      <c r="E44" s="839">
        <v>1.86</v>
      </c>
      <c r="F44" s="839">
        <v>12.47</v>
      </c>
      <c r="G44" s="839">
        <v>134.69999999999999</v>
      </c>
      <c r="H44" s="841">
        <v>1.115</v>
      </c>
      <c r="I44" s="839">
        <v>0.29899999999999999</v>
      </c>
      <c r="J44" s="316"/>
      <c r="K44" s="316" t="s">
        <v>210</v>
      </c>
      <c r="L44" s="314">
        <v>45741</v>
      </c>
      <c r="M44" s="1008">
        <v>45746</v>
      </c>
      <c r="N44" s="845" t="s">
        <v>1614</v>
      </c>
      <c r="O44" s="316"/>
      <c r="P44" s="1089" t="s">
        <v>211</v>
      </c>
    </row>
    <row r="45" spans="1:16" ht="15.5">
      <c r="A45" s="325">
        <f t="shared" si="0"/>
        <v>38</v>
      </c>
      <c r="B45" s="316" t="s">
        <v>355</v>
      </c>
      <c r="C45" s="316"/>
      <c r="D45" s="316" t="s">
        <v>248</v>
      </c>
      <c r="E45" s="839">
        <v>1.86</v>
      </c>
      <c r="F45" s="839">
        <v>12.47</v>
      </c>
      <c r="G45" s="839">
        <v>134.69999999999999</v>
      </c>
      <c r="H45" s="841">
        <v>1.115</v>
      </c>
      <c r="I45" s="839">
        <v>0.29899999999999999</v>
      </c>
      <c r="J45" s="316"/>
      <c r="K45" s="316" t="s">
        <v>210</v>
      </c>
      <c r="L45" s="1008">
        <v>45745</v>
      </c>
      <c r="M45" s="1008">
        <v>45747</v>
      </c>
      <c r="N45" s="845" t="s">
        <v>1614</v>
      </c>
      <c r="O45" s="316"/>
      <c r="P45" s="1089" t="s">
        <v>211</v>
      </c>
    </row>
    <row r="46" spans="1:16" ht="15.5">
      <c r="A46" s="325">
        <f t="shared" si="0"/>
        <v>39</v>
      </c>
      <c r="B46" s="316" t="s">
        <v>169</v>
      </c>
      <c r="C46" s="316"/>
      <c r="D46" s="316" t="s">
        <v>182</v>
      </c>
      <c r="E46" s="839">
        <v>1.08</v>
      </c>
      <c r="F46" s="839">
        <v>8.68</v>
      </c>
      <c r="G46" s="839">
        <v>50.1</v>
      </c>
      <c r="H46" s="841">
        <v>0.78800000000000003</v>
      </c>
      <c r="I46" s="842">
        <v>0.29899999999999999</v>
      </c>
      <c r="J46" s="316"/>
      <c r="K46" s="316" t="s">
        <v>292</v>
      </c>
      <c r="L46" s="1008">
        <v>45745</v>
      </c>
      <c r="M46" s="1008">
        <v>45751</v>
      </c>
      <c r="N46" s="314" t="s">
        <v>1291</v>
      </c>
      <c r="O46" s="316"/>
      <c r="P46" s="1089" t="s">
        <v>211</v>
      </c>
    </row>
    <row r="47" spans="1:16" ht="15.5">
      <c r="A47" s="325">
        <f t="shared" si="0"/>
        <v>40</v>
      </c>
      <c r="B47" s="316" t="s">
        <v>287</v>
      </c>
      <c r="C47" s="316"/>
      <c r="D47" s="316" t="s">
        <v>248</v>
      </c>
      <c r="E47" s="839">
        <v>1.86</v>
      </c>
      <c r="F47" s="839">
        <v>12.47</v>
      </c>
      <c r="G47" s="839">
        <v>134.69999999999999</v>
      </c>
      <c r="H47" s="841">
        <v>1.115</v>
      </c>
      <c r="I47" s="839">
        <v>0.29899999999999999</v>
      </c>
      <c r="J47" s="316"/>
      <c r="K47" s="316" t="s">
        <v>210</v>
      </c>
      <c r="L47" s="1008">
        <v>45751</v>
      </c>
      <c r="M47" s="1008">
        <v>45756</v>
      </c>
      <c r="N47" s="845" t="s">
        <v>1614</v>
      </c>
      <c r="O47" s="316"/>
      <c r="P47" s="1089" t="s">
        <v>211</v>
      </c>
    </row>
    <row r="48" spans="1:16" ht="15.5">
      <c r="A48" s="325">
        <f t="shared" si="0"/>
        <v>41</v>
      </c>
      <c r="B48" s="316" t="s">
        <v>406</v>
      </c>
      <c r="C48" s="316"/>
      <c r="D48" s="316" t="s">
        <v>182</v>
      </c>
      <c r="E48" s="839">
        <v>1.57</v>
      </c>
      <c r="F48" s="839">
        <v>11.05</v>
      </c>
      <c r="G48" s="839">
        <v>115.3</v>
      </c>
      <c r="H48" s="841">
        <v>0.91900000000000004</v>
      </c>
      <c r="I48" s="842">
        <v>0.29899999999999999</v>
      </c>
      <c r="J48" s="316"/>
      <c r="K48" s="316" t="s">
        <v>210</v>
      </c>
      <c r="L48" s="1008">
        <v>45750</v>
      </c>
      <c r="M48" s="1008">
        <v>45760</v>
      </c>
      <c r="N48" s="314" t="s">
        <v>254</v>
      </c>
      <c r="O48" s="316"/>
      <c r="P48" s="1089" t="s">
        <v>211</v>
      </c>
    </row>
    <row r="49" spans="1:16" ht="15.5">
      <c r="A49" s="325">
        <f t="shared" si="0"/>
        <v>42</v>
      </c>
      <c r="B49" s="316" t="s">
        <v>290</v>
      </c>
      <c r="C49" s="316"/>
      <c r="D49" s="316" t="s">
        <v>182</v>
      </c>
      <c r="E49" s="839">
        <v>1.57</v>
      </c>
      <c r="F49" s="839">
        <v>11.05</v>
      </c>
      <c r="G49" s="839">
        <v>115.3</v>
      </c>
      <c r="H49" s="841">
        <v>0.91900000000000004</v>
      </c>
      <c r="I49" s="842">
        <v>0.29899999999999999</v>
      </c>
      <c r="J49" s="316"/>
      <c r="K49" s="316" t="s">
        <v>210</v>
      </c>
      <c r="L49" s="1008">
        <v>45746</v>
      </c>
      <c r="M49" s="1008">
        <v>45763</v>
      </c>
      <c r="N49" s="314" t="s">
        <v>254</v>
      </c>
      <c r="O49" s="316"/>
      <c r="P49" s="1089" t="s">
        <v>211</v>
      </c>
    </row>
    <row r="50" spans="1:16" ht="15.5">
      <c r="A50" s="325">
        <f t="shared" si="0"/>
        <v>43</v>
      </c>
      <c r="B50" s="316" t="s">
        <v>273</v>
      </c>
      <c r="C50" s="316"/>
      <c r="D50" s="316" t="s">
        <v>182</v>
      </c>
      <c r="E50" s="839">
        <v>1.57</v>
      </c>
      <c r="F50" s="839">
        <v>11.05</v>
      </c>
      <c r="G50" s="839">
        <v>115.3</v>
      </c>
      <c r="H50" s="841">
        <v>0.91900000000000004</v>
      </c>
      <c r="I50" s="842">
        <v>0.29899999999999999</v>
      </c>
      <c r="J50" s="316"/>
      <c r="K50" s="316" t="s">
        <v>210</v>
      </c>
      <c r="L50" s="1008">
        <v>45746</v>
      </c>
      <c r="M50" s="1008">
        <v>45764</v>
      </c>
      <c r="N50" s="316" t="s">
        <v>1117</v>
      </c>
      <c r="O50" s="316"/>
      <c r="P50" s="1089" t="s">
        <v>211</v>
      </c>
    </row>
    <row r="51" spans="1:16" ht="15.5">
      <c r="A51" s="325">
        <f t="shared" si="0"/>
        <v>44</v>
      </c>
      <c r="B51" s="316" t="s">
        <v>474</v>
      </c>
      <c r="C51" s="316"/>
      <c r="D51" s="316" t="s">
        <v>185</v>
      </c>
      <c r="E51" s="839">
        <v>1.86</v>
      </c>
      <c r="F51" s="839">
        <v>12.47</v>
      </c>
      <c r="G51" s="839">
        <v>134.69999999999999</v>
      </c>
      <c r="H51" s="841">
        <v>1.115</v>
      </c>
      <c r="I51" s="839">
        <v>0.29899999999999999</v>
      </c>
      <c r="J51" s="316"/>
      <c r="K51" s="316" t="s">
        <v>210</v>
      </c>
      <c r="L51" s="1008">
        <v>45762</v>
      </c>
      <c r="M51" s="1008">
        <v>45765</v>
      </c>
      <c r="N51" s="845" t="s">
        <v>1614</v>
      </c>
      <c r="O51" s="316"/>
      <c r="P51" s="1089" t="s">
        <v>211</v>
      </c>
    </row>
    <row r="52" spans="1:16" ht="15.5">
      <c r="A52" s="325">
        <f t="shared" si="0"/>
        <v>45</v>
      </c>
      <c r="B52" s="316" t="s">
        <v>414</v>
      </c>
      <c r="C52" s="316"/>
      <c r="D52" s="316" t="s">
        <v>248</v>
      </c>
      <c r="E52" s="839">
        <v>1.86</v>
      </c>
      <c r="F52" s="839">
        <v>12.47</v>
      </c>
      <c r="G52" s="839">
        <v>134.69999999999999</v>
      </c>
      <c r="H52" s="841">
        <v>1.115</v>
      </c>
      <c r="I52" s="839">
        <v>0.29899999999999999</v>
      </c>
      <c r="J52" s="316"/>
      <c r="K52" s="316" t="s">
        <v>210</v>
      </c>
      <c r="L52" s="1008">
        <v>45761</v>
      </c>
      <c r="M52" s="1008">
        <v>45767</v>
      </c>
      <c r="N52" s="316" t="s">
        <v>1290</v>
      </c>
      <c r="O52" s="316"/>
      <c r="P52" s="1089" t="s">
        <v>211</v>
      </c>
    </row>
    <row r="53" spans="1:16" ht="15.5">
      <c r="A53" s="325">
        <f t="shared" si="0"/>
        <v>46</v>
      </c>
      <c r="B53" s="316" t="s">
        <v>475</v>
      </c>
      <c r="C53" s="316"/>
      <c r="D53" s="316" t="s">
        <v>185</v>
      </c>
      <c r="E53" s="839">
        <v>1.86</v>
      </c>
      <c r="F53" s="839">
        <v>12.47</v>
      </c>
      <c r="G53" s="839">
        <v>134.69999999999999</v>
      </c>
      <c r="H53" s="841">
        <v>1.115</v>
      </c>
      <c r="I53" s="839">
        <v>0.29899999999999999</v>
      </c>
      <c r="J53" s="316"/>
      <c r="K53" s="316" t="s">
        <v>210</v>
      </c>
      <c r="L53" s="1008">
        <v>45765</v>
      </c>
      <c r="M53" s="1008">
        <v>45769</v>
      </c>
      <c r="N53" s="845" t="s">
        <v>1614</v>
      </c>
      <c r="O53" s="316"/>
      <c r="P53" s="1089" t="s">
        <v>211</v>
      </c>
    </row>
    <row r="54" spans="1:16" ht="15.5">
      <c r="A54" s="325">
        <f t="shared" si="0"/>
        <v>47</v>
      </c>
      <c r="B54" s="316" t="s">
        <v>311</v>
      </c>
      <c r="C54" s="316"/>
      <c r="D54" s="316" t="s">
        <v>185</v>
      </c>
      <c r="E54" s="839">
        <v>1.86</v>
      </c>
      <c r="F54" s="839">
        <v>12.47</v>
      </c>
      <c r="G54" s="839">
        <v>134.69999999999999</v>
      </c>
      <c r="H54" s="841">
        <v>1.115</v>
      </c>
      <c r="I54" s="839">
        <v>0.29899999999999999</v>
      </c>
      <c r="J54" s="316"/>
      <c r="K54" s="316" t="s">
        <v>210</v>
      </c>
      <c r="L54" s="1008">
        <v>45765</v>
      </c>
      <c r="M54" s="1008">
        <v>45770</v>
      </c>
      <c r="N54" s="316" t="s">
        <v>1117</v>
      </c>
      <c r="O54" s="316"/>
      <c r="P54" s="1089" t="s">
        <v>211</v>
      </c>
    </row>
    <row r="55" spans="1:16" ht="15.5">
      <c r="A55" s="325">
        <f t="shared" si="0"/>
        <v>48</v>
      </c>
      <c r="B55" s="316" t="s">
        <v>426</v>
      </c>
      <c r="C55" s="316"/>
      <c r="D55" s="316" t="s">
        <v>182</v>
      </c>
      <c r="E55" s="839">
        <v>1.08</v>
      </c>
      <c r="F55" s="839">
        <v>8.68</v>
      </c>
      <c r="G55" s="839">
        <v>50.1</v>
      </c>
      <c r="H55" s="841">
        <v>0.78800000000000003</v>
      </c>
      <c r="I55" s="842">
        <v>0.29899999999999999</v>
      </c>
      <c r="J55" s="316"/>
      <c r="K55" s="316" t="s">
        <v>292</v>
      </c>
      <c r="L55" s="1008">
        <v>45766</v>
      </c>
      <c r="M55" s="1008">
        <v>45772</v>
      </c>
      <c r="N55" s="314" t="s">
        <v>254</v>
      </c>
      <c r="O55" s="316"/>
      <c r="P55" s="1089" t="s">
        <v>211</v>
      </c>
    </row>
    <row r="56" spans="1:16" ht="15.5">
      <c r="A56" s="325">
        <f t="shared" si="0"/>
        <v>49</v>
      </c>
      <c r="B56" s="316" t="s">
        <v>227</v>
      </c>
      <c r="C56" s="316"/>
      <c r="D56" s="316" t="s">
        <v>182</v>
      </c>
      <c r="E56" s="839">
        <v>1.57</v>
      </c>
      <c r="F56" s="839">
        <v>11.05</v>
      </c>
      <c r="G56" s="839">
        <v>115.3</v>
      </c>
      <c r="H56" s="841">
        <v>0.91900000000000004</v>
      </c>
      <c r="I56" s="842">
        <v>0.29899999999999999</v>
      </c>
      <c r="J56" s="316"/>
      <c r="K56" s="316" t="s">
        <v>210</v>
      </c>
      <c r="L56" s="1008">
        <v>45767</v>
      </c>
      <c r="M56" s="1008">
        <v>45776</v>
      </c>
      <c r="N56" s="316" t="s">
        <v>1290</v>
      </c>
      <c r="O56" s="316"/>
      <c r="P56" s="1089" t="s">
        <v>211</v>
      </c>
    </row>
    <row r="57" spans="1:16" ht="15.5">
      <c r="A57" s="325">
        <f t="shared" si="0"/>
        <v>50</v>
      </c>
      <c r="B57" s="316" t="s">
        <v>282</v>
      </c>
      <c r="C57" s="316"/>
      <c r="D57" s="316" t="s">
        <v>242</v>
      </c>
      <c r="E57" s="839">
        <v>1.86</v>
      </c>
      <c r="F57" s="839">
        <v>12.47</v>
      </c>
      <c r="G57" s="839">
        <v>134.69999999999999</v>
      </c>
      <c r="H57" s="841">
        <v>1.115</v>
      </c>
      <c r="I57" s="839">
        <v>0.29899999999999999</v>
      </c>
      <c r="J57" s="316"/>
      <c r="K57" s="316" t="s">
        <v>210</v>
      </c>
      <c r="L57" s="1008">
        <v>45770</v>
      </c>
      <c r="M57" s="1008">
        <v>45776</v>
      </c>
      <c r="N57" s="316" t="s">
        <v>1117</v>
      </c>
      <c r="O57" s="316"/>
      <c r="P57" s="1089" t="s">
        <v>211</v>
      </c>
    </row>
    <row r="58" spans="1:16" ht="15.5">
      <c r="A58" s="325">
        <f t="shared" si="0"/>
        <v>51</v>
      </c>
      <c r="B58" s="316" t="s">
        <v>446</v>
      </c>
      <c r="C58" s="316"/>
      <c r="D58" s="316" t="s">
        <v>182</v>
      </c>
      <c r="E58" s="839">
        <v>1.57</v>
      </c>
      <c r="F58" s="839">
        <v>11.05</v>
      </c>
      <c r="G58" s="839">
        <v>115.3</v>
      </c>
      <c r="H58" s="841">
        <v>0.91900000000000004</v>
      </c>
      <c r="I58" s="842">
        <v>0.29899999999999999</v>
      </c>
      <c r="J58" s="316"/>
      <c r="K58" s="316" t="s">
        <v>210</v>
      </c>
      <c r="L58" s="1008">
        <v>45769</v>
      </c>
      <c r="M58" s="1008">
        <v>45776</v>
      </c>
      <c r="N58" s="316" t="s">
        <v>1302</v>
      </c>
      <c r="O58" s="316"/>
      <c r="P58" s="1089" t="s">
        <v>211</v>
      </c>
    </row>
    <row r="59" spans="1:16" ht="15.5">
      <c r="A59" s="325">
        <f t="shared" si="0"/>
        <v>52</v>
      </c>
      <c r="B59" s="316" t="s">
        <v>447</v>
      </c>
      <c r="C59" s="316"/>
      <c r="D59" s="316" t="s">
        <v>182</v>
      </c>
      <c r="E59" s="839">
        <v>1.57</v>
      </c>
      <c r="F59" s="839">
        <v>11.05</v>
      </c>
      <c r="G59" s="839">
        <v>115.3</v>
      </c>
      <c r="H59" s="841">
        <v>0.91900000000000004</v>
      </c>
      <c r="I59" s="842">
        <v>0.29899999999999999</v>
      </c>
      <c r="J59" s="316"/>
      <c r="K59" s="316" t="s">
        <v>210</v>
      </c>
      <c r="L59" s="1008">
        <v>45775</v>
      </c>
      <c r="M59" s="1008">
        <v>45782</v>
      </c>
      <c r="N59" s="316" t="s">
        <v>1302</v>
      </c>
      <c r="O59" s="316"/>
      <c r="P59" s="1089" t="s">
        <v>211</v>
      </c>
    </row>
    <row r="60" spans="1:16" ht="15.5">
      <c r="A60" s="325">
        <f t="shared" si="0"/>
        <v>53</v>
      </c>
      <c r="B60" s="316" t="s">
        <v>449</v>
      </c>
      <c r="C60" s="316"/>
      <c r="D60" s="316" t="s">
        <v>185</v>
      </c>
      <c r="E60" s="839">
        <v>1.86</v>
      </c>
      <c r="F60" s="839">
        <v>12.47</v>
      </c>
      <c r="G60" s="839">
        <v>134.69999999999999</v>
      </c>
      <c r="H60" s="841">
        <v>1.115</v>
      </c>
      <c r="I60" s="839">
        <v>0.29899999999999999</v>
      </c>
      <c r="J60" s="316"/>
      <c r="K60" s="316" t="s">
        <v>210</v>
      </c>
      <c r="L60" s="1008">
        <v>45783</v>
      </c>
      <c r="M60" s="1008">
        <v>45792</v>
      </c>
      <c r="N60" s="316" t="s">
        <v>1302</v>
      </c>
      <c r="O60" s="316"/>
      <c r="P60" s="1089" t="s">
        <v>211</v>
      </c>
    </row>
    <row r="61" spans="1:16" ht="15.5">
      <c r="A61" s="325">
        <f t="shared" si="0"/>
        <v>54</v>
      </c>
      <c r="B61" s="316" t="s">
        <v>435</v>
      </c>
      <c r="C61" s="316"/>
      <c r="D61" s="316" t="s">
        <v>242</v>
      </c>
      <c r="E61" s="839">
        <v>1.86</v>
      </c>
      <c r="F61" s="839">
        <v>12.47</v>
      </c>
      <c r="G61" s="839">
        <v>134.69999999999999</v>
      </c>
      <c r="H61" s="841">
        <v>1.115</v>
      </c>
      <c r="I61" s="839">
        <v>0.29899999999999999</v>
      </c>
      <c r="J61" s="316"/>
      <c r="K61" s="316" t="s">
        <v>210</v>
      </c>
      <c r="L61" s="1008">
        <v>45781</v>
      </c>
      <c r="M61" s="1008">
        <v>45795</v>
      </c>
      <c r="N61" s="316" t="s">
        <v>1290</v>
      </c>
      <c r="O61" s="316"/>
      <c r="P61" s="1089" t="s">
        <v>211</v>
      </c>
    </row>
    <row r="62" spans="1:16" ht="15.5">
      <c r="A62" s="325">
        <f t="shared" si="0"/>
        <v>55</v>
      </c>
      <c r="B62" s="316" t="s">
        <v>271</v>
      </c>
      <c r="C62" s="316"/>
      <c r="D62" s="316" t="s">
        <v>242</v>
      </c>
      <c r="E62" s="839">
        <v>1.86</v>
      </c>
      <c r="F62" s="839">
        <v>12.47</v>
      </c>
      <c r="G62" s="839">
        <v>134.69999999999999</v>
      </c>
      <c r="H62" s="841">
        <v>1.115</v>
      </c>
      <c r="I62" s="839">
        <v>0.29899999999999999</v>
      </c>
      <c r="J62" s="316"/>
      <c r="K62" s="316" t="s">
        <v>210</v>
      </c>
      <c r="L62" s="1008">
        <v>45790</v>
      </c>
      <c r="M62" s="1008">
        <v>45798</v>
      </c>
      <c r="N62" s="316" t="s">
        <v>1117</v>
      </c>
      <c r="O62" s="316"/>
      <c r="P62" s="1089" t="s">
        <v>211</v>
      </c>
    </row>
    <row r="63" spans="1:16" ht="14.5">
      <c r="A63" s="325">
        <f t="shared" si="0"/>
        <v>56</v>
      </c>
      <c r="B63" s="316" t="s">
        <v>1311</v>
      </c>
      <c r="C63" s="316"/>
      <c r="D63" s="316" t="s">
        <v>115</v>
      </c>
      <c r="E63" s="316">
        <f>1.09+0.51</f>
        <v>1.6</v>
      </c>
      <c r="F63" s="316">
        <f>4.85+8.28</f>
        <v>13.129999999999999</v>
      </c>
      <c r="G63" s="316">
        <f>63.85+23.4</f>
        <v>87.25</v>
      </c>
      <c r="H63" s="316">
        <f>(581.5+792)/1000</f>
        <v>1.3734999999999999</v>
      </c>
      <c r="I63" s="316">
        <f>(530.392/2+472.512/2)/1000</f>
        <v>0.50145200000000001</v>
      </c>
      <c r="J63" s="316"/>
      <c r="K63" s="316" t="s">
        <v>210</v>
      </c>
      <c r="L63" s="1008">
        <v>45784</v>
      </c>
      <c r="M63" s="1008">
        <v>45800</v>
      </c>
      <c r="N63" s="314" t="s">
        <v>254</v>
      </c>
      <c r="O63" s="316"/>
      <c r="P63" s="1089" t="s">
        <v>211</v>
      </c>
    </row>
    <row r="64" spans="1:16" ht="15.5">
      <c r="A64" s="325">
        <f t="shared" si="0"/>
        <v>57</v>
      </c>
      <c r="B64" s="316" t="s">
        <v>1327</v>
      </c>
      <c r="C64" s="316"/>
      <c r="D64" s="316" t="s">
        <v>185</v>
      </c>
      <c r="E64" s="839">
        <v>1.86</v>
      </c>
      <c r="F64" s="839">
        <v>12.47</v>
      </c>
      <c r="G64" s="839">
        <v>134.69999999999999</v>
      </c>
      <c r="H64" s="841">
        <v>1.115</v>
      </c>
      <c r="I64" s="839">
        <v>0.29899999999999999</v>
      </c>
      <c r="J64" s="316"/>
      <c r="K64" s="316" t="s">
        <v>210</v>
      </c>
      <c r="L64" s="1008">
        <v>45795</v>
      </c>
      <c r="M64" s="1008">
        <v>45802</v>
      </c>
      <c r="N64" s="316" t="s">
        <v>1290</v>
      </c>
      <c r="O64" s="316"/>
      <c r="P64" s="1089" t="s">
        <v>211</v>
      </c>
    </row>
    <row r="65" spans="1:16" ht="14.5">
      <c r="A65" s="325">
        <f t="shared" si="0"/>
        <v>58</v>
      </c>
      <c r="B65" s="316" t="s">
        <v>421</v>
      </c>
      <c r="C65" s="316"/>
      <c r="D65" s="316" t="s">
        <v>115</v>
      </c>
      <c r="E65" s="316">
        <v>1.6</v>
      </c>
      <c r="F65" s="316">
        <v>13.13</v>
      </c>
      <c r="G65" s="316">
        <v>87.25</v>
      </c>
      <c r="H65" s="316">
        <v>1.3740000000000001</v>
      </c>
      <c r="I65" s="316">
        <v>0.501</v>
      </c>
      <c r="J65" s="316"/>
      <c r="K65" s="316" t="s">
        <v>292</v>
      </c>
      <c r="L65" s="1008">
        <v>45789</v>
      </c>
      <c r="M65" s="1008">
        <v>45806</v>
      </c>
      <c r="N65" s="316" t="s">
        <v>1335</v>
      </c>
      <c r="O65" s="316"/>
      <c r="P65" s="1089" t="s">
        <v>211</v>
      </c>
    </row>
    <row r="66" spans="1:16" ht="14.5">
      <c r="A66" s="325">
        <f t="shared" si="0"/>
        <v>59</v>
      </c>
      <c r="B66" s="316" t="s">
        <v>726</v>
      </c>
      <c r="C66" s="316"/>
      <c r="D66" s="316" t="s">
        <v>125</v>
      </c>
      <c r="E66" s="316">
        <f>1.81+1.12</f>
        <v>2.93</v>
      </c>
      <c r="F66" s="316">
        <f>8.16+12.18</f>
        <v>20.34</v>
      </c>
      <c r="G66" s="316">
        <f>79.95+144.9</f>
        <v>224.85000000000002</v>
      </c>
      <c r="H66" s="316">
        <f>1.476+1.188</f>
        <v>2.6639999999999997</v>
      </c>
      <c r="I66" s="316">
        <f>(265.195+236.256)/1000</f>
        <v>0.50145099999999998</v>
      </c>
      <c r="J66" s="316"/>
      <c r="K66" s="316" t="s">
        <v>210</v>
      </c>
      <c r="L66" s="1008">
        <v>45793</v>
      </c>
      <c r="M66" s="1008">
        <v>45805</v>
      </c>
      <c r="N66" s="316" t="s">
        <v>1302</v>
      </c>
      <c r="O66" s="316"/>
      <c r="P66" s="1089" t="s">
        <v>211</v>
      </c>
    </row>
    <row r="67" spans="1:16" ht="15.5">
      <c r="A67" s="325">
        <f t="shared" si="0"/>
        <v>60</v>
      </c>
      <c r="B67" s="316" t="s">
        <v>283</v>
      </c>
      <c r="C67" s="316"/>
      <c r="D67" s="316" t="s">
        <v>242</v>
      </c>
      <c r="E67" s="839">
        <v>1.86</v>
      </c>
      <c r="F67" s="839">
        <v>12.47</v>
      </c>
      <c r="G67" s="839">
        <v>134.69999999999999</v>
      </c>
      <c r="H67" s="841">
        <v>1.115</v>
      </c>
      <c r="I67" s="839">
        <v>0.29899999999999999</v>
      </c>
      <c r="J67" s="316"/>
      <c r="K67" s="316" t="s">
        <v>210</v>
      </c>
      <c r="L67" s="1008">
        <v>45779</v>
      </c>
      <c r="M67" s="1008">
        <v>45808</v>
      </c>
      <c r="N67" s="316" t="s">
        <v>1117</v>
      </c>
      <c r="O67" s="316"/>
      <c r="P67" s="1089" t="s">
        <v>211</v>
      </c>
    </row>
    <row r="68" spans="1:16" ht="15.5">
      <c r="A68" s="325">
        <f t="shared" si="0"/>
        <v>61</v>
      </c>
      <c r="B68" s="901" t="s">
        <v>269</v>
      </c>
      <c r="C68" s="316"/>
      <c r="D68" s="636" t="s">
        <v>182</v>
      </c>
      <c r="E68" s="839">
        <v>1.57</v>
      </c>
      <c r="F68" s="839">
        <v>11.05</v>
      </c>
      <c r="G68" s="839">
        <v>115.3</v>
      </c>
      <c r="H68" s="841">
        <v>0.91900000000000004</v>
      </c>
      <c r="I68" s="842">
        <v>0.29899999999999999</v>
      </c>
      <c r="J68" s="636"/>
      <c r="K68" s="636" t="s">
        <v>210</v>
      </c>
      <c r="L68" s="1091">
        <v>45799</v>
      </c>
      <c r="M68" s="1091">
        <v>45812</v>
      </c>
      <c r="N68" s="636" t="s">
        <v>1117</v>
      </c>
      <c r="O68" s="316"/>
      <c r="P68" s="1089" t="s">
        <v>211</v>
      </c>
    </row>
    <row r="69" spans="1:16" ht="15.5">
      <c r="A69" s="325">
        <f t="shared" si="0"/>
        <v>62</v>
      </c>
      <c r="B69" s="901" t="s">
        <v>477</v>
      </c>
      <c r="C69" s="316"/>
      <c r="D69" s="636" t="s">
        <v>242</v>
      </c>
      <c r="E69" s="839">
        <v>1.86</v>
      </c>
      <c r="F69" s="839">
        <v>12.47</v>
      </c>
      <c r="G69" s="839">
        <v>134.69999999999999</v>
      </c>
      <c r="H69" s="841">
        <v>1.115</v>
      </c>
      <c r="I69" s="839">
        <v>0.29899999999999999</v>
      </c>
      <c r="J69" s="636"/>
      <c r="K69" s="636" t="s">
        <v>210</v>
      </c>
      <c r="L69" s="1091">
        <v>45807</v>
      </c>
      <c r="M69" s="1091">
        <v>45813</v>
      </c>
      <c r="N69" s="636" t="s">
        <v>1369</v>
      </c>
      <c r="O69" s="316"/>
      <c r="P69" s="1089" t="s">
        <v>211</v>
      </c>
    </row>
    <row r="70" spans="1:16" ht="14.5">
      <c r="A70" s="325">
        <f t="shared" si="0"/>
        <v>63</v>
      </c>
      <c r="B70" s="901" t="s">
        <v>1334</v>
      </c>
      <c r="C70" s="316"/>
      <c r="D70" s="636" t="s">
        <v>115</v>
      </c>
      <c r="E70" s="316">
        <v>1.6</v>
      </c>
      <c r="F70" s="316">
        <v>13.13</v>
      </c>
      <c r="G70" s="316">
        <v>87.25</v>
      </c>
      <c r="H70" s="316">
        <v>1.3740000000000001</v>
      </c>
      <c r="I70" s="316">
        <v>0.501</v>
      </c>
      <c r="J70" s="636"/>
      <c r="K70" s="636" t="s">
        <v>292</v>
      </c>
      <c r="L70" s="1091">
        <v>45805</v>
      </c>
      <c r="M70" s="1091">
        <v>45814</v>
      </c>
      <c r="N70" s="316" t="s">
        <v>1290</v>
      </c>
      <c r="O70" s="316"/>
      <c r="P70" s="1089" t="s">
        <v>211</v>
      </c>
    </row>
    <row r="71" spans="1:16" ht="14.5">
      <c r="A71" s="325">
        <f t="shared" si="0"/>
        <v>64</v>
      </c>
      <c r="B71" s="901" t="s">
        <v>1368</v>
      </c>
      <c r="C71" s="316"/>
      <c r="D71" s="636" t="s">
        <v>115</v>
      </c>
      <c r="E71" s="316">
        <f>1.09+0.51</f>
        <v>1.6</v>
      </c>
      <c r="F71" s="316">
        <f>4.85+8.28</f>
        <v>13.129999999999999</v>
      </c>
      <c r="G71" s="316">
        <f>63.85+23.4</f>
        <v>87.25</v>
      </c>
      <c r="H71" s="316">
        <f>(581.5+792)/1000</f>
        <v>1.3734999999999999</v>
      </c>
      <c r="I71" s="316">
        <f>(530.392/2+472.512/2)/1000</f>
        <v>0.50145200000000001</v>
      </c>
      <c r="J71" s="636"/>
      <c r="K71" s="636" t="s">
        <v>210</v>
      </c>
      <c r="L71" s="1059">
        <v>45809</v>
      </c>
      <c r="M71" s="1059">
        <v>45815</v>
      </c>
      <c r="N71" s="845" t="s">
        <v>1614</v>
      </c>
      <c r="O71" s="316"/>
      <c r="P71" s="1089" t="s">
        <v>211</v>
      </c>
    </row>
    <row r="72" spans="1:16" ht="15.5">
      <c r="A72" s="325">
        <f t="shared" si="0"/>
        <v>65</v>
      </c>
      <c r="B72" s="636" t="s">
        <v>393</v>
      </c>
      <c r="C72" s="316"/>
      <c r="D72" s="636" t="s">
        <v>182</v>
      </c>
      <c r="E72" s="839">
        <v>1.57</v>
      </c>
      <c r="F72" s="839">
        <v>11.05</v>
      </c>
      <c r="G72" s="839">
        <v>115.3</v>
      </c>
      <c r="H72" s="841">
        <v>0.91900000000000004</v>
      </c>
      <c r="I72" s="842">
        <v>0.29899999999999999</v>
      </c>
      <c r="J72" s="636"/>
      <c r="K72" s="636" t="s">
        <v>210</v>
      </c>
      <c r="L72" s="1091">
        <v>45810</v>
      </c>
      <c r="M72" s="1091">
        <v>45818</v>
      </c>
      <c r="N72" s="314" t="s">
        <v>254</v>
      </c>
      <c r="O72" s="316"/>
      <c r="P72" s="1089" t="s">
        <v>211</v>
      </c>
    </row>
    <row r="73" spans="1:16" ht="14.5">
      <c r="A73" s="325">
        <f t="shared" si="0"/>
        <v>66</v>
      </c>
      <c r="B73" s="636" t="s">
        <v>1371</v>
      </c>
      <c r="C73" s="316"/>
      <c r="D73" s="636" t="s">
        <v>125</v>
      </c>
      <c r="E73" s="316">
        <f>1.81+1.12</f>
        <v>2.93</v>
      </c>
      <c r="F73" s="316">
        <f>8.16+12.18</f>
        <v>20.34</v>
      </c>
      <c r="G73" s="316">
        <f>79.95+144.9</f>
        <v>224.85000000000002</v>
      </c>
      <c r="H73" s="316">
        <f>1.476+1.188</f>
        <v>2.6639999999999997</v>
      </c>
      <c r="I73" s="316">
        <f>(265.195+236.256)/1000</f>
        <v>0.50145099999999998</v>
      </c>
      <c r="J73" s="636"/>
      <c r="K73" s="636" t="s">
        <v>210</v>
      </c>
      <c r="L73" s="1091">
        <v>45877</v>
      </c>
      <c r="M73" s="1059">
        <v>45820</v>
      </c>
      <c r="N73" s="845" t="s">
        <v>1614</v>
      </c>
      <c r="O73" s="316"/>
      <c r="P73" s="1089" t="s">
        <v>211</v>
      </c>
    </row>
    <row r="74" spans="1:16" ht="15.5">
      <c r="A74" s="325">
        <f t="shared" ref="A74:A137" si="1">A73+1</f>
        <v>67</v>
      </c>
      <c r="B74" s="901" t="s">
        <v>811</v>
      </c>
      <c r="C74" s="901"/>
      <c r="D74" s="901" t="s">
        <v>182</v>
      </c>
      <c r="E74" s="898">
        <v>1.57</v>
      </c>
      <c r="F74" s="898">
        <v>11.05</v>
      </c>
      <c r="G74" s="898">
        <v>115.3</v>
      </c>
      <c r="H74" s="899">
        <v>0.91900000000000004</v>
      </c>
      <c r="I74" s="900">
        <v>0.29899999999999999</v>
      </c>
      <c r="J74" s="901"/>
      <c r="K74" s="901" t="s">
        <v>210</v>
      </c>
      <c r="L74" s="1059">
        <v>45810</v>
      </c>
      <c r="M74" s="1059">
        <v>45816</v>
      </c>
      <c r="N74" s="1064" t="s">
        <v>1575</v>
      </c>
      <c r="O74" s="901"/>
      <c r="P74" s="1089" t="s">
        <v>211</v>
      </c>
    </row>
    <row r="75" spans="1:16" ht="15.5">
      <c r="A75" s="325">
        <f t="shared" si="1"/>
        <v>68</v>
      </c>
      <c r="B75" s="636" t="s">
        <v>814</v>
      </c>
      <c r="C75" s="316"/>
      <c r="D75" s="636" t="s">
        <v>182</v>
      </c>
      <c r="E75" s="839">
        <v>1.57</v>
      </c>
      <c r="F75" s="839">
        <v>11.05</v>
      </c>
      <c r="G75" s="839">
        <v>115.3</v>
      </c>
      <c r="H75" s="841">
        <v>0.91900000000000004</v>
      </c>
      <c r="I75" s="842">
        <v>0.29899999999999999</v>
      </c>
      <c r="J75" s="636"/>
      <c r="K75" s="636" t="s">
        <v>210</v>
      </c>
      <c r="L75" s="1091">
        <v>45812</v>
      </c>
      <c r="M75" s="1091">
        <v>45820</v>
      </c>
      <c r="N75" s="636" t="s">
        <v>232</v>
      </c>
      <c r="O75" s="316"/>
      <c r="P75" s="1089" t="s">
        <v>211</v>
      </c>
    </row>
    <row r="76" spans="1:16" ht="14.5">
      <c r="A76" s="325">
        <f t="shared" si="1"/>
        <v>69</v>
      </c>
      <c r="B76" s="636" t="s">
        <v>1370</v>
      </c>
      <c r="C76" s="316"/>
      <c r="D76" s="636" t="s">
        <v>143</v>
      </c>
      <c r="E76" s="316">
        <f>1.81+1.12</f>
        <v>2.93</v>
      </c>
      <c r="F76" s="316">
        <f>8.16+12.18</f>
        <v>20.34</v>
      </c>
      <c r="G76" s="316">
        <f>79.95+144.9</f>
        <v>224.85000000000002</v>
      </c>
      <c r="H76" s="316">
        <f>1.476+1.188</f>
        <v>2.6639999999999997</v>
      </c>
      <c r="I76" s="316">
        <f>(265.195+236.256)/1000</f>
        <v>0.50145099999999998</v>
      </c>
      <c r="J76" s="636"/>
      <c r="K76" s="636" t="s">
        <v>210</v>
      </c>
      <c r="L76" s="1091">
        <v>45813</v>
      </c>
      <c r="M76" s="1091">
        <v>45823</v>
      </c>
      <c r="N76" s="636" t="s">
        <v>1369</v>
      </c>
      <c r="O76" s="316"/>
      <c r="P76" s="1089" t="s">
        <v>211</v>
      </c>
    </row>
    <row r="77" spans="1:16" ht="15.5">
      <c r="A77" s="325">
        <f t="shared" si="1"/>
        <v>70</v>
      </c>
      <c r="B77" s="636" t="s">
        <v>392</v>
      </c>
      <c r="C77" s="316"/>
      <c r="D77" s="636" t="s">
        <v>242</v>
      </c>
      <c r="E77" s="839">
        <v>1.86</v>
      </c>
      <c r="F77" s="839">
        <v>12.47</v>
      </c>
      <c r="G77" s="839">
        <v>134.69999999999999</v>
      </c>
      <c r="H77" s="841">
        <v>1.115</v>
      </c>
      <c r="I77" s="839">
        <v>0.29899999999999999</v>
      </c>
      <c r="J77" s="636"/>
      <c r="K77" s="636" t="s">
        <v>210</v>
      </c>
      <c r="L77" s="1091">
        <v>45818</v>
      </c>
      <c r="M77" s="1091">
        <v>45823</v>
      </c>
      <c r="N77" s="314" t="s">
        <v>254</v>
      </c>
      <c r="O77" s="316"/>
      <c r="P77" s="1089" t="s">
        <v>211</v>
      </c>
    </row>
    <row r="78" spans="1:16" ht="14.5">
      <c r="A78" s="325">
        <f t="shared" si="1"/>
        <v>71</v>
      </c>
      <c r="B78" s="636" t="s">
        <v>193</v>
      </c>
      <c r="C78" s="316"/>
      <c r="D78" s="636" t="s">
        <v>115</v>
      </c>
      <c r="E78" s="316">
        <f t="shared" ref="E78:E79" si="2">1.09+0.51</f>
        <v>1.6</v>
      </c>
      <c r="F78" s="316">
        <f t="shared" ref="F78:F79" si="3">4.85+8.28</f>
        <v>13.129999999999999</v>
      </c>
      <c r="G78" s="316">
        <f t="shared" ref="G78:G79" si="4">63.85+23.4</f>
        <v>87.25</v>
      </c>
      <c r="H78" s="316">
        <f t="shared" ref="H78:H79" si="5">(581.5+792)/1000</f>
        <v>1.3734999999999999</v>
      </c>
      <c r="I78" s="316">
        <f t="shared" ref="I78:I79" si="6">(530.392/2+472.512/2)/1000</f>
        <v>0.50145200000000001</v>
      </c>
      <c r="J78" s="636"/>
      <c r="K78" s="636" t="s">
        <v>210</v>
      </c>
      <c r="L78" s="1091">
        <v>45816</v>
      </c>
      <c r="M78" s="1091">
        <v>45823</v>
      </c>
      <c r="N78" s="1064" t="s">
        <v>1575</v>
      </c>
      <c r="O78" s="316"/>
      <c r="P78" s="1089" t="s">
        <v>211</v>
      </c>
    </row>
    <row r="79" spans="1:16" ht="14.5">
      <c r="A79" s="325">
        <f t="shared" si="1"/>
        <v>72</v>
      </c>
      <c r="B79" s="636" t="s">
        <v>159</v>
      </c>
      <c r="C79" s="316"/>
      <c r="D79" s="636" t="s">
        <v>115</v>
      </c>
      <c r="E79" s="316">
        <f t="shared" si="2"/>
        <v>1.6</v>
      </c>
      <c r="F79" s="316">
        <f t="shared" si="3"/>
        <v>13.129999999999999</v>
      </c>
      <c r="G79" s="316">
        <f t="shared" si="4"/>
        <v>87.25</v>
      </c>
      <c r="H79" s="316">
        <f t="shared" si="5"/>
        <v>1.3734999999999999</v>
      </c>
      <c r="I79" s="316">
        <f t="shared" si="6"/>
        <v>0.50145200000000001</v>
      </c>
      <c r="J79" s="636"/>
      <c r="K79" s="636" t="s">
        <v>210</v>
      </c>
      <c r="L79" s="1091">
        <v>45821</v>
      </c>
      <c r="M79" s="1059">
        <v>45824</v>
      </c>
      <c r="N79" s="845" t="s">
        <v>1614</v>
      </c>
      <c r="O79" s="316"/>
      <c r="P79" s="1089" t="s">
        <v>211</v>
      </c>
    </row>
    <row r="80" spans="1:16" ht="15.5">
      <c r="A80" s="325">
        <f t="shared" si="1"/>
        <v>73</v>
      </c>
      <c r="B80" s="636" t="s">
        <v>813</v>
      </c>
      <c r="C80" s="316"/>
      <c r="D80" s="636" t="s">
        <v>182</v>
      </c>
      <c r="E80" s="839">
        <v>1.57</v>
      </c>
      <c r="F80" s="839">
        <v>11.05</v>
      </c>
      <c r="G80" s="839">
        <v>115.3</v>
      </c>
      <c r="H80" s="841">
        <v>0.91900000000000004</v>
      </c>
      <c r="I80" s="842">
        <v>0.29899999999999999</v>
      </c>
      <c r="J80" s="636"/>
      <c r="K80" s="636" t="s">
        <v>210</v>
      </c>
      <c r="L80" s="1091">
        <v>45821</v>
      </c>
      <c r="M80" s="1091">
        <v>45824</v>
      </c>
      <c r="N80" s="636" t="s">
        <v>1417</v>
      </c>
      <c r="O80" s="316"/>
      <c r="P80" s="1089" t="s">
        <v>211</v>
      </c>
    </row>
    <row r="81" spans="1:16" ht="14.5">
      <c r="A81" s="325">
        <f t="shared" si="1"/>
        <v>74</v>
      </c>
      <c r="B81" s="636" t="s">
        <v>157</v>
      </c>
      <c r="C81" s="316"/>
      <c r="D81" s="636" t="s">
        <v>132</v>
      </c>
      <c r="E81" s="636">
        <v>1.68</v>
      </c>
      <c r="F81" s="636">
        <v>12.41</v>
      </c>
      <c r="G81" s="636">
        <v>143.4</v>
      </c>
      <c r="H81" s="636">
        <v>1.728</v>
      </c>
      <c r="I81" s="636">
        <v>0.41399999999999998</v>
      </c>
      <c r="J81" s="636"/>
      <c r="K81" s="636" t="s">
        <v>210</v>
      </c>
      <c r="L81" s="1091">
        <v>45824</v>
      </c>
      <c r="M81" s="1059">
        <v>45828</v>
      </c>
      <c r="N81" s="845" t="s">
        <v>1614</v>
      </c>
      <c r="O81" s="316"/>
      <c r="P81" s="1089" t="s">
        <v>211</v>
      </c>
    </row>
    <row r="82" spans="1:16" ht="15.5">
      <c r="A82" s="325">
        <f t="shared" si="1"/>
        <v>75</v>
      </c>
      <c r="B82" s="636" t="s">
        <v>810</v>
      </c>
      <c r="C82" s="316"/>
      <c r="D82" s="636" t="s">
        <v>182</v>
      </c>
      <c r="E82" s="839">
        <v>1.57</v>
      </c>
      <c r="F82" s="839">
        <v>11.05</v>
      </c>
      <c r="G82" s="839">
        <v>115.3</v>
      </c>
      <c r="H82" s="841">
        <v>0.91900000000000004</v>
      </c>
      <c r="I82" s="839">
        <v>0.29899999999999999</v>
      </c>
      <c r="J82" s="636"/>
      <c r="K82" s="636" t="s">
        <v>210</v>
      </c>
      <c r="L82" s="1091">
        <v>45823</v>
      </c>
      <c r="M82" s="1091">
        <v>45829</v>
      </c>
      <c r="N82" s="1064" t="s">
        <v>1575</v>
      </c>
      <c r="O82" s="316"/>
      <c r="P82" s="1089" t="s">
        <v>211</v>
      </c>
    </row>
    <row r="83" spans="1:16" ht="15.5">
      <c r="A83" s="325">
        <f t="shared" si="1"/>
        <v>76</v>
      </c>
      <c r="B83" s="637" t="s">
        <v>816</v>
      </c>
      <c r="C83" s="325"/>
      <c r="D83" s="637" t="s">
        <v>182</v>
      </c>
      <c r="E83" s="839">
        <v>1.57</v>
      </c>
      <c r="F83" s="839">
        <v>11.05</v>
      </c>
      <c r="G83" s="839">
        <v>115.3</v>
      </c>
      <c r="H83" s="841">
        <v>0.91900000000000004</v>
      </c>
      <c r="I83" s="839">
        <v>0.29899999999999999</v>
      </c>
      <c r="J83" s="637"/>
      <c r="K83" s="637" t="s">
        <v>210</v>
      </c>
      <c r="L83" s="1092">
        <v>45823</v>
      </c>
      <c r="M83" s="1092">
        <v>45830</v>
      </c>
      <c r="N83" s="637" t="s">
        <v>1418</v>
      </c>
      <c r="O83" s="316"/>
      <c r="P83" s="1089" t="s">
        <v>211</v>
      </c>
    </row>
    <row r="84" spans="1:16" ht="14.5">
      <c r="A84" s="325">
        <f t="shared" si="1"/>
        <v>77</v>
      </c>
      <c r="B84" s="637" t="s">
        <v>415</v>
      </c>
      <c r="C84" s="325"/>
      <c r="D84" s="637" t="s">
        <v>119</v>
      </c>
      <c r="E84" s="637">
        <v>1.1200000000000001</v>
      </c>
      <c r="F84" s="637">
        <v>9.6300000000000008</v>
      </c>
      <c r="G84" s="637">
        <v>61.2</v>
      </c>
      <c r="H84" s="637">
        <v>1.865</v>
      </c>
      <c r="I84" s="637">
        <v>0.41299999999999998</v>
      </c>
      <c r="J84" s="637"/>
      <c r="K84" s="637" t="s">
        <v>292</v>
      </c>
      <c r="L84" s="1092">
        <v>45824</v>
      </c>
      <c r="M84" s="1092">
        <v>45831</v>
      </c>
      <c r="N84" s="316" t="s">
        <v>1290</v>
      </c>
      <c r="O84" s="316"/>
      <c r="P84" s="1089" t="s">
        <v>211</v>
      </c>
    </row>
    <row r="85" spans="1:16" ht="15.5">
      <c r="A85" s="325">
        <f t="shared" si="1"/>
        <v>78</v>
      </c>
      <c r="B85" s="325" t="s">
        <v>809</v>
      </c>
      <c r="C85" s="325"/>
      <c r="D85" s="325" t="s">
        <v>182</v>
      </c>
      <c r="E85" s="839">
        <v>1.57</v>
      </c>
      <c r="F85" s="839">
        <v>11.05</v>
      </c>
      <c r="G85" s="839">
        <v>115.3</v>
      </c>
      <c r="H85" s="841">
        <v>0.91900000000000004</v>
      </c>
      <c r="I85" s="842">
        <v>0.29899999999999999</v>
      </c>
      <c r="J85" s="325"/>
      <c r="K85" s="325" t="s">
        <v>210</v>
      </c>
      <c r="L85" s="1007">
        <v>45830</v>
      </c>
      <c r="M85" s="1007">
        <v>45833</v>
      </c>
      <c r="N85" s="1064" t="s">
        <v>1575</v>
      </c>
      <c r="O85" s="901"/>
      <c r="P85" s="1089" t="s">
        <v>211</v>
      </c>
    </row>
    <row r="86" spans="1:16" ht="15.5">
      <c r="A86" s="325">
        <f t="shared" si="1"/>
        <v>79</v>
      </c>
      <c r="B86" s="843" t="s">
        <v>812</v>
      </c>
      <c r="C86" s="843"/>
      <c r="D86" s="843" t="s">
        <v>182</v>
      </c>
      <c r="E86" s="839">
        <v>1.57</v>
      </c>
      <c r="F86" s="839">
        <v>11.05</v>
      </c>
      <c r="G86" s="839">
        <v>115.3</v>
      </c>
      <c r="H86" s="841">
        <v>0.91900000000000004</v>
      </c>
      <c r="I86" s="842">
        <v>0.29899999999999999</v>
      </c>
      <c r="J86" s="843"/>
      <c r="K86" s="843" t="s">
        <v>210</v>
      </c>
      <c r="L86" s="1093">
        <v>45830</v>
      </c>
      <c r="M86" s="1093">
        <v>45833</v>
      </c>
      <c r="N86" s="843" t="s">
        <v>1499</v>
      </c>
      <c r="O86" s="1094"/>
      <c r="P86" s="1089" t="s">
        <v>211</v>
      </c>
    </row>
    <row r="87" spans="1:16" ht="14.5">
      <c r="A87" s="325">
        <f t="shared" si="1"/>
        <v>80</v>
      </c>
      <c r="B87" s="844" t="s">
        <v>1496</v>
      </c>
      <c r="C87" s="844"/>
      <c r="D87" s="844" t="s">
        <v>119</v>
      </c>
      <c r="E87" s="636">
        <v>1.68</v>
      </c>
      <c r="F87" s="636">
        <v>12.41</v>
      </c>
      <c r="G87" s="636">
        <v>143.4</v>
      </c>
      <c r="H87" s="636">
        <v>1.728</v>
      </c>
      <c r="I87" s="636">
        <v>0.41399999999999998</v>
      </c>
      <c r="J87" s="844"/>
      <c r="K87" s="844" t="s">
        <v>210</v>
      </c>
      <c r="L87" s="1095">
        <v>45828</v>
      </c>
      <c r="M87" s="1096">
        <v>45834</v>
      </c>
      <c r="N87" s="845" t="s">
        <v>1614</v>
      </c>
      <c r="O87" s="845"/>
      <c r="P87" s="1089" t="s">
        <v>211</v>
      </c>
    </row>
    <row r="88" spans="1:16" ht="14.5">
      <c r="A88" s="325">
        <f t="shared" si="1"/>
        <v>81</v>
      </c>
      <c r="B88" s="325" t="s">
        <v>1303</v>
      </c>
      <c r="C88" s="325"/>
      <c r="D88" s="325" t="s">
        <v>125</v>
      </c>
      <c r="E88" s="316">
        <f>1.81+1.12</f>
        <v>2.93</v>
      </c>
      <c r="F88" s="316">
        <f>8.16+12.18</f>
        <v>20.34</v>
      </c>
      <c r="G88" s="316">
        <f>79.95+144.9</f>
        <v>224.85000000000002</v>
      </c>
      <c r="H88" s="316">
        <f>1.476+1.188</f>
        <v>2.6639999999999997</v>
      </c>
      <c r="I88" s="316">
        <f>(265.195+236.256)/1000</f>
        <v>0.50145099999999998</v>
      </c>
      <c r="J88" s="325"/>
      <c r="K88" s="325" t="s">
        <v>210</v>
      </c>
      <c r="L88" s="1007">
        <v>45825</v>
      </c>
      <c r="M88" s="1008">
        <v>45835</v>
      </c>
      <c r="N88" s="1097" t="s">
        <v>254</v>
      </c>
      <c r="O88" s="1094"/>
      <c r="P88" s="1089" t="s">
        <v>211</v>
      </c>
    </row>
    <row r="89" spans="1:16" ht="15.5">
      <c r="A89" s="325">
        <f t="shared" si="1"/>
        <v>82</v>
      </c>
      <c r="B89" s="843" t="s">
        <v>372</v>
      </c>
      <c r="C89" s="843"/>
      <c r="D89" s="843" t="s">
        <v>185</v>
      </c>
      <c r="E89" s="839"/>
      <c r="F89" s="839"/>
      <c r="G89" s="839"/>
      <c r="H89" s="841"/>
      <c r="I89" s="839">
        <v>0.29899999999999999</v>
      </c>
      <c r="J89" s="843"/>
      <c r="K89" s="843" t="s">
        <v>292</v>
      </c>
      <c r="L89" s="1008">
        <v>45833</v>
      </c>
      <c r="M89" s="1098">
        <v>45838</v>
      </c>
      <c r="N89" s="845" t="s">
        <v>1614</v>
      </c>
      <c r="O89" s="1094"/>
      <c r="P89" s="1089" t="s">
        <v>211</v>
      </c>
    </row>
    <row r="90" spans="1:16" ht="14.5">
      <c r="A90" s="325">
        <f t="shared" si="1"/>
        <v>83</v>
      </c>
      <c r="B90" s="325" t="s">
        <v>1372</v>
      </c>
      <c r="C90" s="325"/>
      <c r="D90" s="325" t="s">
        <v>115</v>
      </c>
      <c r="E90" s="316">
        <f>1.09+0.51</f>
        <v>1.6</v>
      </c>
      <c r="F90" s="316">
        <f>4.85+8.28</f>
        <v>13.129999999999999</v>
      </c>
      <c r="G90" s="316">
        <f>63.85+23.4</f>
        <v>87.25</v>
      </c>
      <c r="H90" s="316">
        <f>(581.5+792)/1000</f>
        <v>1.3734999999999999</v>
      </c>
      <c r="I90" s="316">
        <f>(530.392/2+472.512/2)/1000</f>
        <v>0.50145200000000001</v>
      </c>
      <c r="J90" s="325"/>
      <c r="K90" s="325" t="s">
        <v>210</v>
      </c>
      <c r="L90" s="1007">
        <v>45818</v>
      </c>
      <c r="M90" s="1093">
        <v>45838</v>
      </c>
      <c r="N90" s="325" t="s">
        <v>1373</v>
      </c>
      <c r="O90" s="901"/>
      <c r="P90" s="1089" t="s">
        <v>211</v>
      </c>
    </row>
    <row r="91" spans="1:16" ht="15.5">
      <c r="A91" s="325">
        <f t="shared" si="1"/>
        <v>84</v>
      </c>
      <c r="B91" s="316" t="s">
        <v>808</v>
      </c>
      <c r="C91" s="316"/>
      <c r="D91" s="316" t="s">
        <v>185</v>
      </c>
      <c r="E91" s="839">
        <v>1.86</v>
      </c>
      <c r="F91" s="839">
        <v>12.47</v>
      </c>
      <c r="G91" s="839">
        <v>134.69999999999999</v>
      </c>
      <c r="H91" s="841">
        <v>1.115</v>
      </c>
      <c r="I91" s="839">
        <v>0.29899999999999999</v>
      </c>
      <c r="J91" s="316"/>
      <c r="K91" s="316" t="s">
        <v>210</v>
      </c>
      <c r="L91" s="1008">
        <v>45833</v>
      </c>
      <c r="M91" s="1093">
        <v>45838</v>
      </c>
      <c r="N91" s="1064" t="s">
        <v>1575</v>
      </c>
      <c r="O91" s="316"/>
      <c r="P91" s="1089" t="s">
        <v>211</v>
      </c>
    </row>
    <row r="92" spans="1:16" ht="15.5">
      <c r="A92" s="325">
        <f t="shared" si="1"/>
        <v>85</v>
      </c>
      <c r="B92" s="316" t="s">
        <v>817</v>
      </c>
      <c r="C92" s="316"/>
      <c r="D92" s="316" t="s">
        <v>182</v>
      </c>
      <c r="E92" s="839">
        <v>1.57</v>
      </c>
      <c r="F92" s="839">
        <v>11.05</v>
      </c>
      <c r="G92" s="839">
        <v>115.3</v>
      </c>
      <c r="H92" s="841">
        <v>0.91900000000000004</v>
      </c>
      <c r="I92" s="842">
        <v>0.29899999999999999</v>
      </c>
      <c r="J92" s="316"/>
      <c r="K92" s="316" t="s">
        <v>210</v>
      </c>
      <c r="L92" s="1008">
        <v>45833</v>
      </c>
      <c r="M92" s="1093">
        <v>45838</v>
      </c>
      <c r="N92" s="316" t="s">
        <v>1418</v>
      </c>
      <c r="O92" s="316"/>
      <c r="P92" s="1089" t="s">
        <v>211</v>
      </c>
    </row>
    <row r="93" spans="1:16" ht="14.5">
      <c r="A93" s="325">
        <f t="shared" si="1"/>
        <v>86</v>
      </c>
      <c r="B93" s="843" t="s">
        <v>412</v>
      </c>
      <c r="C93" s="316"/>
      <c r="D93" s="316" t="s">
        <v>119</v>
      </c>
      <c r="E93" s="637">
        <v>1.1200000000000001</v>
      </c>
      <c r="F93" s="637">
        <v>9.6300000000000008</v>
      </c>
      <c r="G93" s="637">
        <v>61.2</v>
      </c>
      <c r="H93" s="637">
        <v>1.865</v>
      </c>
      <c r="I93" s="637">
        <v>0.41299999999999998</v>
      </c>
      <c r="J93" s="316"/>
      <c r="K93" s="316" t="s">
        <v>292</v>
      </c>
      <c r="L93" s="1008">
        <v>45831</v>
      </c>
      <c r="M93" s="1008">
        <v>45842</v>
      </c>
      <c r="N93" s="1099" t="s">
        <v>1669</v>
      </c>
      <c r="O93" s="316"/>
      <c r="P93" s="1089" t="s">
        <v>211</v>
      </c>
    </row>
    <row r="94" spans="1:16" ht="15.5">
      <c r="A94" s="325">
        <f t="shared" si="1"/>
        <v>87</v>
      </c>
      <c r="B94" s="325" t="s">
        <v>820</v>
      </c>
      <c r="C94" s="325"/>
      <c r="D94" s="325" t="s">
        <v>182</v>
      </c>
      <c r="E94" s="1100">
        <v>1.57</v>
      </c>
      <c r="F94" s="1100">
        <v>11.05</v>
      </c>
      <c r="G94" s="1100">
        <v>115.3</v>
      </c>
      <c r="H94" s="841">
        <v>0.91900000000000004</v>
      </c>
      <c r="I94" s="1101">
        <v>0.29899999999999999</v>
      </c>
      <c r="J94" s="325"/>
      <c r="K94" s="325" t="s">
        <v>210</v>
      </c>
      <c r="L94" s="1007">
        <v>45835</v>
      </c>
      <c r="M94" s="1008">
        <v>45843</v>
      </c>
      <c r="N94" s="325" t="s">
        <v>1499</v>
      </c>
      <c r="O94" s="325"/>
      <c r="P94" s="1089" t="s">
        <v>211</v>
      </c>
    </row>
    <row r="95" spans="1:16" ht="14.5">
      <c r="A95" s="325">
        <f t="shared" si="1"/>
        <v>88</v>
      </c>
      <c r="B95" s="1102" t="s">
        <v>727</v>
      </c>
      <c r="C95" s="845"/>
      <c r="D95" s="845" t="s">
        <v>128</v>
      </c>
      <c r="E95" s="316">
        <v>1.6</v>
      </c>
      <c r="F95" s="316">
        <v>13.13</v>
      </c>
      <c r="G95" s="316">
        <v>87.25</v>
      </c>
      <c r="H95" s="316">
        <v>1.3740000000000001</v>
      </c>
      <c r="I95" s="316">
        <v>0.501</v>
      </c>
      <c r="J95" s="845"/>
      <c r="K95" s="845" t="s">
        <v>210</v>
      </c>
      <c r="L95" s="1017">
        <v>45833</v>
      </c>
      <c r="M95" s="1008">
        <v>45844</v>
      </c>
      <c r="N95" s="316" t="s">
        <v>1290</v>
      </c>
      <c r="O95" s="1060"/>
      <c r="P95" s="1089" t="s">
        <v>211</v>
      </c>
    </row>
    <row r="96" spans="1:16" ht="15.5">
      <c r="A96" s="325">
        <f t="shared" si="1"/>
        <v>89</v>
      </c>
      <c r="B96" s="325" t="s">
        <v>818</v>
      </c>
      <c r="C96" s="325"/>
      <c r="D96" s="325" t="s">
        <v>182</v>
      </c>
      <c r="E96" s="1100">
        <v>1.57</v>
      </c>
      <c r="F96" s="1100">
        <v>11.05</v>
      </c>
      <c r="G96" s="1100">
        <v>115.3</v>
      </c>
      <c r="H96" s="841">
        <v>0.91900000000000004</v>
      </c>
      <c r="I96" s="1100">
        <v>0.29899999999999999</v>
      </c>
      <c r="J96" s="325"/>
      <c r="K96" s="325" t="s">
        <v>210</v>
      </c>
      <c r="L96" s="1007">
        <v>45842</v>
      </c>
      <c r="M96" s="1007">
        <v>45846</v>
      </c>
      <c r="N96" s="325" t="s">
        <v>1499</v>
      </c>
      <c r="O96" s="325"/>
      <c r="P96" s="1089" t="s">
        <v>211</v>
      </c>
    </row>
    <row r="97" spans="1:16" ht="14.5">
      <c r="A97" s="325">
        <f t="shared" si="1"/>
        <v>90</v>
      </c>
      <c r="B97" s="316" t="s">
        <v>1571</v>
      </c>
      <c r="C97" s="316"/>
      <c r="D97" s="316" t="s">
        <v>115</v>
      </c>
      <c r="E97" s="316">
        <f>1.09+0.51</f>
        <v>1.6</v>
      </c>
      <c r="F97" s="316">
        <f>4.85+8.28</f>
        <v>13.129999999999999</v>
      </c>
      <c r="G97" s="316">
        <f>63.85+23.4</f>
        <v>87.25</v>
      </c>
      <c r="H97" s="316">
        <f>(581.5+792)/1000</f>
        <v>1.3734999999999999</v>
      </c>
      <c r="I97" s="316">
        <f>530.392/2+472.512/2</f>
        <v>501.452</v>
      </c>
      <c r="J97" s="316"/>
      <c r="K97" s="316" t="s">
        <v>210</v>
      </c>
      <c r="L97" s="1008">
        <v>45841</v>
      </c>
      <c r="M97" s="1007">
        <v>45846</v>
      </c>
      <c r="N97" s="1064" t="s">
        <v>1575</v>
      </c>
      <c r="O97" s="316"/>
      <c r="P97" s="1089" t="s">
        <v>211</v>
      </c>
    </row>
    <row r="98" spans="1:16" ht="14.5">
      <c r="A98" s="325">
        <f t="shared" si="1"/>
        <v>91</v>
      </c>
      <c r="B98" s="843" t="s">
        <v>270</v>
      </c>
      <c r="C98" s="843"/>
      <c r="D98" s="843" t="s">
        <v>188</v>
      </c>
      <c r="E98" s="1062">
        <v>1.46</v>
      </c>
      <c r="F98" s="1062">
        <v>15.22</v>
      </c>
      <c r="G98" s="1062">
        <v>82</v>
      </c>
      <c r="H98" s="1062">
        <v>1.7230000000000001</v>
      </c>
      <c r="I98" s="843">
        <f>0.162+0.414</f>
        <v>0.57599999999999996</v>
      </c>
      <c r="J98" s="843" t="s">
        <v>454</v>
      </c>
      <c r="K98" s="843" t="s">
        <v>210</v>
      </c>
      <c r="L98" s="1093">
        <v>45836</v>
      </c>
      <c r="M98" s="1093">
        <v>45848</v>
      </c>
      <c r="N98" s="1021" t="s">
        <v>1601</v>
      </c>
      <c r="O98" s="1094"/>
      <c r="P98" s="1089" t="s">
        <v>211</v>
      </c>
    </row>
    <row r="99" spans="1:16" ht="15.5">
      <c r="A99" s="325">
        <f t="shared" si="1"/>
        <v>92</v>
      </c>
      <c r="B99" s="843" t="s">
        <v>463</v>
      </c>
      <c r="C99" s="843"/>
      <c r="D99" s="843" t="s">
        <v>248</v>
      </c>
      <c r="E99" s="839">
        <v>1.86</v>
      </c>
      <c r="F99" s="839">
        <v>12.47</v>
      </c>
      <c r="G99" s="839">
        <v>134.69999999999999</v>
      </c>
      <c r="H99" s="1103">
        <v>1.115</v>
      </c>
      <c r="I99" s="839">
        <v>0.29899999999999999</v>
      </c>
      <c r="J99" s="316"/>
      <c r="K99" s="316" t="s">
        <v>210</v>
      </c>
      <c r="L99" s="1008">
        <v>45842</v>
      </c>
      <c r="M99" s="1093">
        <v>45848</v>
      </c>
      <c r="N99" s="1064" t="s">
        <v>1603</v>
      </c>
      <c r="O99" s="901"/>
      <c r="P99" s="1089" t="s">
        <v>211</v>
      </c>
    </row>
    <row r="100" spans="1:16" ht="14.5">
      <c r="A100" s="325">
        <f t="shared" si="1"/>
        <v>93</v>
      </c>
      <c r="B100" s="1021" t="s">
        <v>819</v>
      </c>
      <c r="C100" s="843"/>
      <c r="D100" s="843" t="s">
        <v>182</v>
      </c>
      <c r="E100" s="843"/>
      <c r="F100" s="843"/>
      <c r="G100" s="843"/>
      <c r="H100" s="843"/>
      <c r="I100" s="843"/>
      <c r="J100" s="843"/>
      <c r="K100" s="843" t="s">
        <v>210</v>
      </c>
      <c r="L100" s="1093">
        <v>45845</v>
      </c>
      <c r="M100" s="1093">
        <v>45848</v>
      </c>
      <c r="N100" s="843" t="s">
        <v>1499</v>
      </c>
      <c r="O100" s="843"/>
      <c r="P100" s="1089" t="s">
        <v>211</v>
      </c>
    </row>
    <row r="101" spans="1:16" ht="14.5">
      <c r="A101" s="325">
        <f t="shared" si="1"/>
        <v>94</v>
      </c>
      <c r="B101" s="843" t="s">
        <v>168</v>
      </c>
      <c r="C101" s="843"/>
      <c r="D101" s="843" t="s">
        <v>167</v>
      </c>
      <c r="E101" s="843">
        <v>1.68</v>
      </c>
      <c r="F101" s="843">
        <v>12.41</v>
      </c>
      <c r="G101" s="843">
        <v>143.4</v>
      </c>
      <c r="H101" s="843">
        <v>1.728</v>
      </c>
      <c r="I101" s="843">
        <v>0.41399999999999998</v>
      </c>
      <c r="J101" s="843"/>
      <c r="K101" s="843" t="s">
        <v>210</v>
      </c>
      <c r="L101" s="1093">
        <v>45835</v>
      </c>
      <c r="M101" s="1093">
        <v>45849</v>
      </c>
      <c r="N101" s="1099" t="s">
        <v>1669</v>
      </c>
      <c r="O101" s="843"/>
      <c r="P101" s="1089" t="s">
        <v>211</v>
      </c>
    </row>
    <row r="102" spans="1:16" ht="14.5">
      <c r="A102" s="325">
        <f t="shared" si="1"/>
        <v>95</v>
      </c>
      <c r="B102" s="1021" t="s">
        <v>790</v>
      </c>
      <c r="C102" s="843"/>
      <c r="D102" s="843" t="s">
        <v>182</v>
      </c>
      <c r="E102" s="843"/>
      <c r="F102" s="843"/>
      <c r="G102" s="843"/>
      <c r="H102" s="843"/>
      <c r="I102" s="843"/>
      <c r="J102" s="843"/>
      <c r="K102" s="843" t="s">
        <v>210</v>
      </c>
      <c r="L102" s="1093">
        <v>45845</v>
      </c>
      <c r="M102" s="1093">
        <v>45849</v>
      </c>
      <c r="N102" s="1021" t="s">
        <v>1570</v>
      </c>
      <c r="O102" s="843"/>
      <c r="P102" s="1089" t="s">
        <v>211</v>
      </c>
    </row>
    <row r="103" spans="1:16" ht="14.5">
      <c r="A103" s="325">
        <f t="shared" si="1"/>
        <v>96</v>
      </c>
      <c r="B103" s="316" t="s">
        <v>821</v>
      </c>
      <c r="C103" s="316"/>
      <c r="D103" s="316" t="s">
        <v>182</v>
      </c>
      <c r="E103" s="316"/>
      <c r="F103" s="316"/>
      <c r="G103" s="316"/>
      <c r="H103" s="316"/>
      <c r="I103" s="316"/>
      <c r="J103" s="316"/>
      <c r="K103" s="316" t="s">
        <v>210</v>
      </c>
      <c r="L103" s="1008">
        <v>45848</v>
      </c>
      <c r="M103" s="1008">
        <v>45850</v>
      </c>
      <c r="N103" s="843" t="s">
        <v>1499</v>
      </c>
      <c r="O103" s="316"/>
      <c r="P103" s="1089" t="s">
        <v>211</v>
      </c>
    </row>
    <row r="104" spans="1:16" ht="14.5">
      <c r="A104" s="325">
        <f t="shared" si="1"/>
        <v>97</v>
      </c>
      <c r="B104" s="1021" t="s">
        <v>791</v>
      </c>
      <c r="C104" s="843"/>
      <c r="D104" s="843" t="s">
        <v>242</v>
      </c>
      <c r="E104" s="843"/>
      <c r="F104" s="843"/>
      <c r="G104" s="843"/>
      <c r="H104" s="843"/>
      <c r="I104" s="843"/>
      <c r="J104" s="843"/>
      <c r="K104" s="843" t="s">
        <v>210</v>
      </c>
      <c r="L104" s="1093">
        <v>45847</v>
      </c>
      <c r="M104" s="1093">
        <v>45851</v>
      </c>
      <c r="N104" s="1021" t="s">
        <v>1570</v>
      </c>
      <c r="O104" s="316"/>
      <c r="P104" s="1089" t="s">
        <v>211</v>
      </c>
    </row>
    <row r="105" spans="1:16" ht="14.5">
      <c r="A105" s="325">
        <f t="shared" si="1"/>
        <v>98</v>
      </c>
      <c r="B105" s="316" t="s">
        <v>806</v>
      </c>
      <c r="C105" s="316"/>
      <c r="D105" s="316" t="s">
        <v>185</v>
      </c>
      <c r="E105" s="316"/>
      <c r="F105" s="316"/>
      <c r="G105" s="316"/>
      <c r="H105" s="316"/>
      <c r="I105" s="316"/>
      <c r="J105" s="316"/>
      <c r="K105" s="316" t="s">
        <v>210</v>
      </c>
      <c r="L105" s="1008">
        <v>45847</v>
      </c>
      <c r="M105" s="1093">
        <v>45851</v>
      </c>
      <c r="N105" s="1064" t="s">
        <v>1575</v>
      </c>
      <c r="O105" s="316"/>
      <c r="P105" s="1089" t="s">
        <v>211</v>
      </c>
    </row>
    <row r="106" spans="1:16" ht="14.5">
      <c r="A106" s="325">
        <f t="shared" si="1"/>
        <v>99</v>
      </c>
      <c r="B106" s="316" t="s">
        <v>765</v>
      </c>
      <c r="C106" s="316"/>
      <c r="D106" s="316" t="s">
        <v>185</v>
      </c>
      <c r="E106" s="316"/>
      <c r="F106" s="316"/>
      <c r="G106" s="316"/>
      <c r="H106" s="316"/>
      <c r="I106" s="316"/>
      <c r="J106" s="316"/>
      <c r="K106" s="316" t="s">
        <v>210</v>
      </c>
      <c r="L106" s="1008">
        <v>45848</v>
      </c>
      <c r="M106" s="1093">
        <v>45852</v>
      </c>
      <c r="N106" s="845" t="s">
        <v>1614</v>
      </c>
      <c r="O106" s="316"/>
      <c r="P106" s="1089" t="s">
        <v>211</v>
      </c>
    </row>
    <row r="107" spans="1:16" ht="14.5">
      <c r="A107" s="325">
        <f t="shared" si="1"/>
        <v>100</v>
      </c>
      <c r="B107" s="843" t="s">
        <v>739</v>
      </c>
      <c r="C107" s="843"/>
      <c r="D107" s="843" t="s">
        <v>182</v>
      </c>
      <c r="E107" s="325"/>
      <c r="F107" s="325"/>
      <c r="G107" s="325"/>
      <c r="H107" s="325"/>
      <c r="I107" s="325"/>
      <c r="J107" s="325"/>
      <c r="K107" s="325" t="s">
        <v>210</v>
      </c>
      <c r="L107" s="1007">
        <v>45842</v>
      </c>
      <c r="M107" s="1093">
        <v>45852</v>
      </c>
      <c r="N107" s="1064" t="s">
        <v>1673</v>
      </c>
      <c r="O107" s="325"/>
      <c r="P107" s="1089" t="s">
        <v>211</v>
      </c>
    </row>
    <row r="108" spans="1:16" ht="14.5">
      <c r="A108" s="325">
        <f t="shared" si="1"/>
        <v>101</v>
      </c>
      <c r="B108" s="316" t="s">
        <v>822</v>
      </c>
      <c r="C108" s="316"/>
      <c r="D108" s="316" t="s">
        <v>182</v>
      </c>
      <c r="E108" s="316"/>
      <c r="F108" s="316"/>
      <c r="G108" s="316"/>
      <c r="H108" s="316"/>
      <c r="I108" s="316"/>
      <c r="J108" s="316"/>
      <c r="K108" s="316" t="s">
        <v>210</v>
      </c>
      <c r="L108" s="1008">
        <v>45851</v>
      </c>
      <c r="M108" s="1093">
        <v>45853</v>
      </c>
      <c r="N108" s="843" t="s">
        <v>1499</v>
      </c>
      <c r="O108" s="316"/>
      <c r="P108" s="1089" t="s">
        <v>211</v>
      </c>
    </row>
    <row r="109" spans="1:16" ht="14.5">
      <c r="A109" s="325">
        <f t="shared" si="1"/>
        <v>102</v>
      </c>
      <c r="B109" s="1021" t="s">
        <v>1595</v>
      </c>
      <c r="C109" s="843"/>
      <c r="D109" s="843" t="s">
        <v>167</v>
      </c>
      <c r="E109" s="316"/>
      <c r="F109" s="316"/>
      <c r="G109" s="316"/>
      <c r="H109" s="316"/>
      <c r="I109" s="316"/>
      <c r="J109" s="316"/>
      <c r="K109" s="316" t="s">
        <v>210</v>
      </c>
      <c r="L109" s="1008">
        <v>45847</v>
      </c>
      <c r="M109" s="1093">
        <v>45854</v>
      </c>
      <c r="N109" s="316" t="s">
        <v>1290</v>
      </c>
      <c r="O109" s="316"/>
      <c r="P109" s="1089" t="s">
        <v>211</v>
      </c>
    </row>
    <row r="110" spans="1:16" ht="14.5">
      <c r="A110" s="325">
        <f t="shared" si="1"/>
        <v>103</v>
      </c>
      <c r="B110" s="1021" t="s">
        <v>1321</v>
      </c>
      <c r="C110" s="843"/>
      <c r="D110" s="843" t="s">
        <v>115</v>
      </c>
      <c r="E110" s="316"/>
      <c r="F110" s="316"/>
      <c r="G110" s="316"/>
      <c r="H110" s="316"/>
      <c r="I110" s="316"/>
      <c r="J110" s="325"/>
      <c r="K110" s="325" t="s">
        <v>210</v>
      </c>
      <c r="L110" s="1007">
        <v>45846</v>
      </c>
      <c r="M110" s="1093">
        <v>45854</v>
      </c>
      <c r="N110" s="1064" t="s">
        <v>1612</v>
      </c>
      <c r="O110" s="316"/>
      <c r="P110" s="1089" t="s">
        <v>211</v>
      </c>
    </row>
    <row r="111" spans="1:16" ht="14.5">
      <c r="A111" s="325">
        <f t="shared" si="1"/>
        <v>104</v>
      </c>
      <c r="B111" s="316" t="s">
        <v>764</v>
      </c>
      <c r="C111" s="316"/>
      <c r="D111" s="316" t="s">
        <v>182</v>
      </c>
      <c r="E111" s="316"/>
      <c r="F111" s="316"/>
      <c r="G111" s="316"/>
      <c r="H111" s="316"/>
      <c r="I111" s="316"/>
      <c r="J111" s="316"/>
      <c r="K111" s="316" t="s">
        <v>210</v>
      </c>
      <c r="L111" s="1008">
        <v>45852</v>
      </c>
      <c r="M111" s="1093">
        <v>45854</v>
      </c>
      <c r="N111" s="845" t="s">
        <v>1614</v>
      </c>
      <c r="O111" s="316"/>
      <c r="P111" s="1089" t="s">
        <v>211</v>
      </c>
    </row>
    <row r="112" spans="1:16" s="1104" customFormat="1" ht="14.5">
      <c r="A112" s="325">
        <f t="shared" si="1"/>
        <v>105</v>
      </c>
      <c r="B112" s="316" t="s">
        <v>804</v>
      </c>
      <c r="C112" s="316"/>
      <c r="D112" s="316" t="s">
        <v>182</v>
      </c>
      <c r="E112" s="316"/>
      <c r="F112" s="316"/>
      <c r="G112" s="316"/>
      <c r="H112" s="316"/>
      <c r="I112" s="316"/>
      <c r="J112" s="316"/>
      <c r="K112" s="316" t="s">
        <v>210</v>
      </c>
      <c r="L112" s="1008">
        <v>45852</v>
      </c>
      <c r="M112" s="1093">
        <v>45854</v>
      </c>
      <c r="N112" s="1064" t="s">
        <v>1575</v>
      </c>
      <c r="O112" s="316"/>
      <c r="P112" s="1089" t="s">
        <v>211</v>
      </c>
    </row>
    <row r="113" spans="1:16" s="1104" customFormat="1" ht="14.5">
      <c r="A113" s="325">
        <f t="shared" si="1"/>
        <v>106</v>
      </c>
      <c r="B113" s="316" t="s">
        <v>1617</v>
      </c>
      <c r="C113" s="316"/>
      <c r="D113" s="316" t="s">
        <v>137</v>
      </c>
      <c r="E113" s="316"/>
      <c r="F113" s="316"/>
      <c r="G113" s="316"/>
      <c r="H113" s="316"/>
      <c r="I113" s="316"/>
      <c r="J113" s="316"/>
      <c r="K113" s="316" t="s">
        <v>210</v>
      </c>
      <c r="L113" s="1008">
        <v>45850</v>
      </c>
      <c r="M113" s="1093">
        <v>45855</v>
      </c>
      <c r="N113" s="1021" t="s">
        <v>1570</v>
      </c>
      <c r="O113" s="316"/>
      <c r="P113" s="1089" t="s">
        <v>211</v>
      </c>
    </row>
    <row r="114" spans="1:16" s="1104" customFormat="1" ht="14.5">
      <c r="A114" s="325">
        <f t="shared" si="1"/>
        <v>107</v>
      </c>
      <c r="B114" s="1064" t="s">
        <v>1610</v>
      </c>
      <c r="C114" s="316"/>
      <c r="D114" s="316" t="s">
        <v>1611</v>
      </c>
      <c r="E114" s="316"/>
      <c r="F114" s="316"/>
      <c r="G114" s="316"/>
      <c r="H114" s="316"/>
      <c r="I114" s="316"/>
      <c r="J114" s="316"/>
      <c r="K114" s="316" t="s">
        <v>210</v>
      </c>
      <c r="L114" s="1008">
        <v>45848</v>
      </c>
      <c r="M114" s="1093">
        <v>45856</v>
      </c>
      <c r="N114" s="1064" t="s">
        <v>1613</v>
      </c>
      <c r="O114" s="433"/>
      <c r="P114" s="1089" t="s">
        <v>211</v>
      </c>
    </row>
    <row r="115" spans="1:16" s="1104" customFormat="1" ht="14.5">
      <c r="A115" s="325">
        <f t="shared" si="1"/>
        <v>108</v>
      </c>
      <c r="B115" s="316" t="s">
        <v>823</v>
      </c>
      <c r="C115" s="316"/>
      <c r="D115" s="316" t="s">
        <v>182</v>
      </c>
      <c r="E115" s="316"/>
      <c r="F115" s="316"/>
      <c r="G115" s="316"/>
      <c r="H115" s="316"/>
      <c r="I115" s="316"/>
      <c r="J115" s="316"/>
      <c r="K115" s="316" t="s">
        <v>210</v>
      </c>
      <c r="L115" s="1008">
        <v>45853</v>
      </c>
      <c r="M115" s="1093">
        <v>45856</v>
      </c>
      <c r="N115" s="843" t="s">
        <v>1499</v>
      </c>
      <c r="O115" s="433"/>
      <c r="P115" s="1089" t="s">
        <v>211</v>
      </c>
    </row>
    <row r="116" spans="1:16" ht="14.5">
      <c r="A116" s="325">
        <f t="shared" si="1"/>
        <v>109</v>
      </c>
      <c r="B116" s="316" t="s">
        <v>380</v>
      </c>
      <c r="C116" s="316"/>
      <c r="D116" s="316" t="s">
        <v>119</v>
      </c>
      <c r="E116" s="316"/>
      <c r="F116" s="316"/>
      <c r="G116" s="316"/>
      <c r="H116" s="316"/>
      <c r="I116" s="316"/>
      <c r="J116" s="316"/>
      <c r="K116" s="316" t="s">
        <v>210</v>
      </c>
      <c r="L116" s="1008">
        <v>45846</v>
      </c>
      <c r="M116" s="1093">
        <v>45857</v>
      </c>
      <c r="N116" s="1064" t="s">
        <v>1602</v>
      </c>
      <c r="O116" s="433"/>
      <c r="P116" s="1089" t="s">
        <v>211</v>
      </c>
    </row>
    <row r="117" spans="1:16" ht="14.5">
      <c r="A117" s="325">
        <f t="shared" si="1"/>
        <v>110</v>
      </c>
      <c r="B117" s="316" t="s">
        <v>763</v>
      </c>
      <c r="C117" s="316"/>
      <c r="D117" s="316" t="s">
        <v>182</v>
      </c>
      <c r="E117" s="316"/>
      <c r="F117" s="316"/>
      <c r="G117" s="316"/>
      <c r="H117" s="316"/>
      <c r="I117" s="316"/>
      <c r="J117" s="316"/>
      <c r="K117" s="316" t="s">
        <v>210</v>
      </c>
      <c r="L117" s="1008">
        <v>45855</v>
      </c>
      <c r="M117" s="1093">
        <v>45859</v>
      </c>
      <c r="N117" s="845" t="s">
        <v>1614</v>
      </c>
      <c r="P117" s="1089" t="s">
        <v>211</v>
      </c>
    </row>
    <row r="118" spans="1:16" ht="14.5">
      <c r="A118" s="325">
        <f t="shared" si="1"/>
        <v>111</v>
      </c>
      <c r="B118" s="316" t="s">
        <v>1634</v>
      </c>
      <c r="C118" s="316"/>
      <c r="D118" s="316" t="s">
        <v>137</v>
      </c>
      <c r="E118" s="316"/>
      <c r="F118" s="316"/>
      <c r="G118" s="316"/>
      <c r="H118" s="316"/>
      <c r="I118" s="316"/>
      <c r="J118" s="316"/>
      <c r="K118" s="316" t="s">
        <v>210</v>
      </c>
      <c r="L118" s="1008">
        <v>45855</v>
      </c>
      <c r="M118" s="1093">
        <v>45859</v>
      </c>
      <c r="N118" s="1021" t="s">
        <v>1570</v>
      </c>
      <c r="O118" s="433"/>
      <c r="P118" s="1089" t="s">
        <v>211</v>
      </c>
    </row>
    <row r="119" spans="1:16" ht="14.5">
      <c r="A119" s="325">
        <f t="shared" si="1"/>
        <v>112</v>
      </c>
      <c r="B119" s="316" t="s">
        <v>803</v>
      </c>
      <c r="C119" s="316"/>
      <c r="D119" s="316" t="s">
        <v>185</v>
      </c>
      <c r="E119" s="316"/>
      <c r="F119" s="316"/>
      <c r="G119" s="316"/>
      <c r="H119" s="316"/>
      <c r="I119" s="316"/>
      <c r="J119" s="316"/>
      <c r="K119" s="316" t="s">
        <v>210</v>
      </c>
      <c r="L119" s="1008">
        <v>45854</v>
      </c>
      <c r="M119" s="1093">
        <v>45859</v>
      </c>
      <c r="N119" s="1064" t="s">
        <v>1575</v>
      </c>
      <c r="O119" s="433"/>
      <c r="P119" s="1089" t="s">
        <v>211</v>
      </c>
    </row>
    <row r="120" spans="1:16" ht="14.5">
      <c r="A120" s="325">
        <f t="shared" si="1"/>
        <v>113</v>
      </c>
      <c r="B120" s="316" t="s">
        <v>824</v>
      </c>
      <c r="C120" s="316"/>
      <c r="D120" s="316" t="s">
        <v>182</v>
      </c>
      <c r="E120" s="316"/>
      <c r="F120" s="316"/>
      <c r="G120" s="316"/>
      <c r="H120" s="316"/>
      <c r="I120" s="316"/>
      <c r="J120" s="316"/>
      <c r="K120" s="316" t="s">
        <v>210</v>
      </c>
      <c r="L120" s="1008">
        <v>45857</v>
      </c>
      <c r="M120" s="1093">
        <v>45861</v>
      </c>
      <c r="N120" s="843" t="s">
        <v>1499</v>
      </c>
      <c r="O120" s="433"/>
      <c r="P120" s="1089" t="s">
        <v>211</v>
      </c>
    </row>
    <row r="121" spans="1:16" ht="12" customHeight="1">
      <c r="A121" s="325">
        <f t="shared" si="1"/>
        <v>114</v>
      </c>
      <c r="B121" s="843" t="s">
        <v>866</v>
      </c>
      <c r="C121" s="843"/>
      <c r="D121" s="843" t="s">
        <v>137</v>
      </c>
      <c r="E121" s="325"/>
      <c r="F121" s="325"/>
      <c r="G121" s="325"/>
      <c r="H121" s="325"/>
      <c r="I121" s="325"/>
      <c r="J121" s="325"/>
      <c r="K121" s="325" t="s">
        <v>210</v>
      </c>
      <c r="L121" s="1007">
        <v>45853</v>
      </c>
      <c r="M121" s="1093">
        <v>45862</v>
      </c>
      <c r="N121" s="1064" t="s">
        <v>1673</v>
      </c>
      <c r="O121" s="433"/>
      <c r="P121" s="1089" t="s">
        <v>211</v>
      </c>
    </row>
    <row r="122" spans="1:16" ht="14.5">
      <c r="A122" s="325">
        <f t="shared" si="1"/>
        <v>115</v>
      </c>
      <c r="B122" s="316" t="s">
        <v>166</v>
      </c>
      <c r="C122" s="316"/>
      <c r="D122" s="316" t="s">
        <v>167</v>
      </c>
      <c r="E122" s="316"/>
      <c r="F122" s="316"/>
      <c r="G122" s="316"/>
      <c r="H122" s="316"/>
      <c r="I122" s="316"/>
      <c r="J122" s="316"/>
      <c r="K122" s="316" t="s">
        <v>210</v>
      </c>
      <c r="L122" s="1008">
        <v>45851</v>
      </c>
      <c r="M122" s="1093">
        <v>45862</v>
      </c>
      <c r="N122" s="1099" t="s">
        <v>1669</v>
      </c>
      <c r="O122" s="433"/>
      <c r="P122" s="1089" t="s">
        <v>211</v>
      </c>
    </row>
    <row r="123" spans="1:16" ht="14.5">
      <c r="A123" s="325">
        <f t="shared" si="1"/>
        <v>116</v>
      </c>
      <c r="B123" s="316" t="s">
        <v>183</v>
      </c>
      <c r="C123" s="316"/>
      <c r="D123" s="316" t="s">
        <v>182</v>
      </c>
      <c r="E123" s="316"/>
      <c r="F123" s="316"/>
      <c r="G123" s="316"/>
      <c r="H123" s="316"/>
      <c r="I123" s="316"/>
      <c r="J123" s="316"/>
      <c r="K123" s="316" t="s">
        <v>210</v>
      </c>
      <c r="L123" s="1008">
        <v>45860</v>
      </c>
      <c r="M123" s="1093">
        <v>45862</v>
      </c>
      <c r="N123" s="845" t="s">
        <v>1614</v>
      </c>
      <c r="P123" s="1089" t="s">
        <v>211</v>
      </c>
    </row>
    <row r="124" spans="1:16" ht="14.5">
      <c r="A124" s="325">
        <f t="shared" si="1"/>
        <v>117</v>
      </c>
      <c r="B124" s="316" t="s">
        <v>805</v>
      </c>
      <c r="C124" s="316"/>
      <c r="D124" s="316" t="s">
        <v>182</v>
      </c>
      <c r="E124" s="316"/>
      <c r="F124" s="316"/>
      <c r="G124" s="316"/>
      <c r="H124" s="316"/>
      <c r="I124" s="316"/>
      <c r="J124" s="316"/>
      <c r="K124" s="316" t="s">
        <v>210</v>
      </c>
      <c r="L124" s="1093">
        <v>45860</v>
      </c>
      <c r="M124" s="1093">
        <v>45863</v>
      </c>
      <c r="N124" s="1064" t="s">
        <v>1575</v>
      </c>
      <c r="O124" s="433"/>
      <c r="P124" s="1089" t="s">
        <v>211</v>
      </c>
    </row>
    <row r="125" spans="1:16" ht="18" customHeight="1">
      <c r="A125" s="325">
        <f t="shared" si="1"/>
        <v>118</v>
      </c>
      <c r="B125" s="316" t="s">
        <v>744</v>
      </c>
      <c r="C125" s="316"/>
      <c r="D125" s="316" t="s">
        <v>185</v>
      </c>
      <c r="E125" s="316"/>
      <c r="F125" s="316"/>
      <c r="G125" s="316"/>
      <c r="H125" s="316"/>
      <c r="I125" s="316"/>
      <c r="J125" s="316"/>
      <c r="K125" s="316" t="s">
        <v>210</v>
      </c>
      <c r="L125" s="1008">
        <v>45853</v>
      </c>
      <c r="M125" s="1093">
        <v>45864</v>
      </c>
      <c r="N125" s="316" t="s">
        <v>1618</v>
      </c>
      <c r="O125" s="433"/>
      <c r="P125" s="1089" t="s">
        <v>211</v>
      </c>
    </row>
    <row r="126" spans="1:16" ht="14.5">
      <c r="A126" s="325">
        <f t="shared" si="1"/>
        <v>119</v>
      </c>
      <c r="B126" s="845" t="s">
        <v>796</v>
      </c>
      <c r="C126" s="845"/>
      <c r="D126" s="845" t="s">
        <v>185</v>
      </c>
      <c r="E126" s="845"/>
      <c r="F126" s="845"/>
      <c r="G126" s="845"/>
      <c r="H126" s="845"/>
      <c r="I126" s="845"/>
      <c r="J126" s="845"/>
      <c r="K126" s="845" t="s">
        <v>210</v>
      </c>
      <c r="L126" s="1105">
        <v>45860</v>
      </c>
      <c r="M126" s="1093">
        <v>45864</v>
      </c>
      <c r="N126" s="1106" t="s">
        <v>1570</v>
      </c>
      <c r="P126" s="1089" t="s">
        <v>211</v>
      </c>
    </row>
    <row r="127" spans="1:16" ht="14.5">
      <c r="A127" s="325">
        <f t="shared" si="1"/>
        <v>120</v>
      </c>
      <c r="B127" s="316" t="s">
        <v>385</v>
      </c>
      <c r="C127" s="316"/>
      <c r="D127" s="316" t="s">
        <v>182</v>
      </c>
      <c r="E127" s="316"/>
      <c r="F127" s="316"/>
      <c r="G127" s="316"/>
      <c r="H127" s="316"/>
      <c r="I127" s="316"/>
      <c r="J127" s="316"/>
      <c r="K127" s="316" t="s">
        <v>210</v>
      </c>
      <c r="L127" s="1008">
        <v>45849</v>
      </c>
      <c r="M127" s="1093">
        <v>45865</v>
      </c>
      <c r="N127" s="1064" t="s">
        <v>1601</v>
      </c>
      <c r="O127" s="433"/>
      <c r="P127" s="1089" t="s">
        <v>211</v>
      </c>
    </row>
    <row r="128" spans="1:16" ht="14.5">
      <c r="A128" s="325">
        <f t="shared" si="1"/>
        <v>121</v>
      </c>
      <c r="B128" s="316" t="s">
        <v>767</v>
      </c>
      <c r="C128" s="316"/>
      <c r="D128" s="316" t="s">
        <v>242</v>
      </c>
      <c r="E128" s="316"/>
      <c r="F128" s="316"/>
      <c r="G128" s="316"/>
      <c r="H128" s="316"/>
      <c r="I128" s="316"/>
      <c r="J128" s="316"/>
      <c r="K128" s="316" t="s">
        <v>210</v>
      </c>
      <c r="L128" s="1008">
        <v>45862</v>
      </c>
      <c r="M128" s="1093">
        <v>45865</v>
      </c>
      <c r="N128" s="845" t="s">
        <v>1614</v>
      </c>
      <c r="O128" s="433"/>
      <c r="P128" s="1089" t="s">
        <v>211</v>
      </c>
    </row>
    <row r="129" spans="1:16" ht="14.5">
      <c r="A129" s="325">
        <f t="shared" si="1"/>
        <v>122</v>
      </c>
      <c r="B129" s="1064" t="s">
        <v>1654</v>
      </c>
      <c r="C129" s="316"/>
      <c r="D129" s="316" t="s">
        <v>185</v>
      </c>
      <c r="E129" s="316"/>
      <c r="F129" s="316"/>
      <c r="G129" s="316"/>
      <c r="H129" s="316"/>
      <c r="I129" s="316"/>
      <c r="J129" s="316"/>
      <c r="K129" s="316" t="s">
        <v>210</v>
      </c>
      <c r="L129" s="1008">
        <v>45862</v>
      </c>
      <c r="M129" s="1093">
        <v>45865</v>
      </c>
      <c r="N129" s="316" t="s">
        <v>1499</v>
      </c>
      <c r="O129" s="433"/>
      <c r="P129" s="1089" t="s">
        <v>211</v>
      </c>
    </row>
    <row r="130" spans="1:16" ht="14.5">
      <c r="A130" s="325">
        <f t="shared" si="1"/>
        <v>123</v>
      </c>
      <c r="B130" s="1021" t="s">
        <v>731</v>
      </c>
      <c r="C130" s="843"/>
      <c r="D130" s="843" t="s">
        <v>115</v>
      </c>
      <c r="E130" s="316"/>
      <c r="F130" s="316"/>
      <c r="G130" s="316"/>
      <c r="H130" s="316"/>
      <c r="I130" s="316"/>
      <c r="J130" s="316"/>
      <c r="K130" s="316" t="s">
        <v>210</v>
      </c>
      <c r="L130" s="1008">
        <v>45859</v>
      </c>
      <c r="M130" s="1093">
        <v>45866</v>
      </c>
      <c r="N130" s="316" t="s">
        <v>1290</v>
      </c>
      <c r="O130" s="433"/>
      <c r="P130" s="1089" t="s">
        <v>211</v>
      </c>
    </row>
    <row r="131" spans="1:16" ht="14.5">
      <c r="A131" s="325">
        <f t="shared" si="1"/>
        <v>124</v>
      </c>
      <c r="B131" s="843" t="s">
        <v>427</v>
      </c>
      <c r="C131" s="843"/>
      <c r="D131" s="843" t="s">
        <v>185</v>
      </c>
      <c r="E131" s="843"/>
      <c r="F131" s="843"/>
      <c r="G131" s="843"/>
      <c r="H131" s="843"/>
      <c r="I131" s="843"/>
      <c r="J131" s="843"/>
      <c r="K131" s="843" t="s">
        <v>210</v>
      </c>
      <c r="L131" s="1093">
        <v>45851</v>
      </c>
      <c r="M131" s="1093">
        <v>45867</v>
      </c>
      <c r="N131" s="314" t="s">
        <v>254</v>
      </c>
      <c r="O131" s="843"/>
      <c r="P131" s="1089" t="s">
        <v>211</v>
      </c>
    </row>
    <row r="132" spans="1:16" ht="14.5">
      <c r="A132" s="325">
        <f t="shared" si="1"/>
        <v>125</v>
      </c>
      <c r="B132" s="316" t="s">
        <v>794</v>
      </c>
      <c r="C132" s="316"/>
      <c r="D132" s="316" t="s">
        <v>185</v>
      </c>
      <c r="E132" s="316"/>
      <c r="F132" s="316"/>
      <c r="G132" s="316"/>
      <c r="H132" s="316"/>
      <c r="I132" s="316"/>
      <c r="J132" s="316"/>
      <c r="K132" s="316" t="s">
        <v>210</v>
      </c>
      <c r="L132" s="1093">
        <v>45863</v>
      </c>
      <c r="M132" s="1093">
        <v>45867</v>
      </c>
      <c r="N132" s="1021" t="s">
        <v>1570</v>
      </c>
      <c r="O132" s="316"/>
      <c r="P132" s="1089" t="s">
        <v>211</v>
      </c>
    </row>
    <row r="133" spans="1:16" ht="14.5">
      <c r="A133" s="325">
        <f t="shared" si="1"/>
        <v>126</v>
      </c>
      <c r="B133" s="316" t="s">
        <v>180</v>
      </c>
      <c r="C133" s="316"/>
      <c r="D133" s="316" t="s">
        <v>182</v>
      </c>
      <c r="E133" s="316"/>
      <c r="F133" s="316"/>
      <c r="G133" s="316"/>
      <c r="H133" s="316"/>
      <c r="I133" s="316"/>
      <c r="J133" s="316"/>
      <c r="K133" s="316" t="s">
        <v>210</v>
      </c>
      <c r="L133" s="1008">
        <v>45865</v>
      </c>
      <c r="M133" s="1093">
        <v>45868</v>
      </c>
      <c r="N133" s="845" t="s">
        <v>1614</v>
      </c>
      <c r="O133" s="433"/>
      <c r="P133" s="1089" t="s">
        <v>211</v>
      </c>
    </row>
    <row r="134" spans="1:16" ht="14.5">
      <c r="A134" s="325">
        <f t="shared" si="1"/>
        <v>127</v>
      </c>
      <c r="B134" s="1064" t="s">
        <v>1366</v>
      </c>
      <c r="C134" s="316"/>
      <c r="D134" s="316" t="s">
        <v>182</v>
      </c>
      <c r="E134" s="316"/>
      <c r="F134" s="316"/>
      <c r="G134" s="316"/>
      <c r="H134" s="316"/>
      <c r="I134" s="316"/>
      <c r="J134" s="316"/>
      <c r="K134" s="316" t="s">
        <v>210</v>
      </c>
      <c r="L134" s="1008">
        <v>45865</v>
      </c>
      <c r="M134" s="1093">
        <v>45868</v>
      </c>
      <c r="N134" s="316" t="s">
        <v>1499</v>
      </c>
      <c r="O134" s="433"/>
      <c r="P134" s="1089" t="s">
        <v>211</v>
      </c>
    </row>
    <row r="135" spans="1:16" ht="14.5">
      <c r="A135" s="325">
        <f t="shared" si="1"/>
        <v>128</v>
      </c>
      <c r="B135" s="316" t="s">
        <v>191</v>
      </c>
      <c r="C135" s="316"/>
      <c r="D135" s="316" t="s">
        <v>192</v>
      </c>
      <c r="E135" s="316"/>
      <c r="F135" s="316"/>
      <c r="G135" s="316"/>
      <c r="H135" s="316"/>
      <c r="I135" s="316"/>
      <c r="J135" s="316"/>
      <c r="K135" s="316" t="s">
        <v>210</v>
      </c>
      <c r="L135" s="1093">
        <v>45863</v>
      </c>
      <c r="M135" s="1093">
        <v>45869</v>
      </c>
      <c r="N135" s="1064" t="s">
        <v>1575</v>
      </c>
      <c r="O135" s="433"/>
      <c r="P135" s="1089" t="s">
        <v>211</v>
      </c>
    </row>
    <row r="136" spans="1:16" ht="14.5">
      <c r="A136" s="325">
        <f t="shared" si="1"/>
        <v>129</v>
      </c>
      <c r="B136" s="316" t="s">
        <v>799</v>
      </c>
      <c r="C136" s="316"/>
      <c r="D136" s="316" t="s">
        <v>182</v>
      </c>
      <c r="E136" s="316"/>
      <c r="F136" s="316"/>
      <c r="G136" s="316"/>
      <c r="H136" s="316"/>
      <c r="I136" s="316"/>
      <c r="J136" s="316"/>
      <c r="K136" s="316" t="s">
        <v>210</v>
      </c>
      <c r="L136" s="1093">
        <v>45867</v>
      </c>
      <c r="M136" s="1093">
        <v>45869</v>
      </c>
      <c r="N136" s="1021" t="s">
        <v>1570</v>
      </c>
      <c r="O136" s="433"/>
      <c r="P136" s="1089" t="s">
        <v>211</v>
      </c>
    </row>
    <row r="137" spans="1:16" ht="14.5">
      <c r="A137" s="325">
        <f t="shared" si="1"/>
        <v>130</v>
      </c>
      <c r="B137" s="316" t="s">
        <v>766</v>
      </c>
      <c r="C137" s="316"/>
      <c r="D137" s="316" t="s">
        <v>182</v>
      </c>
      <c r="E137" s="316"/>
      <c r="F137" s="316"/>
      <c r="G137" s="316"/>
      <c r="H137" s="316"/>
      <c r="I137" s="316"/>
      <c r="J137" s="316"/>
      <c r="K137" s="316" t="s">
        <v>210</v>
      </c>
      <c r="L137" s="1093">
        <v>45868</v>
      </c>
      <c r="M137" s="1093">
        <v>45869</v>
      </c>
      <c r="N137" s="845" t="s">
        <v>1614</v>
      </c>
      <c r="O137" s="433"/>
      <c r="P137" s="1089" t="s">
        <v>211</v>
      </c>
    </row>
    <row r="138" spans="1:16" ht="14.5">
      <c r="A138" s="325">
        <f t="shared" ref="A138:A201" si="7">A137+1</f>
        <v>131</v>
      </c>
      <c r="B138" s="316" t="s">
        <v>751</v>
      </c>
      <c r="C138" s="316"/>
      <c r="D138" s="316" t="s">
        <v>248</v>
      </c>
      <c r="E138" s="316"/>
      <c r="F138" s="316"/>
      <c r="G138" s="316"/>
      <c r="H138" s="316"/>
      <c r="I138" s="316"/>
      <c r="J138" s="316"/>
      <c r="K138" s="316" t="s">
        <v>210</v>
      </c>
      <c r="L138" s="1008">
        <v>45863</v>
      </c>
      <c r="M138" s="1093">
        <v>45869</v>
      </c>
      <c r="N138" s="1064" t="s">
        <v>1673</v>
      </c>
      <c r="O138" s="433"/>
      <c r="P138" s="1089" t="s">
        <v>211</v>
      </c>
    </row>
    <row r="139" spans="1:16" ht="14.5">
      <c r="A139" s="325">
        <f t="shared" si="7"/>
        <v>132</v>
      </c>
      <c r="B139" s="1107" t="s">
        <v>174</v>
      </c>
      <c r="C139" s="843"/>
      <c r="D139" s="843" t="s">
        <v>1633</v>
      </c>
      <c r="E139" s="316"/>
      <c r="F139" s="316"/>
      <c r="G139" s="316"/>
      <c r="H139" s="316"/>
      <c r="I139" s="316"/>
      <c r="J139" s="316"/>
      <c r="K139" s="316" t="s">
        <v>210</v>
      </c>
      <c r="L139" s="1008">
        <v>45855</v>
      </c>
      <c r="M139" s="1093">
        <v>45869</v>
      </c>
      <c r="N139" s="1064" t="s">
        <v>1612</v>
      </c>
      <c r="O139" s="433"/>
      <c r="P139" s="1089" t="s">
        <v>211</v>
      </c>
    </row>
    <row r="140" spans="1:16" ht="14.5">
      <c r="A140" s="325">
        <f t="shared" si="7"/>
        <v>133</v>
      </c>
      <c r="B140" s="1094" t="s">
        <v>422</v>
      </c>
      <c r="C140" s="843"/>
      <c r="D140" s="843" t="s">
        <v>125</v>
      </c>
      <c r="E140" s="843">
        <f>1.81+1.12</f>
        <v>2.93</v>
      </c>
      <c r="F140" s="843">
        <f>8.16+12.18</f>
        <v>20.34</v>
      </c>
      <c r="G140" s="843">
        <f>79.95+144.9</f>
        <v>224.85000000000002</v>
      </c>
      <c r="H140" s="843">
        <f>1.476+1.188</f>
        <v>2.6639999999999997</v>
      </c>
      <c r="I140" s="843">
        <f>(265.195+236.256)/1000</f>
        <v>0.50145099999999998</v>
      </c>
      <c r="J140" s="843"/>
      <c r="K140" s="843" t="s">
        <v>292</v>
      </c>
      <c r="L140" s="1093">
        <v>45818</v>
      </c>
      <c r="M140" s="1093">
        <v>45869</v>
      </c>
      <c r="N140" s="1097" t="s">
        <v>254</v>
      </c>
      <c r="O140" s="1108"/>
      <c r="P140" s="1089" t="s">
        <v>211</v>
      </c>
    </row>
    <row r="141" spans="1:16" ht="14.5">
      <c r="A141" s="325">
        <f t="shared" si="7"/>
        <v>134</v>
      </c>
      <c r="B141" s="1060" t="s">
        <v>158</v>
      </c>
      <c r="C141" s="845"/>
      <c r="D141" s="845" t="s">
        <v>115</v>
      </c>
      <c r="E141" s="845"/>
      <c r="F141" s="845"/>
      <c r="G141" s="845"/>
      <c r="H141" s="845"/>
      <c r="I141" s="845"/>
      <c r="J141" s="845"/>
      <c r="K141" s="845" t="s">
        <v>210</v>
      </c>
      <c r="L141" s="1017">
        <v>45862</v>
      </c>
      <c r="M141" s="1093">
        <v>45869</v>
      </c>
      <c r="N141" s="1099" t="s">
        <v>1669</v>
      </c>
      <c r="O141" s="1109"/>
      <c r="P141" s="1089" t="s">
        <v>211</v>
      </c>
    </row>
    <row r="142" spans="1:16" ht="14.5">
      <c r="A142" s="325">
        <f t="shared" si="7"/>
        <v>135</v>
      </c>
      <c r="B142" s="901" t="s">
        <v>1658</v>
      </c>
      <c r="C142" s="316"/>
      <c r="D142" s="316" t="s">
        <v>125</v>
      </c>
      <c r="E142" s="316"/>
      <c r="F142" s="316"/>
      <c r="G142" s="316"/>
      <c r="H142" s="316"/>
      <c r="I142" s="316"/>
      <c r="J142" s="316"/>
      <c r="K142" s="316" t="s">
        <v>210</v>
      </c>
      <c r="L142" s="1008">
        <v>45861</v>
      </c>
      <c r="M142" s="1093">
        <v>45869</v>
      </c>
      <c r="N142" s="1064" t="s">
        <v>1613</v>
      </c>
      <c r="O142" s="433"/>
      <c r="P142" s="1089" t="s">
        <v>211</v>
      </c>
    </row>
    <row r="143" spans="1:16" ht="14.5">
      <c r="A143" s="325">
        <f t="shared" si="7"/>
        <v>136</v>
      </c>
      <c r="B143" s="316" t="s">
        <v>743</v>
      </c>
      <c r="C143" s="316"/>
      <c r="D143" s="316" t="s">
        <v>242</v>
      </c>
      <c r="E143" s="316"/>
      <c r="F143" s="316"/>
      <c r="G143" s="316"/>
      <c r="H143" s="316"/>
      <c r="I143" s="316"/>
      <c r="J143" s="316"/>
      <c r="K143" s="316" t="s">
        <v>210</v>
      </c>
      <c r="L143" s="1008">
        <v>45865</v>
      </c>
      <c r="M143" s="1093">
        <v>45871</v>
      </c>
      <c r="N143" s="316" t="s">
        <v>1618</v>
      </c>
      <c r="O143" s="433"/>
      <c r="P143" s="1089" t="s">
        <v>211</v>
      </c>
    </row>
    <row r="144" spans="1:16" ht="14.5">
      <c r="A144" s="325">
        <f t="shared" si="7"/>
        <v>137</v>
      </c>
      <c r="B144" s="316" t="s">
        <v>800</v>
      </c>
      <c r="C144" s="316"/>
      <c r="D144" s="316" t="s">
        <v>185</v>
      </c>
      <c r="E144" s="316"/>
      <c r="F144" s="316"/>
      <c r="G144" s="316"/>
      <c r="H144" s="316"/>
      <c r="I144" s="316"/>
      <c r="J144" s="316"/>
      <c r="K144" s="316" t="s">
        <v>210</v>
      </c>
      <c r="L144" s="1093">
        <v>45868</v>
      </c>
      <c r="M144" s="1093">
        <v>45871</v>
      </c>
      <c r="N144" s="1021" t="s">
        <v>1570</v>
      </c>
      <c r="O144" s="433"/>
      <c r="P144" s="1089" t="s">
        <v>211</v>
      </c>
    </row>
    <row r="145" spans="1:16" ht="14.5">
      <c r="A145" s="325">
        <f t="shared" si="7"/>
        <v>138</v>
      </c>
      <c r="B145" s="1021" t="s">
        <v>1598</v>
      </c>
      <c r="C145" s="843"/>
      <c r="D145" s="843" t="s">
        <v>128</v>
      </c>
      <c r="E145" s="325"/>
      <c r="F145" s="325"/>
      <c r="G145" s="325"/>
      <c r="H145" s="325"/>
      <c r="I145" s="325"/>
      <c r="J145" s="325"/>
      <c r="K145" s="325" t="s">
        <v>210</v>
      </c>
      <c r="L145" s="1007">
        <v>45845</v>
      </c>
      <c r="M145" s="1007">
        <v>45873</v>
      </c>
      <c r="N145" s="1064" t="s">
        <v>1698</v>
      </c>
      <c r="O145" s="1110"/>
      <c r="P145" s="1089" t="s">
        <v>211</v>
      </c>
    </row>
    <row r="146" spans="1:16" ht="14.5">
      <c r="A146" s="325">
        <f t="shared" si="7"/>
        <v>139</v>
      </c>
      <c r="B146" s="316" t="s">
        <v>798</v>
      </c>
      <c r="C146" s="316"/>
      <c r="D146" s="316" t="s">
        <v>185</v>
      </c>
      <c r="E146" s="316"/>
      <c r="F146" s="316"/>
      <c r="G146" s="316"/>
      <c r="H146" s="316"/>
      <c r="I146" s="316"/>
      <c r="J146" s="316"/>
      <c r="K146" s="316" t="s">
        <v>210</v>
      </c>
      <c r="L146" s="1093">
        <v>45872</v>
      </c>
      <c r="M146" s="1007">
        <v>45873</v>
      </c>
      <c r="N146" s="1021" t="s">
        <v>1570</v>
      </c>
      <c r="P146" s="1089" t="s">
        <v>211</v>
      </c>
    </row>
    <row r="147" spans="1:16" ht="14.5">
      <c r="A147" s="325">
        <f t="shared" si="7"/>
        <v>140</v>
      </c>
      <c r="B147" s="316" t="s">
        <v>418</v>
      </c>
      <c r="C147" s="316"/>
      <c r="D147" s="316" t="s">
        <v>185</v>
      </c>
      <c r="E147" s="316"/>
      <c r="F147" s="316"/>
      <c r="G147" s="316"/>
      <c r="H147" s="316"/>
      <c r="I147" s="316"/>
      <c r="J147" s="316"/>
      <c r="K147" s="316" t="s">
        <v>210</v>
      </c>
      <c r="L147" s="1008">
        <v>45869</v>
      </c>
      <c r="M147" s="1007">
        <v>45874</v>
      </c>
      <c r="N147" s="314" t="s">
        <v>254</v>
      </c>
      <c r="O147" s="433"/>
      <c r="P147" s="1089" t="s">
        <v>211</v>
      </c>
    </row>
    <row r="148" spans="1:16" ht="14.5">
      <c r="A148" s="325">
        <f t="shared" si="7"/>
        <v>141</v>
      </c>
      <c r="B148" s="316" t="s">
        <v>795</v>
      </c>
      <c r="C148" s="316"/>
      <c r="D148" s="316" t="s">
        <v>182</v>
      </c>
      <c r="E148" s="316"/>
      <c r="F148" s="316"/>
      <c r="G148" s="316"/>
      <c r="H148" s="316"/>
      <c r="I148" s="316"/>
      <c r="J148" s="316"/>
      <c r="K148" s="316" t="s">
        <v>210</v>
      </c>
      <c r="L148" s="1008">
        <v>45873</v>
      </c>
      <c r="M148" s="1008">
        <v>45875</v>
      </c>
      <c r="N148" s="1021" t="s">
        <v>1570</v>
      </c>
      <c r="O148" s="433"/>
      <c r="P148" s="1089" t="s">
        <v>211</v>
      </c>
    </row>
    <row r="149" spans="1:16" ht="14.5">
      <c r="A149" s="325">
        <f t="shared" si="7"/>
        <v>142</v>
      </c>
      <c r="B149" s="843" t="s">
        <v>1336</v>
      </c>
      <c r="C149" s="325"/>
      <c r="D149" s="325" t="s">
        <v>115</v>
      </c>
      <c r="E149" s="316">
        <v>1.6</v>
      </c>
      <c r="F149" s="316">
        <v>13.13</v>
      </c>
      <c r="G149" s="316">
        <v>87.25</v>
      </c>
      <c r="H149" s="316">
        <v>1.3740000000000001</v>
      </c>
      <c r="I149" s="316">
        <v>0.501</v>
      </c>
      <c r="J149" s="325"/>
      <c r="K149" s="325" t="s">
        <v>292</v>
      </c>
      <c r="L149" s="1007">
        <v>45803</v>
      </c>
      <c r="M149" s="1008">
        <v>45876</v>
      </c>
      <c r="N149" s="1097" t="s">
        <v>254</v>
      </c>
      <c r="O149" s="1108"/>
      <c r="P149" s="1089" t="s">
        <v>211</v>
      </c>
    </row>
    <row r="150" spans="1:16" ht="14.5">
      <c r="A150" s="325">
        <f t="shared" si="7"/>
        <v>143</v>
      </c>
      <c r="B150" s="1021" t="s">
        <v>439</v>
      </c>
      <c r="C150" s="843"/>
      <c r="D150" s="843" t="s">
        <v>182</v>
      </c>
      <c r="E150" s="316"/>
      <c r="F150" s="316"/>
      <c r="G150" s="316"/>
      <c r="H150" s="316"/>
      <c r="I150" s="316"/>
      <c r="J150" s="316"/>
      <c r="K150" s="316" t="s">
        <v>210</v>
      </c>
      <c r="L150" s="1008">
        <v>45870</v>
      </c>
      <c r="M150" s="1008">
        <v>45876</v>
      </c>
      <c r="N150" s="316" t="s">
        <v>1290</v>
      </c>
      <c r="P150" s="1089" t="s">
        <v>211</v>
      </c>
    </row>
    <row r="151" spans="1:16" ht="14.5">
      <c r="A151" s="325">
        <f t="shared" si="7"/>
        <v>144</v>
      </c>
      <c r="B151" s="316" t="s">
        <v>181</v>
      </c>
      <c r="C151" s="316"/>
      <c r="D151" s="316" t="s">
        <v>182</v>
      </c>
      <c r="E151" s="316"/>
      <c r="F151" s="316"/>
      <c r="G151" s="316"/>
      <c r="H151" s="316"/>
      <c r="I151" s="316"/>
      <c r="J151" s="316"/>
      <c r="K151" s="316" t="s">
        <v>210</v>
      </c>
      <c r="L151" s="1093">
        <v>45870</v>
      </c>
      <c r="M151" s="1008">
        <v>45876</v>
      </c>
      <c r="N151" s="845" t="s">
        <v>1614</v>
      </c>
      <c r="P151" s="1089" t="s">
        <v>211</v>
      </c>
    </row>
    <row r="152" spans="1:16" ht="14.5">
      <c r="A152" s="325">
        <f t="shared" si="7"/>
        <v>145</v>
      </c>
      <c r="B152" s="845" t="s">
        <v>190</v>
      </c>
      <c r="C152" s="845"/>
      <c r="D152" s="845" t="s">
        <v>192</v>
      </c>
      <c r="E152" s="845"/>
      <c r="F152" s="845"/>
      <c r="G152" s="845"/>
      <c r="H152" s="845"/>
      <c r="I152" s="845"/>
      <c r="J152" s="845"/>
      <c r="K152" s="845" t="s">
        <v>210</v>
      </c>
      <c r="L152" s="1105">
        <v>45870</v>
      </c>
      <c r="M152" s="1008">
        <v>45876</v>
      </c>
      <c r="N152" s="1064" t="s">
        <v>1575</v>
      </c>
      <c r="P152" s="1089" t="s">
        <v>211</v>
      </c>
    </row>
    <row r="153" spans="1:16" ht="14.5">
      <c r="A153" s="325">
        <f t="shared" si="7"/>
        <v>146</v>
      </c>
      <c r="B153" s="1021" t="s">
        <v>1667</v>
      </c>
      <c r="C153" s="843"/>
      <c r="D153" s="843" t="s">
        <v>123</v>
      </c>
      <c r="E153" s="316"/>
      <c r="F153" s="316"/>
      <c r="G153" s="316"/>
      <c r="H153" s="316"/>
      <c r="I153" s="316"/>
      <c r="J153" s="316"/>
      <c r="K153" s="316" t="s">
        <v>210</v>
      </c>
      <c r="L153" s="1008">
        <v>45871</v>
      </c>
      <c r="M153" s="1008">
        <v>45877</v>
      </c>
      <c r="N153" s="1064" t="s">
        <v>1612</v>
      </c>
      <c r="O153" s="316"/>
      <c r="P153" s="1089" t="s">
        <v>211</v>
      </c>
    </row>
    <row r="154" spans="1:16" ht="14.5">
      <c r="A154" s="325">
        <f t="shared" si="7"/>
        <v>147</v>
      </c>
      <c r="B154" s="1021" t="s">
        <v>869</v>
      </c>
      <c r="C154" s="843"/>
      <c r="D154" s="843" t="s">
        <v>115</v>
      </c>
      <c r="E154" s="325"/>
      <c r="F154" s="325"/>
      <c r="G154" s="325"/>
      <c r="H154" s="325"/>
      <c r="I154" s="325"/>
      <c r="J154" s="325"/>
      <c r="K154" s="325" t="s">
        <v>210</v>
      </c>
      <c r="L154" s="1007">
        <v>45870</v>
      </c>
      <c r="M154" s="1008">
        <v>45877</v>
      </c>
      <c r="N154" s="1064" t="s">
        <v>1673</v>
      </c>
      <c r="O154" s="325"/>
      <c r="P154" s="1089" t="s">
        <v>211</v>
      </c>
    </row>
    <row r="155" spans="1:16" ht="14.5">
      <c r="A155" s="325">
        <f t="shared" si="7"/>
        <v>148</v>
      </c>
      <c r="B155" s="316" t="s">
        <v>161</v>
      </c>
      <c r="C155" s="316"/>
      <c r="D155" s="316" t="s">
        <v>115</v>
      </c>
      <c r="E155" s="316"/>
      <c r="F155" s="316"/>
      <c r="G155" s="316"/>
      <c r="H155" s="316"/>
      <c r="I155" s="316"/>
      <c r="J155" s="316"/>
      <c r="K155" s="316" t="s">
        <v>210</v>
      </c>
      <c r="L155" s="1008">
        <v>45867</v>
      </c>
      <c r="M155" s="1008">
        <v>45878</v>
      </c>
      <c r="N155" s="1064" t="s">
        <v>1601</v>
      </c>
      <c r="O155" s="316"/>
      <c r="P155" s="1089" t="s">
        <v>211</v>
      </c>
    </row>
    <row r="156" spans="1:16" ht="14.5">
      <c r="A156" s="325">
        <f t="shared" si="7"/>
        <v>149</v>
      </c>
      <c r="B156" s="316" t="s">
        <v>797</v>
      </c>
      <c r="C156" s="316"/>
      <c r="D156" s="316" t="s">
        <v>185</v>
      </c>
      <c r="E156" s="316"/>
      <c r="F156" s="316"/>
      <c r="G156" s="316"/>
      <c r="H156" s="316"/>
      <c r="I156" s="316"/>
      <c r="J156" s="316"/>
      <c r="K156" s="316" t="s">
        <v>210</v>
      </c>
      <c r="L156" s="1008">
        <v>45875</v>
      </c>
      <c r="M156" s="1008">
        <v>45878</v>
      </c>
      <c r="N156" s="1021" t="s">
        <v>1570</v>
      </c>
      <c r="O156" s="316"/>
      <c r="P156" s="1089" t="s">
        <v>211</v>
      </c>
    </row>
    <row r="157" spans="1:16" ht="14.5">
      <c r="A157" s="325">
        <f t="shared" si="7"/>
        <v>150</v>
      </c>
      <c r="B157" s="316" t="s">
        <v>755</v>
      </c>
      <c r="C157" s="316"/>
      <c r="D157" s="316" t="s">
        <v>185</v>
      </c>
      <c r="E157" s="316"/>
      <c r="F157" s="316"/>
      <c r="G157" s="316"/>
      <c r="H157" s="316"/>
      <c r="I157" s="316"/>
      <c r="J157" s="316"/>
      <c r="K157" s="316" t="s">
        <v>210</v>
      </c>
      <c r="L157" s="1008">
        <v>45875</v>
      </c>
      <c r="M157" s="1008">
        <v>45881</v>
      </c>
      <c r="N157" s="1064" t="s">
        <v>1575</v>
      </c>
      <c r="O157" s="316"/>
      <c r="P157" s="1089" t="s">
        <v>211</v>
      </c>
    </row>
    <row r="158" spans="1:16" ht="14.5">
      <c r="A158" s="325">
        <f t="shared" si="7"/>
        <v>151</v>
      </c>
      <c r="B158" s="1064" t="s">
        <v>1672</v>
      </c>
      <c r="C158" s="316"/>
      <c r="D158" s="316" t="s">
        <v>188</v>
      </c>
      <c r="E158" s="316"/>
      <c r="F158" s="316"/>
      <c r="G158" s="316"/>
      <c r="H158" s="316"/>
      <c r="I158" s="316"/>
      <c r="J158" s="316"/>
      <c r="K158" s="316" t="s">
        <v>210</v>
      </c>
      <c r="L158" s="1008">
        <v>45876</v>
      </c>
      <c r="M158" s="1008">
        <v>45881</v>
      </c>
      <c r="N158" s="316" t="s">
        <v>1499</v>
      </c>
      <c r="O158" s="316"/>
      <c r="P158" s="1089" t="s">
        <v>211</v>
      </c>
    </row>
    <row r="159" spans="1:16" ht="14.5">
      <c r="A159" s="325">
        <f t="shared" si="7"/>
        <v>152</v>
      </c>
      <c r="B159" s="843" t="s">
        <v>425</v>
      </c>
      <c r="C159" s="325"/>
      <c r="D159" s="325" t="s">
        <v>115</v>
      </c>
      <c r="E159" s="316">
        <v>1.6</v>
      </c>
      <c r="F159" s="316">
        <v>13.13</v>
      </c>
      <c r="G159" s="316">
        <v>87.25</v>
      </c>
      <c r="H159" s="316">
        <v>1.3740000000000001</v>
      </c>
      <c r="I159" s="316">
        <v>0.501</v>
      </c>
      <c r="J159" s="325"/>
      <c r="K159" s="325" t="s">
        <v>210</v>
      </c>
      <c r="L159" s="1007">
        <v>45874</v>
      </c>
      <c r="M159" s="1007">
        <v>45883</v>
      </c>
      <c r="N159" s="314" t="s">
        <v>254</v>
      </c>
      <c r="O159" s="1108"/>
      <c r="P159" s="1089" t="s">
        <v>211</v>
      </c>
    </row>
    <row r="160" spans="1:16" ht="14.5">
      <c r="A160" s="325">
        <f t="shared" si="7"/>
        <v>153</v>
      </c>
      <c r="B160" s="316" t="s">
        <v>788</v>
      </c>
      <c r="C160" s="316"/>
      <c r="D160" s="316" t="s">
        <v>185</v>
      </c>
      <c r="E160" s="316"/>
      <c r="F160" s="316"/>
      <c r="G160" s="316"/>
      <c r="H160" s="316"/>
      <c r="I160" s="316"/>
      <c r="J160" s="316"/>
      <c r="K160" s="316" t="s">
        <v>210</v>
      </c>
      <c r="L160" s="1008">
        <v>45879</v>
      </c>
      <c r="M160" s="1007">
        <v>45883</v>
      </c>
      <c r="N160" s="316" t="s">
        <v>1570</v>
      </c>
      <c r="O160" s="433"/>
      <c r="P160" s="1089" t="s">
        <v>211</v>
      </c>
    </row>
    <row r="161" spans="1:16" ht="14.5">
      <c r="A161" s="325">
        <f t="shared" si="7"/>
        <v>154</v>
      </c>
      <c r="B161" s="1021" t="s">
        <v>438</v>
      </c>
      <c r="C161" s="843"/>
      <c r="D161" s="843" t="s">
        <v>182</v>
      </c>
      <c r="E161" s="316"/>
      <c r="F161" s="316"/>
      <c r="G161" s="316"/>
      <c r="H161" s="316"/>
      <c r="I161" s="316"/>
      <c r="J161" s="316"/>
      <c r="K161" s="316" t="s">
        <v>210</v>
      </c>
      <c r="L161" s="1008">
        <v>45880</v>
      </c>
      <c r="M161" s="1007">
        <v>45883</v>
      </c>
      <c r="N161" s="316" t="s">
        <v>1290</v>
      </c>
      <c r="O161" s="433"/>
      <c r="P161" s="1089" t="s">
        <v>211</v>
      </c>
    </row>
    <row r="162" spans="1:16" ht="14.5">
      <c r="A162" s="325">
        <f t="shared" si="7"/>
        <v>155</v>
      </c>
      <c r="B162" s="316" t="s">
        <v>465</v>
      </c>
      <c r="C162" s="316"/>
      <c r="D162" s="316" t="s">
        <v>132</v>
      </c>
      <c r="E162" s="316"/>
      <c r="F162" s="316"/>
      <c r="G162" s="316"/>
      <c r="H162" s="316"/>
      <c r="I162" s="316"/>
      <c r="J162" s="316"/>
      <c r="K162" s="316" t="s">
        <v>210</v>
      </c>
      <c r="L162" s="1008">
        <v>45874</v>
      </c>
      <c r="M162" s="1008">
        <v>45885</v>
      </c>
      <c r="N162" s="1064" t="s">
        <v>1613</v>
      </c>
      <c r="O162" s="433"/>
      <c r="P162" s="1089" t="s">
        <v>211</v>
      </c>
    </row>
    <row r="163" spans="1:16" ht="14.5">
      <c r="A163" s="325">
        <f t="shared" si="7"/>
        <v>156</v>
      </c>
      <c r="B163" s="316" t="s">
        <v>1362</v>
      </c>
      <c r="C163" s="316"/>
      <c r="D163" s="316" t="s">
        <v>248</v>
      </c>
      <c r="E163" s="316"/>
      <c r="F163" s="316"/>
      <c r="G163" s="316"/>
      <c r="H163" s="316"/>
      <c r="I163" s="316"/>
      <c r="J163" s="316"/>
      <c r="K163" s="316" t="s">
        <v>210</v>
      </c>
      <c r="L163" s="1008">
        <v>45875</v>
      </c>
      <c r="M163" s="1008">
        <v>45885</v>
      </c>
      <c r="N163" s="845" t="s">
        <v>1614</v>
      </c>
      <c r="O163" s="433"/>
      <c r="P163" s="1089" t="s">
        <v>211</v>
      </c>
    </row>
    <row r="164" spans="1:16" ht="14.5">
      <c r="A164" s="325">
        <f t="shared" si="7"/>
        <v>157</v>
      </c>
      <c r="B164" s="316" t="s">
        <v>787</v>
      </c>
      <c r="C164" s="316"/>
      <c r="D164" s="316" t="s">
        <v>185</v>
      </c>
      <c r="E164" s="316"/>
      <c r="F164" s="316"/>
      <c r="G164" s="316"/>
      <c r="H164" s="316"/>
      <c r="I164" s="316"/>
      <c r="J164" s="316"/>
      <c r="K164" s="316" t="s">
        <v>210</v>
      </c>
      <c r="L164" s="1008">
        <v>45880</v>
      </c>
      <c r="M164" s="1008">
        <v>45886</v>
      </c>
      <c r="N164" s="316" t="s">
        <v>1570</v>
      </c>
      <c r="O164" s="433"/>
      <c r="P164" s="1089" t="s">
        <v>211</v>
      </c>
    </row>
    <row r="165" spans="1:16" ht="14.5">
      <c r="A165" s="325">
        <f t="shared" si="7"/>
        <v>158</v>
      </c>
      <c r="B165" s="316" t="s">
        <v>177</v>
      </c>
      <c r="C165" s="316"/>
      <c r="D165" s="316" t="s">
        <v>128</v>
      </c>
      <c r="E165" s="316"/>
      <c r="F165" s="316"/>
      <c r="G165" s="316"/>
      <c r="H165" s="316"/>
      <c r="I165" s="316"/>
      <c r="J165" s="316"/>
      <c r="K165" s="316" t="s">
        <v>210</v>
      </c>
      <c r="L165" s="1093">
        <v>45872</v>
      </c>
      <c r="M165" s="1008">
        <v>45888</v>
      </c>
      <c r="N165" s="316" t="s">
        <v>1618</v>
      </c>
      <c r="O165" s="433"/>
      <c r="P165" s="1089" t="s">
        <v>211</v>
      </c>
    </row>
    <row r="166" spans="1:16" ht="14.5">
      <c r="A166" s="325">
        <f t="shared" si="7"/>
        <v>159</v>
      </c>
      <c r="B166" s="1111" t="s">
        <v>1678</v>
      </c>
      <c r="C166" s="843"/>
      <c r="D166" s="843" t="s">
        <v>115</v>
      </c>
      <c r="E166" s="325"/>
      <c r="F166" s="325"/>
      <c r="G166" s="325"/>
      <c r="H166" s="325"/>
      <c r="I166" s="325"/>
      <c r="J166" s="325"/>
      <c r="K166" s="325" t="s">
        <v>210</v>
      </c>
      <c r="L166" s="1007">
        <v>45885</v>
      </c>
      <c r="M166" s="1008">
        <v>45888</v>
      </c>
      <c r="N166" s="845" t="s">
        <v>1614</v>
      </c>
      <c r="O166" s="433"/>
      <c r="P166" s="1089" t="s">
        <v>211</v>
      </c>
    </row>
    <row r="167" spans="1:16" ht="14.5">
      <c r="A167" s="325">
        <f t="shared" si="7"/>
        <v>160</v>
      </c>
      <c r="B167" s="1064" t="s">
        <v>1363</v>
      </c>
      <c r="C167" s="316"/>
      <c r="D167" s="316" t="s">
        <v>125</v>
      </c>
      <c r="E167" s="316"/>
      <c r="F167" s="316"/>
      <c r="G167" s="316"/>
      <c r="H167" s="316"/>
      <c r="I167" s="316"/>
      <c r="J167" s="316"/>
      <c r="K167" s="316" t="s">
        <v>210</v>
      </c>
      <c r="L167" s="1008">
        <v>45879</v>
      </c>
      <c r="M167" s="1008">
        <v>45888</v>
      </c>
      <c r="N167" s="316" t="s">
        <v>1499</v>
      </c>
      <c r="O167" s="433"/>
      <c r="P167" s="1089" t="s">
        <v>211</v>
      </c>
    </row>
    <row r="168" spans="1:16" ht="14.5">
      <c r="A168" s="325">
        <f t="shared" si="7"/>
        <v>161</v>
      </c>
      <c r="B168" s="316" t="s">
        <v>868</v>
      </c>
      <c r="C168" s="316"/>
      <c r="D168" s="316" t="s">
        <v>137</v>
      </c>
      <c r="E168" s="316"/>
      <c r="F168" s="316"/>
      <c r="G168" s="316"/>
      <c r="H168" s="316"/>
      <c r="I168" s="316"/>
      <c r="J168" s="316"/>
      <c r="K168" s="316" t="s">
        <v>210</v>
      </c>
      <c r="L168" s="1093">
        <v>45880</v>
      </c>
      <c r="M168" s="1008">
        <v>45889</v>
      </c>
      <c r="N168" s="1064" t="s">
        <v>1673</v>
      </c>
      <c r="O168" s="316"/>
      <c r="P168" s="1089" t="s">
        <v>211</v>
      </c>
    </row>
    <row r="169" spans="1:16" ht="14.5">
      <c r="A169" s="325">
        <f t="shared" si="7"/>
        <v>162</v>
      </c>
      <c r="B169" s="316" t="s">
        <v>189</v>
      </c>
      <c r="C169" s="316"/>
      <c r="D169" s="316" t="s">
        <v>115</v>
      </c>
      <c r="E169" s="316"/>
      <c r="F169" s="316"/>
      <c r="G169" s="316"/>
      <c r="H169" s="316"/>
      <c r="I169" s="316"/>
      <c r="J169" s="316"/>
      <c r="K169" s="316" t="s">
        <v>210</v>
      </c>
      <c r="L169" s="1008">
        <v>45885</v>
      </c>
      <c r="M169" s="1008">
        <v>45889</v>
      </c>
      <c r="N169" s="316" t="s">
        <v>1570</v>
      </c>
      <c r="O169" s="316"/>
      <c r="P169" s="1089" t="s">
        <v>211</v>
      </c>
    </row>
    <row r="170" spans="1:16" ht="14.5">
      <c r="A170" s="325">
        <f t="shared" si="7"/>
        <v>163</v>
      </c>
      <c r="B170" s="316" t="s">
        <v>756</v>
      </c>
      <c r="C170" s="316"/>
      <c r="D170" s="316" t="s">
        <v>185</v>
      </c>
      <c r="E170" s="316"/>
      <c r="F170" s="316"/>
      <c r="G170" s="316"/>
      <c r="H170" s="316"/>
      <c r="I170" s="316"/>
      <c r="J170" s="316"/>
      <c r="K170" s="316" t="s">
        <v>210</v>
      </c>
      <c r="L170" s="1008">
        <v>45882</v>
      </c>
      <c r="M170" s="1008">
        <v>45889</v>
      </c>
      <c r="N170" s="1064" t="s">
        <v>1575</v>
      </c>
      <c r="O170" s="316"/>
      <c r="P170" s="1089" t="s">
        <v>211</v>
      </c>
    </row>
    <row r="171" spans="1:16" ht="14.5">
      <c r="A171" s="325">
        <f t="shared" si="7"/>
        <v>164</v>
      </c>
      <c r="B171" s="316" t="s">
        <v>162</v>
      </c>
      <c r="C171" s="316"/>
      <c r="D171" s="316" t="s">
        <v>115</v>
      </c>
      <c r="E171" s="316"/>
      <c r="F171" s="316"/>
      <c r="G171" s="316"/>
      <c r="H171" s="316"/>
      <c r="I171" s="316"/>
      <c r="J171" s="316"/>
      <c r="K171" s="316" t="s">
        <v>210</v>
      </c>
      <c r="L171" s="1008">
        <v>45881</v>
      </c>
      <c r="M171" s="1008">
        <v>45891</v>
      </c>
      <c r="N171" s="1021" t="s">
        <v>1676</v>
      </c>
      <c r="O171" s="433"/>
      <c r="P171" s="1089" t="s">
        <v>211</v>
      </c>
    </row>
    <row r="172" spans="1:16" ht="14.5">
      <c r="A172" s="325">
        <f t="shared" si="7"/>
        <v>165</v>
      </c>
      <c r="B172" s="1064" t="s">
        <v>1677</v>
      </c>
      <c r="C172" s="316"/>
      <c r="D172" s="316" t="s">
        <v>185</v>
      </c>
      <c r="E172" s="316"/>
      <c r="F172" s="316"/>
      <c r="G172" s="316"/>
      <c r="H172" s="316"/>
      <c r="I172" s="316"/>
      <c r="J172" s="316"/>
      <c r="K172" s="316" t="s">
        <v>210</v>
      </c>
      <c r="L172" s="1008">
        <v>45883</v>
      </c>
      <c r="M172" s="1008">
        <v>45891</v>
      </c>
      <c r="N172" s="314" t="s">
        <v>254</v>
      </c>
      <c r="O172" s="433"/>
      <c r="P172" s="1089" t="s">
        <v>211</v>
      </c>
    </row>
    <row r="173" spans="1:16" ht="14.5">
      <c r="A173" s="325">
        <f t="shared" si="7"/>
        <v>166</v>
      </c>
      <c r="B173" s="1021" t="s">
        <v>752</v>
      </c>
      <c r="C173" s="843"/>
      <c r="D173" s="843" t="s">
        <v>1670</v>
      </c>
      <c r="E173" s="325"/>
      <c r="F173" s="325"/>
      <c r="G173" s="325"/>
      <c r="H173" s="325"/>
      <c r="I173" s="325"/>
      <c r="J173" s="325"/>
      <c r="K173" s="325" t="s">
        <v>210</v>
      </c>
      <c r="L173" s="1007">
        <v>45873</v>
      </c>
      <c r="M173" s="1008">
        <v>45892</v>
      </c>
      <c r="N173" s="1064" t="s">
        <v>1698</v>
      </c>
      <c r="O173" s="433"/>
      <c r="P173" s="1089" t="s">
        <v>211</v>
      </c>
    </row>
    <row r="174" spans="1:16" ht="14.5">
      <c r="A174" s="325">
        <f t="shared" si="7"/>
        <v>167</v>
      </c>
      <c r="B174" s="1111" t="s">
        <v>774</v>
      </c>
      <c r="C174" s="843"/>
      <c r="D174" s="843" t="s">
        <v>182</v>
      </c>
      <c r="E174" s="325"/>
      <c r="F174" s="325"/>
      <c r="G174" s="325"/>
      <c r="H174" s="325"/>
      <c r="I174" s="325"/>
      <c r="J174" s="325"/>
      <c r="K174" s="325" t="s">
        <v>210</v>
      </c>
      <c r="L174" s="1008">
        <v>45889</v>
      </c>
      <c r="M174" s="1008">
        <v>45892</v>
      </c>
      <c r="N174" s="845" t="s">
        <v>1614</v>
      </c>
      <c r="O174" s="433"/>
      <c r="P174" s="1089" t="s">
        <v>211</v>
      </c>
    </row>
    <row r="175" spans="1:16" ht="14.5">
      <c r="A175" s="325">
        <f t="shared" si="7"/>
        <v>168</v>
      </c>
      <c r="B175" s="316" t="s">
        <v>780</v>
      </c>
      <c r="C175" s="316"/>
      <c r="D175" s="316" t="s">
        <v>182</v>
      </c>
      <c r="E175" s="316"/>
      <c r="F175" s="316"/>
      <c r="G175" s="316"/>
      <c r="H175" s="316"/>
      <c r="I175" s="316"/>
      <c r="J175" s="316"/>
      <c r="K175" s="316" t="s">
        <v>210</v>
      </c>
      <c r="L175" s="1008">
        <v>45890</v>
      </c>
      <c r="M175" s="1008">
        <v>45892</v>
      </c>
      <c r="N175" s="316" t="s">
        <v>1570</v>
      </c>
      <c r="P175" s="1089" t="s">
        <v>211</v>
      </c>
    </row>
    <row r="176" spans="1:16" ht="14.5">
      <c r="A176" s="325">
        <f t="shared" si="7"/>
        <v>169</v>
      </c>
      <c r="B176" s="316" t="s">
        <v>350</v>
      </c>
      <c r="C176" s="316"/>
      <c r="D176" s="316" t="s">
        <v>182</v>
      </c>
      <c r="E176" s="316"/>
      <c r="F176" s="316"/>
      <c r="G176" s="316"/>
      <c r="H176" s="316"/>
      <c r="I176" s="316"/>
      <c r="J176" s="316"/>
      <c r="K176" s="316" t="s">
        <v>210</v>
      </c>
      <c r="L176" s="1008">
        <v>45885</v>
      </c>
      <c r="M176" s="1008">
        <v>45893</v>
      </c>
      <c r="N176" s="316" t="s">
        <v>1697</v>
      </c>
      <c r="O176" s="433"/>
      <c r="P176" s="1089" t="s">
        <v>211</v>
      </c>
    </row>
    <row r="177" spans="1:1023 1279:2047 2303:3071 3327:4095 4351:5119 5375:6143 6399:7167 7423:8191 8447:9215 9471:10239 10495:11263 11519:12287 12543:13311 13567:14335 14591:15359 15615:16127" ht="14.5">
      <c r="A177" s="325">
        <f t="shared" si="7"/>
        <v>170</v>
      </c>
      <c r="B177" s="316" t="s">
        <v>186</v>
      </c>
      <c r="C177" s="316"/>
      <c r="D177" s="316" t="s">
        <v>188</v>
      </c>
      <c r="E177" s="316"/>
      <c r="F177" s="316"/>
      <c r="G177" s="316"/>
      <c r="H177" s="316"/>
      <c r="I177" s="316"/>
      <c r="J177" s="316"/>
      <c r="K177" s="316" t="s">
        <v>210</v>
      </c>
      <c r="L177" s="1093">
        <v>45874</v>
      </c>
      <c r="M177" s="1008">
        <v>45893</v>
      </c>
      <c r="N177" s="316" t="s">
        <v>1699</v>
      </c>
      <c r="O177" s="433"/>
      <c r="P177" s="1089" t="s">
        <v>211</v>
      </c>
    </row>
    <row r="178" spans="1:1023 1279:2047 2303:3071 3327:4095 4351:5119 5375:6143 6399:7167 7423:8191 8447:9215 9471:10239 10495:11263 11519:12287 12543:13311 13567:14335 14591:15359 15615:16127" ht="14.5">
      <c r="A178" s="325">
        <f t="shared" si="7"/>
        <v>171</v>
      </c>
      <c r="B178" s="316" t="s">
        <v>758</v>
      </c>
      <c r="C178" s="316"/>
      <c r="D178" s="316" t="s">
        <v>182</v>
      </c>
      <c r="E178" s="316"/>
      <c r="F178" s="316"/>
      <c r="G178" s="316"/>
      <c r="H178" s="316"/>
      <c r="I178" s="316"/>
      <c r="J178" s="316"/>
      <c r="K178" s="316" t="s">
        <v>210</v>
      </c>
      <c r="L178" s="1008">
        <v>45889</v>
      </c>
      <c r="M178" s="1008">
        <v>45894</v>
      </c>
      <c r="N178" s="1064" t="s">
        <v>1575</v>
      </c>
      <c r="O178" s="433"/>
      <c r="P178" s="1089" t="s">
        <v>211</v>
      </c>
    </row>
    <row r="179" spans="1:1023 1279:2047 2303:3071 3327:4095 4351:5119 5375:6143 6399:7167 7423:8191 8447:9215 9471:10239 10495:11263 11519:12287 12543:13311 13567:14335 14591:15359 15615:16127" ht="14.5">
      <c r="A179" s="325">
        <f t="shared" si="7"/>
        <v>172</v>
      </c>
      <c r="B179" s="845" t="s">
        <v>781</v>
      </c>
      <c r="C179" s="845"/>
      <c r="D179" s="845" t="s">
        <v>182</v>
      </c>
      <c r="E179" s="845"/>
      <c r="F179" s="845"/>
      <c r="G179" s="845"/>
      <c r="H179" s="845"/>
      <c r="I179" s="845"/>
      <c r="J179" s="845"/>
      <c r="K179" s="845" t="s">
        <v>210</v>
      </c>
      <c r="L179" s="1017">
        <v>45891</v>
      </c>
      <c r="M179" s="1008">
        <v>45894</v>
      </c>
      <c r="N179" s="845" t="s">
        <v>1570</v>
      </c>
      <c r="P179" s="1089" t="s">
        <v>211</v>
      </c>
    </row>
    <row r="180" spans="1:1023 1279:2047 2303:3071 3327:4095 4351:5119 5375:6143 6399:7167 7423:8191 8447:9215 9471:10239 10495:11263 11519:12287 12543:13311 13567:14335 14591:15359 15615:16127" s="1113" customFormat="1" ht="15.5">
      <c r="A180" s="1112">
        <f t="shared" si="7"/>
        <v>173</v>
      </c>
      <c r="B180" s="901" t="s">
        <v>327</v>
      </c>
      <c r="C180" s="316"/>
      <c r="D180" s="901" t="s">
        <v>242</v>
      </c>
      <c r="E180" s="839">
        <v>1.86</v>
      </c>
      <c r="F180" s="839">
        <v>12.47</v>
      </c>
      <c r="G180" s="839">
        <v>134.69999999999999</v>
      </c>
      <c r="H180" s="841">
        <v>1.115</v>
      </c>
      <c r="I180" s="839">
        <v>0.29899999999999999</v>
      </c>
      <c r="J180" s="901"/>
      <c r="K180" s="901" t="s">
        <v>210</v>
      </c>
      <c r="L180" s="1059">
        <v>45889</v>
      </c>
      <c r="M180" s="1059">
        <v>45895</v>
      </c>
      <c r="N180" s="901" t="s">
        <v>1696</v>
      </c>
      <c r="O180" s="433"/>
      <c r="P180" s="324" t="s">
        <v>211</v>
      </c>
      <c r="IU180" s="322"/>
      <c r="SQ180" s="322"/>
      <c r="ACM180" s="322"/>
      <c r="AMI180" s="322"/>
      <c r="AWE180" s="322"/>
      <c r="BGA180" s="322"/>
      <c r="BPW180" s="322"/>
      <c r="BZS180" s="322"/>
      <c r="CJO180" s="322"/>
      <c r="CTK180" s="322"/>
      <c r="DDG180" s="322"/>
      <c r="DNC180" s="322"/>
      <c r="DWY180" s="322"/>
      <c r="EGU180" s="322"/>
      <c r="EQQ180" s="322"/>
      <c r="FAM180" s="322"/>
      <c r="FKI180" s="322"/>
      <c r="FUE180" s="322"/>
      <c r="GEA180" s="322"/>
      <c r="GNW180" s="322"/>
      <c r="GXS180" s="322"/>
      <c r="HHO180" s="322"/>
      <c r="HRK180" s="322"/>
      <c r="IBG180" s="322"/>
      <c r="ILC180" s="322"/>
      <c r="IUY180" s="322"/>
      <c r="JEU180" s="322"/>
      <c r="JOQ180" s="322"/>
      <c r="JYM180" s="322"/>
      <c r="KII180" s="322"/>
      <c r="KSE180" s="322"/>
      <c r="LCA180" s="322"/>
      <c r="LLW180" s="322"/>
      <c r="LVS180" s="322"/>
      <c r="MFO180" s="322"/>
      <c r="MPK180" s="322"/>
      <c r="MZG180" s="322"/>
      <c r="NJC180" s="322"/>
      <c r="NSY180" s="322"/>
      <c r="OCU180" s="322"/>
      <c r="OMQ180" s="322"/>
      <c r="OWM180" s="322"/>
      <c r="PGI180" s="322"/>
      <c r="PQE180" s="322"/>
      <c r="QAA180" s="322"/>
      <c r="QJW180" s="322"/>
      <c r="QTS180" s="322"/>
      <c r="RDO180" s="322"/>
      <c r="RNK180" s="322"/>
      <c r="RXG180" s="322"/>
      <c r="SHC180" s="322"/>
      <c r="SQY180" s="322"/>
      <c r="TAU180" s="322"/>
      <c r="TKQ180" s="322"/>
      <c r="TUM180" s="322"/>
      <c r="UEI180" s="322"/>
      <c r="UOE180" s="322"/>
      <c r="UYA180" s="322"/>
      <c r="VHW180" s="322"/>
      <c r="VRS180" s="322"/>
      <c r="WBO180" s="322"/>
      <c r="WLK180" s="322"/>
      <c r="WVG180" s="322"/>
    </row>
    <row r="181" spans="1:1023 1279:2047 2303:3071 3327:4095 4351:5119 5375:6143 6399:7167 7423:8191 8447:9215 9471:10239 10495:11263 11519:12287 12543:13311 13567:14335 14591:15359 15615:16127" ht="14.5">
      <c r="A181" s="325">
        <f t="shared" si="7"/>
        <v>174</v>
      </c>
      <c r="B181" s="316" t="s">
        <v>1358</v>
      </c>
      <c r="C181" s="316"/>
      <c r="D181" s="316" t="s">
        <v>185</v>
      </c>
      <c r="E181" s="316"/>
      <c r="F181" s="316"/>
      <c r="G181" s="316"/>
      <c r="H181" s="316"/>
      <c r="I181" s="316"/>
      <c r="J181" s="316"/>
      <c r="K181" s="316" t="s">
        <v>210</v>
      </c>
      <c r="L181" s="1008">
        <v>45893</v>
      </c>
      <c r="M181" s="1008">
        <v>45895</v>
      </c>
      <c r="N181" s="845" t="s">
        <v>1614</v>
      </c>
      <c r="O181" s="433"/>
      <c r="P181" s="1089" t="s">
        <v>211</v>
      </c>
    </row>
    <row r="182" spans="1:1023 1279:2047 2303:3071 3327:4095 4351:5119 5375:6143 6399:7167 7423:8191 8447:9215 9471:10239 10495:11263 11519:12287 12543:13311 13567:14335 14591:15359 15615:16127" s="1113" customFormat="1" ht="15.5">
      <c r="A182" s="1112">
        <f t="shared" si="7"/>
        <v>175</v>
      </c>
      <c r="B182" s="901" t="s">
        <v>325</v>
      </c>
      <c r="C182" s="316"/>
      <c r="D182" s="901" t="s">
        <v>182</v>
      </c>
      <c r="E182" s="898">
        <v>1.57</v>
      </c>
      <c r="F182" s="898">
        <v>11.05</v>
      </c>
      <c r="G182" s="898">
        <v>115.3</v>
      </c>
      <c r="H182" s="899">
        <v>0.91900000000000004</v>
      </c>
      <c r="I182" s="900">
        <v>0.29899999999999999</v>
      </c>
      <c r="J182" s="901"/>
      <c r="K182" s="901" t="s">
        <v>210</v>
      </c>
      <c r="L182" s="1059">
        <v>45885</v>
      </c>
      <c r="M182" s="1059">
        <v>45896</v>
      </c>
      <c r="N182" s="901" t="s">
        <v>1696</v>
      </c>
      <c r="O182" s="433"/>
      <c r="P182" s="324" t="s">
        <v>211</v>
      </c>
      <c r="IU182" s="322"/>
      <c r="SQ182" s="322"/>
      <c r="ACM182" s="322"/>
      <c r="AMI182" s="322"/>
      <c r="AWE182" s="322"/>
      <c r="BGA182" s="322"/>
      <c r="BPW182" s="322"/>
      <c r="BZS182" s="322"/>
      <c r="CJO182" s="322"/>
      <c r="CTK182" s="322"/>
      <c r="DDG182" s="322"/>
      <c r="DNC182" s="322"/>
      <c r="DWY182" s="322"/>
      <c r="EGU182" s="322"/>
      <c r="EQQ182" s="322"/>
      <c r="FAM182" s="322"/>
      <c r="FKI182" s="322"/>
      <c r="FUE182" s="322"/>
      <c r="GEA182" s="322"/>
      <c r="GNW182" s="322"/>
      <c r="GXS182" s="322"/>
      <c r="HHO182" s="322"/>
      <c r="HRK182" s="322"/>
      <c r="IBG182" s="322"/>
      <c r="ILC182" s="322"/>
      <c r="IUY182" s="322"/>
      <c r="JEU182" s="322"/>
      <c r="JOQ182" s="322"/>
      <c r="JYM182" s="322"/>
      <c r="KII182" s="322"/>
      <c r="KSE182" s="322"/>
      <c r="LCA182" s="322"/>
      <c r="LLW182" s="322"/>
      <c r="LVS182" s="322"/>
      <c r="MFO182" s="322"/>
      <c r="MPK182" s="322"/>
      <c r="MZG182" s="322"/>
      <c r="NJC182" s="322"/>
      <c r="NSY182" s="322"/>
      <c r="OCU182" s="322"/>
      <c r="OMQ182" s="322"/>
      <c r="OWM182" s="322"/>
      <c r="PGI182" s="322"/>
      <c r="PQE182" s="322"/>
      <c r="QAA182" s="322"/>
      <c r="QJW182" s="322"/>
      <c r="QTS182" s="322"/>
      <c r="RDO182" s="322"/>
      <c r="RNK182" s="322"/>
      <c r="RXG182" s="322"/>
      <c r="SHC182" s="322"/>
      <c r="SQY182" s="322"/>
      <c r="TAU182" s="322"/>
      <c r="TKQ182" s="322"/>
      <c r="TUM182" s="322"/>
      <c r="UEI182" s="322"/>
      <c r="UOE182" s="322"/>
      <c r="UYA182" s="322"/>
      <c r="VHW182" s="322"/>
      <c r="VRS182" s="322"/>
      <c r="WBO182" s="322"/>
      <c r="WLK182" s="322"/>
      <c r="WVG182" s="322"/>
    </row>
    <row r="183" spans="1:1023 1279:2047 2303:3071 3327:4095 4351:5119 5375:6143 6399:7167 7423:8191 8447:9215 9471:10239 10495:11263 11519:12287 12543:13311 13567:14335 14591:15359 15615:16127" ht="14.5">
      <c r="A183" s="325">
        <f t="shared" si="7"/>
        <v>176</v>
      </c>
      <c r="B183" s="1064" t="s">
        <v>1679</v>
      </c>
      <c r="C183" s="316"/>
      <c r="D183" s="316" t="s">
        <v>125</v>
      </c>
      <c r="E183" s="316"/>
      <c r="F183" s="316"/>
      <c r="G183" s="316"/>
      <c r="H183" s="316"/>
      <c r="I183" s="316"/>
      <c r="J183" s="316"/>
      <c r="K183" s="316" t="s">
        <v>210</v>
      </c>
      <c r="L183" s="1008">
        <v>45887</v>
      </c>
      <c r="M183" s="1008">
        <v>45897</v>
      </c>
      <c r="N183" s="316" t="s">
        <v>1499</v>
      </c>
      <c r="O183" s="433"/>
      <c r="P183" s="1089" t="s">
        <v>211</v>
      </c>
    </row>
    <row r="184" spans="1:1023 1279:2047 2303:3071 3327:4095 4351:5119 5375:6143 6399:7167 7423:8191 8447:9215 9471:10239 10495:11263 11519:12287 12543:13311 13567:14335 14591:15359 15615:16127" ht="14.5">
      <c r="A184" s="325">
        <f t="shared" si="7"/>
        <v>177</v>
      </c>
      <c r="B184" s="316" t="s">
        <v>187</v>
      </c>
      <c r="C184" s="316"/>
      <c r="D184" s="316" t="s">
        <v>188</v>
      </c>
      <c r="E184" s="316"/>
      <c r="F184" s="316"/>
      <c r="G184" s="316"/>
      <c r="H184" s="316"/>
      <c r="I184" s="316"/>
      <c r="J184" s="316"/>
      <c r="K184" s="316" t="s">
        <v>210</v>
      </c>
      <c r="L184" s="1008">
        <v>45891</v>
      </c>
      <c r="M184" s="1008">
        <v>45897</v>
      </c>
      <c r="N184" s="316" t="s">
        <v>1570</v>
      </c>
      <c r="P184" s="1089" t="s">
        <v>211</v>
      </c>
    </row>
    <row r="185" spans="1:1023 1279:2047 2303:3071 3327:4095 4351:5119 5375:6143 6399:7167 7423:8191 8447:9215 9471:10239 10495:11263 11519:12287 12543:13311 13567:14335 14591:15359 15615:16127" ht="14.5">
      <c r="A185" s="325">
        <f t="shared" si="7"/>
        <v>178</v>
      </c>
      <c r="B185" s="1064" t="s">
        <v>1683</v>
      </c>
      <c r="C185" s="843"/>
      <c r="D185" s="843" t="s">
        <v>125</v>
      </c>
      <c r="E185" s="325"/>
      <c r="F185" s="325"/>
      <c r="G185" s="325"/>
      <c r="H185" s="325"/>
      <c r="I185" s="325"/>
      <c r="J185" s="325"/>
      <c r="K185" s="325" t="s">
        <v>210</v>
      </c>
      <c r="L185" s="1007">
        <v>45893</v>
      </c>
      <c r="M185" s="1008">
        <v>45898</v>
      </c>
      <c r="N185" s="1064" t="s">
        <v>1698</v>
      </c>
      <c r="O185" s="433"/>
      <c r="P185" s="1089" t="s">
        <v>211</v>
      </c>
    </row>
    <row r="186" spans="1:1023 1279:2047 2303:3071 3327:4095 4351:5119 5375:6143 6399:7167 7423:8191 8447:9215 9471:10239 10495:11263 11519:12287 12543:13311 13567:14335 14591:15359 15615:16127" ht="14.5">
      <c r="A186" s="325">
        <f t="shared" si="7"/>
        <v>179</v>
      </c>
      <c r="B186" s="316" t="s">
        <v>1357</v>
      </c>
      <c r="C186" s="316"/>
      <c r="D186" s="316" t="s">
        <v>248</v>
      </c>
      <c r="E186" s="316"/>
      <c r="F186" s="316"/>
      <c r="G186" s="316"/>
      <c r="H186" s="316"/>
      <c r="I186" s="316"/>
      <c r="J186" s="316"/>
      <c r="K186" s="316" t="s">
        <v>210</v>
      </c>
      <c r="L186" s="1008">
        <v>45894</v>
      </c>
      <c r="M186" s="1008">
        <v>45898</v>
      </c>
      <c r="N186" s="845" t="s">
        <v>1614</v>
      </c>
      <c r="O186" s="433"/>
      <c r="P186" s="1089" t="s">
        <v>211</v>
      </c>
    </row>
    <row r="187" spans="1:1023 1279:2047 2303:3071 3327:4095 4351:5119 5375:6143 6399:7167 7423:8191 8447:9215 9471:10239 10495:11263 11519:12287 12543:13311 13567:14335 14591:15359 15615:16127" s="1113" customFormat="1" ht="15.5">
      <c r="A187" s="1112">
        <f t="shared" si="7"/>
        <v>180</v>
      </c>
      <c r="B187" s="901" t="s">
        <v>328</v>
      </c>
      <c r="C187" s="316"/>
      <c r="D187" s="901" t="s">
        <v>242</v>
      </c>
      <c r="E187" s="839">
        <v>1.86</v>
      </c>
      <c r="F187" s="839">
        <v>12.47</v>
      </c>
      <c r="G187" s="839">
        <v>134.69999999999999</v>
      </c>
      <c r="H187" s="841">
        <v>1.115</v>
      </c>
      <c r="I187" s="839">
        <v>0.29899999999999999</v>
      </c>
      <c r="J187" s="901"/>
      <c r="K187" s="901" t="s">
        <v>210</v>
      </c>
      <c r="L187" s="1059">
        <v>45895</v>
      </c>
      <c r="M187" s="1059">
        <v>45900</v>
      </c>
      <c r="N187" s="901" t="s">
        <v>1696</v>
      </c>
      <c r="O187" s="433"/>
      <c r="P187" s="324" t="s">
        <v>211</v>
      </c>
      <c r="IU187" s="322"/>
      <c r="SQ187" s="322"/>
      <c r="ACM187" s="322"/>
      <c r="AMI187" s="322"/>
      <c r="AWE187" s="322"/>
      <c r="BGA187" s="322"/>
      <c r="BPW187" s="322"/>
      <c r="BZS187" s="322"/>
      <c r="CJO187" s="322"/>
      <c r="CTK187" s="322"/>
      <c r="DDG187" s="322"/>
      <c r="DNC187" s="322"/>
      <c r="DWY187" s="322"/>
      <c r="EGU187" s="322"/>
      <c r="EQQ187" s="322"/>
      <c r="FAM187" s="322"/>
      <c r="FKI187" s="322"/>
      <c r="FUE187" s="322"/>
      <c r="GEA187" s="322"/>
      <c r="GNW187" s="322"/>
      <c r="GXS187" s="322"/>
      <c r="HHO187" s="322"/>
      <c r="HRK187" s="322"/>
      <c r="IBG187" s="322"/>
      <c r="ILC187" s="322"/>
      <c r="IUY187" s="322"/>
      <c r="JEU187" s="322"/>
      <c r="JOQ187" s="322"/>
      <c r="JYM187" s="322"/>
      <c r="KII187" s="322"/>
      <c r="KSE187" s="322"/>
      <c r="LCA187" s="322"/>
      <c r="LLW187" s="322"/>
      <c r="LVS187" s="322"/>
      <c r="MFO187" s="322"/>
      <c r="MPK187" s="322"/>
      <c r="MZG187" s="322"/>
      <c r="NJC187" s="322"/>
      <c r="NSY187" s="322"/>
      <c r="OCU187" s="322"/>
      <c r="OMQ187" s="322"/>
      <c r="OWM187" s="322"/>
      <c r="PGI187" s="322"/>
      <c r="PQE187" s="322"/>
      <c r="QAA187" s="322"/>
      <c r="QJW187" s="322"/>
      <c r="QTS187" s="322"/>
      <c r="RDO187" s="322"/>
      <c r="RNK187" s="322"/>
      <c r="RXG187" s="322"/>
      <c r="SHC187" s="322"/>
      <c r="SQY187" s="322"/>
      <c r="TAU187" s="322"/>
      <c r="TKQ187" s="322"/>
      <c r="TUM187" s="322"/>
      <c r="UEI187" s="322"/>
      <c r="UOE187" s="322"/>
      <c r="UYA187" s="322"/>
      <c r="VHW187" s="322"/>
      <c r="VRS187" s="322"/>
      <c r="WBO187" s="322"/>
      <c r="WLK187" s="322"/>
      <c r="WVG187" s="322"/>
    </row>
    <row r="188" spans="1:1023 1279:2047 2303:3071 3327:4095 4351:5119 5375:6143 6399:7167 7423:8191 8447:9215 9471:10239 10495:11263 11519:12287 12543:13311 13567:14335 14591:15359 15615:16127" ht="14.5">
      <c r="A188" s="325">
        <f t="shared" si="7"/>
        <v>181</v>
      </c>
      <c r="B188" s="1064" t="s">
        <v>1680</v>
      </c>
      <c r="C188" s="316"/>
      <c r="D188" s="316" t="s">
        <v>188</v>
      </c>
      <c r="E188" s="316"/>
      <c r="F188" s="316"/>
      <c r="G188" s="316"/>
      <c r="H188" s="316"/>
      <c r="I188" s="316"/>
      <c r="J188" s="316"/>
      <c r="K188" s="316" t="s">
        <v>210</v>
      </c>
      <c r="L188" s="1008">
        <v>45527</v>
      </c>
      <c r="M188" s="1008">
        <v>45900</v>
      </c>
      <c r="N188" s="316" t="s">
        <v>1290</v>
      </c>
      <c r="O188" s="433"/>
      <c r="P188" s="1089" t="s">
        <v>211</v>
      </c>
    </row>
    <row r="189" spans="1:1023 1279:2047 2303:3071 3327:4095 4351:5119 5375:6143 6399:7167 7423:8191 8447:9215 9471:10239 10495:11263 11519:12287 12543:13311 13567:14335 14591:15359 15615:16127" ht="14.5">
      <c r="A189" s="325">
        <f t="shared" si="7"/>
        <v>182</v>
      </c>
      <c r="B189" s="845" t="s">
        <v>1305</v>
      </c>
      <c r="C189" s="316"/>
      <c r="D189" s="316" t="s">
        <v>115</v>
      </c>
      <c r="E189" s="316"/>
      <c r="F189" s="316"/>
      <c r="G189" s="316"/>
      <c r="H189" s="316"/>
      <c r="I189" s="316"/>
      <c r="J189" s="316"/>
      <c r="K189" s="316" t="s">
        <v>292</v>
      </c>
      <c r="L189" s="1008">
        <v>45891</v>
      </c>
      <c r="M189" s="1008">
        <v>45900</v>
      </c>
      <c r="N189" s="316" t="s">
        <v>1704</v>
      </c>
      <c r="O189" s="433"/>
      <c r="P189" s="1089" t="s">
        <v>211</v>
      </c>
    </row>
    <row r="190" spans="1:1023 1279:2047 2303:3071 3327:4095 4351:5119 5375:6143 6399:7167 7423:8191 8447:9215 9471:10239 10495:11263 11519:12287 12543:13311 13567:14335 14591:15359 15615:16127" ht="14.5">
      <c r="A190" s="325">
        <f t="shared" si="7"/>
        <v>183</v>
      </c>
      <c r="B190" s="1114" t="s">
        <v>171</v>
      </c>
      <c r="C190" s="1018"/>
      <c r="D190" s="316" t="s">
        <v>167</v>
      </c>
      <c r="E190" s="316"/>
      <c r="F190" s="316"/>
      <c r="G190" s="316"/>
      <c r="H190" s="316"/>
      <c r="I190" s="316"/>
      <c r="J190" s="316"/>
      <c r="K190" s="316" t="s">
        <v>210</v>
      </c>
      <c r="L190" s="1008">
        <v>45892</v>
      </c>
      <c r="M190" s="1008">
        <v>45900</v>
      </c>
      <c r="N190" s="314" t="s">
        <v>254</v>
      </c>
      <c r="O190" s="433"/>
      <c r="P190" s="1089" t="s">
        <v>211</v>
      </c>
    </row>
    <row r="191" spans="1:1023 1279:2047 2303:3071 3327:4095 4351:5119 5375:6143 6399:7167 7423:8191 8447:9215 9471:10239 10495:11263 11519:12287 12543:13311 13567:14335 14591:15359 15615:16127" ht="14.5">
      <c r="A191" s="325">
        <f t="shared" si="7"/>
        <v>184</v>
      </c>
      <c r="B191" s="316" t="s">
        <v>468</v>
      </c>
      <c r="C191" s="1018"/>
      <c r="D191" s="316" t="s">
        <v>182</v>
      </c>
      <c r="E191" s="316"/>
      <c r="F191" s="316"/>
      <c r="G191" s="316"/>
      <c r="H191" s="316"/>
      <c r="I191" s="316"/>
      <c r="J191" s="316"/>
      <c r="K191" s="316" t="s">
        <v>210</v>
      </c>
      <c r="L191" s="1008">
        <v>45891</v>
      </c>
      <c r="M191" s="1008">
        <v>45900</v>
      </c>
      <c r="N191" s="1064" t="s">
        <v>1695</v>
      </c>
      <c r="O191" s="433"/>
      <c r="P191" s="1089" t="s">
        <v>211</v>
      </c>
    </row>
    <row r="192" spans="1:1023 1279:2047 2303:3071 3327:4095 4351:5119 5375:6143 6399:7167 7423:8191 8447:9215 9471:10239 10495:11263 11519:12287 12543:13311 13567:14335 14591:15359 15615:16127" ht="14.5">
      <c r="A192" s="325">
        <f t="shared" si="7"/>
        <v>185</v>
      </c>
      <c r="B192" s="316" t="s">
        <v>782</v>
      </c>
      <c r="C192" s="1037"/>
      <c r="D192" s="845" t="s">
        <v>182</v>
      </c>
      <c r="E192" s="845"/>
      <c r="F192" s="845"/>
      <c r="G192" s="845"/>
      <c r="H192" s="845"/>
      <c r="I192" s="845"/>
      <c r="J192" s="845"/>
      <c r="K192" s="845" t="s">
        <v>210</v>
      </c>
      <c r="L192" s="1017">
        <v>45895</v>
      </c>
      <c r="M192" s="1017">
        <v>45900</v>
      </c>
      <c r="N192" s="845" t="s">
        <v>1570</v>
      </c>
      <c r="O192" s="1109"/>
      <c r="P192" s="1115" t="s">
        <v>211</v>
      </c>
    </row>
    <row r="193" spans="1:1023 1279:2047 2303:3071 3327:4095 4351:5119 5375:6143 6399:7167 7423:8191 8447:9215 9471:10239 10495:11263 11519:12287 12543:13311 13567:14335 14591:15359 15615:16127" ht="14.5">
      <c r="A193" s="325">
        <f t="shared" si="7"/>
        <v>186</v>
      </c>
      <c r="B193" s="316" t="s">
        <v>760</v>
      </c>
      <c r="C193" s="1018"/>
      <c r="D193" s="316" t="s">
        <v>182</v>
      </c>
      <c r="E193" s="316"/>
      <c r="F193" s="316"/>
      <c r="G193" s="316"/>
      <c r="H193" s="316"/>
      <c r="I193" s="316"/>
      <c r="J193" s="316"/>
      <c r="K193" s="316" t="s">
        <v>210</v>
      </c>
      <c r="L193" s="1008">
        <v>45895</v>
      </c>
      <c r="M193" s="1017">
        <v>45900</v>
      </c>
      <c r="N193" s="1064" t="s">
        <v>1575</v>
      </c>
      <c r="O193" s="316"/>
      <c r="P193" s="1115" t="s">
        <v>211</v>
      </c>
    </row>
    <row r="194" spans="1:1023 1279:2047 2303:3071 3327:4095 4351:5119 5375:6143 6399:7167 7423:8191 8447:9215 9471:10239 10495:11263 11519:12287 12543:13311 13567:14335 14591:15359 15615:16127" ht="14.5">
      <c r="A194" s="325">
        <f t="shared" si="7"/>
        <v>187</v>
      </c>
      <c r="B194" s="1064" t="s">
        <v>1682</v>
      </c>
      <c r="C194" s="1018"/>
      <c r="D194" s="316" t="s">
        <v>125</v>
      </c>
      <c r="E194" s="316"/>
      <c r="F194" s="316"/>
      <c r="G194" s="316"/>
      <c r="H194" s="316"/>
      <c r="I194" s="316"/>
      <c r="J194" s="316"/>
      <c r="K194" s="316" t="s">
        <v>210</v>
      </c>
      <c r="L194" s="1093">
        <v>45894</v>
      </c>
      <c r="M194" s="1017">
        <v>45900</v>
      </c>
      <c r="N194" s="1064" t="s">
        <v>1673</v>
      </c>
      <c r="O194" s="316"/>
      <c r="P194" s="1115" t="s">
        <v>211</v>
      </c>
    </row>
    <row r="195" spans="1:1023 1279:2047 2303:3071 3327:4095 4351:5119 5375:6143 6399:7167 7423:8191 8447:9215 9471:10239 10495:11263 11519:12287 12543:13311 13567:14335 14591:15359 15615:16127" ht="14.5">
      <c r="A195" s="325">
        <f t="shared" si="7"/>
        <v>188</v>
      </c>
      <c r="B195" s="1116" t="s">
        <v>178</v>
      </c>
      <c r="C195" s="1018"/>
      <c r="D195" s="316" t="s">
        <v>125</v>
      </c>
      <c r="E195" s="316"/>
      <c r="F195" s="316"/>
      <c r="G195" s="316"/>
      <c r="H195" s="316"/>
      <c r="I195" s="316"/>
      <c r="J195" s="316"/>
      <c r="K195" s="316" t="s">
        <v>210</v>
      </c>
      <c r="L195" s="1008">
        <v>45900</v>
      </c>
      <c r="M195" s="1008">
        <v>45904</v>
      </c>
      <c r="N195" s="1064" t="s">
        <v>1698</v>
      </c>
      <c r="O195" s="433"/>
      <c r="P195" s="1115" t="s">
        <v>211</v>
      </c>
    </row>
    <row r="196" spans="1:1023 1279:2047 2303:3071 3327:4095 4351:5119 5375:6143 6399:7167 7423:8191 8447:9215 9471:10239 10495:11263 11519:12287 12543:13311 13567:14335 14591:15359 15615:16127" ht="14.5">
      <c r="A196" s="325">
        <f t="shared" si="7"/>
        <v>189</v>
      </c>
      <c r="B196" s="316" t="s">
        <v>1705</v>
      </c>
      <c r="C196" s="1037"/>
      <c r="D196" s="845" t="s">
        <v>1708</v>
      </c>
      <c r="E196" s="845"/>
      <c r="F196" s="845"/>
      <c r="G196" s="845"/>
      <c r="H196" s="845"/>
      <c r="I196" s="845"/>
      <c r="J196" s="845"/>
      <c r="K196" s="845" t="s">
        <v>210</v>
      </c>
      <c r="L196" s="1008">
        <v>45898</v>
      </c>
      <c r="M196" s="1008">
        <v>45905</v>
      </c>
      <c r="N196" s="316" t="s">
        <v>1570</v>
      </c>
      <c r="O196" s="433"/>
      <c r="P196" s="1115" t="s">
        <v>211</v>
      </c>
    </row>
    <row r="197" spans="1:1023 1279:2047 2303:3071 3327:4095 4351:5119 5375:6143 6399:7167 7423:8191 8447:9215 9471:10239 10495:11263 11519:12287 12543:13311 13567:14335 14591:15359 15615:16127" ht="14.5">
      <c r="A197" s="325">
        <f t="shared" si="7"/>
        <v>190</v>
      </c>
      <c r="B197" s="1117" t="s">
        <v>815</v>
      </c>
      <c r="C197" s="1037"/>
      <c r="D197" s="845" t="s">
        <v>182</v>
      </c>
      <c r="E197" s="845"/>
      <c r="F197" s="845"/>
      <c r="G197" s="845"/>
      <c r="H197" s="845"/>
      <c r="I197" s="845"/>
      <c r="J197" s="845"/>
      <c r="K197" s="845" t="s">
        <v>210</v>
      </c>
      <c r="L197" s="1017">
        <v>45901</v>
      </c>
      <c r="M197" s="1017">
        <v>45905</v>
      </c>
      <c r="N197" s="845" t="s">
        <v>1499</v>
      </c>
      <c r="O197" s="1109"/>
      <c r="P197" s="1115" t="s">
        <v>211</v>
      </c>
    </row>
    <row r="198" spans="1:1023 1279:2047 2303:3071 3327:4095 4351:5119 5375:6143 6399:7167 7423:8191 8447:9215 9471:10239 10495:11263 11519:12287 12543:13311 13567:14335 14591:15359 15615:16127" s="1113" customFormat="1" ht="14.5">
      <c r="A198" s="1112">
        <f t="shared" si="7"/>
        <v>191</v>
      </c>
      <c r="B198" s="901" t="s">
        <v>1103</v>
      </c>
      <c r="C198" s="316"/>
      <c r="D198" s="901" t="s">
        <v>132</v>
      </c>
      <c r="E198" s="843">
        <v>1.68</v>
      </c>
      <c r="F198" s="843">
        <v>12.41</v>
      </c>
      <c r="G198" s="843">
        <v>143.4</v>
      </c>
      <c r="H198" s="843">
        <v>1.728</v>
      </c>
      <c r="I198" s="843">
        <v>0.41399999999999998</v>
      </c>
      <c r="J198" s="901"/>
      <c r="K198" s="1060" t="s">
        <v>210</v>
      </c>
      <c r="L198" s="1059">
        <v>45903</v>
      </c>
      <c r="M198" s="1059">
        <v>45910</v>
      </c>
      <c r="N198" s="1060" t="s">
        <v>1696</v>
      </c>
      <c r="O198" s="316"/>
      <c r="P198" s="1118" t="s">
        <v>211</v>
      </c>
      <c r="IU198" s="322"/>
      <c r="SQ198" s="322"/>
      <c r="ACM198" s="322"/>
      <c r="AMI198" s="322"/>
      <c r="AWE198" s="322"/>
      <c r="BGA198" s="322"/>
      <c r="BPW198" s="322"/>
      <c r="BZS198" s="322"/>
      <c r="CJO198" s="322"/>
      <c r="CTK198" s="322"/>
      <c r="DDG198" s="322"/>
      <c r="DNC198" s="322"/>
      <c r="DWY198" s="322"/>
      <c r="EGU198" s="322"/>
      <c r="EQQ198" s="322"/>
      <c r="FAM198" s="322"/>
      <c r="FKI198" s="322"/>
      <c r="FUE198" s="322"/>
      <c r="GEA198" s="322"/>
      <c r="GNW198" s="322"/>
      <c r="GXS198" s="322"/>
      <c r="HHO198" s="322"/>
      <c r="HRK198" s="322"/>
      <c r="IBG198" s="322"/>
      <c r="ILC198" s="322"/>
      <c r="IUY198" s="322"/>
      <c r="JEU198" s="322"/>
      <c r="JOQ198" s="322"/>
      <c r="JYM198" s="322"/>
      <c r="KII198" s="322"/>
      <c r="KSE198" s="322"/>
      <c r="LCA198" s="322"/>
      <c r="LLW198" s="322"/>
      <c r="LVS198" s="322"/>
      <c r="MFO198" s="322"/>
      <c r="MPK198" s="322"/>
      <c r="MZG198" s="322"/>
      <c r="NJC198" s="322"/>
      <c r="NSY198" s="322"/>
      <c r="OCU198" s="322"/>
      <c r="OMQ198" s="322"/>
      <c r="OWM198" s="322"/>
      <c r="PGI198" s="322"/>
      <c r="PQE198" s="322"/>
      <c r="QAA198" s="322"/>
      <c r="QJW198" s="322"/>
      <c r="QTS198" s="322"/>
      <c r="RDO198" s="322"/>
      <c r="RNK198" s="322"/>
      <c r="RXG198" s="322"/>
      <c r="SHC198" s="322"/>
      <c r="SQY198" s="322"/>
      <c r="TAU198" s="322"/>
      <c r="TKQ198" s="322"/>
      <c r="TUM198" s="322"/>
      <c r="UEI198" s="322"/>
      <c r="UOE198" s="322"/>
      <c r="UYA198" s="322"/>
      <c r="VHW198" s="322"/>
      <c r="VRS198" s="322"/>
      <c r="WBO198" s="322"/>
      <c r="WLK198" s="322"/>
      <c r="WVG198" s="322"/>
    </row>
    <row r="199" spans="1:1023 1279:2047 2303:3071 3327:4095 4351:5119 5375:6143 6399:7167 7423:8191 8447:9215 9471:10239 10495:11263 11519:12287 12543:13311 13567:14335 14591:15359 15615:16127" ht="14.5">
      <c r="A199" s="325">
        <f t="shared" si="7"/>
        <v>192</v>
      </c>
      <c r="B199" s="316" t="s">
        <v>741</v>
      </c>
      <c r="C199" s="316"/>
      <c r="D199" s="316" t="s">
        <v>182</v>
      </c>
      <c r="E199" s="316"/>
      <c r="F199" s="316"/>
      <c r="G199" s="316"/>
      <c r="H199" s="316"/>
      <c r="I199" s="316"/>
      <c r="J199" s="316"/>
      <c r="K199" s="845" t="s">
        <v>210</v>
      </c>
      <c r="L199" s="1008">
        <v>45905</v>
      </c>
      <c r="M199" s="1008">
        <v>45910</v>
      </c>
      <c r="N199" s="845" t="s">
        <v>1673</v>
      </c>
      <c r="O199" s="316"/>
      <c r="P199" s="1115" t="s">
        <v>211</v>
      </c>
    </row>
    <row r="200" spans="1:1023 1279:2047 2303:3071 3327:4095 4351:5119 5375:6143 6399:7167 7423:8191 8447:9215 9471:10239 10495:11263 11519:12287 12543:13311 13567:14335 14591:15359 15615:16127" ht="14.5">
      <c r="A200" s="325">
        <f t="shared" si="7"/>
        <v>193</v>
      </c>
      <c r="B200" s="325" t="s">
        <v>151</v>
      </c>
      <c r="C200" s="325"/>
      <c r="D200" s="316" t="s">
        <v>123</v>
      </c>
      <c r="E200" s="325"/>
      <c r="F200" s="325"/>
      <c r="G200" s="325"/>
      <c r="H200" s="325"/>
      <c r="I200" s="325"/>
      <c r="J200" s="325"/>
      <c r="K200" s="845" t="s">
        <v>210</v>
      </c>
      <c r="L200" s="1007">
        <v>45905</v>
      </c>
      <c r="M200" s="1008">
        <v>45912</v>
      </c>
      <c r="N200" s="845" t="s">
        <v>1570</v>
      </c>
      <c r="O200" s="316"/>
      <c r="P200" s="1115" t="s">
        <v>211</v>
      </c>
    </row>
    <row r="201" spans="1:1023 1279:2047 2303:3071 3327:4095 4351:5119 5375:6143 6399:7167 7423:8191 8447:9215 9471:10239 10495:11263 11519:12287 12543:13311 13567:14335 14591:15359 15615:16127" ht="14.5">
      <c r="A201" s="325">
        <f t="shared" si="7"/>
        <v>194</v>
      </c>
      <c r="B201" s="325" t="s">
        <v>160</v>
      </c>
      <c r="C201" s="325"/>
      <c r="D201" s="316" t="s">
        <v>132</v>
      </c>
      <c r="E201" s="325"/>
      <c r="F201" s="325"/>
      <c r="G201" s="325"/>
      <c r="H201" s="325"/>
      <c r="I201" s="325"/>
      <c r="J201" s="325"/>
      <c r="K201" s="845" t="s">
        <v>210</v>
      </c>
      <c r="L201" s="1007">
        <v>45904</v>
      </c>
      <c r="M201" s="1008">
        <v>45912</v>
      </c>
      <c r="N201" s="316" t="s">
        <v>1290</v>
      </c>
      <c r="O201" s="843"/>
      <c r="P201" s="1115" t="s">
        <v>211</v>
      </c>
    </row>
    <row r="202" spans="1:1023 1279:2047 2303:3071 3327:4095 4351:5119 5375:6143 6399:7167 7423:8191 8447:9215 9471:10239 10495:11263 11519:12287 12543:13311 13567:14335 14591:15359 15615:16127" ht="14.5">
      <c r="A202" s="325">
        <f t="shared" ref="A202:A234" si="8">A201+1</f>
        <v>195</v>
      </c>
      <c r="B202" s="325" t="s">
        <v>1706</v>
      </c>
      <c r="C202" s="325"/>
      <c r="D202" s="316" t="s">
        <v>1707</v>
      </c>
      <c r="E202" s="325"/>
      <c r="F202" s="325"/>
      <c r="G202" s="325"/>
      <c r="H202" s="325"/>
      <c r="I202" s="325"/>
      <c r="J202" s="325"/>
      <c r="K202" s="845" t="s">
        <v>210</v>
      </c>
      <c r="L202" s="1007">
        <v>45894</v>
      </c>
      <c r="M202" s="1008">
        <v>45914</v>
      </c>
      <c r="N202" s="845" t="s">
        <v>1697</v>
      </c>
      <c r="O202" s="433"/>
      <c r="P202" s="1115" t="s">
        <v>211</v>
      </c>
    </row>
    <row r="203" spans="1:1023 1279:2047 2303:3071 3327:4095 4351:5119 5375:6143 6399:7167 7423:8191 8447:9215 9471:10239 10495:11263 11519:12287 12543:13311 13567:14335 14591:15359 15615:16127" ht="14.5">
      <c r="A203" s="325">
        <f t="shared" si="8"/>
        <v>196</v>
      </c>
      <c r="B203" s="325" t="s">
        <v>1286</v>
      </c>
      <c r="C203" s="325"/>
      <c r="D203" s="316" t="s">
        <v>182</v>
      </c>
      <c r="E203" s="325"/>
      <c r="F203" s="325"/>
      <c r="G203" s="325"/>
      <c r="H203" s="325"/>
      <c r="I203" s="325"/>
      <c r="J203" s="325"/>
      <c r="K203" s="316" t="s">
        <v>210</v>
      </c>
      <c r="L203" s="1007">
        <v>45906</v>
      </c>
      <c r="M203" s="1008">
        <v>45914</v>
      </c>
      <c r="N203" s="325" t="s">
        <v>1499</v>
      </c>
      <c r="O203" s="433"/>
      <c r="P203" s="1115" t="s">
        <v>211</v>
      </c>
    </row>
    <row r="204" spans="1:1023 1279:2047 2303:3071 3327:4095 4351:5119 5375:6143 6399:7167 7423:8191 8447:9215 9471:10239 10495:11263 11519:12287 12543:13311 13567:14335 14591:15359 15615:16127" ht="14.5">
      <c r="A204" s="325">
        <f t="shared" si="8"/>
        <v>197</v>
      </c>
      <c r="B204" s="325" t="s">
        <v>1721</v>
      </c>
      <c r="C204" s="325"/>
      <c r="D204" s="316" t="s">
        <v>132</v>
      </c>
      <c r="E204" s="325"/>
      <c r="F204" s="325"/>
      <c r="G204" s="325"/>
      <c r="H204" s="325"/>
      <c r="I204" s="325"/>
      <c r="J204" s="325"/>
      <c r="K204" s="845" t="s">
        <v>210</v>
      </c>
      <c r="L204" s="1008">
        <v>45912</v>
      </c>
      <c r="M204" s="1007" t="s">
        <v>1725</v>
      </c>
      <c r="N204" s="845" t="s">
        <v>1570</v>
      </c>
      <c r="P204" s="1115" t="s">
        <v>211</v>
      </c>
    </row>
    <row r="205" spans="1:1023 1279:2047 2303:3071 3327:4095 4351:5119 5375:6143 6399:7167 7423:8191 8447:9215 9471:10239 10495:11263 11519:12287 12543:13311 13567:14335 14591:15359 15615:16127" ht="14.5">
      <c r="A205" s="325">
        <f t="shared" si="8"/>
        <v>198</v>
      </c>
      <c r="B205" s="316" t="s">
        <v>740</v>
      </c>
      <c r="C205" s="316"/>
      <c r="D205" s="316" t="s">
        <v>182</v>
      </c>
      <c r="E205" s="316"/>
      <c r="F205" s="316"/>
      <c r="G205" s="316"/>
      <c r="H205" s="316"/>
      <c r="I205" s="316"/>
      <c r="J205" s="316"/>
      <c r="K205" s="845" t="s">
        <v>210</v>
      </c>
      <c r="L205" s="1008">
        <v>45913</v>
      </c>
      <c r="M205" s="1008" t="s">
        <v>1726</v>
      </c>
      <c r="N205" s="316" t="s">
        <v>1673</v>
      </c>
      <c r="O205" s="433"/>
      <c r="P205" s="1115" t="s">
        <v>211</v>
      </c>
    </row>
    <row r="206" spans="1:1023 1279:2047 2303:3071 3327:4095 4351:5119 5375:6143 6399:7167 7423:8191 8447:9215 9471:10239 10495:11263 11519:12287 12543:13311 13567:14335 14591:15359 15615:16127" s="1113" customFormat="1" ht="14.5">
      <c r="A206" s="325">
        <f t="shared" si="8"/>
        <v>199</v>
      </c>
      <c r="B206" s="316" t="s">
        <v>324</v>
      </c>
      <c r="C206" s="316"/>
      <c r="D206" s="316" t="s">
        <v>132</v>
      </c>
      <c r="E206" s="843">
        <v>1.68</v>
      </c>
      <c r="F206" s="843">
        <v>12.41</v>
      </c>
      <c r="G206" s="843">
        <v>143.4</v>
      </c>
      <c r="H206" s="843">
        <v>1.728</v>
      </c>
      <c r="I206" s="843">
        <v>0.41399999999999998</v>
      </c>
      <c r="J206" s="316"/>
      <c r="K206" s="845" t="s">
        <v>210</v>
      </c>
      <c r="L206" s="1008">
        <v>45912</v>
      </c>
      <c r="M206" s="1008">
        <v>45920</v>
      </c>
      <c r="N206" s="845" t="s">
        <v>1696</v>
      </c>
      <c r="O206" s="322"/>
      <c r="P206" s="1115" t="s">
        <v>211</v>
      </c>
      <c r="IU206" s="322"/>
      <c r="SQ206" s="322"/>
      <c r="ACM206" s="322"/>
      <c r="AMI206" s="322"/>
      <c r="AWE206" s="322"/>
      <c r="BGA206" s="322"/>
      <c r="BPW206" s="322"/>
      <c r="BZS206" s="322"/>
      <c r="CJO206" s="322"/>
      <c r="CTK206" s="322"/>
      <c r="DDG206" s="322"/>
      <c r="DNC206" s="322"/>
      <c r="DWY206" s="322"/>
      <c r="EGU206" s="322"/>
      <c r="EQQ206" s="322"/>
      <c r="FAM206" s="322"/>
      <c r="FKI206" s="322"/>
      <c r="FUE206" s="322"/>
      <c r="GEA206" s="322"/>
      <c r="GNW206" s="322"/>
      <c r="GXS206" s="322"/>
      <c r="HHO206" s="322"/>
      <c r="HRK206" s="322"/>
      <c r="IBG206" s="322"/>
      <c r="ILC206" s="322"/>
      <c r="IUY206" s="322"/>
      <c r="JEU206" s="322"/>
      <c r="JOQ206" s="322"/>
      <c r="JYM206" s="322"/>
      <c r="KII206" s="322"/>
      <c r="KSE206" s="322"/>
      <c r="LCA206" s="322"/>
      <c r="LLW206" s="322"/>
      <c r="LVS206" s="322"/>
      <c r="MFO206" s="322"/>
      <c r="MPK206" s="322"/>
      <c r="MZG206" s="322"/>
      <c r="NJC206" s="322"/>
      <c r="NSY206" s="322"/>
      <c r="OCU206" s="322"/>
      <c r="OMQ206" s="322"/>
      <c r="OWM206" s="322"/>
      <c r="PGI206" s="322"/>
      <c r="PQE206" s="322"/>
      <c r="QAA206" s="322"/>
      <c r="QJW206" s="322"/>
      <c r="QTS206" s="322"/>
      <c r="RDO206" s="322"/>
      <c r="RNK206" s="322"/>
      <c r="RXG206" s="322"/>
      <c r="SHC206" s="322"/>
      <c r="SQY206" s="322"/>
      <c r="TAU206" s="322"/>
      <c r="TKQ206" s="322"/>
      <c r="TUM206" s="322"/>
      <c r="UEI206" s="322"/>
      <c r="UOE206" s="322"/>
      <c r="UYA206" s="322"/>
      <c r="VHW206" s="322"/>
      <c r="VRS206" s="322"/>
      <c r="WBO206" s="322"/>
      <c r="WLK206" s="322"/>
      <c r="WVG206" s="322"/>
    </row>
    <row r="207" spans="1:1023 1279:2047 2303:3071 3327:4095 4351:5119 5375:6143 6399:7167 7423:8191 8447:9215 9471:10239 10495:11263 11519:12287 12543:13311 13567:14335 14591:15359 15615:16127" ht="39">
      <c r="A207" s="325">
        <f t="shared" si="8"/>
        <v>200</v>
      </c>
      <c r="B207" s="325" t="s">
        <v>371</v>
      </c>
      <c r="C207" s="325"/>
      <c r="D207" s="904" t="s">
        <v>1674</v>
      </c>
      <c r="E207" s="325"/>
      <c r="F207" s="325"/>
      <c r="G207" s="325"/>
      <c r="H207" s="325"/>
      <c r="I207" s="325"/>
      <c r="J207" s="325"/>
      <c r="K207" s="845" t="s">
        <v>210</v>
      </c>
      <c r="L207" s="1007">
        <v>45881</v>
      </c>
      <c r="M207" s="1008" t="s">
        <v>1728</v>
      </c>
      <c r="N207" s="325" t="s">
        <v>1668</v>
      </c>
      <c r="O207" s="1108"/>
      <c r="P207" s="1115" t="s">
        <v>211</v>
      </c>
    </row>
    <row r="208" spans="1:1023 1279:2047 2303:3071 3327:4095 4351:5119 5375:6143 6399:7167 7423:8191 8447:9215 9471:10239 10495:11263 11519:12287 12543:13311 13567:14335 14591:15359 15615:16127" ht="14.5">
      <c r="A208" s="325">
        <f t="shared" si="8"/>
        <v>201</v>
      </c>
      <c r="B208" s="325" t="s">
        <v>1716</v>
      </c>
      <c r="C208" s="325"/>
      <c r="D208" s="316" t="s">
        <v>125</v>
      </c>
      <c r="E208" s="325"/>
      <c r="F208" s="325"/>
      <c r="G208" s="325"/>
      <c r="H208" s="325"/>
      <c r="I208" s="325"/>
      <c r="J208" s="325"/>
      <c r="K208" s="845" t="s">
        <v>210</v>
      </c>
      <c r="L208" s="1007">
        <v>45903</v>
      </c>
      <c r="M208" s="1008" t="s">
        <v>1729</v>
      </c>
      <c r="N208" s="325" t="s">
        <v>1614</v>
      </c>
      <c r="O208" s="433"/>
      <c r="P208" s="1115" t="s">
        <v>211</v>
      </c>
    </row>
    <row r="209" spans="1:16" ht="14.5">
      <c r="A209" s="325">
        <f t="shared" si="8"/>
        <v>202</v>
      </c>
      <c r="B209" s="316" t="s">
        <v>1727</v>
      </c>
      <c r="C209" s="316"/>
      <c r="D209" s="316" t="s">
        <v>143</v>
      </c>
      <c r="E209" s="316"/>
      <c r="F209" s="316"/>
      <c r="G209" s="316"/>
      <c r="H209" s="316"/>
      <c r="I209" s="316"/>
      <c r="J209" s="316"/>
      <c r="K209" s="316" t="s">
        <v>210</v>
      </c>
      <c r="L209" s="1008">
        <v>45921</v>
      </c>
      <c r="M209" s="1008">
        <v>45925</v>
      </c>
      <c r="N209" s="316" t="s">
        <v>1570</v>
      </c>
      <c r="P209" s="1115" t="s">
        <v>211</v>
      </c>
    </row>
    <row r="210" spans="1:16" ht="14.5">
      <c r="A210" s="325">
        <f t="shared" si="8"/>
        <v>203</v>
      </c>
      <c r="B210" s="325" t="s">
        <v>761</v>
      </c>
      <c r="C210" s="325"/>
      <c r="D210" s="325" t="s">
        <v>182</v>
      </c>
      <c r="E210" s="325"/>
      <c r="F210" s="325"/>
      <c r="G210" s="325"/>
      <c r="H210" s="325"/>
      <c r="I210" s="325"/>
      <c r="J210" s="325"/>
      <c r="K210" s="845" t="s">
        <v>210</v>
      </c>
      <c r="L210" s="1007">
        <v>45904</v>
      </c>
      <c r="M210" s="1008">
        <v>45925</v>
      </c>
      <c r="N210" s="325" t="s">
        <v>1575</v>
      </c>
      <c r="O210" s="433"/>
      <c r="P210" s="1115" t="s">
        <v>211</v>
      </c>
    </row>
    <row r="211" spans="1:16" ht="19.5" customHeight="1">
      <c r="A211" s="325">
        <f t="shared" si="8"/>
        <v>204</v>
      </c>
      <c r="B211" s="1119" t="s">
        <v>197</v>
      </c>
      <c r="C211" s="845"/>
      <c r="D211" s="845" t="s">
        <v>117</v>
      </c>
      <c r="E211" s="845"/>
      <c r="F211" s="845"/>
      <c r="G211" s="845"/>
      <c r="H211" s="845"/>
      <c r="I211" s="845"/>
      <c r="J211" s="845"/>
      <c r="K211" s="845" t="s">
        <v>292</v>
      </c>
      <c r="L211" s="1017">
        <v>45917</v>
      </c>
      <c r="M211" s="1017">
        <v>45930</v>
      </c>
      <c r="N211" s="1099" t="s">
        <v>1698</v>
      </c>
      <c r="O211" s="1109"/>
      <c r="P211" s="1115" t="s">
        <v>211</v>
      </c>
    </row>
    <row r="212" spans="1:16" ht="14.5">
      <c r="A212" s="325">
        <f t="shared" si="8"/>
        <v>205</v>
      </c>
      <c r="B212" s="325" t="s">
        <v>179</v>
      </c>
      <c r="C212" s="325"/>
      <c r="D212" s="316" t="s">
        <v>115</v>
      </c>
      <c r="E212" s="325"/>
      <c r="F212" s="325"/>
      <c r="G212" s="325"/>
      <c r="H212" s="325"/>
      <c r="I212" s="325"/>
      <c r="J212" s="325"/>
      <c r="K212" s="845" t="s">
        <v>210</v>
      </c>
      <c r="L212" s="1007">
        <v>37510</v>
      </c>
      <c r="M212" s="1017">
        <v>45930</v>
      </c>
      <c r="N212" s="325" t="s">
        <v>1575</v>
      </c>
      <c r="O212" s="433"/>
      <c r="P212" s="1115" t="s">
        <v>211</v>
      </c>
    </row>
    <row r="213" spans="1:16" ht="19.5" customHeight="1">
      <c r="A213" s="325">
        <f t="shared" si="8"/>
        <v>206</v>
      </c>
      <c r="B213" s="316" t="s">
        <v>864</v>
      </c>
      <c r="C213" s="316"/>
      <c r="D213" s="316" t="s">
        <v>115</v>
      </c>
      <c r="E213" s="316"/>
      <c r="F213" s="316"/>
      <c r="G213" s="316"/>
      <c r="H213" s="316"/>
      <c r="I213" s="316"/>
      <c r="J213" s="316"/>
      <c r="K213" s="316" t="s">
        <v>210</v>
      </c>
      <c r="L213" s="1008">
        <v>45922</v>
      </c>
      <c r="M213" s="1017">
        <v>45930</v>
      </c>
      <c r="N213" s="316" t="s">
        <v>1673</v>
      </c>
      <c r="O213" s="433"/>
      <c r="P213" s="1115" t="s">
        <v>211</v>
      </c>
    </row>
    <row r="214" spans="1:16" ht="22" customHeight="1">
      <c r="A214" s="325">
        <f t="shared" si="8"/>
        <v>207</v>
      </c>
      <c r="B214" s="325" t="s">
        <v>1731</v>
      </c>
      <c r="C214" s="325"/>
      <c r="D214" s="316" t="s">
        <v>119</v>
      </c>
      <c r="E214" s="325"/>
      <c r="F214" s="325"/>
      <c r="G214" s="325"/>
      <c r="H214" s="325"/>
      <c r="I214" s="325"/>
      <c r="J214" s="325"/>
      <c r="K214" s="316" t="s">
        <v>292</v>
      </c>
      <c r="L214" s="1007">
        <v>45922</v>
      </c>
      <c r="M214" s="1008">
        <v>45930</v>
      </c>
      <c r="N214" s="325" t="s">
        <v>1614</v>
      </c>
      <c r="O214" s="316"/>
      <c r="P214" s="1089" t="s">
        <v>211</v>
      </c>
    </row>
    <row r="215" spans="1:16" ht="14.5">
      <c r="A215" s="325">
        <f t="shared" si="8"/>
        <v>208</v>
      </c>
      <c r="B215" s="325" t="s">
        <v>775</v>
      </c>
      <c r="C215" s="325"/>
      <c r="D215" s="316" t="s">
        <v>182</v>
      </c>
      <c r="E215" s="325"/>
      <c r="F215" s="325"/>
      <c r="G215" s="325"/>
      <c r="H215" s="325"/>
      <c r="I215" s="325"/>
      <c r="J215" s="325"/>
      <c r="K215" s="316" t="s">
        <v>210</v>
      </c>
      <c r="L215" s="1007">
        <v>45931</v>
      </c>
      <c r="M215" s="1008">
        <v>45941</v>
      </c>
      <c r="N215" s="325" t="s">
        <v>1575</v>
      </c>
      <c r="O215" s="316"/>
      <c r="P215" s="1089" t="s">
        <v>211</v>
      </c>
    </row>
    <row r="216" spans="1:16" ht="14.5">
      <c r="A216" s="325">
        <f t="shared" si="8"/>
        <v>209</v>
      </c>
      <c r="B216" s="325" t="s">
        <v>1367</v>
      </c>
      <c r="C216" s="316"/>
      <c r="D216" s="325" t="s">
        <v>132</v>
      </c>
      <c r="E216" s="316"/>
      <c r="F216" s="316"/>
      <c r="G216" s="316"/>
      <c r="H216" s="316"/>
      <c r="I216" s="316"/>
      <c r="J216" s="316"/>
      <c r="K216" s="325" t="s">
        <v>292</v>
      </c>
      <c r="L216" s="1007">
        <v>45931</v>
      </c>
      <c r="M216" s="1007">
        <v>45943</v>
      </c>
      <c r="N216" s="1064" t="s">
        <v>1673</v>
      </c>
      <c r="O216" s="316"/>
      <c r="P216" s="1089" t="s">
        <v>211</v>
      </c>
    </row>
    <row r="217" spans="1:16" ht="13.5" customHeight="1">
      <c r="A217" s="325">
        <f t="shared" si="8"/>
        <v>210</v>
      </c>
      <c r="B217" s="325" t="s">
        <v>776</v>
      </c>
      <c r="C217" s="325"/>
      <c r="D217" s="316" t="s">
        <v>185</v>
      </c>
      <c r="E217" s="325"/>
      <c r="F217" s="325"/>
      <c r="G217" s="325"/>
      <c r="H217" s="325"/>
      <c r="I217" s="325"/>
      <c r="J217" s="325"/>
      <c r="K217" s="316" t="s">
        <v>210</v>
      </c>
      <c r="L217" s="1007">
        <v>45940</v>
      </c>
      <c r="M217" s="1008">
        <v>45946</v>
      </c>
      <c r="N217" s="325" t="s">
        <v>1575</v>
      </c>
      <c r="O217" s="316"/>
      <c r="P217" s="1089" t="s">
        <v>211</v>
      </c>
    </row>
    <row r="218" spans="1:16" ht="14.5">
      <c r="A218" s="325">
        <f t="shared" si="8"/>
        <v>211</v>
      </c>
      <c r="B218" s="325" t="s">
        <v>288</v>
      </c>
      <c r="C218" s="325"/>
      <c r="D218" s="316" t="s">
        <v>182</v>
      </c>
      <c r="E218" s="325"/>
      <c r="F218" s="325"/>
      <c r="G218" s="325"/>
      <c r="H218" s="325"/>
      <c r="I218" s="325"/>
      <c r="J218" s="325"/>
      <c r="K218" s="316" t="s">
        <v>210</v>
      </c>
      <c r="L218" s="1007">
        <v>45934</v>
      </c>
      <c r="M218" s="1008">
        <v>45946</v>
      </c>
      <c r="N218" s="316" t="s">
        <v>1290</v>
      </c>
      <c r="O218" s="843"/>
      <c r="P218" s="1089" t="s">
        <v>211</v>
      </c>
    </row>
    <row r="219" spans="1:16" ht="14.5">
      <c r="A219" s="325">
        <f t="shared" si="8"/>
        <v>212</v>
      </c>
      <c r="B219" s="325" t="s">
        <v>1304</v>
      </c>
      <c r="C219" s="325"/>
      <c r="D219" s="316" t="s">
        <v>128</v>
      </c>
      <c r="E219" s="325"/>
      <c r="F219" s="325"/>
      <c r="G219" s="325"/>
      <c r="H219" s="325"/>
      <c r="I219" s="325"/>
      <c r="J219" s="325"/>
      <c r="K219" s="316" t="s">
        <v>210</v>
      </c>
      <c r="L219" s="1007">
        <v>45940</v>
      </c>
      <c r="M219" s="1008">
        <v>45949</v>
      </c>
      <c r="N219" s="1064" t="s">
        <v>1754</v>
      </c>
      <c r="O219" s="843"/>
      <c r="P219" s="1089" t="s">
        <v>211</v>
      </c>
    </row>
    <row r="220" spans="1:16" ht="14.5">
      <c r="A220" s="325">
        <f t="shared" si="8"/>
        <v>213</v>
      </c>
      <c r="B220" s="316" t="s">
        <v>195</v>
      </c>
      <c r="C220" s="316"/>
      <c r="D220" s="316" t="s">
        <v>147</v>
      </c>
      <c r="E220" s="316"/>
      <c r="F220" s="316"/>
      <c r="G220" s="316"/>
      <c r="H220" s="316"/>
      <c r="I220" s="316"/>
      <c r="J220" s="316"/>
      <c r="K220" s="316" t="s">
        <v>292</v>
      </c>
      <c r="L220" s="1008">
        <v>45944</v>
      </c>
      <c r="M220" s="1008">
        <v>45949</v>
      </c>
      <c r="N220" s="1064" t="s">
        <v>1673</v>
      </c>
      <c r="O220" s="316"/>
      <c r="P220" s="1089" t="s">
        <v>211</v>
      </c>
    </row>
    <row r="221" spans="1:16" ht="14.5">
      <c r="A221" s="325">
        <f t="shared" si="8"/>
        <v>214</v>
      </c>
      <c r="B221" s="325" t="s">
        <v>368</v>
      </c>
      <c r="C221" s="325"/>
      <c r="D221" s="904" t="s">
        <v>182</v>
      </c>
      <c r="E221" s="325"/>
      <c r="F221" s="325"/>
      <c r="G221" s="325"/>
      <c r="H221" s="325"/>
      <c r="I221" s="325"/>
      <c r="J221" s="325"/>
      <c r="K221" s="316" t="s">
        <v>210</v>
      </c>
      <c r="L221" s="1007">
        <v>45946</v>
      </c>
      <c r="M221" s="1008">
        <v>45960</v>
      </c>
      <c r="N221" s="316" t="s">
        <v>1290</v>
      </c>
      <c r="O221" s="843"/>
      <c r="P221" s="1089" t="s">
        <v>211</v>
      </c>
    </row>
    <row r="222" spans="1:16" ht="14.5">
      <c r="A222" s="325">
        <f t="shared" si="8"/>
        <v>215</v>
      </c>
      <c r="B222" s="1064" t="s">
        <v>1758</v>
      </c>
      <c r="C222" s="316"/>
      <c r="D222" s="316" t="s">
        <v>242</v>
      </c>
      <c r="E222" s="316"/>
      <c r="F222" s="316"/>
      <c r="G222" s="316"/>
      <c r="H222" s="316"/>
      <c r="I222" s="316"/>
      <c r="J222" s="316"/>
      <c r="K222" s="316" t="s">
        <v>210</v>
      </c>
      <c r="L222" s="1008">
        <v>45945</v>
      </c>
      <c r="M222" s="316" t="s">
        <v>1815</v>
      </c>
      <c r="N222" s="316" t="s">
        <v>1575</v>
      </c>
      <c r="O222" s="316"/>
      <c r="P222" s="1089" t="s">
        <v>211</v>
      </c>
    </row>
    <row r="223" spans="1:16" ht="14.5">
      <c r="A223" s="325">
        <f t="shared" si="8"/>
        <v>216</v>
      </c>
      <c r="B223" s="1064" t="s">
        <v>1759</v>
      </c>
      <c r="C223" s="316"/>
      <c r="D223" s="316" t="s">
        <v>119</v>
      </c>
      <c r="E223" s="316"/>
      <c r="F223" s="316"/>
      <c r="G223" s="316"/>
      <c r="H223" s="316"/>
      <c r="I223" s="316"/>
      <c r="J223" s="316"/>
      <c r="K223" s="316" t="s">
        <v>292</v>
      </c>
      <c r="L223" s="1008">
        <v>45946</v>
      </c>
      <c r="M223" s="1008">
        <v>45965</v>
      </c>
      <c r="N223" s="316" t="s">
        <v>232</v>
      </c>
      <c r="O223" s="316"/>
      <c r="P223" s="1089" t="s">
        <v>211</v>
      </c>
    </row>
    <row r="224" spans="1:16" ht="14.5">
      <c r="A224" s="325">
        <f t="shared" si="8"/>
        <v>217</v>
      </c>
      <c r="B224" s="316" t="s">
        <v>369</v>
      </c>
      <c r="C224" s="316"/>
      <c r="D224" s="316" t="s">
        <v>182</v>
      </c>
      <c r="E224" s="316"/>
      <c r="F224" s="316"/>
      <c r="G224" s="316"/>
      <c r="H224" s="316"/>
      <c r="I224" s="316"/>
      <c r="J224" s="316"/>
      <c r="K224" s="316" t="s">
        <v>210</v>
      </c>
      <c r="L224" s="1008">
        <v>45959</v>
      </c>
      <c r="M224" s="1008">
        <v>45968</v>
      </c>
      <c r="N224" s="1064" t="s">
        <v>1290</v>
      </c>
      <c r="O224" s="316"/>
      <c r="P224" s="1089" t="s">
        <v>211</v>
      </c>
    </row>
    <row r="225" spans="1:16" ht="14.5">
      <c r="A225" s="325">
        <f t="shared" si="8"/>
        <v>218</v>
      </c>
      <c r="B225" s="325" t="s">
        <v>383</v>
      </c>
      <c r="C225" s="316"/>
      <c r="D225" s="325" t="s">
        <v>185</v>
      </c>
      <c r="E225" s="316"/>
      <c r="F225" s="316"/>
      <c r="G225" s="316"/>
      <c r="H225" s="316"/>
      <c r="I225" s="316"/>
      <c r="J225" s="316"/>
      <c r="K225" s="316" t="s">
        <v>210</v>
      </c>
      <c r="L225" s="1007">
        <v>45957</v>
      </c>
      <c r="M225" s="1008">
        <v>45969</v>
      </c>
      <c r="N225" s="1064" t="s">
        <v>1570</v>
      </c>
      <c r="O225" s="316"/>
      <c r="P225" s="1089" t="s">
        <v>211</v>
      </c>
    </row>
    <row r="226" spans="1:16" ht="14.5">
      <c r="A226" s="325">
        <f t="shared" si="8"/>
        <v>219</v>
      </c>
      <c r="B226" s="316" t="s">
        <v>196</v>
      </c>
      <c r="C226" s="316"/>
      <c r="D226" s="316" t="s">
        <v>147</v>
      </c>
      <c r="E226" s="316"/>
      <c r="F226" s="316"/>
      <c r="G226" s="316"/>
      <c r="H226" s="316"/>
      <c r="I226" s="316"/>
      <c r="J226" s="316"/>
      <c r="K226" s="316" t="s">
        <v>292</v>
      </c>
      <c r="L226" s="1008">
        <v>45959</v>
      </c>
      <c r="M226" s="1008">
        <v>45969</v>
      </c>
      <c r="N226" s="1064" t="s">
        <v>1673</v>
      </c>
      <c r="O226" s="316"/>
      <c r="P226" s="1089" t="s">
        <v>211</v>
      </c>
    </row>
    <row r="227" spans="1:16" ht="65">
      <c r="A227" s="325">
        <f t="shared" si="8"/>
        <v>220</v>
      </c>
      <c r="B227" s="325" t="s">
        <v>1105</v>
      </c>
      <c r="C227" s="325"/>
      <c r="D227" s="1083" t="s">
        <v>125</v>
      </c>
      <c r="E227" s="325"/>
      <c r="F227" s="325"/>
      <c r="G227" s="325"/>
      <c r="H227" s="325"/>
      <c r="I227" s="325"/>
      <c r="J227" s="325"/>
      <c r="K227" s="316" t="s">
        <v>210</v>
      </c>
      <c r="L227" s="1007">
        <v>45926</v>
      </c>
      <c r="M227" s="1008"/>
      <c r="N227" s="325" t="s">
        <v>1668</v>
      </c>
      <c r="O227" s="843"/>
      <c r="P227" s="1120" t="s">
        <v>1796</v>
      </c>
    </row>
    <row r="228" spans="1:16" ht="39">
      <c r="A228" s="325">
        <f t="shared" si="8"/>
        <v>221</v>
      </c>
      <c r="B228" s="316" t="s">
        <v>156</v>
      </c>
      <c r="C228" s="316"/>
      <c r="D228" s="316" t="s">
        <v>182</v>
      </c>
      <c r="E228" s="316"/>
      <c r="F228" s="316"/>
      <c r="G228" s="316"/>
      <c r="H228" s="316"/>
      <c r="I228" s="316"/>
      <c r="J228" s="316"/>
      <c r="K228" s="316" t="s">
        <v>210</v>
      </c>
      <c r="L228" s="1008">
        <v>45969</v>
      </c>
      <c r="M228" s="1008"/>
      <c r="N228" s="1064" t="s">
        <v>1290</v>
      </c>
      <c r="O228" s="316"/>
      <c r="P228" s="1361" t="s">
        <v>1886</v>
      </c>
    </row>
    <row r="229" spans="1:16">
      <c r="A229" s="325">
        <f t="shared" si="8"/>
        <v>222</v>
      </c>
      <c r="B229" s="325" t="s">
        <v>267</v>
      </c>
      <c r="C229" s="316"/>
      <c r="D229" s="325" t="s">
        <v>182</v>
      </c>
      <c r="E229" s="316"/>
      <c r="F229" s="316"/>
      <c r="G229" s="316"/>
      <c r="H229" s="316"/>
      <c r="I229" s="316"/>
      <c r="J229" s="316"/>
      <c r="K229" s="316" t="s">
        <v>210</v>
      </c>
      <c r="L229" s="1007">
        <v>45959</v>
      </c>
      <c r="M229" s="316"/>
      <c r="N229" s="1064" t="s">
        <v>1570</v>
      </c>
      <c r="O229" s="316"/>
      <c r="P229" s="373" t="s">
        <v>1879</v>
      </c>
    </row>
    <row r="230" spans="1:16" ht="26">
      <c r="A230" s="325">
        <f t="shared" si="8"/>
        <v>223</v>
      </c>
      <c r="B230" s="316" t="s">
        <v>1818</v>
      </c>
      <c r="C230" s="316"/>
      <c r="D230" s="316" t="s">
        <v>115</v>
      </c>
      <c r="E230" s="316"/>
      <c r="F230" s="316"/>
      <c r="G230" s="316"/>
      <c r="H230" s="316"/>
      <c r="I230" s="316"/>
      <c r="J230" s="316"/>
      <c r="K230" s="316" t="s">
        <v>210</v>
      </c>
      <c r="L230" s="1008">
        <v>45965</v>
      </c>
      <c r="M230" s="316"/>
      <c r="N230" s="316" t="s">
        <v>254</v>
      </c>
      <c r="O230" s="316"/>
      <c r="P230" s="1361" t="s">
        <v>1880</v>
      </c>
    </row>
    <row r="231" spans="1:16" ht="39">
      <c r="A231" s="325">
        <f t="shared" si="8"/>
        <v>224</v>
      </c>
      <c r="B231" s="316" t="s">
        <v>1816</v>
      </c>
      <c r="C231" s="316"/>
      <c r="D231" s="316" t="s">
        <v>125</v>
      </c>
      <c r="E231" s="316"/>
      <c r="F231" s="316"/>
      <c r="G231" s="316"/>
      <c r="H231" s="316"/>
      <c r="I231" s="316"/>
      <c r="J231" s="316"/>
      <c r="K231" s="316" t="s">
        <v>210</v>
      </c>
      <c r="L231" s="1008">
        <v>45961</v>
      </c>
      <c r="M231" s="1008"/>
      <c r="N231" s="1064" t="s">
        <v>1570</v>
      </c>
      <c r="O231" s="316"/>
      <c r="P231" s="1361" t="s">
        <v>1886</v>
      </c>
    </row>
    <row r="232" spans="1:16" ht="26">
      <c r="A232" s="325">
        <f t="shared" si="8"/>
        <v>225</v>
      </c>
      <c r="B232" s="316" t="s">
        <v>199</v>
      </c>
      <c r="C232" s="316"/>
      <c r="D232" s="316" t="s">
        <v>125</v>
      </c>
      <c r="E232" s="316"/>
      <c r="F232" s="316"/>
      <c r="G232" s="316"/>
      <c r="H232" s="316"/>
      <c r="I232" s="316"/>
      <c r="J232" s="316"/>
      <c r="K232" s="316" t="s">
        <v>292</v>
      </c>
      <c r="L232" s="1008">
        <v>45964</v>
      </c>
      <c r="M232" s="1008"/>
      <c r="N232" s="1064" t="s">
        <v>1673</v>
      </c>
      <c r="O232" s="316"/>
      <c r="P232" s="1361" t="s">
        <v>1881</v>
      </c>
    </row>
    <row r="233" spans="1:16" ht="26">
      <c r="A233" s="325">
        <f t="shared" si="8"/>
        <v>226</v>
      </c>
      <c r="B233" s="316" t="s">
        <v>747</v>
      </c>
      <c r="C233" s="316"/>
      <c r="D233" s="316" t="s">
        <v>248</v>
      </c>
      <c r="E233" s="316"/>
      <c r="F233" s="316"/>
      <c r="G233" s="316"/>
      <c r="H233" s="316"/>
      <c r="I233" s="316"/>
      <c r="J233" s="316"/>
      <c r="K233" s="316" t="s">
        <v>210</v>
      </c>
      <c r="L233" s="1008"/>
      <c r="M233" s="316"/>
      <c r="N233" s="316" t="s">
        <v>1575</v>
      </c>
      <c r="O233" s="316"/>
      <c r="P233" s="904" t="s">
        <v>1817</v>
      </c>
    </row>
    <row r="234" spans="1:16" ht="26">
      <c r="A234" s="325">
        <f t="shared" si="8"/>
        <v>227</v>
      </c>
      <c r="B234" s="316" t="s">
        <v>786</v>
      </c>
      <c r="C234" s="316"/>
      <c r="D234" s="316" t="s">
        <v>185</v>
      </c>
      <c r="E234" s="316"/>
      <c r="F234" s="316"/>
      <c r="G234" s="316"/>
      <c r="H234" s="316"/>
      <c r="I234" s="316"/>
      <c r="J234" s="316"/>
      <c r="K234" s="316" t="s">
        <v>210</v>
      </c>
      <c r="L234" s="1008">
        <v>45967</v>
      </c>
      <c r="M234" s="316"/>
      <c r="N234" s="316" t="s">
        <v>1575</v>
      </c>
      <c r="O234" s="316"/>
      <c r="P234" s="1361" t="s">
        <v>1887</v>
      </c>
    </row>
    <row r="311" spans="29:29">
      <c r="AC311" s="322">
        <v>185</v>
      </c>
    </row>
    <row r="312" spans="29:29">
      <c r="AC312" s="322">
        <v>5</v>
      </c>
    </row>
  </sheetData>
  <autoFilter ref="A8:P229" xr:uid="{00000000-0001-0000-0700-000000000000}"/>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02" type="noConversion"/>
  <conditionalFormatting sqref="B10:B30 B6:B7">
    <cfRule type="duplicateValues" dxfId="3389" priority="229"/>
  </conditionalFormatting>
  <conditionalFormatting sqref="B76">
    <cfRule type="duplicateValues" dxfId="3388" priority="47"/>
    <cfRule type="duplicateValues" dxfId="3387" priority="48"/>
    <cfRule type="duplicateValues" dxfId="3386" priority="49" stopIfTrue="1"/>
  </conditionalFormatting>
  <conditionalFormatting sqref="B121">
    <cfRule type="duplicateValues" dxfId="3385" priority="43"/>
    <cfRule type="duplicateValues" dxfId="3384" priority="44"/>
    <cfRule type="duplicateValues" dxfId="3383" priority="45" stopIfTrue="1"/>
  </conditionalFormatting>
  <conditionalFormatting sqref="B142">
    <cfRule type="duplicateValues" dxfId="3382" priority="36"/>
    <cfRule type="duplicateValues" dxfId="3381" priority="37"/>
    <cfRule type="duplicateValues" dxfId="3380" priority="38" stopIfTrue="1"/>
  </conditionalFormatting>
  <conditionalFormatting sqref="B143">
    <cfRule type="duplicateValues" dxfId="3379" priority="33" stopIfTrue="1"/>
    <cfRule type="duplicateValues" dxfId="3378" priority="34"/>
    <cfRule type="duplicateValues" dxfId="3377" priority="35"/>
  </conditionalFormatting>
  <conditionalFormatting sqref="B162">
    <cfRule type="duplicateValues" dxfId="3376" priority="40"/>
    <cfRule type="duplicateValues" dxfId="3375" priority="41"/>
    <cfRule type="duplicateValues" dxfId="3374" priority="42" stopIfTrue="1"/>
  </conditionalFormatting>
  <conditionalFormatting sqref="B193 B191">
    <cfRule type="duplicateValues" dxfId="3373" priority="5391"/>
    <cfRule type="duplicateValues" dxfId="3372" priority="5392"/>
    <cfRule type="duplicateValues" dxfId="3371" priority="5393" stopIfTrue="1"/>
  </conditionalFormatting>
  <conditionalFormatting sqref="B197 B195">
    <cfRule type="duplicateValues" dxfId="3370" priority="22"/>
    <cfRule type="duplicateValues" dxfId="3369" priority="23"/>
  </conditionalFormatting>
  <conditionalFormatting sqref="B209">
    <cfRule type="duplicateValues" dxfId="3368" priority="7414"/>
    <cfRule type="duplicateValues" dxfId="3367" priority="7415"/>
    <cfRule type="duplicateValues" dxfId="3366" priority="7416" stopIfTrue="1"/>
  </conditionalFormatting>
  <conditionalFormatting sqref="B211">
    <cfRule type="duplicateValues" dxfId="3365" priority="9"/>
    <cfRule type="duplicateValues" dxfId="3364" priority="10"/>
  </conditionalFormatting>
  <conditionalFormatting sqref="B220 N205 B189 B144 B77:B99 B6:B7 B101 B103 B105:B108 B111:B113 B10:B75 B115:B120 B122:B128 B131:B133 B135:B138 B140:B141 B146:B149 B151:B152 B155:B157 B159:B160 B163:B165 B168:B171 B175:B182 B186:B187 B192 B184 B196 M204 N203 B198:C208 E199:J205 N207:N208 N210 B210:C210 E210:J210 J198 E207:J208 J206 N212:N215 N217 B212:C217 E212:J217 B228:B65247 B224:B226">
    <cfRule type="duplicateValues" dxfId="3363" priority="7461" stopIfTrue="1"/>
  </conditionalFormatting>
  <conditionalFormatting sqref="B228:B1048576 B224:B226 B220 N205 B189 B144 B77:B99 B6:B7 B101 B103 B105:B108 B111:B113 B115:B120 B122:B128 B10:B75 B131:B133 B135:B138 B140:B141 B146:B149 B151:B152 B155:B157 B159:B160 B163:B165 B168:B171 B175:B182 B186:B187 B192 B184 B196 M204 N203 B198:C208 E199:J205 N207:N208 N210 B210:C210 E210:J210 J198 E207:J208 J206 N212:N215 N217 B212:C217 E212:J217">
    <cfRule type="duplicateValues" dxfId="3362" priority="7318"/>
  </conditionalFormatting>
  <conditionalFormatting sqref="B228:B1048576 B224:B226 B220 N205 B189 B144 B77:B99 B101 B103 B105:B108 B111:B113 B115:B120 B122:B128 B1:B75 B131:B133 B135:B138 B140:B141 B146:B149 B151:B152 B155:B157 B159:B160 B163:B165 B168:B171 B175:B182 B186:B187 B192 B184 B196 M204 N203 B198:C208 E199:J205 N207:N208 N210 B210:C210 E210:J210 J198 E207:J208 J206 N212:N215 N217 B212:C217 E212:J217">
    <cfRule type="duplicateValues" dxfId="3361" priority="7364"/>
  </conditionalFormatting>
  <conditionalFormatting sqref="B218:C219 E218:J219">
    <cfRule type="duplicateValues" dxfId="3360" priority="11351" stopIfTrue="1"/>
    <cfRule type="duplicateValues" dxfId="3359" priority="11352"/>
    <cfRule type="duplicateValues" dxfId="3358" priority="11353"/>
  </conditionalFormatting>
  <conditionalFormatting sqref="B221:C221 B227:C227 E221:J221 E227:J227 N227">
    <cfRule type="duplicateValues" dxfId="3357" priority="7630" stopIfTrue="1"/>
    <cfRule type="duplicateValues" dxfId="3356" priority="7631"/>
    <cfRule type="duplicateValues" dxfId="3355" priority="7632"/>
  </conditionalFormatting>
  <conditionalFormatting sqref="C8:C9">
    <cfRule type="duplicateValues" dxfId="3354" priority="76"/>
    <cfRule type="duplicateValues" dxfId="3353" priority="77"/>
    <cfRule type="duplicateValues" dxfId="3352" priority="78" stopIfTrue="1"/>
  </conditionalFormatting>
  <conditionalFormatting sqref="C29 J29 O29">
    <cfRule type="duplicateValues" dxfId="3351" priority="58"/>
    <cfRule type="duplicateValues" dxfId="3350" priority="59"/>
    <cfRule type="duplicateValues" dxfId="3349" priority="60" stopIfTrue="1"/>
  </conditionalFormatting>
  <conditionalFormatting sqref="D9 J9:K9">
    <cfRule type="duplicateValues" dxfId="3348" priority="73"/>
    <cfRule type="duplicateValues" dxfId="3347" priority="74"/>
    <cfRule type="duplicateValues" dxfId="3346" priority="75" stopIfTrue="1"/>
  </conditionalFormatting>
  <conditionalFormatting sqref="D14">
    <cfRule type="duplicateValues" dxfId="3345" priority="64"/>
    <cfRule type="duplicateValues" dxfId="3344" priority="65"/>
    <cfRule type="duplicateValues" dxfId="3343" priority="66" stopIfTrue="1"/>
  </conditionalFormatting>
  <conditionalFormatting sqref="D15">
    <cfRule type="duplicateValues" dxfId="3342" priority="61"/>
    <cfRule type="duplicateValues" dxfId="3341" priority="62"/>
    <cfRule type="duplicateValues" dxfId="3340" priority="63" stopIfTrue="1"/>
  </conditionalFormatting>
  <conditionalFormatting sqref="D20">
    <cfRule type="duplicateValues" dxfId="3339" priority="150"/>
    <cfRule type="duplicateValues" dxfId="3338" priority="151"/>
    <cfRule type="duplicateValues" dxfId="3337" priority="152" stopIfTrue="1"/>
  </conditionalFormatting>
  <conditionalFormatting sqref="N227 B220 B211 N205 B1:B197 M204 N203 B198:C208 E199:J205 N207:N208 B209 N210 B210:C210 E210:J210 J198 E207:J208 J206 N212:N215 N217 B212:C219 B221:C221 B227:C227 E212:J219 E221:J221 E227:J227 B228:B1048576 B224:B226">
    <cfRule type="duplicateValues" dxfId="3336" priority="7220"/>
  </conditionalFormatting>
  <conditionalFormatting sqref="N227 B220 N205 B189 B1:B128 B130:B133 B135:B157 B159:B165 B168:B171 B173 B175:B182 B186:B187 B184 B191:B193 B196 M204 N203 B198:C208 E199:J205 N207:N208 B209 N210 B210:C210 E210:J210 J198 E207:J208 J206 N212:N215 N217 B212:C219 B221:C221 B227:C227 E212:J219 E221:J221 E227:J227 B228:B1048576 B224:B226">
    <cfRule type="duplicateValues" dxfId="3335" priority="7246"/>
    <cfRule type="duplicateValues" dxfId="3334" priority="7247"/>
  </conditionalFormatting>
  <dataValidations count="1">
    <dataValidation type="list" allowBlank="1" showInputMessage="1" showErrorMessage="1" sqref="C65304:C65312 C130840:C130848 C196376:C196384 C261912:C261920 C327448:C327456 C392984:C392992 C458520:C458528 C524056:C524064 C589592:C589600 C655128:C655136 C720664:C720672 C786200:C786208 C851736:C851744 C917272:C917280 C982808:C982816 IN65269:IN65277 IN130805:IN130813 IN196341:IN196349 IN261877:IN261885 IN327413:IN327421 IN392949:IN392957 IN458485:IN458493 IN524021:IN524029 IN589557:IN589565 IN655093:IN655101 IN720629:IN720637 IN786165:IN786173 IN851701:IN851709 IN917237:IN917245 IN982773:IN982781 SJ65269:SJ65277 SJ130805:SJ130813 SJ196341:SJ196349 SJ261877:SJ261885 SJ327413:SJ327421 SJ392949:SJ392957 SJ458485:SJ458493 SJ524021:SJ524029 SJ589557:SJ589565 SJ655093:SJ655101 SJ720629:SJ720637 SJ786165:SJ786173 SJ851701:SJ851709 SJ917237:SJ917245 SJ982773:SJ982781 ACF65269:ACF65277 ACF130805:ACF130813 ACF196341:ACF196349 ACF261877:ACF261885 ACF327413:ACF327421 ACF392949:ACF392957 ACF458485:ACF458493 ACF524021:ACF524029 ACF589557:ACF589565 ACF655093:ACF655101 ACF720629:ACF720637 ACF786165:ACF786173 ACF851701:ACF851709 ACF917237:ACF917245 ACF982773:ACF982781 AMB65269:AMB65277 AMB130805:AMB130813 AMB196341:AMB196349 AMB261877:AMB261885 AMB327413:AMB327421 AMB392949:AMB392957 AMB458485:AMB458493 AMB524021:AMB524029 AMB589557:AMB589565 AMB655093:AMB655101 AMB720629:AMB720637 AMB786165:AMB786173 AMB851701:AMB851709 AMB917237:AMB917245 AMB982773:AMB982781 AVX65269:AVX65277 AVX130805:AVX130813 AVX196341:AVX196349 AVX261877:AVX261885 AVX327413:AVX327421 AVX392949:AVX392957 AVX458485:AVX458493 AVX524021:AVX524029 AVX589557:AVX589565 AVX655093:AVX655101 AVX720629:AVX720637 AVX786165:AVX786173 AVX851701:AVX851709 AVX917237:AVX917245 AVX982773:AVX982781 BFT65269:BFT65277 BFT130805:BFT130813 BFT196341:BFT196349 BFT261877:BFT261885 BFT327413:BFT327421 BFT392949:BFT392957 BFT458485:BFT458493 BFT524021:BFT524029 BFT589557:BFT589565 BFT655093:BFT655101 BFT720629:BFT720637 BFT786165:BFT786173 BFT851701:BFT851709 BFT917237:BFT917245 BFT982773:BFT982781 BPP65269:BPP65277 BPP130805:BPP130813 BPP196341:BPP196349 BPP261877:BPP261885 BPP327413:BPP327421 BPP392949:BPP392957 BPP458485:BPP458493 BPP524021:BPP524029 BPP589557:BPP589565 BPP655093:BPP655101 BPP720629:BPP720637 BPP786165:BPP786173 BPP851701:BPP851709 BPP917237:BPP917245 BPP982773:BPP982781 BZL65269:BZL65277 BZL130805:BZL130813 BZL196341:BZL196349 BZL261877:BZL261885 BZL327413:BZL327421 BZL392949:BZL392957 BZL458485:BZL458493 BZL524021:BZL524029 BZL589557:BZL589565 BZL655093:BZL655101 BZL720629:BZL720637 BZL786165:BZL786173 BZL851701:BZL851709 BZL917237:BZL917245 BZL982773:BZL982781 CJH65269:CJH65277 CJH130805:CJH130813 CJH196341:CJH196349 CJH261877:CJH261885 CJH327413:CJH327421 CJH392949:CJH392957 CJH458485:CJH458493 CJH524021:CJH524029 CJH589557:CJH589565 CJH655093:CJH655101 CJH720629:CJH720637 CJH786165:CJH786173 CJH851701:CJH851709 CJH917237:CJH917245 CJH982773:CJH982781 CTD65269:CTD65277 CTD130805:CTD130813 CTD196341:CTD196349 CTD261877:CTD261885 CTD327413:CTD327421 CTD392949:CTD392957 CTD458485:CTD458493 CTD524021:CTD524029 CTD589557:CTD589565 CTD655093:CTD655101 CTD720629:CTD720637 CTD786165:CTD786173 CTD851701:CTD851709 CTD917237:CTD917245 CTD982773:CTD982781 DCZ65269:DCZ65277 DCZ130805:DCZ130813 DCZ196341:DCZ196349 DCZ261877:DCZ261885 DCZ327413:DCZ327421 DCZ392949:DCZ392957 DCZ458485:DCZ458493 DCZ524021:DCZ524029 DCZ589557:DCZ589565 DCZ655093:DCZ655101 DCZ720629:DCZ720637 DCZ786165:DCZ786173 DCZ851701:DCZ851709 DCZ917237:DCZ917245 DCZ982773:DCZ982781 DMV65269:DMV65277 DMV130805:DMV130813 DMV196341:DMV196349 DMV261877:DMV261885 DMV327413:DMV327421 DMV392949:DMV392957 DMV458485:DMV458493 DMV524021:DMV524029 DMV589557:DMV589565 DMV655093:DMV655101 DMV720629:DMV720637 DMV786165:DMV786173 DMV851701:DMV851709 DMV917237:DMV917245 DMV982773:DMV982781 DWR65269:DWR65277 DWR130805:DWR130813 DWR196341:DWR196349 DWR261877:DWR261885 DWR327413:DWR327421 DWR392949:DWR392957 DWR458485:DWR458493 DWR524021:DWR524029 DWR589557:DWR589565 DWR655093:DWR655101 DWR720629:DWR720637 DWR786165:DWR786173 DWR851701:DWR851709 DWR917237:DWR917245 DWR982773:DWR982781 EGN65269:EGN65277 EGN130805:EGN130813 EGN196341:EGN196349 EGN261877:EGN261885 EGN327413:EGN327421 EGN392949:EGN392957 EGN458485:EGN458493 EGN524021:EGN524029 EGN589557:EGN589565 EGN655093:EGN655101 EGN720629:EGN720637 EGN786165:EGN786173 EGN851701:EGN851709 EGN917237:EGN917245 EGN982773:EGN982781 EQJ65269:EQJ65277 EQJ130805:EQJ130813 EQJ196341:EQJ196349 EQJ261877:EQJ261885 EQJ327413:EQJ327421 EQJ392949:EQJ392957 EQJ458485:EQJ458493 EQJ524021:EQJ524029 EQJ589557:EQJ589565 EQJ655093:EQJ655101 EQJ720629:EQJ720637 EQJ786165:EQJ786173 EQJ851701:EQJ851709 EQJ917237:EQJ917245 EQJ982773:EQJ982781 FAF65269:FAF65277 FAF130805:FAF130813 FAF196341:FAF196349 FAF261877:FAF261885 FAF327413:FAF327421 FAF392949:FAF392957 FAF458485:FAF458493 FAF524021:FAF524029 FAF589557:FAF589565 FAF655093:FAF655101 FAF720629:FAF720637 FAF786165:FAF786173 FAF851701:FAF851709 FAF917237:FAF917245 FAF982773:FAF982781 FKB65269:FKB65277 FKB130805:FKB130813 FKB196341:FKB196349 FKB261877:FKB261885 FKB327413:FKB327421 FKB392949:FKB392957 FKB458485:FKB458493 FKB524021:FKB524029 FKB589557:FKB589565 FKB655093:FKB655101 FKB720629:FKB720637 FKB786165:FKB786173 FKB851701:FKB851709 FKB917237:FKB917245 FKB982773:FKB982781 FTX65269:FTX65277 FTX130805:FTX130813 FTX196341:FTX196349 FTX261877:FTX261885 FTX327413:FTX327421 FTX392949:FTX392957 FTX458485:FTX458493 FTX524021:FTX524029 FTX589557:FTX589565 FTX655093:FTX655101 FTX720629:FTX720637 FTX786165:FTX786173 FTX851701:FTX851709 FTX917237:FTX917245 FTX982773:FTX982781 GDT65269:GDT65277 GDT130805:GDT130813 GDT196341:GDT196349 GDT261877:GDT261885 GDT327413:GDT327421 GDT392949:GDT392957 GDT458485:GDT458493 GDT524021:GDT524029 GDT589557:GDT589565 GDT655093:GDT655101 GDT720629:GDT720637 GDT786165:GDT786173 GDT851701:GDT851709 GDT917237:GDT917245 GDT982773:GDT982781 GNP65269:GNP65277 GNP130805:GNP130813 GNP196341:GNP196349 GNP261877:GNP261885 GNP327413:GNP327421 GNP392949:GNP392957 GNP458485:GNP458493 GNP524021:GNP524029 GNP589557:GNP589565 GNP655093:GNP655101 GNP720629:GNP720637 GNP786165:GNP786173 GNP851701:GNP851709 GNP917237:GNP917245 GNP982773:GNP982781 GXL65269:GXL65277 GXL130805:GXL130813 GXL196341:GXL196349 GXL261877:GXL261885 GXL327413:GXL327421 GXL392949:GXL392957 GXL458485:GXL458493 GXL524021:GXL524029 GXL589557:GXL589565 GXL655093:GXL655101 GXL720629:GXL720637 GXL786165:GXL786173 GXL851701:GXL851709 GXL917237:GXL917245 GXL982773:GXL982781 HHH65269:HHH65277 HHH130805:HHH130813 HHH196341:HHH196349 HHH261877:HHH261885 HHH327413:HHH327421 HHH392949:HHH392957 HHH458485:HHH458493 HHH524021:HHH524029 HHH589557:HHH589565 HHH655093:HHH655101 HHH720629:HHH720637 HHH786165:HHH786173 HHH851701:HHH851709 HHH917237:HHH917245 HHH982773:HHH982781 HRD65269:HRD65277 HRD130805:HRD130813 HRD196341:HRD196349 HRD261877:HRD261885 HRD327413:HRD327421 HRD392949:HRD392957 HRD458485:HRD458493 HRD524021:HRD524029 HRD589557:HRD589565 HRD655093:HRD655101 HRD720629:HRD720637 HRD786165:HRD786173 HRD851701:HRD851709 HRD917237:HRD917245 HRD982773:HRD982781 IAZ65269:IAZ65277 IAZ130805:IAZ130813 IAZ196341:IAZ196349 IAZ261877:IAZ261885 IAZ327413:IAZ327421 IAZ392949:IAZ392957 IAZ458485:IAZ458493 IAZ524021:IAZ524029 IAZ589557:IAZ589565 IAZ655093:IAZ655101 IAZ720629:IAZ720637 IAZ786165:IAZ786173 IAZ851701:IAZ851709 IAZ917237:IAZ917245 IAZ982773:IAZ982781 IKV65269:IKV65277 IKV130805:IKV130813 IKV196341:IKV196349 IKV261877:IKV261885 IKV327413:IKV327421 IKV392949:IKV392957 IKV458485:IKV458493 IKV524021:IKV524029 IKV589557:IKV589565 IKV655093:IKV655101 IKV720629:IKV720637 IKV786165:IKV786173 IKV851701:IKV851709 IKV917237:IKV917245 IKV982773:IKV982781 IUR65269:IUR65277 IUR130805:IUR130813 IUR196341:IUR196349 IUR261877:IUR261885 IUR327413:IUR327421 IUR392949:IUR392957 IUR458485:IUR458493 IUR524021:IUR524029 IUR589557:IUR589565 IUR655093:IUR655101 IUR720629:IUR720637 IUR786165:IUR786173 IUR851701:IUR851709 IUR917237:IUR917245 IUR982773:IUR982781 JEN65269:JEN65277 JEN130805:JEN130813 JEN196341:JEN196349 JEN261877:JEN261885 JEN327413:JEN327421 JEN392949:JEN392957 JEN458485:JEN458493 JEN524021:JEN524029 JEN589557:JEN589565 JEN655093:JEN655101 JEN720629:JEN720637 JEN786165:JEN786173 JEN851701:JEN851709 JEN917237:JEN917245 JEN982773:JEN982781 JOJ65269:JOJ65277 JOJ130805:JOJ130813 JOJ196341:JOJ196349 JOJ261877:JOJ261885 JOJ327413:JOJ327421 JOJ392949:JOJ392957 JOJ458485:JOJ458493 JOJ524021:JOJ524029 JOJ589557:JOJ589565 JOJ655093:JOJ655101 JOJ720629:JOJ720637 JOJ786165:JOJ786173 JOJ851701:JOJ851709 JOJ917237:JOJ917245 JOJ982773:JOJ982781 JYF65269:JYF65277 JYF130805:JYF130813 JYF196341:JYF196349 JYF261877:JYF261885 JYF327413:JYF327421 JYF392949:JYF392957 JYF458485:JYF458493 JYF524021:JYF524029 JYF589557:JYF589565 JYF655093:JYF655101 JYF720629:JYF720637 JYF786165:JYF786173 JYF851701:JYF851709 JYF917237:JYF917245 JYF982773:JYF982781 KIB65269:KIB65277 KIB130805:KIB130813 KIB196341:KIB196349 KIB261877:KIB261885 KIB327413:KIB327421 KIB392949:KIB392957 KIB458485:KIB458493 KIB524021:KIB524029 KIB589557:KIB589565 KIB655093:KIB655101 KIB720629:KIB720637 KIB786165:KIB786173 KIB851701:KIB851709 KIB917237:KIB917245 KIB982773:KIB982781 KRX65269:KRX65277 KRX130805:KRX130813 KRX196341:KRX196349 KRX261877:KRX261885 KRX327413:KRX327421 KRX392949:KRX392957 KRX458485:KRX458493 KRX524021:KRX524029 KRX589557:KRX589565 KRX655093:KRX655101 KRX720629:KRX720637 KRX786165:KRX786173 KRX851701:KRX851709 KRX917237:KRX917245 KRX982773:KRX982781 LBT65269:LBT65277 LBT130805:LBT130813 LBT196341:LBT196349 LBT261877:LBT261885 LBT327413:LBT327421 LBT392949:LBT392957 LBT458485:LBT458493 LBT524021:LBT524029 LBT589557:LBT589565 LBT655093:LBT655101 LBT720629:LBT720637 LBT786165:LBT786173 LBT851701:LBT851709 LBT917237:LBT917245 LBT982773:LBT982781 LLP65269:LLP65277 LLP130805:LLP130813 LLP196341:LLP196349 LLP261877:LLP261885 LLP327413:LLP327421 LLP392949:LLP392957 LLP458485:LLP458493 LLP524021:LLP524029 LLP589557:LLP589565 LLP655093:LLP655101 LLP720629:LLP720637 LLP786165:LLP786173 LLP851701:LLP851709 LLP917237:LLP917245 LLP982773:LLP982781 LVL65269:LVL65277 LVL130805:LVL130813 LVL196341:LVL196349 LVL261877:LVL261885 LVL327413:LVL327421 LVL392949:LVL392957 LVL458485:LVL458493 LVL524021:LVL524029 LVL589557:LVL589565 LVL655093:LVL655101 LVL720629:LVL720637 LVL786165:LVL786173 LVL851701:LVL851709 LVL917237:LVL917245 LVL982773:LVL982781 MFH65269:MFH65277 MFH130805:MFH130813 MFH196341:MFH196349 MFH261877:MFH261885 MFH327413:MFH327421 MFH392949:MFH392957 MFH458485:MFH458493 MFH524021:MFH524029 MFH589557:MFH589565 MFH655093:MFH655101 MFH720629:MFH720637 MFH786165:MFH786173 MFH851701:MFH851709 MFH917237:MFH917245 MFH982773:MFH982781 MPD65269:MPD65277 MPD130805:MPD130813 MPD196341:MPD196349 MPD261877:MPD261885 MPD327413:MPD327421 MPD392949:MPD392957 MPD458485:MPD458493 MPD524021:MPD524029 MPD589557:MPD589565 MPD655093:MPD655101 MPD720629:MPD720637 MPD786165:MPD786173 MPD851701:MPD851709 MPD917237:MPD917245 MPD982773:MPD982781 MYZ65269:MYZ65277 MYZ130805:MYZ130813 MYZ196341:MYZ196349 MYZ261877:MYZ261885 MYZ327413:MYZ327421 MYZ392949:MYZ392957 MYZ458485:MYZ458493 MYZ524021:MYZ524029 MYZ589557:MYZ589565 MYZ655093:MYZ655101 MYZ720629:MYZ720637 MYZ786165:MYZ786173 MYZ851701:MYZ851709 MYZ917237:MYZ917245 MYZ982773:MYZ982781 NIV65269:NIV65277 NIV130805:NIV130813 NIV196341:NIV196349 NIV261877:NIV261885 NIV327413:NIV327421 NIV392949:NIV392957 NIV458485:NIV458493 NIV524021:NIV524029 NIV589557:NIV589565 NIV655093:NIV655101 NIV720629:NIV720637 NIV786165:NIV786173 NIV851701:NIV851709 NIV917237:NIV917245 NIV982773:NIV982781 NSR65269:NSR65277 NSR130805:NSR130813 NSR196341:NSR196349 NSR261877:NSR261885 NSR327413:NSR327421 NSR392949:NSR392957 NSR458485:NSR458493 NSR524021:NSR524029 NSR589557:NSR589565 NSR655093:NSR655101 NSR720629:NSR720637 NSR786165:NSR786173 NSR851701:NSR851709 NSR917237:NSR917245 NSR982773:NSR982781 OCN65269:OCN65277 OCN130805:OCN130813 OCN196341:OCN196349 OCN261877:OCN261885 OCN327413:OCN327421 OCN392949:OCN392957 OCN458485:OCN458493 OCN524021:OCN524029 OCN589557:OCN589565 OCN655093:OCN655101 OCN720629:OCN720637 OCN786165:OCN786173 OCN851701:OCN851709 OCN917237:OCN917245 OCN982773:OCN982781 OMJ65269:OMJ65277 OMJ130805:OMJ130813 OMJ196341:OMJ196349 OMJ261877:OMJ261885 OMJ327413:OMJ327421 OMJ392949:OMJ392957 OMJ458485:OMJ458493 OMJ524021:OMJ524029 OMJ589557:OMJ589565 OMJ655093:OMJ655101 OMJ720629:OMJ720637 OMJ786165:OMJ786173 OMJ851701:OMJ851709 OMJ917237:OMJ917245 OMJ982773:OMJ982781 OWF65269:OWF65277 OWF130805:OWF130813 OWF196341:OWF196349 OWF261877:OWF261885 OWF327413:OWF327421 OWF392949:OWF392957 OWF458485:OWF458493 OWF524021:OWF524029 OWF589557:OWF589565 OWF655093:OWF655101 OWF720629:OWF720637 OWF786165:OWF786173 OWF851701:OWF851709 OWF917237:OWF917245 OWF982773:OWF982781 PGB65269:PGB65277 PGB130805:PGB130813 PGB196341:PGB196349 PGB261877:PGB261885 PGB327413:PGB327421 PGB392949:PGB392957 PGB458485:PGB458493 PGB524021:PGB524029 PGB589557:PGB589565 PGB655093:PGB655101 PGB720629:PGB720637 PGB786165:PGB786173 PGB851701:PGB851709 PGB917237:PGB917245 PGB982773:PGB982781 PPX65269:PPX65277 PPX130805:PPX130813 PPX196341:PPX196349 PPX261877:PPX261885 PPX327413:PPX327421 PPX392949:PPX392957 PPX458485:PPX458493 PPX524021:PPX524029 PPX589557:PPX589565 PPX655093:PPX655101 PPX720629:PPX720637 PPX786165:PPX786173 PPX851701:PPX851709 PPX917237:PPX917245 PPX982773:PPX982781 PZT65269:PZT65277 PZT130805:PZT130813 PZT196341:PZT196349 PZT261877:PZT261885 PZT327413:PZT327421 PZT392949:PZT392957 PZT458485:PZT458493 PZT524021:PZT524029 PZT589557:PZT589565 PZT655093:PZT655101 PZT720629:PZT720637 PZT786165:PZT786173 PZT851701:PZT851709 PZT917237:PZT917245 PZT982773:PZT982781 QJP65269:QJP65277 QJP130805:QJP130813 QJP196341:QJP196349 QJP261877:QJP261885 QJP327413:QJP327421 QJP392949:QJP392957 QJP458485:QJP458493 QJP524021:QJP524029 QJP589557:QJP589565 QJP655093:QJP655101 QJP720629:QJP720637 QJP786165:QJP786173 QJP851701:QJP851709 QJP917237:QJP917245 QJP982773:QJP982781 QTL65269:QTL65277 QTL130805:QTL130813 QTL196341:QTL196349 QTL261877:QTL261885 QTL327413:QTL327421 QTL392949:QTL392957 QTL458485:QTL458493 QTL524021:QTL524029 QTL589557:QTL589565 QTL655093:QTL655101 QTL720629:QTL720637 QTL786165:QTL786173 QTL851701:QTL851709 QTL917237:QTL917245 QTL982773:QTL982781 RDH65269:RDH65277 RDH130805:RDH130813 RDH196341:RDH196349 RDH261877:RDH261885 RDH327413:RDH327421 RDH392949:RDH392957 RDH458485:RDH458493 RDH524021:RDH524029 RDH589557:RDH589565 RDH655093:RDH655101 RDH720629:RDH720637 RDH786165:RDH786173 RDH851701:RDH851709 RDH917237:RDH917245 RDH982773:RDH982781 RND65269:RND65277 RND130805:RND130813 RND196341:RND196349 RND261877:RND261885 RND327413:RND327421 RND392949:RND392957 RND458485:RND458493 RND524021:RND524029 RND589557:RND589565 RND655093:RND655101 RND720629:RND720637 RND786165:RND786173 RND851701:RND851709 RND917237:RND917245 RND982773:RND982781 RWZ65269:RWZ65277 RWZ130805:RWZ130813 RWZ196341:RWZ196349 RWZ261877:RWZ261885 RWZ327413:RWZ327421 RWZ392949:RWZ392957 RWZ458485:RWZ458493 RWZ524021:RWZ524029 RWZ589557:RWZ589565 RWZ655093:RWZ655101 RWZ720629:RWZ720637 RWZ786165:RWZ786173 RWZ851701:RWZ851709 RWZ917237:RWZ917245 RWZ982773:RWZ982781 SGV65269:SGV65277 SGV130805:SGV130813 SGV196341:SGV196349 SGV261877:SGV261885 SGV327413:SGV327421 SGV392949:SGV392957 SGV458485:SGV458493 SGV524021:SGV524029 SGV589557:SGV589565 SGV655093:SGV655101 SGV720629:SGV720637 SGV786165:SGV786173 SGV851701:SGV851709 SGV917237:SGV917245 SGV982773:SGV982781 SQR65269:SQR65277 SQR130805:SQR130813 SQR196341:SQR196349 SQR261877:SQR261885 SQR327413:SQR327421 SQR392949:SQR392957 SQR458485:SQR458493 SQR524021:SQR524029 SQR589557:SQR589565 SQR655093:SQR655101 SQR720629:SQR720637 SQR786165:SQR786173 SQR851701:SQR851709 SQR917237:SQR917245 SQR982773:SQR982781 TAN65269:TAN65277 TAN130805:TAN130813 TAN196341:TAN196349 TAN261877:TAN261885 TAN327413:TAN327421 TAN392949:TAN392957 TAN458485:TAN458493 TAN524021:TAN524029 TAN589557:TAN589565 TAN655093:TAN655101 TAN720629:TAN720637 TAN786165:TAN786173 TAN851701:TAN851709 TAN917237:TAN917245 TAN982773:TAN982781 TKJ65269:TKJ65277 TKJ130805:TKJ130813 TKJ196341:TKJ196349 TKJ261877:TKJ261885 TKJ327413:TKJ327421 TKJ392949:TKJ392957 TKJ458485:TKJ458493 TKJ524021:TKJ524029 TKJ589557:TKJ589565 TKJ655093:TKJ655101 TKJ720629:TKJ720637 TKJ786165:TKJ786173 TKJ851701:TKJ851709 TKJ917237:TKJ917245 TKJ982773:TKJ982781 TUF65269:TUF65277 TUF130805:TUF130813 TUF196341:TUF196349 TUF261877:TUF261885 TUF327413:TUF327421 TUF392949:TUF392957 TUF458485:TUF458493 TUF524021:TUF524029 TUF589557:TUF589565 TUF655093:TUF655101 TUF720629:TUF720637 TUF786165:TUF786173 TUF851701:TUF851709 TUF917237:TUF917245 TUF982773:TUF982781 UEB65269:UEB65277 UEB130805:UEB130813 UEB196341:UEB196349 UEB261877:UEB261885 UEB327413:UEB327421 UEB392949:UEB392957 UEB458485:UEB458493 UEB524021:UEB524029 UEB589557:UEB589565 UEB655093:UEB655101 UEB720629:UEB720637 UEB786165:UEB786173 UEB851701:UEB851709 UEB917237:UEB917245 UEB982773:UEB982781 UNX65269:UNX65277 UNX130805:UNX130813 UNX196341:UNX196349 UNX261877:UNX261885 UNX327413:UNX327421 UNX392949:UNX392957 UNX458485:UNX458493 UNX524021:UNX524029 UNX589557:UNX589565 UNX655093:UNX655101 UNX720629:UNX720637 UNX786165:UNX786173 UNX851701:UNX851709 UNX917237:UNX917245 UNX982773:UNX982781 UXT65269:UXT65277 UXT130805:UXT130813 UXT196341:UXT196349 UXT261877:UXT261885 UXT327413:UXT327421 UXT392949:UXT392957 UXT458485:UXT458493 UXT524021:UXT524029 UXT589557:UXT589565 UXT655093:UXT655101 UXT720629:UXT720637 UXT786165:UXT786173 UXT851701:UXT851709 UXT917237:UXT917245 UXT982773:UXT982781 VHP65269:VHP65277 VHP130805:VHP130813 VHP196341:VHP196349 VHP261877:VHP261885 VHP327413:VHP327421 VHP392949:VHP392957 VHP458485:VHP458493 VHP524021:VHP524029 VHP589557:VHP589565 VHP655093:VHP655101 VHP720629:VHP720637 VHP786165:VHP786173 VHP851701:VHP851709 VHP917237:VHP917245 VHP982773:VHP982781 VRL65269:VRL65277 VRL130805:VRL130813 VRL196341:VRL196349 VRL261877:VRL261885 VRL327413:VRL327421 VRL392949:VRL392957 VRL458485:VRL458493 VRL524021:VRL524029 VRL589557:VRL589565 VRL655093:VRL655101 VRL720629:VRL720637 VRL786165:VRL786173 VRL851701:VRL851709 VRL917237:VRL917245 VRL982773:VRL982781 WBH65269:WBH65277 WBH130805:WBH130813 WBH196341:WBH196349 WBH261877:WBH261885 WBH327413:WBH327421 WBH392949:WBH392957 WBH458485:WBH458493 WBH524021:WBH524029 WBH589557:WBH589565 WBH655093:WBH655101 WBH720629:WBH720637 WBH786165:WBH786173 WBH851701:WBH851709 WBH917237:WBH917245 WBH982773:WBH982781 WLD65269:WLD65277 WLD130805:WLD130813 WLD196341:WLD196349 WLD261877:WLD261885 WLD327413:WLD327421 WLD392949:WLD392957 WLD458485:WLD458493 WLD524021:WLD524029 WLD589557:WLD589565 WLD655093:WLD655101 WLD720629:WLD720637 WLD786165:WLD786173 WLD851701:WLD851709 WLD917237:WLD917245 WLD982773:WLD982781 WUZ65269:WUZ65277 WUZ130805:WUZ130813 WUZ196341:WUZ196349 WUZ261877:WUZ261885 WUZ327413:WUZ327421 WUZ392949:WUZ392957 WUZ458485:WUZ458493 WUZ524021:WUZ524029 WUZ589557:WUZ589565 WUZ655093:WUZ655101 WUZ720629:WUZ720637 WUZ786165:WUZ786173 WUZ851701:WUZ851709 WUZ917237:WUZ917245 WUZ982773:WUZ982781" xr:uid="{00000000-0002-0000-0700-000000000000}">
      <formula1>#REF!</formula1>
    </dataValidation>
  </dataValidations>
  <pageMargins left="0.70866141732283472" right="0.70866141732283472" top="0.74803149606299213" bottom="0.74803149606299213" header="0.31496062992125984" footer="0.31496062992125984"/>
  <pageSetup paperSize="9" scale="76" fitToHeight="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74" t="s">
        <v>1614</v>
      </c>
    </row>
    <row r="4" spans="3:19">
      <c r="C4" s="865" t="s">
        <v>1119</v>
      </c>
      <c r="D4" s="865" t="s">
        <v>1092</v>
      </c>
      <c r="E4" s="865" t="s">
        <v>1605</v>
      </c>
      <c r="F4" s="865" t="s">
        <v>1122</v>
      </c>
    </row>
    <row r="5" spans="3:19">
      <c r="C5" s="632" t="s">
        <v>477</v>
      </c>
      <c r="D5" s="632" t="s">
        <v>242</v>
      </c>
      <c r="E5" s="839">
        <v>1.86</v>
      </c>
      <c r="F5" s="839">
        <v>12.47</v>
      </c>
      <c r="O5" s="632" t="s">
        <v>1368</v>
      </c>
      <c r="P5" s="632" t="s">
        <v>115</v>
      </c>
      <c r="Q5" s="316">
        <v>1.6</v>
      </c>
      <c r="R5" s="316">
        <v>13.129999999999999</v>
      </c>
    </row>
    <row r="6" spans="3:19">
      <c r="C6" s="866" t="s">
        <v>1370</v>
      </c>
      <c r="D6" s="866" t="s">
        <v>143</v>
      </c>
      <c r="E6" s="845">
        <v>2.93</v>
      </c>
      <c r="F6" s="845">
        <v>20.34</v>
      </c>
      <c r="O6" s="632" t="s">
        <v>1371</v>
      </c>
      <c r="P6" s="632" t="s">
        <v>125</v>
      </c>
      <c r="Q6" s="316">
        <v>2.93</v>
      </c>
      <c r="R6" s="316">
        <v>20.34</v>
      </c>
    </row>
    <row r="7" spans="3:19">
      <c r="C7" s="310"/>
      <c r="D7" s="867" t="s">
        <v>1604</v>
      </c>
      <c r="E7" s="310">
        <f>SUM(E5:E6)</f>
        <v>4.79</v>
      </c>
      <c r="F7" s="310">
        <f>SUM(F5:F6)</f>
        <v>32.81</v>
      </c>
      <c r="G7" s="867"/>
      <c r="J7" s="868" t="s">
        <v>1616</v>
      </c>
      <c r="O7" s="632" t="s">
        <v>159</v>
      </c>
      <c r="P7" s="632" t="s">
        <v>115</v>
      </c>
      <c r="Q7" s="316">
        <v>1.6</v>
      </c>
      <c r="R7" s="316">
        <v>13.129999999999999</v>
      </c>
    </row>
    <row r="8" spans="3:19">
      <c r="C8" s="867" t="s">
        <v>1604</v>
      </c>
      <c r="D8" s="867" t="s">
        <v>1606</v>
      </c>
      <c r="E8" s="310">
        <f>E7*1.54*6/10</f>
        <v>4.4259599999999999</v>
      </c>
      <c r="F8" s="310">
        <f>F7*1.54*3/5.5</f>
        <v>27.560400000000005</v>
      </c>
      <c r="G8" s="310">
        <f>SUM(E8:F8)</f>
        <v>31.986360000000005</v>
      </c>
      <c r="J8" s="869" t="s">
        <v>1615</v>
      </c>
      <c r="O8" s="632" t="s">
        <v>157</v>
      </c>
      <c r="P8" s="632" t="s">
        <v>132</v>
      </c>
      <c r="Q8" s="636">
        <v>1.68</v>
      </c>
      <c r="R8" s="636">
        <v>12.41</v>
      </c>
    </row>
    <row r="9" spans="3:19">
      <c r="C9" s="867" t="s">
        <v>1604</v>
      </c>
      <c r="D9" s="867" t="s">
        <v>1607</v>
      </c>
      <c r="E9" s="310">
        <f>E8*1.54*3/10</f>
        <v>2.0447935199999998</v>
      </c>
      <c r="F9" s="310">
        <f>F8*1.54*1.5/5.5</f>
        <v>11.575368000000003</v>
      </c>
      <c r="G9" s="310">
        <f>SUM(E9:F9)</f>
        <v>13.620161520000003</v>
      </c>
      <c r="J9" s="310">
        <v>18.48</v>
      </c>
      <c r="O9" s="646" t="s">
        <v>1496</v>
      </c>
      <c r="P9" s="646" t="s">
        <v>119</v>
      </c>
      <c r="Q9" s="636">
        <v>1.68</v>
      </c>
      <c r="R9" s="636">
        <v>12.41</v>
      </c>
    </row>
    <row r="10" spans="3:19">
      <c r="C10" s="867" t="s">
        <v>1608</v>
      </c>
      <c r="D10" s="867" t="s">
        <v>1606</v>
      </c>
      <c r="E10" s="310"/>
      <c r="F10" s="310"/>
      <c r="G10" s="310">
        <f>G8*1600/1000</f>
        <v>51.178176000000008</v>
      </c>
      <c r="H10" s="865" t="s">
        <v>1609</v>
      </c>
      <c r="J10" s="310">
        <v>14.67</v>
      </c>
      <c r="O10" s="628" t="s">
        <v>372</v>
      </c>
      <c r="P10" s="628" t="s">
        <v>185</v>
      </c>
      <c r="Q10" s="839">
        <v>1.86</v>
      </c>
      <c r="R10" s="839">
        <v>12.47</v>
      </c>
    </row>
    <row r="11" spans="3:19">
      <c r="C11" s="867" t="s">
        <v>1608</v>
      </c>
      <c r="D11" s="867" t="s">
        <v>1607</v>
      </c>
      <c r="E11" s="310"/>
      <c r="F11" s="310"/>
      <c r="G11" s="310">
        <f>G9*1600/1000</f>
        <v>21.792258432000008</v>
      </c>
      <c r="H11" s="865" t="s">
        <v>1609</v>
      </c>
      <c r="J11" s="310">
        <f>SUM(J9:J10)</f>
        <v>33.15</v>
      </c>
      <c r="Q11">
        <f>SUM(Q5:Q10)</f>
        <v>11.35</v>
      </c>
      <c r="R11">
        <f>SUM(R5:R10)</f>
        <v>83.889999999999986</v>
      </c>
    </row>
    <row r="12" spans="3:19">
      <c r="O12" s="867" t="s">
        <v>1604</v>
      </c>
      <c r="P12" s="867" t="s">
        <v>1606</v>
      </c>
      <c r="Q12" s="310">
        <f>Q11*1.54*6/10</f>
        <v>10.487399999999999</v>
      </c>
      <c r="R12" s="310">
        <f>R11*1.54*3/5.5</f>
        <v>70.46759999999999</v>
      </c>
      <c r="S12" s="310">
        <f>SUM(Q12:R12)</f>
        <v>80.954999999999984</v>
      </c>
    </row>
    <row r="13" spans="3:19">
      <c r="O13" s="867" t="s">
        <v>1604</v>
      </c>
      <c r="P13" s="867" t="s">
        <v>1607</v>
      </c>
      <c r="Q13" s="310">
        <f>Q12*1.54*3/10</f>
        <v>4.8451788000000002</v>
      </c>
      <c r="R13" s="310">
        <f>R12*1.54*1.5/5.5</f>
        <v>29.596391999999994</v>
      </c>
      <c r="S13" s="310">
        <f>SUM(Q13:R13)</f>
        <v>34.441570799999994</v>
      </c>
    </row>
    <row r="14" spans="3:19">
      <c r="C14" s="539" t="s">
        <v>215</v>
      </c>
      <c r="D14" s="539" t="s">
        <v>182</v>
      </c>
      <c r="E14" s="839">
        <v>1.57</v>
      </c>
      <c r="F14" s="839">
        <v>11.05</v>
      </c>
      <c r="O14" s="867" t="s">
        <v>1608</v>
      </c>
      <c r="P14" s="867" t="s">
        <v>1606</v>
      </c>
      <c r="Q14" s="310"/>
      <c r="R14" s="310"/>
      <c r="S14" s="310">
        <f>S12*1600/1000</f>
        <v>129.52799999999996</v>
      </c>
    </row>
    <row r="15" spans="3:19">
      <c r="C15" s="539" t="s">
        <v>240</v>
      </c>
      <c r="D15" s="539" t="s">
        <v>185</v>
      </c>
      <c r="E15" s="839">
        <v>1.86</v>
      </c>
      <c r="F15" s="839">
        <v>12.47</v>
      </c>
      <c r="O15" s="867" t="s">
        <v>1608</v>
      </c>
      <c r="P15" s="867" t="s">
        <v>1607</v>
      </c>
      <c r="Q15" s="310"/>
      <c r="R15" s="310"/>
      <c r="S15" s="310">
        <f>S13*1600/1000</f>
        <v>55.106513279999994</v>
      </c>
    </row>
    <row r="16" spans="3:19">
      <c r="C16" s="542" t="s">
        <v>253</v>
      </c>
      <c r="D16" s="539" t="s">
        <v>248</v>
      </c>
      <c r="E16" s="839">
        <v>1.86</v>
      </c>
      <c r="F16" s="839">
        <v>12.47</v>
      </c>
    </row>
    <row r="17" spans="3:21">
      <c r="C17" s="543" t="s">
        <v>263</v>
      </c>
      <c r="D17" s="539" t="s">
        <v>242</v>
      </c>
      <c r="E17" s="839">
        <v>1.86</v>
      </c>
      <c r="F17" s="839">
        <v>12.47</v>
      </c>
    </row>
    <row r="18" spans="3:21">
      <c r="C18" s="327" t="s">
        <v>258</v>
      </c>
      <c r="D18" s="327" t="s">
        <v>182</v>
      </c>
      <c r="E18" s="839">
        <v>1.57</v>
      </c>
      <c r="F18" s="839">
        <v>11.05</v>
      </c>
      <c r="O18" s="877" t="s">
        <v>1575</v>
      </c>
    </row>
    <row r="19" spans="3:21">
      <c r="C19" s="327" t="s">
        <v>277</v>
      </c>
      <c r="D19" s="327" t="s">
        <v>185</v>
      </c>
      <c r="E19" s="839">
        <v>1.86</v>
      </c>
      <c r="F19" s="839">
        <v>12.47</v>
      </c>
      <c r="O19" s="630"/>
      <c r="P19" s="632" t="s">
        <v>811</v>
      </c>
      <c r="Q19" s="632" t="s">
        <v>182</v>
      </c>
      <c r="R19" s="839">
        <v>1.57</v>
      </c>
      <c r="S19" s="839">
        <v>11.05</v>
      </c>
    </row>
    <row r="20" spans="3:21">
      <c r="C20" s="327" t="s">
        <v>280</v>
      </c>
      <c r="D20" s="327" t="s">
        <v>248</v>
      </c>
      <c r="E20" s="839">
        <v>1.86</v>
      </c>
      <c r="F20" s="839">
        <v>12.47</v>
      </c>
      <c r="O20" s="630"/>
      <c r="P20" s="632" t="s">
        <v>193</v>
      </c>
      <c r="Q20" s="632" t="s">
        <v>115</v>
      </c>
      <c r="R20" s="316">
        <v>1.6</v>
      </c>
      <c r="S20" s="316">
        <v>13.129999999999999</v>
      </c>
    </row>
    <row r="21" spans="3:21">
      <c r="C21" s="327" t="s">
        <v>406</v>
      </c>
      <c r="D21" s="327" t="s">
        <v>182</v>
      </c>
      <c r="E21" s="839">
        <v>1.57</v>
      </c>
      <c r="F21" s="839">
        <v>11.05</v>
      </c>
      <c r="O21" s="630"/>
      <c r="P21" s="632" t="s">
        <v>810</v>
      </c>
      <c r="Q21" s="632" t="s">
        <v>182</v>
      </c>
      <c r="R21" s="839">
        <v>1.57</v>
      </c>
      <c r="S21" s="839">
        <v>11.05</v>
      </c>
    </row>
    <row r="22" spans="3:21">
      <c r="C22" s="327" t="s">
        <v>290</v>
      </c>
      <c r="D22" s="327" t="s">
        <v>182</v>
      </c>
      <c r="E22" s="839">
        <v>1.57</v>
      </c>
      <c r="F22" s="839">
        <v>11.05</v>
      </c>
      <c r="O22" s="541"/>
      <c r="P22" s="617" t="s">
        <v>809</v>
      </c>
      <c r="Q22" s="617" t="s">
        <v>182</v>
      </c>
      <c r="R22" s="839">
        <v>1.57</v>
      </c>
      <c r="S22" s="839">
        <v>11.05</v>
      </c>
    </row>
    <row r="23" spans="3:21">
      <c r="C23" s="327" t="s">
        <v>426</v>
      </c>
      <c r="D23" s="327" t="s">
        <v>182</v>
      </c>
      <c r="E23" s="839">
        <v>1.08</v>
      </c>
      <c r="F23" s="839">
        <v>8.68</v>
      </c>
      <c r="O23" s="541"/>
      <c r="P23" s="548" t="s">
        <v>808</v>
      </c>
      <c r="Q23" s="548" t="s">
        <v>185</v>
      </c>
      <c r="R23" s="839">
        <v>1.86</v>
      </c>
      <c r="S23" s="839">
        <v>12.47</v>
      </c>
    </row>
    <row r="24" spans="3:21">
      <c r="C24" s="327" t="s">
        <v>1311</v>
      </c>
      <c r="D24" s="327" t="s">
        <v>115</v>
      </c>
      <c r="E24" s="316">
        <v>1.6</v>
      </c>
      <c r="F24" s="316">
        <v>13.129999999999999</v>
      </c>
      <c r="R24">
        <f>SUM(R19:R23)</f>
        <v>8.17</v>
      </c>
      <c r="S24">
        <f>SUM(S19:S23)</f>
        <v>58.75</v>
      </c>
    </row>
    <row r="25" spans="3:21">
      <c r="C25" s="632" t="s">
        <v>393</v>
      </c>
      <c r="D25" s="632" t="s">
        <v>182</v>
      </c>
      <c r="E25" s="839">
        <v>1.57</v>
      </c>
      <c r="F25" s="839">
        <v>11.05</v>
      </c>
      <c r="O25" s="867"/>
      <c r="P25" s="867" t="s">
        <v>1604</v>
      </c>
      <c r="Q25" s="867" t="s">
        <v>1606</v>
      </c>
      <c r="R25" s="310">
        <f>R24*1.54*6/10</f>
        <v>7.5490799999999991</v>
      </c>
      <c r="S25" s="310">
        <f>S24*1.54*3/5.5</f>
        <v>49.35</v>
      </c>
      <c r="T25" s="310">
        <f>SUM(R25:S25)</f>
        <v>56.899079999999998</v>
      </c>
    </row>
    <row r="26" spans="3:21">
      <c r="C26" s="631" t="s">
        <v>392</v>
      </c>
      <c r="D26" s="631" t="s">
        <v>242</v>
      </c>
      <c r="E26" s="839">
        <v>1.86</v>
      </c>
      <c r="F26" s="839">
        <v>12.47</v>
      </c>
      <c r="O26" s="867"/>
      <c r="P26" s="867" t="s">
        <v>1604</v>
      </c>
      <c r="Q26" s="867" t="s">
        <v>1607</v>
      </c>
      <c r="R26" s="310">
        <f>R25*1.54*3/10</f>
        <v>3.4876749599999997</v>
      </c>
      <c r="S26" s="310">
        <f>S25*1.54*1.5/5.5</f>
        <v>20.727</v>
      </c>
      <c r="T26" s="310">
        <f>SUM(R26:S26)</f>
        <v>24.21467496</v>
      </c>
    </row>
    <row r="27" spans="3:21">
      <c r="C27" s="617" t="s">
        <v>1303</v>
      </c>
      <c r="D27" s="617" t="s">
        <v>125</v>
      </c>
      <c r="E27" s="316">
        <v>2.93</v>
      </c>
      <c r="F27" s="316">
        <v>20.34</v>
      </c>
      <c r="O27" s="867"/>
      <c r="P27" s="867" t="s">
        <v>1608</v>
      </c>
      <c r="Q27" s="867" t="s">
        <v>1606</v>
      </c>
      <c r="R27" s="310"/>
      <c r="S27" s="310"/>
      <c r="T27" s="310">
        <f>T25*1600/1000</f>
        <v>91.038527999999985</v>
      </c>
    </row>
    <row r="28" spans="3:21">
      <c r="C28" s="858" t="s">
        <v>1596</v>
      </c>
      <c r="D28" s="628" t="s">
        <v>115</v>
      </c>
      <c r="E28" s="316">
        <v>1.6</v>
      </c>
      <c r="F28" s="316">
        <v>13.129999999999999</v>
      </c>
      <c r="O28" s="867"/>
      <c r="P28" s="867" t="s">
        <v>1608</v>
      </c>
      <c r="Q28" s="867" t="s">
        <v>1607</v>
      </c>
      <c r="R28" s="310"/>
      <c r="S28" s="310"/>
      <c r="T28" s="310">
        <f>T26*1600/1000</f>
        <v>38.743479936</v>
      </c>
    </row>
    <row r="29" spans="3:21">
      <c r="E29">
        <f>SUM(E14:E28)</f>
        <v>26.220000000000002</v>
      </c>
      <c r="F29">
        <f>SUM(F14:F28)</f>
        <v>185.35</v>
      </c>
      <c r="U29" t="s">
        <v>857</v>
      </c>
    </row>
    <row r="30" spans="3:21">
      <c r="C30" s="867" t="s">
        <v>1604</v>
      </c>
      <c r="D30" s="867" t="s">
        <v>1606</v>
      </c>
      <c r="E30" s="310">
        <f>E29*1.54*6/10</f>
        <v>24.22728</v>
      </c>
      <c r="F30" s="310">
        <f>F29*1.54*3/5.5</f>
        <v>155.69399999999999</v>
      </c>
      <c r="G30" s="310">
        <f>SUM(E30:F30)</f>
        <v>179.92128</v>
      </c>
      <c r="O30" t="s">
        <v>95</v>
      </c>
      <c r="P30" s="867" t="s">
        <v>1608</v>
      </c>
      <c r="Q30" s="867" t="s">
        <v>1606</v>
      </c>
      <c r="T30">
        <f>16.74+14.83+18.51+18.5</f>
        <v>68.58</v>
      </c>
      <c r="U30">
        <f>T27-T30</f>
        <v>22.458527999999987</v>
      </c>
    </row>
    <row r="31" spans="3:21">
      <c r="C31" s="867" t="s">
        <v>1604</v>
      </c>
      <c r="D31" s="867" t="s">
        <v>1607</v>
      </c>
      <c r="E31" s="310">
        <f>E30*1.54*3/10</f>
        <v>11.193003360000001</v>
      </c>
      <c r="F31" s="310">
        <f>F30*1.54*1.5/5.5</f>
        <v>65.391480000000001</v>
      </c>
      <c r="G31" s="310">
        <f>SUM(E31:F31)</f>
        <v>76.584483360000007</v>
      </c>
    </row>
    <row r="32" spans="3:21">
      <c r="C32" s="867" t="s">
        <v>1608</v>
      </c>
      <c r="D32" s="867" t="s">
        <v>1606</v>
      </c>
      <c r="E32" s="310"/>
      <c r="F32" s="310"/>
      <c r="G32" s="310">
        <f>G30*1600/1000</f>
        <v>287.87404800000002</v>
      </c>
    </row>
    <row r="33" spans="3:7">
      <c r="C33" s="867" t="s">
        <v>1608</v>
      </c>
      <c r="D33" s="867" t="s">
        <v>1607</v>
      </c>
      <c r="E33" s="310"/>
      <c r="F33" s="310"/>
      <c r="G33" s="310">
        <f>G31*1600/1000</f>
        <v>122.535173376</v>
      </c>
    </row>
  </sheetData>
  <conditionalFormatting sqref="C5">
    <cfRule type="duplicateValues" dxfId="3333" priority="17"/>
    <cfRule type="duplicateValues" dxfId="3332" priority="18"/>
    <cfRule type="duplicateValues" dxfId="3331" priority="19" stopIfTrue="1"/>
  </conditionalFormatting>
  <conditionalFormatting sqref="C6">
    <cfRule type="duplicateValues" dxfId="3330" priority="14"/>
    <cfRule type="duplicateValues" dxfId="3329" priority="15"/>
    <cfRule type="duplicateValues" dxfId="3328" priority="16" stopIfTrue="1"/>
  </conditionalFormatting>
  <conditionalFormatting sqref="C14:C17">
    <cfRule type="duplicateValues" dxfId="3327" priority="12"/>
  </conditionalFormatting>
  <conditionalFormatting sqref="C14:C27">
    <cfRule type="duplicateValues" dxfId="3326" priority="10"/>
    <cfRule type="duplicateValues" dxfId="3325" priority="11"/>
    <cfRule type="duplicateValues" dxfId="3324" priority="13" stopIfTrue="1"/>
  </conditionalFormatting>
  <conditionalFormatting sqref="C14:C28">
    <cfRule type="duplicateValues" dxfId="3323" priority="9"/>
  </conditionalFormatting>
  <conditionalFormatting sqref="O5:O10">
    <cfRule type="duplicateValues" dxfId="3322" priority="5"/>
    <cfRule type="duplicateValues" dxfId="3321" priority="6"/>
    <cfRule type="duplicateValues" dxfId="3320" priority="7"/>
    <cfRule type="duplicateValues" dxfId="3319" priority="8" stopIfTrue="1"/>
  </conditionalFormatting>
  <conditionalFormatting sqref="P19:P23">
    <cfRule type="duplicateValues" dxfId="3318" priority="1"/>
    <cfRule type="duplicateValues" dxfId="3317" priority="2" stopIfTrue="1"/>
    <cfRule type="duplicateValues" dxfId="3316" priority="3"/>
    <cfRule type="duplicateValues" dxfId="3315"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41">
        <v>1</v>
      </c>
      <c r="B2" s="628" t="s">
        <v>412</v>
      </c>
      <c r="C2" s="548" t="s">
        <v>119</v>
      </c>
      <c r="D2" s="316"/>
      <c r="E2" s="316" t="s">
        <v>292</v>
      </c>
      <c r="F2" s="544">
        <v>45831</v>
      </c>
      <c r="G2" s="544">
        <v>45842</v>
      </c>
      <c r="H2" s="941" t="s">
        <v>1669</v>
      </c>
      <c r="I2" s="540" t="s">
        <v>211</v>
      </c>
    </row>
    <row r="3" spans="1:9">
      <c r="A3" s="541">
        <f>A2+1</f>
        <v>2</v>
      </c>
      <c r="B3" s="541" t="s">
        <v>820</v>
      </c>
      <c r="C3" s="541" t="s">
        <v>182</v>
      </c>
      <c r="D3" s="541"/>
      <c r="E3" s="325" t="s">
        <v>210</v>
      </c>
      <c r="F3" s="642">
        <v>45835</v>
      </c>
      <c r="G3" s="544">
        <v>45843</v>
      </c>
      <c r="H3" s="541" t="s">
        <v>1499</v>
      </c>
      <c r="I3" s="540" t="s">
        <v>211</v>
      </c>
    </row>
    <row r="4" spans="1:9">
      <c r="A4" s="541">
        <f t="shared" ref="A4:A51" si="0">A3+1</f>
        <v>3</v>
      </c>
      <c r="B4" s="836" t="s">
        <v>727</v>
      </c>
      <c r="C4" s="837" t="s">
        <v>128</v>
      </c>
      <c r="D4" s="845"/>
      <c r="E4" s="845" t="s">
        <v>210</v>
      </c>
      <c r="F4" s="838">
        <v>45833</v>
      </c>
      <c r="G4" s="544">
        <v>45844</v>
      </c>
      <c r="H4" s="327" t="s">
        <v>1290</v>
      </c>
      <c r="I4" s="540" t="s">
        <v>211</v>
      </c>
    </row>
    <row r="5" spans="1:9">
      <c r="A5" s="541">
        <f t="shared" si="0"/>
        <v>4</v>
      </c>
      <c r="B5" s="541" t="s">
        <v>818</v>
      </c>
      <c r="C5" s="541" t="s">
        <v>182</v>
      </c>
      <c r="D5" s="541"/>
      <c r="E5" s="325" t="s">
        <v>210</v>
      </c>
      <c r="F5" s="642">
        <v>45842</v>
      </c>
      <c r="G5" s="642">
        <v>45846</v>
      </c>
      <c r="H5" s="541" t="s">
        <v>1499</v>
      </c>
      <c r="I5" s="540" t="s">
        <v>211</v>
      </c>
    </row>
    <row r="6" spans="1:9">
      <c r="A6" s="541">
        <f t="shared" si="0"/>
        <v>5</v>
      </c>
      <c r="B6" s="327" t="s">
        <v>1571</v>
      </c>
      <c r="C6" s="327" t="s">
        <v>115</v>
      </c>
      <c r="D6" s="327"/>
      <c r="E6" s="316" t="s">
        <v>210</v>
      </c>
      <c r="F6" s="544">
        <v>45841</v>
      </c>
      <c r="G6" s="642">
        <v>45846</v>
      </c>
      <c r="H6" s="327" t="s">
        <v>1575</v>
      </c>
      <c r="I6" s="540" t="s">
        <v>211</v>
      </c>
    </row>
    <row r="7" spans="1:9">
      <c r="A7" s="541">
        <f t="shared" si="0"/>
        <v>6</v>
      </c>
      <c r="B7" s="628" t="s">
        <v>270</v>
      </c>
      <c r="C7" s="628" t="s">
        <v>188</v>
      </c>
      <c r="D7" s="628" t="s">
        <v>454</v>
      </c>
      <c r="E7" s="628" t="s">
        <v>210</v>
      </c>
      <c r="F7" s="834">
        <v>45836</v>
      </c>
      <c r="G7" s="834">
        <v>45848</v>
      </c>
      <c r="H7" s="859" t="s">
        <v>1601</v>
      </c>
      <c r="I7" s="540" t="s">
        <v>211</v>
      </c>
    </row>
    <row r="8" spans="1:9">
      <c r="A8" s="541">
        <f t="shared" si="0"/>
        <v>7</v>
      </c>
      <c r="B8" s="644" t="s">
        <v>463</v>
      </c>
      <c r="C8" s="644" t="s">
        <v>248</v>
      </c>
      <c r="D8" s="327"/>
      <c r="E8" s="316" t="s">
        <v>210</v>
      </c>
      <c r="F8" s="544">
        <v>45842</v>
      </c>
      <c r="G8" s="834">
        <v>45848</v>
      </c>
      <c r="H8" s="373" t="s">
        <v>1603</v>
      </c>
      <c r="I8" s="540" t="s">
        <v>211</v>
      </c>
    </row>
    <row r="9" spans="1:9">
      <c r="A9" s="541">
        <f t="shared" si="0"/>
        <v>8</v>
      </c>
      <c r="B9" s="858" t="s">
        <v>819</v>
      </c>
      <c r="C9" s="628" t="s">
        <v>182</v>
      </c>
      <c r="D9" s="843"/>
      <c r="E9" s="843" t="s">
        <v>210</v>
      </c>
      <c r="F9" s="643">
        <v>45845</v>
      </c>
      <c r="G9" s="834">
        <v>45848</v>
      </c>
      <c r="H9" s="644" t="s">
        <v>1499</v>
      </c>
      <c r="I9" s="540" t="s">
        <v>211</v>
      </c>
    </row>
    <row r="10" spans="1:9">
      <c r="A10" s="541">
        <f t="shared" si="0"/>
        <v>9</v>
      </c>
      <c r="B10" s="628" t="s">
        <v>168</v>
      </c>
      <c r="C10" s="628" t="s">
        <v>167</v>
      </c>
      <c r="D10" s="628"/>
      <c r="E10" s="628" t="s">
        <v>210</v>
      </c>
      <c r="F10" s="834">
        <v>45835</v>
      </c>
      <c r="G10" s="834">
        <v>45849</v>
      </c>
      <c r="H10" s="941" t="s">
        <v>1669</v>
      </c>
      <c r="I10" s="540" t="s">
        <v>211</v>
      </c>
    </row>
    <row r="11" spans="1:9">
      <c r="A11" s="541">
        <f t="shared" si="0"/>
        <v>10</v>
      </c>
      <c r="B11" s="858" t="s">
        <v>790</v>
      </c>
      <c r="C11" s="628" t="s">
        <v>182</v>
      </c>
      <c r="D11" s="843"/>
      <c r="E11" s="843" t="s">
        <v>210</v>
      </c>
      <c r="F11" s="643">
        <v>45845</v>
      </c>
      <c r="G11" s="834">
        <v>45849</v>
      </c>
      <c r="H11" s="858" t="s">
        <v>1570</v>
      </c>
      <c r="I11" s="540" t="s">
        <v>211</v>
      </c>
    </row>
    <row r="12" spans="1:9">
      <c r="A12" s="541">
        <f t="shared" si="0"/>
        <v>11</v>
      </c>
      <c r="B12" s="548" t="s">
        <v>821</v>
      </c>
      <c r="C12" s="548" t="s">
        <v>182</v>
      </c>
      <c r="D12" s="316"/>
      <c r="E12" s="316" t="s">
        <v>210</v>
      </c>
      <c r="F12" s="544">
        <v>45848</v>
      </c>
      <c r="G12" s="544">
        <v>45850</v>
      </c>
      <c r="H12" s="644" t="s">
        <v>1499</v>
      </c>
      <c r="I12" s="540" t="s">
        <v>211</v>
      </c>
    </row>
    <row r="13" spans="1:9">
      <c r="A13" s="541">
        <f t="shared" si="0"/>
        <v>12</v>
      </c>
      <c r="B13" s="858" t="s">
        <v>791</v>
      </c>
      <c r="C13" s="628" t="s">
        <v>242</v>
      </c>
      <c r="D13" s="843"/>
      <c r="E13" s="843" t="s">
        <v>210</v>
      </c>
      <c r="F13" s="643">
        <v>45847</v>
      </c>
      <c r="G13" s="643">
        <v>45851</v>
      </c>
      <c r="H13" s="858" t="s">
        <v>1570</v>
      </c>
      <c r="I13" s="540" t="s">
        <v>211</v>
      </c>
    </row>
    <row r="14" spans="1:9">
      <c r="A14" s="541">
        <f t="shared" si="0"/>
        <v>13</v>
      </c>
      <c r="B14" s="548" t="s">
        <v>806</v>
      </c>
      <c r="C14" s="548" t="s">
        <v>185</v>
      </c>
      <c r="D14" s="548"/>
      <c r="E14" s="316" t="s">
        <v>210</v>
      </c>
      <c r="F14" s="648">
        <v>45847</v>
      </c>
      <c r="G14" s="643">
        <v>45851</v>
      </c>
      <c r="H14" s="548" t="s">
        <v>1575</v>
      </c>
      <c r="I14" s="540" t="s">
        <v>211</v>
      </c>
    </row>
    <row r="15" spans="1:9">
      <c r="A15" s="541">
        <f t="shared" si="0"/>
        <v>14</v>
      </c>
      <c r="B15" s="548" t="s">
        <v>765</v>
      </c>
      <c r="C15" s="548" t="s">
        <v>185</v>
      </c>
      <c r="D15" s="316"/>
      <c r="E15" s="316" t="s">
        <v>210</v>
      </c>
      <c r="F15" s="544">
        <v>45848</v>
      </c>
      <c r="G15" s="643">
        <v>45852</v>
      </c>
      <c r="H15" s="327" t="s">
        <v>1614</v>
      </c>
      <c r="I15" s="540" t="s">
        <v>211</v>
      </c>
    </row>
    <row r="16" spans="1:9">
      <c r="A16" s="541">
        <f t="shared" si="0"/>
        <v>15</v>
      </c>
      <c r="B16" s="644" t="s">
        <v>739</v>
      </c>
      <c r="C16" s="644" t="s">
        <v>182</v>
      </c>
      <c r="D16" s="541"/>
      <c r="E16" s="325" t="s">
        <v>210</v>
      </c>
      <c r="F16" s="642">
        <v>45842</v>
      </c>
      <c r="G16" s="643">
        <v>45852</v>
      </c>
      <c r="H16" s="373" t="s">
        <v>1580</v>
      </c>
      <c r="I16" s="540" t="s">
        <v>211</v>
      </c>
    </row>
    <row r="17" spans="1:9">
      <c r="A17" s="541">
        <f t="shared" si="0"/>
        <v>16</v>
      </c>
      <c r="B17" s="548" t="s">
        <v>822</v>
      </c>
      <c r="C17" s="548" t="s">
        <v>182</v>
      </c>
      <c r="D17" s="316"/>
      <c r="E17" s="316" t="s">
        <v>210</v>
      </c>
      <c r="F17" s="544">
        <v>45851</v>
      </c>
      <c r="G17" s="643">
        <v>45853</v>
      </c>
      <c r="H17" s="644" t="s">
        <v>1499</v>
      </c>
      <c r="I17" s="540" t="s">
        <v>211</v>
      </c>
    </row>
    <row r="18" spans="1:9">
      <c r="A18" s="541">
        <f t="shared" si="0"/>
        <v>17</v>
      </c>
      <c r="B18" s="858" t="s">
        <v>1595</v>
      </c>
      <c r="C18" s="628" t="s">
        <v>167</v>
      </c>
      <c r="D18" s="316"/>
      <c r="E18" s="316" t="s">
        <v>210</v>
      </c>
      <c r="F18" s="544">
        <v>45847</v>
      </c>
      <c r="G18" s="643">
        <v>45854</v>
      </c>
      <c r="H18" s="373" t="s">
        <v>1597</v>
      </c>
      <c r="I18" s="540" t="s">
        <v>211</v>
      </c>
    </row>
    <row r="19" spans="1:9">
      <c r="A19" s="541">
        <f t="shared" si="0"/>
        <v>18</v>
      </c>
      <c r="B19" s="858" t="s">
        <v>1321</v>
      </c>
      <c r="C19" s="628" t="s">
        <v>115</v>
      </c>
      <c r="D19" s="325"/>
      <c r="E19" s="325" t="s">
        <v>210</v>
      </c>
      <c r="F19" s="642">
        <v>45846</v>
      </c>
      <c r="G19" s="643">
        <v>45854</v>
      </c>
      <c r="H19" s="373" t="s">
        <v>1612</v>
      </c>
      <c r="I19" s="540" t="s">
        <v>211</v>
      </c>
    </row>
    <row r="20" spans="1:9">
      <c r="A20" s="541">
        <f t="shared" si="0"/>
        <v>19</v>
      </c>
      <c r="B20" s="548" t="s">
        <v>764</v>
      </c>
      <c r="C20" s="548" t="s">
        <v>182</v>
      </c>
      <c r="D20" s="316"/>
      <c r="E20" s="316" t="s">
        <v>210</v>
      </c>
      <c r="F20" s="544">
        <v>45852</v>
      </c>
      <c r="G20" s="643">
        <v>45854</v>
      </c>
      <c r="H20" s="327" t="s">
        <v>1614</v>
      </c>
      <c r="I20" s="540" t="s">
        <v>211</v>
      </c>
    </row>
    <row r="21" spans="1:9">
      <c r="A21" s="541">
        <f t="shared" si="0"/>
        <v>20</v>
      </c>
      <c r="B21" s="548" t="s">
        <v>804</v>
      </c>
      <c r="C21" s="548" t="s">
        <v>182</v>
      </c>
      <c r="D21" s="548"/>
      <c r="E21" s="316" t="s">
        <v>210</v>
      </c>
      <c r="F21" s="544">
        <v>45852</v>
      </c>
      <c r="G21" s="643">
        <v>45854</v>
      </c>
      <c r="H21" s="548" t="s">
        <v>1575</v>
      </c>
      <c r="I21" s="540" t="s">
        <v>211</v>
      </c>
    </row>
    <row r="22" spans="1:9">
      <c r="A22" s="541">
        <f t="shared" si="0"/>
        <v>21</v>
      </c>
      <c r="B22" s="548" t="s">
        <v>1617</v>
      </c>
      <c r="C22" s="548" t="s">
        <v>137</v>
      </c>
      <c r="D22" s="316"/>
      <c r="E22" s="316" t="s">
        <v>210</v>
      </c>
      <c r="F22" s="544">
        <v>45850</v>
      </c>
      <c r="G22" s="643">
        <v>45855</v>
      </c>
      <c r="H22" s="858" t="s">
        <v>1570</v>
      </c>
      <c r="I22" s="540" t="s">
        <v>211</v>
      </c>
    </row>
    <row r="23" spans="1:9">
      <c r="A23" s="541">
        <f t="shared" si="0"/>
        <v>22</v>
      </c>
      <c r="B23" s="373" t="s">
        <v>1610</v>
      </c>
      <c r="C23" s="316" t="s">
        <v>1611</v>
      </c>
      <c r="D23" s="316"/>
      <c r="E23" s="316" t="s">
        <v>210</v>
      </c>
      <c r="F23" s="544">
        <v>45848</v>
      </c>
      <c r="G23" s="643">
        <v>45856</v>
      </c>
      <c r="H23" s="373" t="s">
        <v>1613</v>
      </c>
      <c r="I23" s="540" t="s">
        <v>211</v>
      </c>
    </row>
    <row r="24" spans="1:9">
      <c r="A24" s="541">
        <f t="shared" si="0"/>
        <v>23</v>
      </c>
      <c r="B24" s="548" t="s">
        <v>823</v>
      </c>
      <c r="C24" s="548" t="s">
        <v>182</v>
      </c>
      <c r="D24" s="316"/>
      <c r="E24" s="316" t="s">
        <v>210</v>
      </c>
      <c r="F24" s="544">
        <v>45853</v>
      </c>
      <c r="G24" s="643">
        <v>45856</v>
      </c>
      <c r="H24" s="644" t="s">
        <v>1499</v>
      </c>
      <c r="I24" s="540" t="s">
        <v>211</v>
      </c>
    </row>
    <row r="25" spans="1:9">
      <c r="A25" s="541">
        <f t="shared" si="0"/>
        <v>24</v>
      </c>
      <c r="B25" s="327" t="s">
        <v>380</v>
      </c>
      <c r="C25" s="327" t="s">
        <v>119</v>
      </c>
      <c r="D25" s="327"/>
      <c r="E25" s="316" t="s">
        <v>210</v>
      </c>
      <c r="F25" s="544">
        <v>45846</v>
      </c>
      <c r="G25" s="643">
        <v>45857</v>
      </c>
      <c r="H25" s="373" t="s">
        <v>1602</v>
      </c>
      <c r="I25" s="540" t="s">
        <v>211</v>
      </c>
    </row>
    <row r="26" spans="1:9">
      <c r="A26" s="541">
        <f t="shared" si="0"/>
        <v>25</v>
      </c>
      <c r="B26" s="548" t="s">
        <v>763</v>
      </c>
      <c r="C26" s="548" t="s">
        <v>182</v>
      </c>
      <c r="D26" s="548"/>
      <c r="E26" s="548" t="s">
        <v>210</v>
      </c>
      <c r="F26" s="648">
        <v>45855</v>
      </c>
      <c r="G26" s="834">
        <v>45859</v>
      </c>
      <c r="H26" s="548" t="s">
        <v>1614</v>
      </c>
      <c r="I26" s="540" t="s">
        <v>211</v>
      </c>
    </row>
    <row r="27" spans="1:9">
      <c r="A27" s="541">
        <f t="shared" si="0"/>
        <v>26</v>
      </c>
      <c r="B27" s="548" t="s">
        <v>1634</v>
      </c>
      <c r="C27" s="548" t="s">
        <v>137</v>
      </c>
      <c r="D27" s="548"/>
      <c r="E27" s="548" t="s">
        <v>210</v>
      </c>
      <c r="F27" s="648">
        <v>45855</v>
      </c>
      <c r="G27" s="834">
        <v>45859</v>
      </c>
      <c r="H27" s="859" t="s">
        <v>1570</v>
      </c>
      <c r="I27" s="540" t="s">
        <v>211</v>
      </c>
    </row>
    <row r="28" spans="1:9">
      <c r="A28" s="541">
        <f t="shared" si="0"/>
        <v>27</v>
      </c>
      <c r="B28" s="548" t="s">
        <v>803</v>
      </c>
      <c r="C28" s="548" t="s">
        <v>185</v>
      </c>
      <c r="D28" s="548"/>
      <c r="E28" s="548" t="s">
        <v>210</v>
      </c>
      <c r="F28" s="648">
        <v>45854</v>
      </c>
      <c r="G28" s="834">
        <v>45859</v>
      </c>
      <c r="H28" s="548" t="s">
        <v>1575</v>
      </c>
      <c r="I28" s="540" t="s">
        <v>211</v>
      </c>
    </row>
    <row r="29" spans="1:9">
      <c r="A29" s="541">
        <f t="shared" si="0"/>
        <v>28</v>
      </c>
      <c r="B29" s="548" t="s">
        <v>824</v>
      </c>
      <c r="C29" s="548" t="s">
        <v>182</v>
      </c>
      <c r="D29" s="316"/>
      <c r="E29" s="548" t="s">
        <v>210</v>
      </c>
      <c r="F29" s="648">
        <v>45857</v>
      </c>
      <c r="G29" s="643">
        <v>45861</v>
      </c>
      <c r="H29" s="644" t="s">
        <v>1499</v>
      </c>
      <c r="I29" s="540" t="s">
        <v>211</v>
      </c>
    </row>
    <row r="30" spans="1:9">
      <c r="A30" s="541">
        <f t="shared" si="0"/>
        <v>29</v>
      </c>
      <c r="B30" s="628" t="s">
        <v>866</v>
      </c>
      <c r="C30" s="628" t="s">
        <v>137</v>
      </c>
      <c r="D30" s="617"/>
      <c r="E30" s="617" t="s">
        <v>210</v>
      </c>
      <c r="F30" s="645">
        <v>45853</v>
      </c>
      <c r="G30" s="643">
        <v>45862</v>
      </c>
      <c r="H30" s="894" t="s">
        <v>1580</v>
      </c>
      <c r="I30" s="540" t="s">
        <v>211</v>
      </c>
    </row>
    <row r="31" spans="1:9">
      <c r="A31" s="541">
        <f t="shared" si="0"/>
        <v>30</v>
      </c>
      <c r="B31" s="548" t="s">
        <v>166</v>
      </c>
      <c r="C31" s="548" t="s">
        <v>167</v>
      </c>
      <c r="D31" s="548"/>
      <c r="E31" s="548" t="s">
        <v>210</v>
      </c>
      <c r="F31" s="648">
        <v>45851</v>
      </c>
      <c r="G31" s="643">
        <v>45862</v>
      </c>
      <c r="H31" s="941" t="s">
        <v>1669</v>
      </c>
      <c r="I31" s="540" t="s">
        <v>211</v>
      </c>
    </row>
    <row r="32" spans="1:9">
      <c r="A32" s="541">
        <f t="shared" si="0"/>
        <v>31</v>
      </c>
      <c r="B32" s="548" t="s">
        <v>183</v>
      </c>
      <c r="C32" s="548" t="s">
        <v>182</v>
      </c>
      <c r="D32" s="548"/>
      <c r="E32" s="548" t="s">
        <v>210</v>
      </c>
      <c r="F32" s="648">
        <v>45860</v>
      </c>
      <c r="G32" s="643">
        <v>45862</v>
      </c>
      <c r="H32" s="548" t="s">
        <v>1614</v>
      </c>
      <c r="I32" s="540" t="s">
        <v>211</v>
      </c>
    </row>
    <row r="33" spans="1:9">
      <c r="A33" s="541">
        <f t="shared" si="0"/>
        <v>32</v>
      </c>
      <c r="B33" s="548" t="s">
        <v>805</v>
      </c>
      <c r="C33" s="548" t="s">
        <v>182</v>
      </c>
      <c r="D33" s="548"/>
      <c r="E33" s="548" t="s">
        <v>210</v>
      </c>
      <c r="F33" s="834">
        <v>45860</v>
      </c>
      <c r="G33" s="643">
        <v>45863</v>
      </c>
      <c r="H33" s="548" t="s">
        <v>1575</v>
      </c>
      <c r="I33" s="540" t="s">
        <v>211</v>
      </c>
    </row>
    <row r="34" spans="1:9">
      <c r="A34" s="541">
        <f t="shared" si="0"/>
        <v>33</v>
      </c>
      <c r="B34" s="548" t="s">
        <v>744</v>
      </c>
      <c r="C34" s="548" t="s">
        <v>185</v>
      </c>
      <c r="D34" s="548"/>
      <c r="E34" s="548" t="s">
        <v>210</v>
      </c>
      <c r="F34" s="648">
        <v>45853</v>
      </c>
      <c r="G34" s="643">
        <v>45864</v>
      </c>
      <c r="H34" s="548" t="s">
        <v>1618</v>
      </c>
      <c r="I34" s="540" t="s">
        <v>211</v>
      </c>
    </row>
    <row r="35" spans="1:9">
      <c r="A35" s="541">
        <f t="shared" si="0"/>
        <v>34</v>
      </c>
      <c r="B35" s="837" t="s">
        <v>796</v>
      </c>
      <c r="C35" s="837" t="s">
        <v>185</v>
      </c>
      <c r="D35" s="837"/>
      <c r="E35" s="837" t="s">
        <v>210</v>
      </c>
      <c r="F35" s="905">
        <v>45860</v>
      </c>
      <c r="G35" s="643">
        <v>45864</v>
      </c>
      <c r="H35" s="906" t="s">
        <v>1570</v>
      </c>
      <c r="I35" s="540" t="s">
        <v>211</v>
      </c>
    </row>
    <row r="36" spans="1:9">
      <c r="A36" s="541">
        <f t="shared" si="0"/>
        <v>35</v>
      </c>
      <c r="B36" s="548" t="s">
        <v>385</v>
      </c>
      <c r="C36" s="548" t="s">
        <v>182</v>
      </c>
      <c r="D36" s="548"/>
      <c r="E36" s="548" t="s">
        <v>210</v>
      </c>
      <c r="F36" s="648">
        <v>45849</v>
      </c>
      <c r="G36" s="643">
        <v>45865</v>
      </c>
      <c r="H36" s="894" t="s">
        <v>1601</v>
      </c>
      <c r="I36" s="540" t="s">
        <v>211</v>
      </c>
    </row>
    <row r="37" spans="1:9">
      <c r="A37" s="541">
        <f t="shared" si="0"/>
        <v>36</v>
      </c>
      <c r="B37" s="548" t="s">
        <v>767</v>
      </c>
      <c r="C37" s="548" t="s">
        <v>242</v>
      </c>
      <c r="D37" s="548"/>
      <c r="E37" s="548" t="s">
        <v>210</v>
      </c>
      <c r="F37" s="648">
        <v>45862</v>
      </c>
      <c r="G37" s="643">
        <v>45865</v>
      </c>
      <c r="H37" s="548" t="s">
        <v>1614</v>
      </c>
      <c r="I37" s="540" t="s">
        <v>211</v>
      </c>
    </row>
    <row r="38" spans="1:9">
      <c r="A38" s="541">
        <f t="shared" si="0"/>
        <v>37</v>
      </c>
      <c r="B38" s="373" t="s">
        <v>1654</v>
      </c>
      <c r="C38" s="548" t="s">
        <v>185</v>
      </c>
      <c r="D38" s="316"/>
      <c r="E38" s="548" t="s">
        <v>210</v>
      </c>
      <c r="F38" s="544">
        <v>45862</v>
      </c>
      <c r="G38" s="643">
        <v>45865</v>
      </c>
      <c r="H38" s="327" t="s">
        <v>1499</v>
      </c>
      <c r="I38" s="540" t="s">
        <v>211</v>
      </c>
    </row>
    <row r="39" spans="1:9">
      <c r="A39" s="541">
        <f t="shared" si="0"/>
        <v>38</v>
      </c>
      <c r="B39" s="859" t="s">
        <v>731</v>
      </c>
      <c r="C39" s="628" t="s">
        <v>115</v>
      </c>
      <c r="D39" s="548"/>
      <c r="E39" s="548" t="s">
        <v>210</v>
      </c>
      <c r="F39" s="648">
        <v>45859</v>
      </c>
      <c r="G39" s="643">
        <v>45866</v>
      </c>
      <c r="H39" s="894" t="s">
        <v>1597</v>
      </c>
      <c r="I39" s="540" t="s">
        <v>211</v>
      </c>
    </row>
    <row r="40" spans="1:9">
      <c r="A40" s="541">
        <f t="shared" si="0"/>
        <v>39</v>
      </c>
      <c r="B40" s="628" t="s">
        <v>427</v>
      </c>
      <c r="C40" s="628" t="s">
        <v>185</v>
      </c>
      <c r="D40" s="628"/>
      <c r="E40" s="628" t="s">
        <v>210</v>
      </c>
      <c r="F40" s="834">
        <v>45851</v>
      </c>
      <c r="G40" s="643">
        <v>45867</v>
      </c>
      <c r="H40" s="628" t="s">
        <v>254</v>
      </c>
      <c r="I40" s="540" t="s">
        <v>211</v>
      </c>
    </row>
    <row r="41" spans="1:9">
      <c r="A41" s="541">
        <f t="shared" si="0"/>
        <v>40</v>
      </c>
      <c r="B41" s="548" t="s">
        <v>794</v>
      </c>
      <c r="C41" s="548" t="s">
        <v>185</v>
      </c>
      <c r="D41" s="548"/>
      <c r="E41" s="548" t="s">
        <v>210</v>
      </c>
      <c r="F41" s="834">
        <v>45863</v>
      </c>
      <c r="G41" s="643">
        <v>45867</v>
      </c>
      <c r="H41" s="859" t="s">
        <v>1570</v>
      </c>
      <c r="I41" s="540" t="s">
        <v>211</v>
      </c>
    </row>
    <row r="42" spans="1:9">
      <c r="A42" s="541">
        <f t="shared" si="0"/>
        <v>41</v>
      </c>
      <c r="B42" s="548" t="s">
        <v>180</v>
      </c>
      <c r="C42" s="548" t="s">
        <v>182</v>
      </c>
      <c r="D42" s="548"/>
      <c r="E42" s="548" t="s">
        <v>210</v>
      </c>
      <c r="F42" s="648">
        <v>45865</v>
      </c>
      <c r="G42" s="643">
        <v>45868</v>
      </c>
      <c r="H42" s="548" t="s">
        <v>1614</v>
      </c>
      <c r="I42" s="540" t="s">
        <v>211</v>
      </c>
    </row>
    <row r="43" spans="1:9">
      <c r="A43" s="541">
        <f t="shared" si="0"/>
        <v>42</v>
      </c>
      <c r="B43" s="373" t="s">
        <v>1366</v>
      </c>
      <c r="C43" s="548" t="s">
        <v>182</v>
      </c>
      <c r="D43" s="316"/>
      <c r="E43" s="548" t="s">
        <v>210</v>
      </c>
      <c r="F43" s="544">
        <v>45865</v>
      </c>
      <c r="G43" s="643">
        <v>45868</v>
      </c>
      <c r="H43" s="327" t="s">
        <v>1499</v>
      </c>
      <c r="I43" s="540" t="s">
        <v>211</v>
      </c>
    </row>
    <row r="44" spans="1:9">
      <c r="A44" s="541">
        <f t="shared" si="0"/>
        <v>43</v>
      </c>
      <c r="B44" s="548" t="s">
        <v>191</v>
      </c>
      <c r="C44" s="548" t="s">
        <v>192</v>
      </c>
      <c r="D44" s="548"/>
      <c r="E44" s="548" t="s">
        <v>210</v>
      </c>
      <c r="F44" s="834">
        <v>45863</v>
      </c>
      <c r="G44" s="643">
        <v>45869</v>
      </c>
      <c r="H44" s="548" t="s">
        <v>1575</v>
      </c>
      <c r="I44" s="540" t="s">
        <v>211</v>
      </c>
    </row>
    <row r="45" spans="1:9">
      <c r="A45" s="541">
        <f t="shared" si="0"/>
        <v>44</v>
      </c>
      <c r="B45" s="548" t="s">
        <v>799</v>
      </c>
      <c r="C45" s="548" t="s">
        <v>182</v>
      </c>
      <c r="D45" s="548"/>
      <c r="E45" s="548" t="s">
        <v>210</v>
      </c>
      <c r="F45" s="834">
        <v>45867</v>
      </c>
      <c r="G45" s="643">
        <v>45869</v>
      </c>
      <c r="H45" s="859" t="s">
        <v>1570</v>
      </c>
      <c r="I45" s="540" t="s">
        <v>211</v>
      </c>
    </row>
    <row r="46" spans="1:9">
      <c r="A46" s="541">
        <f t="shared" si="0"/>
        <v>45</v>
      </c>
      <c r="B46" s="548" t="s">
        <v>766</v>
      </c>
      <c r="C46" s="548" t="s">
        <v>182</v>
      </c>
      <c r="D46" s="548"/>
      <c r="E46" s="548" t="s">
        <v>210</v>
      </c>
      <c r="F46" s="643">
        <v>45868</v>
      </c>
      <c r="G46" s="643">
        <v>45869</v>
      </c>
      <c r="H46" s="548" t="s">
        <v>1614</v>
      </c>
      <c r="I46" s="540" t="s">
        <v>211</v>
      </c>
    </row>
    <row r="47" spans="1:9">
      <c r="A47" s="541">
        <f t="shared" si="0"/>
        <v>46</v>
      </c>
      <c r="B47" s="548" t="s">
        <v>751</v>
      </c>
      <c r="C47" s="548" t="s">
        <v>248</v>
      </c>
      <c r="D47" s="548"/>
      <c r="E47" s="548" t="s">
        <v>210</v>
      </c>
      <c r="F47" s="648">
        <v>45863</v>
      </c>
      <c r="G47" s="643">
        <v>45869</v>
      </c>
      <c r="H47" s="548" t="s">
        <v>1580</v>
      </c>
      <c r="I47" s="540" t="s">
        <v>211</v>
      </c>
    </row>
    <row r="48" spans="1:9">
      <c r="A48" s="541">
        <f t="shared" si="0"/>
        <v>47</v>
      </c>
      <c r="B48" s="959" t="s">
        <v>174</v>
      </c>
      <c r="C48" s="628" t="s">
        <v>1633</v>
      </c>
      <c r="D48" s="548"/>
      <c r="E48" s="548" t="s">
        <v>210</v>
      </c>
      <c r="F48" s="648">
        <v>45855</v>
      </c>
      <c r="G48" s="643">
        <v>45869</v>
      </c>
      <c r="H48" s="894" t="s">
        <v>1612</v>
      </c>
      <c r="I48" s="540" t="s">
        <v>211</v>
      </c>
    </row>
    <row r="49" spans="1:9">
      <c r="A49" s="541">
        <f t="shared" si="0"/>
        <v>48</v>
      </c>
      <c r="B49" s="640" t="s">
        <v>422</v>
      </c>
      <c r="C49" s="628" t="s">
        <v>125</v>
      </c>
      <c r="D49" s="628"/>
      <c r="E49" s="628" t="s">
        <v>292</v>
      </c>
      <c r="F49" s="834">
        <v>45818</v>
      </c>
      <c r="G49" s="643">
        <v>45869</v>
      </c>
      <c r="H49" s="907" t="s">
        <v>1657</v>
      </c>
      <c r="I49" s="540" t="s">
        <v>211</v>
      </c>
    </row>
    <row r="50" spans="1:9">
      <c r="A50" s="541">
        <f t="shared" si="0"/>
        <v>49</v>
      </c>
      <c r="B50" s="960" t="s">
        <v>158</v>
      </c>
      <c r="C50" s="837" t="s">
        <v>115</v>
      </c>
      <c r="D50" s="837"/>
      <c r="E50" s="837" t="s">
        <v>210</v>
      </c>
      <c r="F50" s="940">
        <v>45862</v>
      </c>
      <c r="G50" s="643">
        <v>45869</v>
      </c>
      <c r="H50" s="941" t="s">
        <v>1669</v>
      </c>
      <c r="I50" s="540" t="s">
        <v>211</v>
      </c>
    </row>
    <row r="51" spans="1:9">
      <c r="A51" s="541">
        <f t="shared" si="0"/>
        <v>50</v>
      </c>
      <c r="B51" s="641" t="s">
        <v>1658</v>
      </c>
      <c r="C51" s="548" t="s">
        <v>125</v>
      </c>
      <c r="D51" s="548"/>
      <c r="E51" s="548" t="s">
        <v>210</v>
      </c>
      <c r="F51" s="648">
        <v>45861</v>
      </c>
      <c r="G51" s="643">
        <v>45869</v>
      </c>
      <c r="H51" s="894" t="s">
        <v>1613</v>
      </c>
      <c r="I51" s="540" t="s">
        <v>211</v>
      </c>
    </row>
  </sheetData>
  <conditionalFormatting sqref="B2:B8 B10 B12 B14:B17 B20:B22 B24:B29 B31:B37 B40:B42 B44:B47 B49:B50">
    <cfRule type="duplicateValues" dxfId="3314" priority="9"/>
    <cfRule type="duplicateValues" dxfId="3313" priority="11" stopIfTrue="1"/>
  </conditionalFormatting>
  <conditionalFormatting sqref="B2:B8">
    <cfRule type="duplicateValues" dxfId="3312" priority="10"/>
  </conditionalFormatting>
  <conditionalFormatting sqref="B2:B37 B39:B42 B44:B51">
    <cfRule type="duplicateValues" dxfId="3311" priority="7"/>
    <cfRule type="duplicateValues" dxfId="3310" priority="8"/>
  </conditionalFormatting>
  <conditionalFormatting sqref="B30">
    <cfRule type="duplicateValues" dxfId="3309" priority="4"/>
    <cfRule type="duplicateValues" dxfId="3308" priority="5"/>
    <cfRule type="duplicateValues" dxfId="3307" priority="6" stopIfTrue="1"/>
  </conditionalFormatting>
  <conditionalFormatting sqref="B51">
    <cfRule type="duplicateValues" dxfId="3306" priority="1"/>
    <cfRule type="duplicateValues" dxfId="3305" priority="2"/>
    <cfRule type="duplicateValues" dxfId="33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1743</v>
      </c>
      <c r="E4" s="310" t="s">
        <v>1173</v>
      </c>
      <c r="F4" s="310" t="s">
        <v>1092</v>
      </c>
      <c r="G4" s="310" t="s">
        <v>1744</v>
      </c>
      <c r="H4" s="310" t="s">
        <v>207</v>
      </c>
      <c r="I4" s="310" t="s">
        <v>1646</v>
      </c>
    </row>
    <row r="5" spans="4:10">
      <c r="D5" s="310">
        <v>1</v>
      </c>
      <c r="E5" s="310" t="s">
        <v>820</v>
      </c>
      <c r="F5" s="310" t="s">
        <v>182</v>
      </c>
      <c r="G5" s="310" t="s">
        <v>1700</v>
      </c>
      <c r="H5" s="645">
        <v>45898</v>
      </c>
      <c r="I5" s="645">
        <v>45904</v>
      </c>
      <c r="J5" t="s">
        <v>1506</v>
      </c>
    </row>
    <row r="6" spans="4:10">
      <c r="D6" s="310">
        <f>D5+1</f>
        <v>2</v>
      </c>
      <c r="E6" s="310" t="s">
        <v>268</v>
      </c>
      <c r="F6" s="310" t="s">
        <v>185</v>
      </c>
      <c r="G6" s="310" t="s">
        <v>1599</v>
      </c>
      <c r="H6" s="645">
        <v>45901</v>
      </c>
      <c r="I6" s="645">
        <v>45905</v>
      </c>
      <c r="J6" t="s">
        <v>1506</v>
      </c>
    </row>
    <row r="7" spans="4:10">
      <c r="D7" s="310">
        <f t="shared" ref="D7:D34" si="0">D6+1</f>
        <v>3</v>
      </c>
      <c r="E7" s="310" t="s">
        <v>803</v>
      </c>
      <c r="F7" s="310" t="s">
        <v>185</v>
      </c>
      <c r="G7" s="310" t="s">
        <v>1701</v>
      </c>
      <c r="H7" s="645">
        <v>45896</v>
      </c>
      <c r="I7" s="645">
        <v>45909</v>
      </c>
      <c r="J7" t="s">
        <v>1506</v>
      </c>
    </row>
    <row r="8" spans="4:10">
      <c r="D8" s="310">
        <f t="shared" si="0"/>
        <v>4</v>
      </c>
      <c r="E8" s="310" t="s">
        <v>227</v>
      </c>
      <c r="F8" s="310" t="s">
        <v>182</v>
      </c>
      <c r="G8" s="310" t="s">
        <v>1599</v>
      </c>
      <c r="H8" s="645">
        <v>45905</v>
      </c>
      <c r="I8" s="645">
        <v>45909</v>
      </c>
      <c r="J8" t="s">
        <v>1506</v>
      </c>
    </row>
    <row r="9" spans="4:10">
      <c r="D9" s="310">
        <f t="shared" si="0"/>
        <v>5</v>
      </c>
      <c r="E9" s="310" t="s">
        <v>819</v>
      </c>
      <c r="F9" s="310" t="s">
        <v>182</v>
      </c>
      <c r="G9" s="310" t="s">
        <v>1700</v>
      </c>
      <c r="H9" s="645">
        <v>45905</v>
      </c>
      <c r="I9" s="645">
        <v>45910</v>
      </c>
      <c r="J9" t="s">
        <v>1506</v>
      </c>
    </row>
    <row r="10" spans="4:10">
      <c r="D10" s="310">
        <f t="shared" si="0"/>
        <v>6</v>
      </c>
      <c r="E10" s="310" t="s">
        <v>225</v>
      </c>
      <c r="F10" s="310" t="s">
        <v>185</v>
      </c>
      <c r="G10" s="310" t="s">
        <v>1671</v>
      </c>
      <c r="H10" s="645">
        <v>45898</v>
      </c>
      <c r="I10" s="645">
        <v>45911</v>
      </c>
      <c r="J10" t="s">
        <v>1506</v>
      </c>
    </row>
    <row r="11" spans="4:10">
      <c r="D11" s="310">
        <f t="shared" si="0"/>
        <v>7</v>
      </c>
      <c r="E11" s="310" t="s">
        <v>1311</v>
      </c>
      <c r="F11" s="310" t="s">
        <v>115</v>
      </c>
      <c r="G11" s="310" t="s">
        <v>1709</v>
      </c>
      <c r="H11" s="645">
        <v>45901</v>
      </c>
      <c r="I11" s="645">
        <v>45911</v>
      </c>
      <c r="J11" t="s">
        <v>1506</v>
      </c>
    </row>
    <row r="12" spans="4:10">
      <c r="D12" s="310">
        <f t="shared" si="0"/>
        <v>8</v>
      </c>
      <c r="E12" s="310" t="s">
        <v>822</v>
      </c>
      <c r="F12" s="310" t="s">
        <v>182</v>
      </c>
      <c r="G12" s="310" t="s">
        <v>1700</v>
      </c>
      <c r="H12" s="645">
        <v>45911</v>
      </c>
      <c r="I12" s="645">
        <v>45914</v>
      </c>
      <c r="J12" t="s">
        <v>1506</v>
      </c>
    </row>
    <row r="13" spans="4:10">
      <c r="D13" s="310">
        <f t="shared" si="0"/>
        <v>9</v>
      </c>
      <c r="E13" s="310" t="s">
        <v>804</v>
      </c>
      <c r="F13" s="310" t="s">
        <v>182</v>
      </c>
      <c r="G13" s="310" t="s">
        <v>1701</v>
      </c>
      <c r="H13" s="645">
        <v>45909</v>
      </c>
      <c r="I13" s="645">
        <v>45914</v>
      </c>
      <c r="J13" t="s">
        <v>1506</v>
      </c>
    </row>
    <row r="14" spans="4:10">
      <c r="D14" s="310">
        <f t="shared" si="0"/>
        <v>10</v>
      </c>
      <c r="E14" s="310" t="s">
        <v>392</v>
      </c>
      <c r="F14" s="310" t="s">
        <v>242</v>
      </c>
      <c r="G14" s="310" t="s">
        <v>1599</v>
      </c>
      <c r="H14" s="645">
        <v>45909</v>
      </c>
      <c r="I14" s="645">
        <v>45914</v>
      </c>
      <c r="J14" t="s">
        <v>1506</v>
      </c>
    </row>
    <row r="15" spans="4:10">
      <c r="D15" s="310">
        <f t="shared" si="0"/>
        <v>11</v>
      </c>
      <c r="E15" s="310" t="s">
        <v>294</v>
      </c>
      <c r="F15" s="310" t="s">
        <v>182</v>
      </c>
      <c r="G15" s="310" t="s">
        <v>1709</v>
      </c>
      <c r="H15" s="645">
        <v>45901</v>
      </c>
      <c r="I15" s="645">
        <v>45915</v>
      </c>
      <c r="J15" t="s">
        <v>1506</v>
      </c>
    </row>
    <row r="16" spans="4:10">
      <c r="D16" s="310">
        <f t="shared" si="0"/>
        <v>12</v>
      </c>
      <c r="E16" s="310" t="s">
        <v>385</v>
      </c>
      <c r="F16" s="310" t="s">
        <v>182</v>
      </c>
      <c r="G16" s="310" t="s">
        <v>1671</v>
      </c>
      <c r="H16" s="645">
        <v>45911</v>
      </c>
      <c r="I16" s="645">
        <v>45915</v>
      </c>
      <c r="J16" t="s">
        <v>1506</v>
      </c>
    </row>
    <row r="17" spans="4:10">
      <c r="D17" s="310">
        <f t="shared" si="0"/>
        <v>13</v>
      </c>
      <c r="E17" s="310" t="s">
        <v>181</v>
      </c>
      <c r="F17" s="310" t="s">
        <v>182</v>
      </c>
      <c r="G17" s="310" t="s">
        <v>1702</v>
      </c>
      <c r="H17" s="645">
        <v>45897</v>
      </c>
      <c r="I17" s="645">
        <v>45916</v>
      </c>
      <c r="J17" t="s">
        <v>1506</v>
      </c>
    </row>
    <row r="18" spans="4:10">
      <c r="D18" s="310">
        <f t="shared" si="0"/>
        <v>14</v>
      </c>
      <c r="E18" s="310" t="s">
        <v>823</v>
      </c>
      <c r="F18" s="310" t="s">
        <v>182</v>
      </c>
      <c r="G18" s="310" t="s">
        <v>1700</v>
      </c>
      <c r="H18" s="645">
        <v>45914</v>
      </c>
      <c r="I18" s="645">
        <v>45919</v>
      </c>
      <c r="J18" t="s">
        <v>1506</v>
      </c>
    </row>
    <row r="19" spans="4:10">
      <c r="D19" s="310">
        <f t="shared" si="0"/>
        <v>15</v>
      </c>
      <c r="E19" s="310" t="s">
        <v>805</v>
      </c>
      <c r="F19" s="310" t="s">
        <v>182</v>
      </c>
      <c r="G19" s="310" t="s">
        <v>1701</v>
      </c>
      <c r="H19" s="645">
        <v>45914</v>
      </c>
      <c r="I19" s="645">
        <v>45919</v>
      </c>
      <c r="J19" t="s">
        <v>1506</v>
      </c>
    </row>
    <row r="20" spans="4:10">
      <c r="D20" s="310">
        <f t="shared" si="0"/>
        <v>16</v>
      </c>
      <c r="E20" s="310" t="s">
        <v>798</v>
      </c>
      <c r="F20" s="310" t="s">
        <v>185</v>
      </c>
      <c r="G20" s="310" t="s">
        <v>1723</v>
      </c>
      <c r="H20" s="645">
        <v>45911</v>
      </c>
      <c r="I20" s="645">
        <v>45917</v>
      </c>
      <c r="J20" t="s">
        <v>1506</v>
      </c>
    </row>
    <row r="21" spans="4:10">
      <c r="D21" s="310">
        <f t="shared" si="0"/>
        <v>17</v>
      </c>
      <c r="E21" s="310" t="s">
        <v>797</v>
      </c>
      <c r="F21" s="310" t="s">
        <v>185</v>
      </c>
      <c r="G21" s="310" t="s">
        <v>1724</v>
      </c>
      <c r="H21" s="645">
        <v>45911</v>
      </c>
      <c r="I21" s="645">
        <v>45917</v>
      </c>
      <c r="J21" t="s">
        <v>1506</v>
      </c>
    </row>
    <row r="22" spans="4:10">
      <c r="D22" s="310">
        <f t="shared" si="0"/>
        <v>18</v>
      </c>
      <c r="E22" s="310" t="s">
        <v>795</v>
      </c>
      <c r="F22" s="310" t="s">
        <v>182</v>
      </c>
      <c r="G22" s="310" t="s">
        <v>1723</v>
      </c>
      <c r="H22" s="645">
        <v>45918</v>
      </c>
      <c r="I22" s="645">
        <v>45920</v>
      </c>
      <c r="J22" t="s">
        <v>1506</v>
      </c>
    </row>
    <row r="23" spans="4:10">
      <c r="D23" s="310">
        <f t="shared" si="0"/>
        <v>19</v>
      </c>
      <c r="E23" s="310" t="s">
        <v>799</v>
      </c>
      <c r="F23" s="310" t="s">
        <v>182</v>
      </c>
      <c r="G23" s="310" t="s">
        <v>1724</v>
      </c>
      <c r="H23" s="645">
        <v>45918</v>
      </c>
      <c r="I23" s="645">
        <v>45920</v>
      </c>
      <c r="J23" t="s">
        <v>1506</v>
      </c>
    </row>
    <row r="24" spans="4:10">
      <c r="D24" s="310">
        <f t="shared" si="0"/>
        <v>20</v>
      </c>
      <c r="E24" s="310" t="s">
        <v>418</v>
      </c>
      <c r="F24" s="310" t="s">
        <v>185</v>
      </c>
      <c r="G24" s="310" t="s">
        <v>1710</v>
      </c>
      <c r="H24" s="645">
        <v>45911</v>
      </c>
      <c r="I24" s="645">
        <v>45921</v>
      </c>
      <c r="J24" t="s">
        <v>1506</v>
      </c>
    </row>
    <row r="25" spans="4:10">
      <c r="D25" s="310">
        <f t="shared" si="0"/>
        <v>21</v>
      </c>
      <c r="E25" s="310" t="s">
        <v>1321</v>
      </c>
      <c r="F25" s="310" t="s">
        <v>115</v>
      </c>
      <c r="G25" s="310" t="s">
        <v>1599</v>
      </c>
      <c r="H25" s="645">
        <v>45914</v>
      </c>
      <c r="I25" s="645">
        <v>45921</v>
      </c>
      <c r="J25" t="s">
        <v>1506</v>
      </c>
    </row>
    <row r="26" spans="4:10">
      <c r="D26" s="310">
        <f t="shared" si="0"/>
        <v>22</v>
      </c>
      <c r="E26" s="310" t="s">
        <v>183</v>
      </c>
      <c r="F26" s="310" t="s">
        <v>182</v>
      </c>
      <c r="G26" s="310" t="s">
        <v>1702</v>
      </c>
      <c r="H26" s="645">
        <v>45917</v>
      </c>
      <c r="I26" s="645">
        <v>45922</v>
      </c>
      <c r="J26" t="s">
        <v>1506</v>
      </c>
    </row>
    <row r="27" spans="4:10">
      <c r="D27" s="310">
        <f t="shared" si="0"/>
        <v>23</v>
      </c>
      <c r="E27" s="310" t="s">
        <v>796</v>
      </c>
      <c r="F27" s="310" t="s">
        <v>185</v>
      </c>
      <c r="G27" s="310" t="s">
        <v>1723</v>
      </c>
      <c r="H27" s="645">
        <v>45921</v>
      </c>
      <c r="I27" s="645">
        <v>45923</v>
      </c>
      <c r="J27" t="s">
        <v>1506</v>
      </c>
    </row>
    <row r="28" spans="4:10">
      <c r="D28" s="310">
        <f t="shared" si="0"/>
        <v>24</v>
      </c>
      <c r="E28" s="310" t="s">
        <v>800</v>
      </c>
      <c r="F28" s="310" t="s">
        <v>242</v>
      </c>
      <c r="G28" s="310" t="s">
        <v>1724</v>
      </c>
      <c r="H28" s="645">
        <v>45921</v>
      </c>
      <c r="I28" s="645">
        <v>45923</v>
      </c>
      <c r="J28" t="s">
        <v>1506</v>
      </c>
    </row>
    <row r="29" spans="4:10">
      <c r="D29" s="310">
        <f t="shared" si="0"/>
        <v>25</v>
      </c>
      <c r="E29" s="310" t="s">
        <v>824</v>
      </c>
      <c r="F29" s="310" t="s">
        <v>182</v>
      </c>
      <c r="G29" s="310" t="s">
        <v>1700</v>
      </c>
      <c r="H29" s="645">
        <v>45920</v>
      </c>
      <c r="I29" s="645">
        <v>45923</v>
      </c>
      <c r="J29" t="s">
        <v>1506</v>
      </c>
    </row>
    <row r="30" spans="4:10">
      <c r="D30" s="310">
        <f t="shared" si="0"/>
        <v>26</v>
      </c>
      <c r="E30" s="310" t="s">
        <v>169</v>
      </c>
      <c r="F30" s="310" t="s">
        <v>182</v>
      </c>
      <c r="G30" s="310" t="s">
        <v>1709</v>
      </c>
      <c r="H30" s="645">
        <v>45915</v>
      </c>
      <c r="I30" s="645">
        <v>45924</v>
      </c>
      <c r="J30" t="s">
        <v>1506</v>
      </c>
    </row>
    <row r="31" spans="4:10">
      <c r="D31" s="310">
        <f t="shared" si="0"/>
        <v>27</v>
      </c>
      <c r="E31" s="310" t="s">
        <v>463</v>
      </c>
      <c r="F31" s="310" t="s">
        <v>248</v>
      </c>
      <c r="G31" s="310" t="s">
        <v>1599</v>
      </c>
      <c r="H31" s="645">
        <v>45924</v>
      </c>
      <c r="I31" s="645">
        <v>45926</v>
      </c>
      <c r="J31" t="s">
        <v>1506</v>
      </c>
    </row>
    <row r="32" spans="4:10">
      <c r="D32" s="310">
        <f t="shared" si="0"/>
        <v>28</v>
      </c>
      <c r="E32" s="310" t="s">
        <v>794</v>
      </c>
      <c r="F32" s="310" t="s">
        <v>242</v>
      </c>
      <c r="G32" s="310" t="s">
        <v>1724</v>
      </c>
      <c r="H32" s="645">
        <v>45922</v>
      </c>
      <c r="I32" s="645">
        <v>45927</v>
      </c>
      <c r="J32" t="s">
        <v>1506</v>
      </c>
    </row>
    <row r="33" spans="4:10">
      <c r="D33" s="310">
        <f t="shared" si="0"/>
        <v>29</v>
      </c>
      <c r="E33" s="310" t="s">
        <v>791</v>
      </c>
      <c r="F33" s="310" t="s">
        <v>242</v>
      </c>
      <c r="G33" s="310" t="s">
        <v>1723</v>
      </c>
      <c r="H33" s="645">
        <v>45924</v>
      </c>
      <c r="I33" s="645">
        <v>45927</v>
      </c>
      <c r="J33" t="s">
        <v>1506</v>
      </c>
    </row>
    <row r="34" spans="4:10">
      <c r="D34" s="310">
        <f t="shared" si="0"/>
        <v>30</v>
      </c>
      <c r="E34" s="310" t="s">
        <v>1365</v>
      </c>
      <c r="F34" s="310" t="s">
        <v>185</v>
      </c>
      <c r="G34" s="310" t="s">
        <v>1700</v>
      </c>
      <c r="H34" s="645">
        <v>45924</v>
      </c>
      <c r="I34" s="645">
        <v>45927</v>
      </c>
      <c r="J34" t="s">
        <v>1506</v>
      </c>
    </row>
  </sheetData>
  <conditionalFormatting sqref="H5:I34">
    <cfRule type="duplicateValues" dxfId="3303" priority="1" stopIfTrue="1"/>
    <cfRule type="duplicateValues" dxfId="3302" priority="2"/>
    <cfRule type="duplicateValues" dxfId="3301" priority="3"/>
    <cfRule type="duplicateValues" dxfId="3300" priority="4"/>
    <cfRule type="duplicateValues" dxfId="3299" priority="5"/>
    <cfRule type="duplicateValues" dxfId="3298"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2" sqref="K2"/>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84" t="s">
        <v>1801</v>
      </c>
      <c r="B1" s="1084" t="s">
        <v>1802</v>
      </c>
      <c r="C1" s="1084" t="s">
        <v>1803</v>
      </c>
      <c r="D1" s="1084" t="s">
        <v>1804</v>
      </c>
      <c r="E1" s="1084" t="s">
        <v>1805</v>
      </c>
      <c r="F1" s="1084" t="s">
        <v>1806</v>
      </c>
      <c r="G1" s="1084" t="s">
        <v>1807</v>
      </c>
      <c r="H1" s="1084" t="s">
        <v>1808</v>
      </c>
      <c r="I1" s="1084" t="s">
        <v>1809</v>
      </c>
      <c r="J1" s="1084" t="s">
        <v>1810</v>
      </c>
      <c r="K1" s="1084" t="s">
        <v>1811</v>
      </c>
    </row>
    <row r="2" spans="1:11" ht="26">
      <c r="A2" s="1085" t="s">
        <v>1812</v>
      </c>
      <c r="B2" s="1086" t="s">
        <v>1813</v>
      </c>
      <c r="C2" s="1086" t="s">
        <v>1814</v>
      </c>
      <c r="D2" s="1087">
        <v>45632</v>
      </c>
      <c r="E2" s="1087">
        <v>46178</v>
      </c>
      <c r="F2" s="1087" t="s">
        <v>1882</v>
      </c>
      <c r="G2" s="1087" t="s">
        <v>1883</v>
      </c>
      <c r="H2" s="1086"/>
      <c r="I2" s="1086" t="s">
        <v>1884</v>
      </c>
      <c r="J2" s="1362" t="s">
        <v>1885</v>
      </c>
      <c r="K2" s="1086"/>
    </row>
    <row r="3" spans="1:11">
      <c r="A3" s="1085"/>
      <c r="B3" s="1086"/>
      <c r="C3" s="1086"/>
      <c r="D3" s="1087"/>
      <c r="E3" s="1087"/>
      <c r="F3" s="1087"/>
      <c r="G3" s="1087"/>
      <c r="H3" s="1086"/>
      <c r="I3" s="1086"/>
      <c r="J3" s="1086"/>
      <c r="K3" s="1086"/>
    </row>
    <row r="4" spans="1:11">
      <c r="A4" s="1086"/>
      <c r="B4" s="1086"/>
      <c r="C4" s="1086"/>
      <c r="D4" s="1086"/>
      <c r="E4" s="1086"/>
      <c r="F4" s="1086"/>
      <c r="G4" s="1086"/>
      <c r="H4" s="1086"/>
      <c r="I4" s="1086"/>
      <c r="J4" s="1086"/>
      <c r="K4" s="1086"/>
    </row>
    <row r="5" spans="1:11">
      <c r="A5" s="1086"/>
      <c r="B5" s="1086"/>
      <c r="C5" s="1086"/>
      <c r="D5" s="1086"/>
      <c r="E5" s="1086"/>
      <c r="F5" s="1086"/>
      <c r="G5" s="1086"/>
      <c r="H5" s="1086"/>
      <c r="I5" s="1086"/>
      <c r="J5" s="1086"/>
      <c r="K5" s="1086"/>
    </row>
    <row r="6" spans="1:11">
      <c r="A6" s="1086"/>
      <c r="B6" s="1086"/>
      <c r="C6" s="1086"/>
      <c r="D6" s="1086"/>
      <c r="E6" s="1086"/>
      <c r="F6" s="1086"/>
      <c r="G6" s="1086"/>
      <c r="H6" s="1086"/>
      <c r="I6" s="1086"/>
      <c r="J6" s="1086"/>
      <c r="K6" s="1086"/>
    </row>
    <row r="7" spans="1:11">
      <c r="A7" s="1086"/>
      <c r="B7" s="1086"/>
      <c r="C7" s="1086"/>
      <c r="D7" s="1086"/>
      <c r="E7" s="1086"/>
      <c r="F7" s="1086"/>
      <c r="G7" s="1086"/>
      <c r="H7" s="1086"/>
      <c r="I7" s="1086"/>
      <c r="J7" s="1086"/>
      <c r="K7" s="1086"/>
    </row>
    <row r="8" spans="1:11">
      <c r="A8" s="1086"/>
      <c r="B8" s="1086"/>
      <c r="C8" s="1086"/>
      <c r="D8" s="1086"/>
      <c r="E8" s="1086"/>
      <c r="F8" s="1086"/>
      <c r="G8" s="1086"/>
      <c r="H8" s="1086"/>
      <c r="I8" s="1086"/>
      <c r="J8" s="1086"/>
      <c r="K8" s="1086"/>
    </row>
    <row r="9" spans="1:11">
      <c r="A9" s="1086"/>
      <c r="B9" s="1086"/>
      <c r="C9" s="1086"/>
      <c r="D9" s="1086"/>
      <c r="E9" s="1086"/>
      <c r="F9" s="1086"/>
      <c r="G9" s="1086"/>
      <c r="H9" s="1086"/>
      <c r="I9" s="1086"/>
      <c r="J9" s="1086"/>
      <c r="K9" s="1086"/>
    </row>
    <row r="10" spans="1:11">
      <c r="A10" s="1086"/>
      <c r="B10" s="1086"/>
      <c r="C10" s="1086"/>
      <c r="D10" s="1086"/>
      <c r="E10" s="1086"/>
      <c r="F10" s="1086"/>
      <c r="G10" s="1086"/>
      <c r="H10" s="1086"/>
      <c r="I10" s="1086"/>
      <c r="J10" s="1086"/>
      <c r="K10" s="1086"/>
    </row>
    <row r="11" spans="1:11">
      <c r="A11" s="1086"/>
      <c r="B11" s="1086"/>
      <c r="C11" s="1086"/>
      <c r="D11" s="1086"/>
      <c r="E11" s="1086"/>
      <c r="F11" s="1086"/>
      <c r="G11" s="1086"/>
      <c r="H11" s="1086"/>
      <c r="I11" s="1086"/>
      <c r="J11" s="1002"/>
      <c r="K11" s="1086"/>
    </row>
    <row r="12" spans="1:11">
      <c r="A12" s="1002"/>
      <c r="B12" s="1002"/>
      <c r="C12" s="1002"/>
      <c r="D12" s="1002"/>
      <c r="E12" s="1002"/>
      <c r="F12" s="1002"/>
      <c r="G12" s="1002"/>
      <c r="H12" s="1002"/>
      <c r="I12" s="1002"/>
      <c r="J12" s="1002"/>
      <c r="K12" s="1086"/>
    </row>
    <row r="13" spans="1:11">
      <c r="A13" s="1002"/>
      <c r="B13" s="1002"/>
      <c r="C13" s="1002"/>
      <c r="D13" s="1002"/>
      <c r="E13" s="1002"/>
      <c r="F13" s="1002"/>
      <c r="G13" s="1002"/>
      <c r="H13" s="1002"/>
      <c r="I13" s="1002"/>
      <c r="J13" s="1002"/>
      <c r="K13" s="1086"/>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10"/>
  <sheetViews>
    <sheetView topLeftCell="A103" zoomScale="85" zoomScaleNormal="85" workbookViewId="0">
      <selection activeCell="G119" sqref="G110:G119"/>
    </sheetView>
  </sheetViews>
  <sheetFormatPr defaultColWidth="9" defaultRowHeight="14.5"/>
  <cols>
    <col min="1" max="1" width="10.08984375" style="577" customWidth="1"/>
    <col min="2" max="2" width="9" style="577"/>
    <col min="3" max="3" width="7.90625" style="577" customWidth="1"/>
    <col min="4" max="4" width="11.81640625" style="577" bestFit="1" customWidth="1"/>
    <col min="5" max="5" width="17.08984375" style="577" bestFit="1" customWidth="1"/>
    <col min="6" max="6" width="12.81640625" style="577" customWidth="1"/>
    <col min="7" max="7" width="10.54296875" style="577" bestFit="1" customWidth="1"/>
    <col min="8" max="8" width="23.08984375" style="577" bestFit="1" customWidth="1"/>
    <col min="9" max="9" width="0" style="577" hidden="1" customWidth="1"/>
    <col min="10" max="10" width="10.1796875" style="577" hidden="1" customWidth="1"/>
    <col min="11" max="12" width="0" style="577" hidden="1" customWidth="1"/>
    <col min="13" max="13" width="8.36328125" style="577" hidden="1" customWidth="1"/>
    <col min="14" max="14" width="10.81640625" style="577" bestFit="1" customWidth="1"/>
    <col min="15" max="18" width="9" style="577"/>
    <col min="19" max="23" width="0" style="577" hidden="1" customWidth="1"/>
    <col min="24" max="24" width="20.54296875" style="577" hidden="1" customWidth="1"/>
    <col min="25" max="25" width="13.1796875" style="577" hidden="1" customWidth="1"/>
    <col min="26" max="16384" width="9" style="577"/>
  </cols>
  <sheetData>
    <row r="1" spans="1:22" ht="15.5">
      <c r="A1" s="1416" t="s">
        <v>78</v>
      </c>
      <c r="B1" s="1416"/>
      <c r="C1" s="1416"/>
      <c r="D1" s="1416"/>
      <c r="E1" s="1416"/>
      <c r="F1" s="1416"/>
      <c r="G1" s="1416"/>
      <c r="H1" s="1416"/>
      <c r="I1" s="1121"/>
      <c r="J1" s="1121"/>
      <c r="K1" s="1121"/>
      <c r="L1" s="1121"/>
      <c r="M1" s="1121"/>
      <c r="N1" s="1121"/>
      <c r="O1" s="1121"/>
      <c r="P1" s="1121"/>
      <c r="Q1" s="1121"/>
      <c r="R1" s="1121"/>
      <c r="S1" s="1121"/>
      <c r="T1" s="1121"/>
      <c r="U1" s="1121"/>
      <c r="V1" s="1121"/>
    </row>
    <row r="2" spans="1:22" ht="15.5" customHeight="1">
      <c r="A2" s="1417" t="s">
        <v>79</v>
      </c>
      <c r="B2" s="1417"/>
      <c r="C2" s="1417"/>
      <c r="D2" s="1417"/>
      <c r="E2" s="1417"/>
      <c r="F2" s="1417"/>
      <c r="G2" s="1417"/>
      <c r="H2" s="1417"/>
      <c r="I2" s="1122"/>
      <c r="J2" s="1122"/>
      <c r="K2" s="1122"/>
      <c r="L2" s="1122"/>
      <c r="M2" s="1122"/>
      <c r="N2" s="1122"/>
      <c r="O2" s="1122"/>
      <c r="P2" s="1122"/>
      <c r="Q2" s="1122"/>
      <c r="R2" s="1122"/>
      <c r="S2" s="1122"/>
      <c r="T2" s="1122"/>
      <c r="U2" s="1122"/>
      <c r="V2" s="1122"/>
    </row>
    <row r="3" spans="1:22" ht="15.5" customHeight="1">
      <c r="A3" s="1417" t="s">
        <v>80</v>
      </c>
      <c r="B3" s="1417"/>
      <c r="C3" s="1417"/>
      <c r="D3" s="1417"/>
      <c r="E3" s="1417"/>
      <c r="F3" s="1417"/>
      <c r="G3" s="1417"/>
      <c r="H3" s="1417"/>
      <c r="I3" s="1122"/>
      <c r="J3" s="1122"/>
      <c r="K3" s="1122"/>
      <c r="L3" s="1122"/>
      <c r="M3" s="1122"/>
      <c r="N3" s="1122"/>
      <c r="O3" s="1122"/>
      <c r="P3" s="1122"/>
      <c r="Q3" s="1122"/>
      <c r="R3" s="1122"/>
      <c r="S3" s="1122"/>
      <c r="T3" s="1122"/>
      <c r="U3" s="1122"/>
      <c r="V3" s="1122"/>
    </row>
    <row r="5" spans="1:22" ht="39">
      <c r="A5" s="311" t="s">
        <v>203</v>
      </c>
      <c r="B5" s="311" t="s">
        <v>1797</v>
      </c>
      <c r="C5" s="311" t="s">
        <v>205</v>
      </c>
      <c r="D5" s="311" t="s">
        <v>1798</v>
      </c>
      <c r="E5" s="311" t="s">
        <v>1799</v>
      </c>
      <c r="F5" s="311" t="s">
        <v>207</v>
      </c>
      <c r="G5" s="309" t="s">
        <v>1800</v>
      </c>
      <c r="H5" s="353" t="s">
        <v>34</v>
      </c>
    </row>
    <row r="6" spans="1:22">
      <c r="A6" s="57">
        <v>1</v>
      </c>
      <c r="B6" s="1128" t="s">
        <v>216</v>
      </c>
      <c r="C6" s="314" t="s">
        <v>185</v>
      </c>
      <c r="D6" s="1054">
        <v>11.145</v>
      </c>
      <c r="E6" s="1123" t="s">
        <v>1599</v>
      </c>
      <c r="F6" s="314">
        <v>45831</v>
      </c>
      <c r="G6" s="314">
        <v>45836</v>
      </c>
      <c r="H6" s="833" t="s">
        <v>1506</v>
      </c>
      <c r="M6" s="1124"/>
      <c r="N6" s="1124"/>
      <c r="O6" s="1124"/>
    </row>
    <row r="7" spans="1:22">
      <c r="A7" s="57">
        <f t="shared" ref="A7:A79" si="0">A6+1</f>
        <v>2</v>
      </c>
      <c r="B7" s="1129" t="s">
        <v>240</v>
      </c>
      <c r="C7" s="833" t="s">
        <v>185</v>
      </c>
      <c r="D7" s="309">
        <v>11.997</v>
      </c>
      <c r="E7" s="1123" t="s">
        <v>1599</v>
      </c>
      <c r="F7" s="314">
        <v>45836</v>
      </c>
      <c r="G7" s="314">
        <v>45840</v>
      </c>
      <c r="H7" s="833" t="s">
        <v>1506</v>
      </c>
      <c r="M7" s="1124"/>
      <c r="N7" s="1124"/>
      <c r="O7" s="1124"/>
    </row>
    <row r="8" spans="1:22">
      <c r="A8" s="57">
        <f t="shared" si="0"/>
        <v>3</v>
      </c>
      <c r="B8" s="1129" t="s">
        <v>231</v>
      </c>
      <c r="C8" s="833" t="s">
        <v>182</v>
      </c>
      <c r="D8" s="1054">
        <v>11.145</v>
      </c>
      <c r="E8" s="1123" t="s">
        <v>1600</v>
      </c>
      <c r="F8" s="314">
        <v>45837</v>
      </c>
      <c r="G8" s="314">
        <v>45843</v>
      </c>
      <c r="H8" s="833" t="s">
        <v>1506</v>
      </c>
      <c r="M8" s="1125"/>
      <c r="N8" s="1125"/>
      <c r="O8" s="1125"/>
    </row>
    <row r="9" spans="1:22">
      <c r="A9" s="57">
        <f t="shared" si="0"/>
        <v>4</v>
      </c>
      <c r="B9" s="1100" t="s">
        <v>241</v>
      </c>
      <c r="C9" s="840" t="s">
        <v>242</v>
      </c>
      <c r="D9" s="1054">
        <v>13.071999999999999</v>
      </c>
      <c r="E9" s="1123" t="s">
        <v>1599</v>
      </c>
      <c r="F9" s="314">
        <v>45841</v>
      </c>
      <c r="G9" s="314">
        <v>45843</v>
      </c>
      <c r="H9" s="833" t="s">
        <v>1506</v>
      </c>
      <c r="M9" s="1124"/>
      <c r="N9" s="1124"/>
      <c r="O9" s="1124"/>
    </row>
    <row r="10" spans="1:22">
      <c r="A10" s="57">
        <f t="shared" si="0"/>
        <v>5</v>
      </c>
      <c r="B10" s="1130" t="s">
        <v>239</v>
      </c>
      <c r="C10" s="857" t="s">
        <v>182</v>
      </c>
      <c r="D10" s="1054">
        <v>11.145</v>
      </c>
      <c r="E10" s="1123" t="s">
        <v>1599</v>
      </c>
      <c r="F10" s="314">
        <v>45845</v>
      </c>
      <c r="G10" s="314">
        <v>45848</v>
      </c>
      <c r="H10" s="833" t="s">
        <v>1506</v>
      </c>
      <c r="M10" s="1124"/>
      <c r="N10" s="1124"/>
      <c r="O10" s="1124"/>
    </row>
    <row r="11" spans="1:22">
      <c r="A11" s="57">
        <f t="shared" si="0"/>
        <v>6</v>
      </c>
      <c r="B11" s="1131" t="s">
        <v>215</v>
      </c>
      <c r="C11" s="857" t="s">
        <v>182</v>
      </c>
      <c r="D11" s="1054">
        <v>11.145</v>
      </c>
      <c r="E11" s="1123" t="s">
        <v>1599</v>
      </c>
      <c r="F11" s="314">
        <v>45849</v>
      </c>
      <c r="G11" s="314">
        <v>45852</v>
      </c>
      <c r="H11" s="833" t="s">
        <v>1506</v>
      </c>
      <c r="M11" s="1124">
        <v>185</v>
      </c>
      <c r="N11" s="1124"/>
      <c r="O11" s="1124"/>
    </row>
    <row r="12" spans="1:22">
      <c r="A12" s="57">
        <f t="shared" si="0"/>
        <v>7</v>
      </c>
      <c r="B12" s="1132" t="s">
        <v>209</v>
      </c>
      <c r="C12" s="875" t="s">
        <v>182</v>
      </c>
      <c r="D12" s="1054">
        <v>11.145</v>
      </c>
      <c r="E12" s="875" t="s">
        <v>1599</v>
      </c>
      <c r="F12" s="314">
        <v>45853</v>
      </c>
      <c r="G12" s="314">
        <v>45856</v>
      </c>
      <c r="H12" s="833" t="s">
        <v>1506</v>
      </c>
      <c r="M12" s="1124"/>
      <c r="N12" s="1124"/>
      <c r="O12" s="1124"/>
    </row>
    <row r="13" spans="1:22">
      <c r="A13" s="57">
        <f t="shared" si="0"/>
        <v>8</v>
      </c>
      <c r="B13" s="1133" t="s">
        <v>212</v>
      </c>
      <c r="C13" s="886" t="s">
        <v>182</v>
      </c>
      <c r="D13" s="1054">
        <v>11.145</v>
      </c>
      <c r="E13" s="886" t="s">
        <v>1599</v>
      </c>
      <c r="F13" s="314">
        <v>45857</v>
      </c>
      <c r="G13" s="314">
        <v>45860</v>
      </c>
      <c r="H13" s="833" t="s">
        <v>1506</v>
      </c>
      <c r="K13" s="577">
        <v>90</v>
      </c>
      <c r="M13" s="577">
        <v>24</v>
      </c>
    </row>
    <row r="14" spans="1:22">
      <c r="A14" s="57">
        <f t="shared" si="0"/>
        <v>9</v>
      </c>
      <c r="B14" s="1134" t="s">
        <v>213</v>
      </c>
      <c r="C14" s="903" t="s">
        <v>182</v>
      </c>
      <c r="D14" s="1054">
        <v>11.145</v>
      </c>
      <c r="E14" s="903" t="s">
        <v>1599</v>
      </c>
      <c r="F14" s="314">
        <v>45860</v>
      </c>
      <c r="G14" s="314">
        <v>45863</v>
      </c>
      <c r="H14" s="833" t="s">
        <v>1506</v>
      </c>
    </row>
    <row r="15" spans="1:22">
      <c r="A15" s="57">
        <f t="shared" si="0"/>
        <v>10</v>
      </c>
      <c r="B15" s="1135" t="s">
        <v>214</v>
      </c>
      <c r="C15" s="914" t="s">
        <v>185</v>
      </c>
      <c r="D15" s="309">
        <v>11.997</v>
      </c>
      <c r="E15" s="903" t="s">
        <v>1599</v>
      </c>
      <c r="F15" s="314">
        <v>45863</v>
      </c>
      <c r="G15" s="314">
        <v>45866</v>
      </c>
      <c r="H15" s="833" t="s">
        <v>1506</v>
      </c>
    </row>
    <row r="16" spans="1:22">
      <c r="A16" s="57">
        <f t="shared" si="0"/>
        <v>11</v>
      </c>
      <c r="B16" s="1136" t="s">
        <v>237</v>
      </c>
      <c r="C16" s="939" t="s">
        <v>182</v>
      </c>
      <c r="D16" s="1054">
        <v>11.145</v>
      </c>
      <c r="E16" s="1083" t="s">
        <v>1599</v>
      </c>
      <c r="F16" s="314">
        <v>45867</v>
      </c>
      <c r="G16" s="314">
        <v>45869</v>
      </c>
      <c r="H16" s="833" t="s">
        <v>1506</v>
      </c>
    </row>
    <row r="17" spans="1:12">
      <c r="A17" s="57">
        <f t="shared" si="0"/>
        <v>12</v>
      </c>
      <c r="B17" s="1134" t="s">
        <v>297</v>
      </c>
      <c r="C17" s="325" t="s">
        <v>182</v>
      </c>
      <c r="D17" s="1054">
        <v>11.145</v>
      </c>
      <c r="E17" s="1083" t="s">
        <v>1671</v>
      </c>
      <c r="F17" s="314">
        <v>45862</v>
      </c>
      <c r="G17" s="314">
        <v>45869</v>
      </c>
      <c r="H17" s="833" t="s">
        <v>1506</v>
      </c>
    </row>
    <row r="18" spans="1:12">
      <c r="A18" s="57">
        <f t="shared" si="0"/>
        <v>13</v>
      </c>
      <c r="B18" s="1035" t="s">
        <v>236</v>
      </c>
      <c r="C18" s="1035" t="s">
        <v>182</v>
      </c>
      <c r="D18" s="1054">
        <v>11.145</v>
      </c>
      <c r="E18" s="1083" t="s">
        <v>1599</v>
      </c>
      <c r="F18" s="314">
        <v>45870</v>
      </c>
      <c r="G18" s="314">
        <v>45873</v>
      </c>
      <c r="H18" s="833" t="s">
        <v>1506</v>
      </c>
      <c r="J18" s="577">
        <v>41</v>
      </c>
    </row>
    <row r="19" spans="1:12">
      <c r="A19" s="57">
        <f t="shared" si="0"/>
        <v>14</v>
      </c>
      <c r="B19" s="1137" t="s">
        <v>251</v>
      </c>
      <c r="C19" s="1137" t="s">
        <v>248</v>
      </c>
      <c r="D19" s="1137">
        <v>13.958</v>
      </c>
      <c r="E19" s="1083" t="s">
        <v>1671</v>
      </c>
      <c r="F19" s="314">
        <v>45870</v>
      </c>
      <c r="G19" s="314">
        <v>45877</v>
      </c>
      <c r="H19" s="833" t="s">
        <v>1506</v>
      </c>
    </row>
    <row r="20" spans="1:12">
      <c r="A20" s="57">
        <f t="shared" si="0"/>
        <v>15</v>
      </c>
      <c r="B20" s="1035" t="s">
        <v>1368</v>
      </c>
      <c r="C20" s="1138" t="s">
        <v>115</v>
      </c>
      <c r="D20" s="1138">
        <v>18.727009000000002</v>
      </c>
      <c r="E20" s="1083" t="s">
        <v>1599</v>
      </c>
      <c r="F20" s="314">
        <v>45873</v>
      </c>
      <c r="G20" s="314">
        <v>45878</v>
      </c>
      <c r="H20" s="833" t="s">
        <v>1506</v>
      </c>
    </row>
    <row r="21" spans="1:12">
      <c r="A21" s="57">
        <f t="shared" si="0"/>
        <v>16</v>
      </c>
      <c r="B21" s="1139" t="s">
        <v>259</v>
      </c>
      <c r="C21" s="1137" t="s">
        <v>248</v>
      </c>
      <c r="D21" s="1137">
        <v>13.958</v>
      </c>
      <c r="E21" s="1083" t="s">
        <v>1671</v>
      </c>
      <c r="F21" s="314">
        <v>45877</v>
      </c>
      <c r="G21" s="314">
        <v>45885</v>
      </c>
      <c r="H21" s="1140" t="s">
        <v>1506</v>
      </c>
    </row>
    <row r="22" spans="1:12">
      <c r="A22" s="57">
        <f t="shared" si="0"/>
        <v>17</v>
      </c>
      <c r="B22" s="1035" t="s">
        <v>159</v>
      </c>
      <c r="C22" s="1141" t="s">
        <v>115</v>
      </c>
      <c r="D22" s="1138">
        <v>18.727009000000002</v>
      </c>
      <c r="E22" s="1083" t="s">
        <v>1599</v>
      </c>
      <c r="F22" s="314">
        <v>45879</v>
      </c>
      <c r="G22" s="314">
        <v>45885</v>
      </c>
      <c r="H22" s="1140" t="s">
        <v>1506</v>
      </c>
    </row>
    <row r="23" spans="1:12">
      <c r="A23" s="57">
        <f t="shared" si="0"/>
        <v>18</v>
      </c>
      <c r="B23" s="1140" t="s">
        <v>258</v>
      </c>
      <c r="C23" s="1140" t="s">
        <v>182</v>
      </c>
      <c r="D23" s="1054">
        <v>11.145</v>
      </c>
      <c r="E23" s="1083" t="s">
        <v>1671</v>
      </c>
      <c r="F23" s="1005">
        <v>45886</v>
      </c>
      <c r="G23" s="314">
        <v>45892</v>
      </c>
      <c r="H23" s="1140" t="s">
        <v>1506</v>
      </c>
    </row>
    <row r="24" spans="1:12">
      <c r="A24" s="57">
        <f t="shared" si="0"/>
        <v>19</v>
      </c>
      <c r="B24" s="1035" t="s">
        <v>1675</v>
      </c>
      <c r="C24" s="1140" t="s">
        <v>125</v>
      </c>
      <c r="D24" s="1140">
        <v>21.41</v>
      </c>
      <c r="E24" s="1083" t="s">
        <v>1599</v>
      </c>
      <c r="F24" s="314">
        <v>45886</v>
      </c>
      <c r="G24" s="314">
        <v>45892</v>
      </c>
      <c r="H24" s="1140" t="s">
        <v>1506</v>
      </c>
    </row>
    <row r="25" spans="1:12">
      <c r="A25" s="57">
        <f t="shared" si="0"/>
        <v>20</v>
      </c>
      <c r="B25" s="1011" t="s">
        <v>262</v>
      </c>
      <c r="C25" s="1011" t="s">
        <v>242</v>
      </c>
      <c r="D25" s="1054">
        <v>13.071999999999999</v>
      </c>
      <c r="E25" s="1083" t="s">
        <v>1671</v>
      </c>
      <c r="F25" s="314">
        <v>45892</v>
      </c>
      <c r="G25" s="314">
        <v>45897</v>
      </c>
      <c r="H25" s="1140" t="s">
        <v>1506</v>
      </c>
    </row>
    <row r="26" spans="1:12">
      <c r="A26" s="57">
        <f t="shared" si="0"/>
        <v>21</v>
      </c>
      <c r="B26" s="1035" t="s">
        <v>257</v>
      </c>
      <c r="C26" s="1011" t="s">
        <v>248</v>
      </c>
      <c r="D26" s="1137">
        <v>13.958</v>
      </c>
      <c r="E26" s="1083" t="s">
        <v>1599</v>
      </c>
      <c r="F26" s="314">
        <v>45892</v>
      </c>
      <c r="G26" s="314">
        <v>45897</v>
      </c>
      <c r="H26" s="1140" t="s">
        <v>1506</v>
      </c>
    </row>
    <row r="27" spans="1:12">
      <c r="A27" s="57">
        <f t="shared" si="0"/>
        <v>22</v>
      </c>
      <c r="B27" s="1142" t="s">
        <v>821</v>
      </c>
      <c r="C27" s="1142" t="s">
        <v>182</v>
      </c>
      <c r="D27" s="1054">
        <v>11.145</v>
      </c>
      <c r="E27" s="1126" t="s">
        <v>1700</v>
      </c>
      <c r="F27" s="314">
        <v>45896</v>
      </c>
      <c r="G27" s="314">
        <v>45898</v>
      </c>
      <c r="H27" s="1140" t="s">
        <v>1506</v>
      </c>
    </row>
    <row r="28" spans="1:12">
      <c r="A28" s="57">
        <f t="shared" si="0"/>
        <v>23</v>
      </c>
      <c r="B28" s="1012" t="s">
        <v>217</v>
      </c>
      <c r="C28" s="1012" t="s">
        <v>182</v>
      </c>
      <c r="D28" s="1054">
        <v>11.145</v>
      </c>
      <c r="E28" s="1126" t="s">
        <v>1684</v>
      </c>
      <c r="F28" s="324">
        <v>45892</v>
      </c>
      <c r="G28" s="314">
        <v>45900</v>
      </c>
      <c r="H28" s="1140" t="s">
        <v>1506</v>
      </c>
      <c r="I28" s="1143"/>
      <c r="K28" s="1143"/>
      <c r="L28" s="1143"/>
    </row>
    <row r="29" spans="1:12">
      <c r="A29" s="57">
        <f t="shared" si="0"/>
        <v>24</v>
      </c>
      <c r="B29" s="1035" t="s">
        <v>269</v>
      </c>
      <c r="C29" s="1144" t="s">
        <v>182</v>
      </c>
      <c r="D29" s="1054">
        <v>11.145</v>
      </c>
      <c r="E29" s="1083" t="s">
        <v>1599</v>
      </c>
      <c r="F29" s="314">
        <v>45898</v>
      </c>
      <c r="G29" s="314">
        <v>45900</v>
      </c>
      <c r="H29" s="1140" t="s">
        <v>1506</v>
      </c>
      <c r="I29" s="1143"/>
    </row>
    <row r="30" spans="1:12">
      <c r="A30" s="57">
        <f t="shared" si="0"/>
        <v>25</v>
      </c>
      <c r="B30" s="1144" t="s">
        <v>820</v>
      </c>
      <c r="C30" s="57" t="s">
        <v>182</v>
      </c>
      <c r="D30" s="1054">
        <v>11.145</v>
      </c>
      <c r="E30" s="57" t="s">
        <v>1700</v>
      </c>
      <c r="F30" s="314">
        <v>45898</v>
      </c>
      <c r="G30" s="314">
        <v>45904</v>
      </c>
      <c r="H30" s="1140" t="s">
        <v>1506</v>
      </c>
      <c r="I30" s="1143"/>
    </row>
    <row r="31" spans="1:12">
      <c r="A31" s="57">
        <f t="shared" si="0"/>
        <v>26</v>
      </c>
      <c r="B31" s="1145" t="s">
        <v>268</v>
      </c>
      <c r="C31" s="1145" t="s">
        <v>185</v>
      </c>
      <c r="D31" s="309">
        <v>11.997</v>
      </c>
      <c r="E31" s="1083" t="s">
        <v>1599</v>
      </c>
      <c r="F31" s="314">
        <v>45901</v>
      </c>
      <c r="G31" s="314">
        <v>45905</v>
      </c>
      <c r="H31" s="1140" t="s">
        <v>1506</v>
      </c>
      <c r="I31" s="1143"/>
    </row>
    <row r="32" spans="1:12">
      <c r="A32" s="57">
        <f t="shared" si="0"/>
        <v>27</v>
      </c>
      <c r="B32" s="1142" t="s">
        <v>803</v>
      </c>
      <c r="C32" s="1142" t="s">
        <v>185</v>
      </c>
      <c r="D32" s="309">
        <v>11.997</v>
      </c>
      <c r="E32" s="1126" t="s">
        <v>1701</v>
      </c>
      <c r="F32" s="314">
        <v>45896</v>
      </c>
      <c r="G32" s="314">
        <v>45909</v>
      </c>
      <c r="H32" s="1140" t="s">
        <v>1506</v>
      </c>
      <c r="I32" s="1143"/>
    </row>
    <row r="33" spans="1:10">
      <c r="A33" s="57">
        <f t="shared" si="0"/>
        <v>28</v>
      </c>
      <c r="B33" s="1146" t="s">
        <v>227</v>
      </c>
      <c r="C33" s="1146" t="s">
        <v>182</v>
      </c>
      <c r="D33" s="1054">
        <v>11.145</v>
      </c>
      <c r="E33" s="1083" t="s">
        <v>1599</v>
      </c>
      <c r="F33" s="314">
        <v>45905</v>
      </c>
      <c r="G33" s="314">
        <v>45909</v>
      </c>
      <c r="H33" s="1140" t="s">
        <v>1506</v>
      </c>
      <c r="I33" s="1147" t="s">
        <v>1719</v>
      </c>
      <c r="J33" s="1147" t="s">
        <v>1720</v>
      </c>
    </row>
    <row r="34" spans="1:10">
      <c r="A34" s="57">
        <f t="shared" si="0"/>
        <v>29</v>
      </c>
      <c r="B34" s="1148" t="s">
        <v>819</v>
      </c>
      <c r="C34" s="1146" t="s">
        <v>182</v>
      </c>
      <c r="D34" s="1054">
        <v>11.145</v>
      </c>
      <c r="E34" s="57" t="s">
        <v>1700</v>
      </c>
      <c r="F34" s="314">
        <v>45905</v>
      </c>
      <c r="G34" s="314">
        <v>45910</v>
      </c>
      <c r="H34" s="1140" t="s">
        <v>1506</v>
      </c>
    </row>
    <row r="35" spans="1:10">
      <c r="A35" s="57">
        <f t="shared" si="0"/>
        <v>30</v>
      </c>
      <c r="B35" s="1149" t="s">
        <v>225</v>
      </c>
      <c r="C35" s="1149" t="s">
        <v>185</v>
      </c>
      <c r="D35" s="309">
        <v>11.997</v>
      </c>
      <c r="E35" s="1083" t="s">
        <v>1671</v>
      </c>
      <c r="F35" s="314">
        <v>45898</v>
      </c>
      <c r="G35" s="314">
        <v>45911</v>
      </c>
      <c r="H35" s="1140" t="s">
        <v>1506</v>
      </c>
    </row>
    <row r="36" spans="1:10">
      <c r="A36" s="57">
        <f t="shared" si="0"/>
        <v>31</v>
      </c>
      <c r="B36" s="1145" t="s">
        <v>1311</v>
      </c>
      <c r="C36" s="1145" t="s">
        <v>115</v>
      </c>
      <c r="D36" s="1138">
        <v>18.727009000000002</v>
      </c>
      <c r="E36" s="1145" t="s">
        <v>1709</v>
      </c>
      <c r="F36" s="314">
        <v>45901</v>
      </c>
      <c r="G36" s="314">
        <v>45911</v>
      </c>
      <c r="H36" s="1140" t="s">
        <v>1506</v>
      </c>
    </row>
    <row r="37" spans="1:10">
      <c r="A37" s="57">
        <f t="shared" si="0"/>
        <v>32</v>
      </c>
      <c r="B37" s="1150" t="s">
        <v>822</v>
      </c>
      <c r="C37" s="1148" t="s">
        <v>182</v>
      </c>
      <c r="D37" s="1054">
        <v>11.145</v>
      </c>
      <c r="E37" s="57" t="s">
        <v>1700</v>
      </c>
      <c r="F37" s="314">
        <v>45911</v>
      </c>
      <c r="G37" s="314">
        <v>45914</v>
      </c>
      <c r="H37" s="1140" t="s">
        <v>1506</v>
      </c>
      <c r="I37" s="1151"/>
    </row>
    <row r="38" spans="1:10">
      <c r="A38" s="57">
        <f t="shared" si="0"/>
        <v>33</v>
      </c>
      <c r="B38" s="1152" t="s">
        <v>804</v>
      </c>
      <c r="C38" s="1152" t="s">
        <v>182</v>
      </c>
      <c r="D38" s="1054">
        <v>11.145</v>
      </c>
      <c r="E38" s="1126" t="s">
        <v>1701</v>
      </c>
      <c r="F38" s="314">
        <v>45909</v>
      </c>
      <c r="G38" s="314">
        <v>45914</v>
      </c>
      <c r="H38" s="1140" t="s">
        <v>1506</v>
      </c>
      <c r="I38" s="1151"/>
    </row>
    <row r="39" spans="1:10">
      <c r="A39" s="57">
        <f t="shared" si="0"/>
        <v>34</v>
      </c>
      <c r="B39" s="1152" t="s">
        <v>392</v>
      </c>
      <c r="C39" s="1152" t="s">
        <v>242</v>
      </c>
      <c r="D39" s="1054">
        <v>13.071999999999999</v>
      </c>
      <c r="E39" s="1083" t="s">
        <v>1599</v>
      </c>
      <c r="F39" s="314">
        <v>45909</v>
      </c>
      <c r="G39" s="314">
        <v>45914</v>
      </c>
      <c r="H39" s="1140" t="s">
        <v>1506</v>
      </c>
      <c r="J39" s="1153" t="s">
        <v>1722</v>
      </c>
    </row>
    <row r="40" spans="1:10">
      <c r="A40" s="57">
        <f t="shared" si="0"/>
        <v>35</v>
      </c>
      <c r="B40" s="1154" t="s">
        <v>294</v>
      </c>
      <c r="C40" s="1154" t="s">
        <v>182</v>
      </c>
      <c r="D40" s="1054">
        <v>11.145</v>
      </c>
      <c r="E40" s="1155" t="s">
        <v>1709</v>
      </c>
      <c r="F40" s="314">
        <v>45901</v>
      </c>
      <c r="G40" s="314">
        <v>45915</v>
      </c>
      <c r="H40" s="57" t="s">
        <v>1506</v>
      </c>
      <c r="I40" s="1151"/>
    </row>
    <row r="41" spans="1:10">
      <c r="A41" s="57">
        <f t="shared" si="0"/>
        <v>36</v>
      </c>
      <c r="B41" s="1155" t="s">
        <v>385</v>
      </c>
      <c r="C41" s="1155" t="s">
        <v>182</v>
      </c>
      <c r="D41" s="1054">
        <v>11.145</v>
      </c>
      <c r="E41" s="1083" t="s">
        <v>1671</v>
      </c>
      <c r="F41" s="314">
        <v>45911</v>
      </c>
      <c r="G41" s="314">
        <v>45915</v>
      </c>
      <c r="H41" s="1156" t="s">
        <v>1506</v>
      </c>
      <c r="I41" s="1157" t="s">
        <v>183</v>
      </c>
    </row>
    <row r="42" spans="1:10">
      <c r="A42" s="57">
        <f t="shared" si="0"/>
        <v>37</v>
      </c>
      <c r="B42" s="1158" t="s">
        <v>181</v>
      </c>
      <c r="C42" s="1142" t="s">
        <v>182</v>
      </c>
      <c r="D42" s="1054">
        <v>11.145</v>
      </c>
      <c r="E42" s="1126" t="s">
        <v>1702</v>
      </c>
      <c r="F42" s="314">
        <v>45897</v>
      </c>
      <c r="G42" s="314">
        <v>45916</v>
      </c>
      <c r="H42" s="1156" t="s">
        <v>1506</v>
      </c>
    </row>
    <row r="43" spans="1:10">
      <c r="A43" s="57">
        <f t="shared" si="0"/>
        <v>38</v>
      </c>
      <c r="B43" s="1159" t="s">
        <v>823</v>
      </c>
      <c r="C43" s="1148" t="s">
        <v>182</v>
      </c>
      <c r="D43" s="1054">
        <v>11.145</v>
      </c>
      <c r="E43" s="57" t="s">
        <v>1700</v>
      </c>
      <c r="F43" s="314">
        <v>45914</v>
      </c>
      <c r="G43" s="314">
        <v>45919</v>
      </c>
      <c r="H43" s="1156" t="s">
        <v>1506</v>
      </c>
      <c r="I43" s="1160" t="s">
        <v>824</v>
      </c>
    </row>
    <row r="44" spans="1:10">
      <c r="A44" s="57">
        <f t="shared" si="0"/>
        <v>39</v>
      </c>
      <c r="B44" s="1159" t="s">
        <v>805</v>
      </c>
      <c r="C44" s="1152" t="s">
        <v>182</v>
      </c>
      <c r="D44" s="1054">
        <v>11.145</v>
      </c>
      <c r="E44" s="1126" t="s">
        <v>1701</v>
      </c>
      <c r="F44" s="314">
        <v>45914</v>
      </c>
      <c r="G44" s="314">
        <v>45919</v>
      </c>
      <c r="H44" s="1156" t="s">
        <v>1506</v>
      </c>
      <c r="I44" s="1160" t="s">
        <v>806</v>
      </c>
    </row>
    <row r="45" spans="1:10">
      <c r="A45" s="57">
        <f t="shared" si="0"/>
        <v>40</v>
      </c>
      <c r="B45" s="1159" t="s">
        <v>798</v>
      </c>
      <c r="C45" s="1159" t="s">
        <v>185</v>
      </c>
      <c r="D45" s="309">
        <v>11.997</v>
      </c>
      <c r="E45" s="1159" t="s">
        <v>1723</v>
      </c>
      <c r="F45" s="1161">
        <v>45911</v>
      </c>
      <c r="G45" s="1161">
        <v>45917</v>
      </c>
      <c r="H45" s="1156" t="s">
        <v>1506</v>
      </c>
    </row>
    <row r="46" spans="1:10">
      <c r="A46" s="57">
        <f t="shared" si="0"/>
        <v>41</v>
      </c>
      <c r="B46" s="1159" t="s">
        <v>797</v>
      </c>
      <c r="C46" s="1159" t="s">
        <v>185</v>
      </c>
      <c r="D46" s="309">
        <v>11.997</v>
      </c>
      <c r="E46" s="1159" t="s">
        <v>1724</v>
      </c>
      <c r="F46" s="1161">
        <v>45911</v>
      </c>
      <c r="G46" s="1161">
        <v>45917</v>
      </c>
      <c r="H46" s="1156" t="s">
        <v>1506</v>
      </c>
      <c r="I46" s="1160" t="s">
        <v>795</v>
      </c>
    </row>
    <row r="47" spans="1:10">
      <c r="A47" s="57">
        <f t="shared" si="0"/>
        <v>42</v>
      </c>
      <c r="B47" s="1162" t="s">
        <v>795</v>
      </c>
      <c r="C47" s="1162" t="s">
        <v>182</v>
      </c>
      <c r="D47" s="1054">
        <v>11.145</v>
      </c>
      <c r="E47" s="1159" t="s">
        <v>1723</v>
      </c>
      <c r="F47" s="314">
        <v>45918</v>
      </c>
      <c r="G47" s="1163">
        <v>45920</v>
      </c>
      <c r="H47" s="1156" t="s">
        <v>1506</v>
      </c>
      <c r="I47" s="1164" t="s">
        <v>796</v>
      </c>
      <c r="J47" s="1165" t="s">
        <v>794</v>
      </c>
    </row>
    <row r="48" spans="1:10">
      <c r="A48" s="57">
        <f t="shared" si="0"/>
        <v>43</v>
      </c>
      <c r="B48" s="1162" t="s">
        <v>799</v>
      </c>
      <c r="C48" s="1162" t="s">
        <v>182</v>
      </c>
      <c r="D48" s="1054">
        <v>11.145</v>
      </c>
      <c r="E48" s="1159" t="s">
        <v>1724</v>
      </c>
      <c r="F48" s="314">
        <v>45918</v>
      </c>
      <c r="G48" s="1163">
        <v>45920</v>
      </c>
      <c r="H48" s="1156" t="s">
        <v>1506</v>
      </c>
      <c r="I48" s="1166" t="s">
        <v>800</v>
      </c>
      <c r="J48" s="1165"/>
    </row>
    <row r="49" spans="1:18">
      <c r="A49" s="57">
        <f t="shared" si="0"/>
        <v>44</v>
      </c>
      <c r="B49" s="1150" t="s">
        <v>418</v>
      </c>
      <c r="C49" s="1167" t="s">
        <v>185</v>
      </c>
      <c r="D49" s="309">
        <v>11.997</v>
      </c>
      <c r="E49" s="1155" t="s">
        <v>1710</v>
      </c>
      <c r="F49" s="314">
        <v>45911</v>
      </c>
      <c r="G49" s="314">
        <v>45921</v>
      </c>
      <c r="H49" s="1156" t="s">
        <v>1506</v>
      </c>
      <c r="I49" s="1165" t="s">
        <v>289</v>
      </c>
      <c r="J49" s="1168"/>
    </row>
    <row r="50" spans="1:18">
      <c r="A50" s="57">
        <f t="shared" si="0"/>
        <v>45</v>
      </c>
      <c r="B50" s="1159" t="s">
        <v>1321</v>
      </c>
      <c r="C50" s="1159" t="s">
        <v>115</v>
      </c>
      <c r="D50" s="1138">
        <v>18.727009000000002</v>
      </c>
      <c r="E50" s="1083" t="s">
        <v>1599</v>
      </c>
      <c r="F50" s="314">
        <v>45914</v>
      </c>
      <c r="G50" s="314">
        <v>45921</v>
      </c>
      <c r="H50" s="1156" t="s">
        <v>1506</v>
      </c>
      <c r="I50" s="1165"/>
      <c r="J50" s="1168"/>
    </row>
    <row r="51" spans="1:18">
      <c r="A51" s="57">
        <f t="shared" si="0"/>
        <v>46</v>
      </c>
      <c r="B51" s="1162" t="s">
        <v>183</v>
      </c>
      <c r="C51" s="1162" t="s">
        <v>182</v>
      </c>
      <c r="D51" s="1054">
        <v>11.145</v>
      </c>
      <c r="E51" s="1126" t="s">
        <v>1702</v>
      </c>
      <c r="F51" s="314">
        <v>45917</v>
      </c>
      <c r="G51" s="314">
        <v>45922</v>
      </c>
      <c r="H51" s="1156" t="s">
        <v>1506</v>
      </c>
      <c r="I51" s="1165"/>
      <c r="J51" s="1165"/>
      <c r="L51" s="1169" t="s">
        <v>253</v>
      </c>
      <c r="M51" s="1160" t="s">
        <v>274</v>
      </c>
    </row>
    <row r="52" spans="1:18">
      <c r="A52" s="57">
        <f t="shared" si="0"/>
        <v>47</v>
      </c>
      <c r="B52" s="1170" t="s">
        <v>796</v>
      </c>
      <c r="C52" s="1170" t="s">
        <v>185</v>
      </c>
      <c r="D52" s="309">
        <v>11.997</v>
      </c>
      <c r="E52" s="1159" t="s">
        <v>1723</v>
      </c>
      <c r="F52" s="314">
        <v>45921</v>
      </c>
      <c r="G52" s="1163">
        <v>45923</v>
      </c>
      <c r="H52" s="1156" t="s">
        <v>1506</v>
      </c>
      <c r="I52" s="1169" t="s">
        <v>1336</v>
      </c>
      <c r="J52" s="1171" t="s">
        <v>228</v>
      </c>
      <c r="K52" s="1160" t="s">
        <v>289</v>
      </c>
    </row>
    <row r="53" spans="1:18">
      <c r="A53" s="57">
        <f t="shared" si="0"/>
        <v>48</v>
      </c>
      <c r="B53" s="1170" t="s">
        <v>800</v>
      </c>
      <c r="C53" s="1170" t="s">
        <v>242</v>
      </c>
      <c r="D53" s="1054">
        <v>13.071999999999999</v>
      </c>
      <c r="E53" s="1159" t="s">
        <v>1724</v>
      </c>
      <c r="F53" s="314">
        <v>45921</v>
      </c>
      <c r="G53" s="314">
        <v>45923</v>
      </c>
      <c r="H53" s="1156" t="s">
        <v>1506</v>
      </c>
      <c r="I53" s="1165"/>
    </row>
    <row r="54" spans="1:18">
      <c r="A54" s="57">
        <f t="shared" si="0"/>
        <v>49</v>
      </c>
      <c r="B54" s="1172" t="s">
        <v>824</v>
      </c>
      <c r="C54" s="1148" t="s">
        <v>182</v>
      </c>
      <c r="D54" s="1054">
        <v>11.145</v>
      </c>
      <c r="E54" s="57" t="s">
        <v>1700</v>
      </c>
      <c r="F54" s="314">
        <v>45920</v>
      </c>
      <c r="G54" s="314">
        <v>45923</v>
      </c>
      <c r="H54" s="1156" t="s">
        <v>1506</v>
      </c>
    </row>
    <row r="55" spans="1:18">
      <c r="A55" s="57">
        <f t="shared" si="0"/>
        <v>50</v>
      </c>
      <c r="B55" s="1156" t="s">
        <v>169</v>
      </c>
      <c r="C55" s="1156" t="s">
        <v>182</v>
      </c>
      <c r="D55" s="1054">
        <v>11.145</v>
      </c>
      <c r="E55" s="1155" t="s">
        <v>1709</v>
      </c>
      <c r="F55" s="314">
        <v>45915</v>
      </c>
      <c r="G55" s="314">
        <v>45924</v>
      </c>
      <c r="H55" s="1156" t="s">
        <v>1506</v>
      </c>
      <c r="I55" s="1173" t="s">
        <v>1730</v>
      </c>
      <c r="J55" s="1174"/>
      <c r="K55" s="1175"/>
    </row>
    <row r="56" spans="1:18">
      <c r="A56" s="57">
        <f t="shared" si="0"/>
        <v>51</v>
      </c>
      <c r="B56" s="1172" t="s">
        <v>463</v>
      </c>
      <c r="C56" s="1172" t="s">
        <v>248</v>
      </c>
      <c r="D56" s="1137">
        <v>13.958</v>
      </c>
      <c r="E56" s="1083" t="s">
        <v>1599</v>
      </c>
      <c r="F56" s="314">
        <v>45924</v>
      </c>
      <c r="G56" s="314">
        <v>45926</v>
      </c>
      <c r="H56" s="1176" t="s">
        <v>1506</v>
      </c>
      <c r="I56" s="1151" t="s">
        <v>276</v>
      </c>
      <c r="J56" s="1168">
        <v>45915</v>
      </c>
      <c r="K56" s="1160" t="s">
        <v>158</v>
      </c>
      <c r="L56" s="1166" t="s">
        <v>421</v>
      </c>
    </row>
    <row r="57" spans="1:18">
      <c r="A57" s="57">
        <f t="shared" si="0"/>
        <v>52</v>
      </c>
      <c r="B57" s="1170" t="s">
        <v>794</v>
      </c>
      <c r="C57" s="1170" t="s">
        <v>242</v>
      </c>
      <c r="D57" s="1054">
        <v>13.071999999999999</v>
      </c>
      <c r="E57" s="1159" t="s">
        <v>1724</v>
      </c>
      <c r="F57" s="314">
        <v>45922</v>
      </c>
      <c r="G57" s="314">
        <v>45927</v>
      </c>
      <c r="H57" s="1177" t="s">
        <v>1506</v>
      </c>
    </row>
    <row r="58" spans="1:18">
      <c r="A58" s="57">
        <f t="shared" si="0"/>
        <v>53</v>
      </c>
      <c r="B58" s="1178" t="s">
        <v>791</v>
      </c>
      <c r="C58" s="1178" t="s">
        <v>242</v>
      </c>
      <c r="D58" s="1054">
        <v>13.071999999999999</v>
      </c>
      <c r="E58" s="1178" t="s">
        <v>1723</v>
      </c>
      <c r="F58" s="314">
        <v>45924</v>
      </c>
      <c r="G58" s="314">
        <v>45927</v>
      </c>
      <c r="H58" s="1177" t="s">
        <v>1506</v>
      </c>
    </row>
    <row r="59" spans="1:18">
      <c r="A59" s="57">
        <f t="shared" si="0"/>
        <v>54</v>
      </c>
      <c r="B59" s="1178" t="s">
        <v>1365</v>
      </c>
      <c r="C59" s="1178" t="s">
        <v>185</v>
      </c>
      <c r="D59" s="309">
        <v>11.997</v>
      </c>
      <c r="E59" s="57" t="s">
        <v>1700</v>
      </c>
      <c r="F59" s="314">
        <v>45924</v>
      </c>
      <c r="G59" s="314">
        <v>45927</v>
      </c>
      <c r="H59" s="1177" t="s">
        <v>1506</v>
      </c>
      <c r="I59" s="1151"/>
      <c r="J59" s="1168"/>
      <c r="K59" s="1160"/>
      <c r="L59" s="1166"/>
    </row>
    <row r="60" spans="1:18">
      <c r="A60" s="57">
        <f t="shared" si="0"/>
        <v>55</v>
      </c>
      <c r="B60" s="1162" t="s">
        <v>263</v>
      </c>
      <c r="C60" s="1179" t="s">
        <v>242</v>
      </c>
      <c r="D60" s="1054">
        <v>13.071999999999999</v>
      </c>
      <c r="E60" s="1083" t="s">
        <v>1671</v>
      </c>
      <c r="F60" s="314">
        <v>45919</v>
      </c>
      <c r="G60" s="1180">
        <v>45927</v>
      </c>
      <c r="H60" s="1177" t="s">
        <v>1506</v>
      </c>
      <c r="I60" s="1160"/>
      <c r="J60" s="1174"/>
      <c r="K60" s="1175"/>
    </row>
    <row r="61" spans="1:18">
      <c r="A61" s="57">
        <f t="shared" si="0"/>
        <v>56</v>
      </c>
      <c r="B61" s="1181" t="s">
        <v>468</v>
      </c>
      <c r="C61" s="1176" t="s">
        <v>182</v>
      </c>
      <c r="D61" s="1054">
        <v>11.145</v>
      </c>
      <c r="E61" s="1083" t="s">
        <v>1599</v>
      </c>
      <c r="F61" s="314">
        <v>45927</v>
      </c>
      <c r="G61" s="314">
        <v>45929</v>
      </c>
      <c r="H61" s="1179" t="s">
        <v>1506</v>
      </c>
      <c r="N61" s="1168">
        <v>45929</v>
      </c>
    </row>
    <row r="62" spans="1:18">
      <c r="A62" s="57">
        <f t="shared" si="0"/>
        <v>57</v>
      </c>
      <c r="B62" s="1182" t="s">
        <v>765</v>
      </c>
      <c r="C62" s="1182" t="s">
        <v>185</v>
      </c>
      <c r="D62" s="309">
        <v>11.997</v>
      </c>
      <c r="E62" s="1126" t="s">
        <v>1702</v>
      </c>
      <c r="F62" s="314">
        <v>45923</v>
      </c>
      <c r="G62" s="314">
        <v>45929</v>
      </c>
      <c r="H62" s="1179" t="s">
        <v>1506</v>
      </c>
      <c r="N62" s="1168">
        <v>45930</v>
      </c>
      <c r="O62" s="1183" t="s">
        <v>766</v>
      </c>
    </row>
    <row r="63" spans="1:18">
      <c r="A63" s="57">
        <f t="shared" si="0"/>
        <v>58</v>
      </c>
      <c r="B63" s="1184" t="s">
        <v>1366</v>
      </c>
      <c r="C63" s="1184" t="s">
        <v>182</v>
      </c>
      <c r="D63" s="1054">
        <v>11.145</v>
      </c>
      <c r="E63" s="57" t="s">
        <v>1700</v>
      </c>
      <c r="F63" s="314">
        <v>45927</v>
      </c>
      <c r="G63" s="1185">
        <v>45930</v>
      </c>
      <c r="H63" s="1179" t="s">
        <v>1506</v>
      </c>
      <c r="I63" s="1160"/>
      <c r="J63" s="1174"/>
      <c r="K63" s="1175"/>
      <c r="N63" s="1168">
        <v>45929</v>
      </c>
      <c r="O63" s="1183" t="s">
        <v>816</v>
      </c>
      <c r="P63" s="1186" t="s">
        <v>817</v>
      </c>
      <c r="Q63" s="1183" t="s">
        <v>1679</v>
      </c>
      <c r="R63" s="1183" t="s">
        <v>1363</v>
      </c>
    </row>
    <row r="64" spans="1:18">
      <c r="A64" s="57">
        <f t="shared" si="0"/>
        <v>59</v>
      </c>
      <c r="B64" s="1182" t="s">
        <v>806</v>
      </c>
      <c r="C64" s="1182" t="s">
        <v>185</v>
      </c>
      <c r="D64" s="309">
        <v>11.997</v>
      </c>
      <c r="E64" s="1184" t="s">
        <v>1742</v>
      </c>
      <c r="F64" s="314">
        <v>45920</v>
      </c>
      <c r="G64" s="1185">
        <v>45930</v>
      </c>
      <c r="H64" s="1179" t="s">
        <v>1506</v>
      </c>
      <c r="N64" s="1187">
        <v>45929</v>
      </c>
      <c r="O64" s="1183" t="s">
        <v>808</v>
      </c>
    </row>
    <row r="65" spans="1:26">
      <c r="A65" s="57">
        <f t="shared" si="0"/>
        <v>60</v>
      </c>
      <c r="B65" s="1170" t="s">
        <v>289</v>
      </c>
      <c r="C65" s="1170" t="s">
        <v>182</v>
      </c>
      <c r="D65" s="1054">
        <v>11.145</v>
      </c>
      <c r="E65" s="1155" t="s">
        <v>1710</v>
      </c>
      <c r="F65" s="314">
        <v>45923</v>
      </c>
      <c r="G65" s="1185">
        <v>45930</v>
      </c>
      <c r="H65" s="1179" t="s">
        <v>1506</v>
      </c>
    </row>
    <row r="66" spans="1:26">
      <c r="A66" s="57">
        <f t="shared" si="0"/>
        <v>61</v>
      </c>
      <c r="B66" s="1177" t="s">
        <v>790</v>
      </c>
      <c r="C66" s="1177" t="s">
        <v>182</v>
      </c>
      <c r="D66" s="1054">
        <v>11.145</v>
      </c>
      <c r="E66" s="1178" t="s">
        <v>1723</v>
      </c>
      <c r="F66" s="314">
        <v>45927</v>
      </c>
      <c r="G66" s="1185">
        <v>45930</v>
      </c>
      <c r="H66" s="1179" t="s">
        <v>1506</v>
      </c>
    </row>
    <row r="67" spans="1:26">
      <c r="A67" s="57">
        <f t="shared" si="0"/>
        <v>62</v>
      </c>
      <c r="B67" s="1188" t="s">
        <v>1634</v>
      </c>
      <c r="C67" s="1188" t="s">
        <v>137</v>
      </c>
      <c r="D67" s="309">
        <f>(14703.841+4275.97)/1000</f>
        <v>18.979811000000002</v>
      </c>
      <c r="E67" s="1189" t="s">
        <v>1724</v>
      </c>
      <c r="F67" s="1089">
        <v>45927</v>
      </c>
      <c r="G67" s="1185">
        <v>45930</v>
      </c>
      <c r="H67" s="1179" t="s">
        <v>1506</v>
      </c>
      <c r="N67" s="1168">
        <v>45929</v>
      </c>
      <c r="O67" s="1183" t="s">
        <v>1617</v>
      </c>
    </row>
    <row r="68" spans="1:26">
      <c r="A68" s="57">
        <f t="shared" si="0"/>
        <v>63</v>
      </c>
      <c r="B68" s="1177" t="s">
        <v>808</v>
      </c>
      <c r="C68" s="57" t="s">
        <v>185</v>
      </c>
      <c r="D68" s="309">
        <v>11.997</v>
      </c>
      <c r="E68" s="1184" t="s">
        <v>1742</v>
      </c>
      <c r="F68" s="314">
        <v>45930</v>
      </c>
      <c r="G68" s="1185">
        <v>45933</v>
      </c>
      <c r="H68" s="1179" t="s">
        <v>1506</v>
      </c>
      <c r="N68" s="1168"/>
      <c r="O68" s="1183"/>
    </row>
    <row r="69" spans="1:26">
      <c r="A69" s="57">
        <f t="shared" si="0"/>
        <v>64</v>
      </c>
      <c r="B69" s="1190" t="s">
        <v>816</v>
      </c>
      <c r="C69" s="1184" t="s">
        <v>182</v>
      </c>
      <c r="D69" s="1054">
        <v>11.145</v>
      </c>
      <c r="E69" s="57" t="s">
        <v>1700</v>
      </c>
      <c r="F69" s="314">
        <v>45930</v>
      </c>
      <c r="G69" s="1185">
        <v>45933</v>
      </c>
      <c r="H69" s="1179" t="s">
        <v>1506</v>
      </c>
      <c r="N69" s="1168"/>
      <c r="O69" s="1183"/>
    </row>
    <row r="70" spans="1:26">
      <c r="A70" s="57">
        <f t="shared" si="0"/>
        <v>65</v>
      </c>
      <c r="B70" s="1179" t="s">
        <v>766</v>
      </c>
      <c r="C70" s="1190" t="s">
        <v>182</v>
      </c>
      <c r="D70" s="1054">
        <v>11.145</v>
      </c>
      <c r="E70" s="1126" t="s">
        <v>1702</v>
      </c>
      <c r="F70" s="314">
        <v>45929</v>
      </c>
      <c r="G70" s="1185">
        <v>45935</v>
      </c>
      <c r="H70" s="1179" t="s">
        <v>1506</v>
      </c>
      <c r="N70" s="1168"/>
    </row>
    <row r="71" spans="1:26">
      <c r="A71" s="57">
        <f t="shared" si="0"/>
        <v>66</v>
      </c>
      <c r="B71" s="1191" t="s">
        <v>809</v>
      </c>
      <c r="C71" s="1191" t="s">
        <v>182</v>
      </c>
      <c r="D71" s="1054">
        <v>11.145</v>
      </c>
      <c r="E71" s="1184" t="s">
        <v>1742</v>
      </c>
      <c r="F71" s="1185">
        <v>45933</v>
      </c>
      <c r="G71" s="1185">
        <v>45935</v>
      </c>
      <c r="H71" s="1179" t="s">
        <v>1506</v>
      </c>
      <c r="N71" s="1168"/>
      <c r="O71" s="1183"/>
    </row>
    <row r="72" spans="1:26">
      <c r="A72" s="57">
        <f t="shared" si="0"/>
        <v>67</v>
      </c>
      <c r="B72" s="1190" t="s">
        <v>1658</v>
      </c>
      <c r="C72" s="1190" t="s">
        <v>125</v>
      </c>
      <c r="D72" s="1140">
        <v>21.41</v>
      </c>
      <c r="E72" s="1083" t="s">
        <v>1599</v>
      </c>
      <c r="F72" s="314">
        <v>45930</v>
      </c>
      <c r="G72" s="314">
        <v>45937</v>
      </c>
      <c r="H72" s="1088" t="s">
        <v>1506</v>
      </c>
      <c r="X72" s="1192" t="s">
        <v>1746</v>
      </c>
      <c r="Y72" s="1127" t="e">
        <f>#REF!*0.18</f>
        <v>#REF!</v>
      </c>
    </row>
    <row r="73" spans="1:26" ht="43.5">
      <c r="A73" s="57">
        <f t="shared" si="0"/>
        <v>68</v>
      </c>
      <c r="B73" s="1190" t="s">
        <v>1617</v>
      </c>
      <c r="C73" s="1190" t="s">
        <v>137</v>
      </c>
      <c r="D73" s="309">
        <f>(14703.841+4275.97)/1000</f>
        <v>18.979811000000002</v>
      </c>
      <c r="E73" s="1190" t="s">
        <v>1723</v>
      </c>
      <c r="F73" s="314">
        <v>45931</v>
      </c>
      <c r="G73" s="314">
        <v>45937</v>
      </c>
      <c r="H73" s="1088" t="s">
        <v>1506</v>
      </c>
      <c r="N73" s="1193" t="s">
        <v>1753</v>
      </c>
      <c r="S73" s="1140" t="s">
        <v>258</v>
      </c>
      <c r="T73" s="1140" t="s">
        <v>182</v>
      </c>
      <c r="V73" s="1183" t="s">
        <v>182</v>
      </c>
      <c r="W73" s="577">
        <v>3</v>
      </c>
      <c r="X73" s="577">
        <v>11.15</v>
      </c>
      <c r="Y73" s="577">
        <f>X73*W73</f>
        <v>33.450000000000003</v>
      </c>
      <c r="Z73" s="577">
        <f>511-72</f>
        <v>439</v>
      </c>
    </row>
    <row r="74" spans="1:26">
      <c r="A74" s="57">
        <f t="shared" si="0"/>
        <v>69</v>
      </c>
      <c r="B74" s="1190" t="s">
        <v>190</v>
      </c>
      <c r="C74" s="1190" t="s">
        <v>192</v>
      </c>
      <c r="D74" s="577">
        <f>(16972.938+2884.468+1298.28+5135.312)/1000</f>
        <v>26.290997999999998</v>
      </c>
      <c r="E74" s="1159" t="s">
        <v>1724</v>
      </c>
      <c r="F74" s="314">
        <v>45931</v>
      </c>
      <c r="G74" s="314">
        <v>45938</v>
      </c>
      <c r="H74" s="1088" t="s">
        <v>1506</v>
      </c>
      <c r="Y74" s="577">
        <v>9000</v>
      </c>
    </row>
    <row r="75" spans="1:26">
      <c r="A75" s="57">
        <f t="shared" si="0"/>
        <v>70</v>
      </c>
      <c r="B75" s="1194" t="s">
        <v>1571</v>
      </c>
      <c r="C75" s="1194" t="s">
        <v>115</v>
      </c>
      <c r="D75" s="1138">
        <v>18.727009000000002</v>
      </c>
      <c r="E75" s="1195" t="s">
        <v>1742</v>
      </c>
      <c r="F75" s="314">
        <v>45935</v>
      </c>
      <c r="G75" s="1185">
        <v>45940</v>
      </c>
      <c r="H75" s="1088" t="s">
        <v>1506</v>
      </c>
      <c r="S75" s="1139" t="s">
        <v>259</v>
      </c>
      <c r="T75" s="1137" t="s">
        <v>248</v>
      </c>
    </row>
    <row r="76" spans="1:26">
      <c r="A76" s="57">
        <f t="shared" si="0"/>
        <v>71</v>
      </c>
      <c r="B76" s="1196" t="s">
        <v>787</v>
      </c>
      <c r="C76" s="1196" t="s">
        <v>185</v>
      </c>
      <c r="D76" s="309">
        <v>11.997</v>
      </c>
      <c r="E76" s="1190" t="s">
        <v>1723</v>
      </c>
      <c r="F76" s="314">
        <v>45938</v>
      </c>
      <c r="G76" s="1185">
        <v>45940</v>
      </c>
      <c r="H76" s="1088" t="s">
        <v>1506</v>
      </c>
      <c r="S76" s="1197"/>
      <c r="T76" s="1198"/>
    </row>
    <row r="77" spans="1:26">
      <c r="A77" s="57">
        <f t="shared" si="0"/>
        <v>72</v>
      </c>
      <c r="B77" s="1199" t="s">
        <v>1679</v>
      </c>
      <c r="C77" s="1199" t="s">
        <v>125</v>
      </c>
      <c r="D77" s="1140">
        <v>21.41</v>
      </c>
      <c r="E77" s="57" t="s">
        <v>1700</v>
      </c>
      <c r="F77" s="1185">
        <v>45933</v>
      </c>
      <c r="G77" s="1185">
        <v>45940</v>
      </c>
      <c r="H77" s="1088" t="s">
        <v>1506</v>
      </c>
      <c r="X77" s="1200" t="s">
        <v>1416</v>
      </c>
      <c r="Y77" s="1201" t="e">
        <f>SUM(Y72:Y72)</f>
        <v>#REF!</v>
      </c>
    </row>
    <row r="78" spans="1:26">
      <c r="A78" s="57">
        <f t="shared" si="0"/>
        <v>73</v>
      </c>
      <c r="B78" s="1194" t="s">
        <v>767</v>
      </c>
      <c r="C78" s="1194" t="s">
        <v>242</v>
      </c>
      <c r="D78" s="1054">
        <v>13.071999999999999</v>
      </c>
      <c r="E78" s="1126" t="s">
        <v>1702</v>
      </c>
      <c r="F78" s="1185">
        <v>45935</v>
      </c>
      <c r="G78" s="314">
        <v>45941</v>
      </c>
      <c r="H78" s="1088" t="s">
        <v>1506</v>
      </c>
      <c r="X78" s="1183" t="s">
        <v>1745</v>
      </c>
      <c r="Y78" s="1127" t="e">
        <f>Y77*0.05</f>
        <v>#REF!</v>
      </c>
    </row>
    <row r="79" spans="1:26">
      <c r="A79" s="57">
        <f t="shared" si="0"/>
        <v>74</v>
      </c>
      <c r="B79" s="1195" t="s">
        <v>788</v>
      </c>
      <c r="C79" s="1195" t="s">
        <v>185</v>
      </c>
      <c r="D79" s="309">
        <v>11.997</v>
      </c>
      <c r="E79" s="1190" t="s">
        <v>1723</v>
      </c>
      <c r="F79" s="314">
        <v>45940</v>
      </c>
      <c r="G79" s="314">
        <v>45941</v>
      </c>
      <c r="H79" s="1088" t="s">
        <v>1506</v>
      </c>
      <c r="X79" s="1183" t="s">
        <v>1747</v>
      </c>
      <c r="Y79" s="1127" t="e">
        <f>Y77*0.01</f>
        <v>#REF!</v>
      </c>
    </row>
    <row r="80" spans="1:26">
      <c r="A80" s="57">
        <f t="shared" ref="A80:A126" si="1">A79+1</f>
        <v>75</v>
      </c>
      <c r="B80" s="1195" t="s">
        <v>193</v>
      </c>
      <c r="C80" s="1195" t="s">
        <v>115</v>
      </c>
      <c r="D80" s="1138">
        <v>18.727009000000002</v>
      </c>
      <c r="E80" s="1195" t="s">
        <v>1742</v>
      </c>
      <c r="F80" s="314">
        <v>45940</v>
      </c>
      <c r="G80" s="314">
        <v>45942</v>
      </c>
      <c r="H80" s="1088" t="s">
        <v>1506</v>
      </c>
      <c r="X80" s="1183" t="s">
        <v>1748</v>
      </c>
      <c r="Y80" s="1127" t="e">
        <f>Y77*0.1</f>
        <v>#REF!</v>
      </c>
    </row>
    <row r="81" spans="1:25">
      <c r="A81" s="57">
        <f t="shared" si="1"/>
        <v>76</v>
      </c>
      <c r="B81" s="1196" t="s">
        <v>1610</v>
      </c>
      <c r="C81" s="1196" t="s">
        <v>115</v>
      </c>
      <c r="D81" s="1138">
        <v>18.727009000000002</v>
      </c>
      <c r="E81" s="1196" t="s">
        <v>1599</v>
      </c>
      <c r="F81" s="314">
        <v>45938</v>
      </c>
      <c r="G81" s="314">
        <v>45943</v>
      </c>
      <c r="H81" s="1088" t="s">
        <v>1506</v>
      </c>
      <c r="N81" s="1202"/>
      <c r="X81" s="1183" t="s">
        <v>1749</v>
      </c>
      <c r="Y81" s="1127" t="e">
        <f>Y77*0.2</f>
        <v>#REF!</v>
      </c>
    </row>
    <row r="82" spans="1:25">
      <c r="A82" s="57">
        <f t="shared" si="1"/>
        <v>77</v>
      </c>
      <c r="B82" s="1196" t="s">
        <v>780</v>
      </c>
      <c r="C82" s="1196" t="s">
        <v>182</v>
      </c>
      <c r="D82" s="1054">
        <v>11.145</v>
      </c>
      <c r="E82" s="1159" t="s">
        <v>1724</v>
      </c>
      <c r="F82" s="314">
        <v>45938</v>
      </c>
      <c r="G82" s="314">
        <v>45943</v>
      </c>
      <c r="H82" s="1088" t="s">
        <v>1506</v>
      </c>
      <c r="X82" s="1183" t="s">
        <v>1750</v>
      </c>
      <c r="Y82" s="577">
        <v>600000</v>
      </c>
    </row>
    <row r="83" spans="1:25" ht="20.5" customHeight="1">
      <c r="A83" s="57">
        <f t="shared" si="1"/>
        <v>78</v>
      </c>
      <c r="B83" s="1182" t="s">
        <v>421</v>
      </c>
      <c r="C83" s="1182" t="s">
        <v>115</v>
      </c>
      <c r="D83" s="1138">
        <v>18.727009000000002</v>
      </c>
      <c r="E83" s="1203" t="s">
        <v>1684</v>
      </c>
      <c r="F83" s="314">
        <v>45926</v>
      </c>
      <c r="G83" s="314">
        <v>45945</v>
      </c>
      <c r="H83" s="1088" t="s">
        <v>1506</v>
      </c>
      <c r="X83" s="1204" t="s">
        <v>1752</v>
      </c>
      <c r="Y83" s="1127" t="e">
        <f>Y77*0.1</f>
        <v>#REF!</v>
      </c>
    </row>
    <row r="84" spans="1:25" ht="18.5">
      <c r="A84" s="57">
        <f t="shared" si="1"/>
        <v>79</v>
      </c>
      <c r="B84" s="1195" t="s">
        <v>1363</v>
      </c>
      <c r="C84" s="1195" t="s">
        <v>125</v>
      </c>
      <c r="D84" s="1140">
        <v>21.41</v>
      </c>
      <c r="E84" s="57" t="s">
        <v>1700</v>
      </c>
      <c r="F84" s="314">
        <v>45940</v>
      </c>
      <c r="G84" s="314">
        <v>45945</v>
      </c>
      <c r="H84" s="1088" t="s">
        <v>1506</v>
      </c>
      <c r="X84" s="1205" t="s">
        <v>1751</v>
      </c>
      <c r="Y84" s="1206" t="e">
        <f>Y77-#REF!-Y82</f>
        <v>#REF!</v>
      </c>
    </row>
    <row r="85" spans="1:25">
      <c r="A85" s="57">
        <f t="shared" si="1"/>
        <v>80</v>
      </c>
      <c r="B85" s="1207" t="s">
        <v>763</v>
      </c>
      <c r="C85" s="1207" t="s">
        <v>182</v>
      </c>
      <c r="D85" s="1054">
        <v>11.145</v>
      </c>
      <c r="E85" s="1126" t="s">
        <v>1702</v>
      </c>
      <c r="F85" s="1185">
        <v>45941</v>
      </c>
      <c r="G85" s="314">
        <v>45945</v>
      </c>
      <c r="H85" s="1088" t="s">
        <v>1506</v>
      </c>
    </row>
    <row r="86" spans="1:25">
      <c r="A86" s="57">
        <f t="shared" si="1"/>
        <v>81</v>
      </c>
      <c r="B86" s="1207" t="s">
        <v>189</v>
      </c>
      <c r="C86" s="1207" t="s">
        <v>115</v>
      </c>
      <c r="D86" s="1138">
        <v>18.727009000000002</v>
      </c>
      <c r="E86" s="1190" t="s">
        <v>1723</v>
      </c>
      <c r="F86" s="314">
        <v>45941</v>
      </c>
      <c r="G86" s="314">
        <v>45946</v>
      </c>
      <c r="H86" s="1088" t="s">
        <v>1506</v>
      </c>
    </row>
    <row r="87" spans="1:25">
      <c r="A87" s="57">
        <f t="shared" si="1"/>
        <v>82</v>
      </c>
      <c r="B87" s="1208" t="s">
        <v>812</v>
      </c>
      <c r="C87" s="1208" t="s">
        <v>182</v>
      </c>
      <c r="D87" s="1054">
        <v>11.145</v>
      </c>
      <c r="E87" s="1195" t="s">
        <v>1742</v>
      </c>
      <c r="F87" s="1209">
        <v>45942</v>
      </c>
      <c r="G87" s="314">
        <v>45945</v>
      </c>
      <c r="H87" s="1088" t="s">
        <v>1506</v>
      </c>
    </row>
    <row r="88" spans="1:25">
      <c r="A88" s="57">
        <f t="shared" si="1"/>
        <v>83</v>
      </c>
      <c r="B88" s="1210" t="s">
        <v>781</v>
      </c>
      <c r="C88" s="57" t="s">
        <v>182</v>
      </c>
      <c r="D88" s="1054">
        <v>11.145</v>
      </c>
      <c r="E88" s="1159" t="s">
        <v>1724</v>
      </c>
      <c r="F88" s="314">
        <v>45943</v>
      </c>
      <c r="G88" s="314">
        <v>45946</v>
      </c>
      <c r="H88" s="1088" t="s">
        <v>1506</v>
      </c>
    </row>
    <row r="89" spans="1:25">
      <c r="A89" s="57">
        <f t="shared" si="1"/>
        <v>84</v>
      </c>
      <c r="B89" s="1210" t="s">
        <v>731</v>
      </c>
      <c r="C89" s="57" t="s">
        <v>115</v>
      </c>
      <c r="D89" s="1138">
        <v>18.727009000000002</v>
      </c>
      <c r="E89" s="1196" t="s">
        <v>1599</v>
      </c>
      <c r="F89" s="314">
        <v>45943</v>
      </c>
      <c r="G89" s="314">
        <v>41200</v>
      </c>
      <c r="H89" s="1211" t="s">
        <v>1506</v>
      </c>
    </row>
    <row r="90" spans="1:25">
      <c r="A90" s="57">
        <f t="shared" si="1"/>
        <v>85</v>
      </c>
      <c r="B90" s="1203" t="s">
        <v>180</v>
      </c>
      <c r="C90" s="1203" t="s">
        <v>182</v>
      </c>
      <c r="D90" s="1054">
        <v>11.145</v>
      </c>
      <c r="E90" s="1126" t="s">
        <v>1702</v>
      </c>
      <c r="F90" s="314">
        <v>45945</v>
      </c>
      <c r="G90" s="314">
        <v>45949</v>
      </c>
      <c r="H90" s="1088" t="s">
        <v>1506</v>
      </c>
    </row>
    <row r="91" spans="1:25">
      <c r="A91" s="57">
        <f t="shared" si="1"/>
        <v>86</v>
      </c>
      <c r="B91" s="1203" t="s">
        <v>782</v>
      </c>
      <c r="C91" s="1203" t="s">
        <v>182</v>
      </c>
      <c r="D91" s="1054">
        <v>11.145</v>
      </c>
      <c r="E91" s="1203" t="s">
        <v>1724</v>
      </c>
      <c r="F91" s="314">
        <v>45946</v>
      </c>
      <c r="G91" s="314">
        <v>45949</v>
      </c>
      <c r="H91" s="1088" t="s">
        <v>1506</v>
      </c>
    </row>
    <row r="92" spans="1:25">
      <c r="A92" s="57">
        <f t="shared" si="1"/>
        <v>87</v>
      </c>
      <c r="B92" s="1203" t="s">
        <v>1286</v>
      </c>
      <c r="C92" s="1203" t="s">
        <v>182</v>
      </c>
      <c r="D92" s="1054">
        <v>11.145</v>
      </c>
      <c r="E92" s="1212" t="s">
        <v>1700</v>
      </c>
      <c r="F92" s="314">
        <v>45946</v>
      </c>
      <c r="G92" s="314">
        <v>45949</v>
      </c>
      <c r="H92" s="1213" t="s">
        <v>1506</v>
      </c>
    </row>
    <row r="93" spans="1:25">
      <c r="A93" s="57">
        <f t="shared" si="1"/>
        <v>88</v>
      </c>
      <c r="B93" s="1203" t="s">
        <v>811</v>
      </c>
      <c r="C93" s="1203" t="s">
        <v>182</v>
      </c>
      <c r="D93" s="1054">
        <v>11.145</v>
      </c>
      <c r="E93" s="1203" t="s">
        <v>1742</v>
      </c>
      <c r="F93" s="314">
        <v>45945</v>
      </c>
      <c r="G93" s="314">
        <v>45949</v>
      </c>
      <c r="H93" s="1213" t="s">
        <v>1506</v>
      </c>
    </row>
    <row r="94" spans="1:25">
      <c r="A94" s="57">
        <f t="shared" si="1"/>
        <v>89</v>
      </c>
      <c r="B94" s="1214" t="s">
        <v>810</v>
      </c>
      <c r="C94" s="57" t="s">
        <v>182</v>
      </c>
      <c r="D94" s="1054">
        <v>11.145</v>
      </c>
      <c r="E94" s="1215" t="s">
        <v>1742</v>
      </c>
      <c r="F94" s="314">
        <v>45949</v>
      </c>
      <c r="G94" s="314">
        <v>45952</v>
      </c>
      <c r="H94" s="1088" t="s">
        <v>1506</v>
      </c>
    </row>
    <row r="95" spans="1:25">
      <c r="A95" s="57">
        <f t="shared" si="1"/>
        <v>90</v>
      </c>
      <c r="B95" s="1214" t="s">
        <v>817</v>
      </c>
      <c r="C95" s="57" t="s">
        <v>182</v>
      </c>
      <c r="D95" s="1054">
        <v>11.145</v>
      </c>
      <c r="E95" s="1212" t="s">
        <v>1700</v>
      </c>
      <c r="F95" s="314">
        <v>45949</v>
      </c>
      <c r="G95" s="314">
        <v>45952</v>
      </c>
      <c r="H95" s="1088" t="s">
        <v>1506</v>
      </c>
    </row>
    <row r="96" spans="1:25">
      <c r="A96" s="57">
        <f t="shared" si="1"/>
        <v>91</v>
      </c>
      <c r="B96" s="1203" t="s">
        <v>1361</v>
      </c>
      <c r="C96" s="1203" t="s">
        <v>125</v>
      </c>
      <c r="D96" s="1140">
        <v>21.41</v>
      </c>
      <c r="E96" s="1203" t="s">
        <v>1723</v>
      </c>
      <c r="F96" s="314">
        <v>45946</v>
      </c>
      <c r="G96" s="314">
        <v>45953</v>
      </c>
      <c r="H96" s="1088" t="s">
        <v>1506</v>
      </c>
      <c r="N96" s="1216"/>
    </row>
    <row r="97" spans="1:14">
      <c r="A97" s="57">
        <f t="shared" si="1"/>
        <v>92</v>
      </c>
      <c r="B97" s="57" t="s">
        <v>774</v>
      </c>
      <c r="C97" s="1203" t="s">
        <v>182</v>
      </c>
      <c r="D97" s="1054">
        <v>11.145</v>
      </c>
      <c r="E97" s="1126" t="s">
        <v>1702</v>
      </c>
      <c r="F97" s="324">
        <v>45949</v>
      </c>
      <c r="G97" s="314">
        <v>45954</v>
      </c>
      <c r="H97" s="1088" t="s">
        <v>1506</v>
      </c>
    </row>
    <row r="98" spans="1:14">
      <c r="A98" s="57">
        <f t="shared" si="1"/>
        <v>93</v>
      </c>
      <c r="B98" s="1217" t="s">
        <v>393</v>
      </c>
      <c r="C98" s="1217" t="s">
        <v>182</v>
      </c>
      <c r="D98" s="1054">
        <v>11.145</v>
      </c>
      <c r="E98" s="1217" t="s">
        <v>1763</v>
      </c>
      <c r="F98" s="314">
        <v>45949</v>
      </c>
      <c r="G98" s="314">
        <v>45954</v>
      </c>
      <c r="H98" s="1218" t="s">
        <v>1506</v>
      </c>
      <c r="N98" s="1219"/>
    </row>
    <row r="99" spans="1:14">
      <c r="A99" s="57">
        <f t="shared" si="1"/>
        <v>94</v>
      </c>
      <c r="B99" s="1217" t="s">
        <v>187</v>
      </c>
      <c r="C99" s="1217" t="s">
        <v>188</v>
      </c>
      <c r="D99" s="57">
        <f>(13334+4777.506)/1000</f>
        <v>18.111506000000002</v>
      </c>
      <c r="E99" s="1203" t="s">
        <v>1724</v>
      </c>
      <c r="F99" s="324">
        <v>45949</v>
      </c>
      <c r="G99" s="314">
        <v>45954</v>
      </c>
      <c r="H99" s="1218" t="s">
        <v>1506</v>
      </c>
      <c r="N99" s="1220"/>
    </row>
    <row r="100" spans="1:14">
      <c r="A100" s="57">
        <f t="shared" si="1"/>
        <v>95</v>
      </c>
      <c r="B100" s="1221" t="s">
        <v>1358</v>
      </c>
      <c r="C100" s="1221" t="s">
        <v>185</v>
      </c>
      <c r="D100" s="309">
        <v>11.997</v>
      </c>
      <c r="E100" s="1203" t="s">
        <v>1723</v>
      </c>
      <c r="F100" s="314">
        <v>45954</v>
      </c>
      <c r="G100" s="314">
        <v>45956</v>
      </c>
      <c r="H100" s="1222" t="s">
        <v>1506</v>
      </c>
      <c r="N100" s="1216"/>
    </row>
    <row r="101" spans="1:14">
      <c r="A101" s="57">
        <f t="shared" si="1"/>
        <v>96</v>
      </c>
      <c r="B101" s="1217" t="s">
        <v>1667</v>
      </c>
      <c r="C101" s="57" t="s">
        <v>123</v>
      </c>
      <c r="D101" s="57">
        <f>(14703.841+2903.104+1061.94+ 5513.756)/1000</f>
        <v>24.182641</v>
      </c>
      <c r="E101" s="1196" t="s">
        <v>1599</v>
      </c>
      <c r="F101" s="314">
        <v>45949</v>
      </c>
      <c r="G101" s="314">
        <v>45957</v>
      </c>
      <c r="H101" s="1222" t="s">
        <v>1506</v>
      </c>
      <c r="N101" s="1223"/>
    </row>
    <row r="102" spans="1:14">
      <c r="A102" s="57">
        <f t="shared" si="1"/>
        <v>97</v>
      </c>
      <c r="B102" s="1221" t="s">
        <v>815</v>
      </c>
      <c r="C102" s="1221" t="s">
        <v>182</v>
      </c>
      <c r="D102" s="57"/>
      <c r="E102" s="1195" t="s">
        <v>1742</v>
      </c>
      <c r="F102" s="314">
        <v>45953</v>
      </c>
      <c r="G102" s="314">
        <v>45956</v>
      </c>
      <c r="H102" s="1224" t="s">
        <v>1506</v>
      </c>
    </row>
    <row r="103" spans="1:14">
      <c r="A103" s="57">
        <f t="shared" si="1"/>
        <v>98</v>
      </c>
      <c r="B103" s="1221" t="s">
        <v>818</v>
      </c>
      <c r="C103" s="1221" t="s">
        <v>182</v>
      </c>
      <c r="D103" s="57"/>
      <c r="E103" s="1203" t="s">
        <v>1700</v>
      </c>
      <c r="F103" s="314">
        <v>45953</v>
      </c>
      <c r="G103" s="314">
        <v>45957</v>
      </c>
      <c r="H103" s="1224" t="s">
        <v>1506</v>
      </c>
    </row>
    <row r="104" spans="1:14">
      <c r="A104" s="57">
        <f t="shared" si="1"/>
        <v>99</v>
      </c>
      <c r="B104" s="1225" t="s">
        <v>814</v>
      </c>
      <c r="C104" s="1225" t="s">
        <v>182</v>
      </c>
      <c r="D104" s="57"/>
      <c r="E104" s="1195" t="s">
        <v>1742</v>
      </c>
      <c r="F104" s="314">
        <v>45957</v>
      </c>
      <c r="G104" s="314">
        <v>45958</v>
      </c>
      <c r="H104" s="1224" t="s">
        <v>1506</v>
      </c>
      <c r="N104" s="1226"/>
    </row>
    <row r="105" spans="1:14">
      <c r="A105" s="57">
        <f t="shared" si="1"/>
        <v>100</v>
      </c>
      <c r="B105" s="1225" t="s">
        <v>184</v>
      </c>
      <c r="C105" s="1225" t="s">
        <v>125</v>
      </c>
      <c r="D105" s="57"/>
      <c r="E105" s="1225" t="s">
        <v>1724</v>
      </c>
      <c r="F105" s="314">
        <v>45957</v>
      </c>
      <c r="G105" s="314">
        <v>45959</v>
      </c>
      <c r="H105" s="1227" t="s">
        <v>1506</v>
      </c>
    </row>
    <row r="106" spans="1:14">
      <c r="A106" s="57">
        <f t="shared" si="1"/>
        <v>101</v>
      </c>
      <c r="B106" s="57" t="s">
        <v>158</v>
      </c>
      <c r="C106" s="57" t="s">
        <v>115</v>
      </c>
      <c r="D106" s="1138">
        <v>18.727009000000002</v>
      </c>
      <c r="E106" s="1217" t="s">
        <v>1763</v>
      </c>
      <c r="F106" s="314">
        <v>45954</v>
      </c>
      <c r="G106" s="314">
        <v>45961</v>
      </c>
      <c r="H106" s="1228" t="s">
        <v>1506</v>
      </c>
      <c r="N106" s="1229"/>
    </row>
    <row r="107" spans="1:14">
      <c r="A107" s="57">
        <f t="shared" si="1"/>
        <v>102</v>
      </c>
      <c r="B107" s="1230" t="s">
        <v>179</v>
      </c>
      <c r="C107" s="57" t="s">
        <v>115</v>
      </c>
      <c r="D107" s="1138">
        <v>18.727009000000002</v>
      </c>
      <c r="E107" s="1126" t="s">
        <v>1702</v>
      </c>
      <c r="F107" s="314">
        <v>45954</v>
      </c>
      <c r="G107" s="314">
        <v>45961</v>
      </c>
      <c r="H107" s="1228" t="s">
        <v>1506</v>
      </c>
      <c r="N107" s="1229"/>
    </row>
    <row r="108" spans="1:14">
      <c r="A108" s="57">
        <f t="shared" si="1"/>
        <v>103</v>
      </c>
      <c r="B108" s="1225" t="s">
        <v>813</v>
      </c>
      <c r="C108" s="1225" t="s">
        <v>182</v>
      </c>
      <c r="D108" s="57"/>
      <c r="E108" s="1195" t="s">
        <v>1742</v>
      </c>
      <c r="F108" s="314">
        <v>45958</v>
      </c>
      <c r="G108" s="314">
        <v>45961</v>
      </c>
      <c r="H108" s="1231" t="s">
        <v>1506</v>
      </c>
    </row>
    <row r="109" spans="1:14">
      <c r="A109" s="57">
        <f>A110+1</f>
        <v>105</v>
      </c>
      <c r="B109" s="1231" t="s">
        <v>1705</v>
      </c>
      <c r="C109" s="1231" t="s">
        <v>137</v>
      </c>
      <c r="D109" s="57"/>
      <c r="E109" s="1231" t="s">
        <v>1723</v>
      </c>
      <c r="F109" s="314">
        <v>45956</v>
      </c>
      <c r="G109" s="314">
        <v>45958</v>
      </c>
      <c r="H109" s="1231" t="s">
        <v>1506</v>
      </c>
      <c r="N109" s="1229"/>
    </row>
    <row r="110" spans="1:14">
      <c r="A110" s="57">
        <f>A108+1</f>
        <v>104</v>
      </c>
      <c r="B110" s="1225" t="s">
        <v>1731</v>
      </c>
      <c r="C110" s="1225" t="s">
        <v>119</v>
      </c>
      <c r="D110" s="57"/>
      <c r="E110" s="1203" t="s">
        <v>1700</v>
      </c>
      <c r="F110" s="314">
        <v>45957</v>
      </c>
      <c r="G110" s="314">
        <v>45962</v>
      </c>
      <c r="H110" s="1231" t="s">
        <v>1506</v>
      </c>
    </row>
    <row r="111" spans="1:14">
      <c r="A111" s="57">
        <f>A109+1</f>
        <v>106</v>
      </c>
      <c r="B111" s="1231" t="s">
        <v>465</v>
      </c>
      <c r="C111" s="1231" t="s">
        <v>132</v>
      </c>
      <c r="D111" s="57"/>
      <c r="E111" s="1231" t="s">
        <v>1599</v>
      </c>
      <c r="F111" s="314">
        <v>45957</v>
      </c>
      <c r="G111" s="314">
        <v>45963</v>
      </c>
      <c r="H111" s="1231" t="s">
        <v>1506</v>
      </c>
    </row>
    <row r="112" spans="1:14">
      <c r="A112" s="57">
        <f t="shared" si="1"/>
        <v>107</v>
      </c>
      <c r="B112" s="1231" t="s">
        <v>1678</v>
      </c>
      <c r="C112" s="1231" t="s">
        <v>125</v>
      </c>
      <c r="D112" s="57"/>
      <c r="E112" s="1231" t="s">
        <v>1723</v>
      </c>
      <c r="F112" s="314">
        <v>45959</v>
      </c>
      <c r="G112" s="314">
        <v>45963</v>
      </c>
      <c r="H112" s="1231" t="s">
        <v>1506</v>
      </c>
    </row>
    <row r="113" spans="1:9">
      <c r="A113" s="57">
        <f t="shared" si="1"/>
        <v>108</v>
      </c>
      <c r="B113" s="1231" t="s">
        <v>1357</v>
      </c>
      <c r="C113" s="1231" t="s">
        <v>248</v>
      </c>
      <c r="D113" s="57"/>
      <c r="E113" s="1231" t="s">
        <v>1724</v>
      </c>
      <c r="F113" s="314">
        <v>45959</v>
      </c>
      <c r="G113" s="314">
        <v>45964</v>
      </c>
      <c r="H113" s="1231" t="s">
        <v>1506</v>
      </c>
    </row>
    <row r="114" spans="1:9">
      <c r="A114" s="57">
        <f t="shared" si="1"/>
        <v>109</v>
      </c>
      <c r="B114" s="1231" t="s">
        <v>760</v>
      </c>
      <c r="C114" s="57" t="s">
        <v>182</v>
      </c>
      <c r="D114" s="57"/>
      <c r="E114" s="57" t="s">
        <v>1702</v>
      </c>
      <c r="F114" s="314">
        <v>45962</v>
      </c>
      <c r="G114" s="314">
        <v>45965</v>
      </c>
      <c r="H114" s="57" t="s">
        <v>1506</v>
      </c>
    </row>
    <row r="115" spans="1:9">
      <c r="A115" s="57">
        <f t="shared" si="1"/>
        <v>110</v>
      </c>
      <c r="B115" s="1231" t="s">
        <v>380</v>
      </c>
      <c r="C115" s="1233" t="s">
        <v>119</v>
      </c>
      <c r="D115" s="1233"/>
      <c r="E115" s="1231" t="s">
        <v>1763</v>
      </c>
      <c r="F115" s="1234">
        <v>45962</v>
      </c>
      <c r="G115" s="314">
        <v>45966</v>
      </c>
      <c r="H115" s="1231" t="s">
        <v>1506</v>
      </c>
    </row>
    <row r="116" spans="1:9">
      <c r="A116" s="57">
        <f t="shared" si="1"/>
        <v>111</v>
      </c>
      <c r="B116" s="57" t="s">
        <v>751</v>
      </c>
      <c r="C116" s="57" t="s">
        <v>185</v>
      </c>
      <c r="D116" s="57"/>
      <c r="E116" s="1231" t="s">
        <v>1742</v>
      </c>
      <c r="F116" s="314">
        <v>45962</v>
      </c>
      <c r="G116" s="314">
        <v>45966</v>
      </c>
      <c r="H116" s="57" t="s">
        <v>1506</v>
      </c>
    </row>
    <row r="117" spans="1:9">
      <c r="A117" s="57">
        <f t="shared" si="1"/>
        <v>112</v>
      </c>
      <c r="B117" s="1231" t="s">
        <v>1362</v>
      </c>
      <c r="C117" s="1231" t="s">
        <v>248</v>
      </c>
      <c r="D117" s="57"/>
      <c r="E117" s="1231" t="s">
        <v>1724</v>
      </c>
      <c r="F117" s="314">
        <v>45965</v>
      </c>
      <c r="G117" s="314">
        <v>45967</v>
      </c>
      <c r="H117" s="1231" t="s">
        <v>1506</v>
      </c>
    </row>
    <row r="118" spans="1:9" ht="12.5" customHeight="1">
      <c r="A118" s="57">
        <f t="shared" si="1"/>
        <v>113</v>
      </c>
      <c r="B118" s="57" t="s">
        <v>758</v>
      </c>
      <c r="C118" s="57" t="s">
        <v>182</v>
      </c>
      <c r="D118" s="57"/>
      <c r="E118" s="57" t="s">
        <v>1702</v>
      </c>
      <c r="F118" s="314">
        <v>45966</v>
      </c>
      <c r="G118" s="314">
        <v>45968</v>
      </c>
      <c r="H118" s="57" t="s">
        <v>1506</v>
      </c>
      <c r="I118" s="1232" t="s">
        <v>1764</v>
      </c>
    </row>
    <row r="119" spans="1:9">
      <c r="A119" s="57">
        <f t="shared" si="1"/>
        <v>114</v>
      </c>
      <c r="B119" s="57" t="s">
        <v>1716</v>
      </c>
      <c r="C119" s="57" t="s">
        <v>125</v>
      </c>
      <c r="D119" s="57"/>
      <c r="E119" s="1231" t="s">
        <v>1723</v>
      </c>
      <c r="F119" s="314">
        <v>45964</v>
      </c>
      <c r="G119" s="314">
        <v>45969</v>
      </c>
      <c r="H119" s="57" t="s">
        <v>1506</v>
      </c>
    </row>
    <row r="120" spans="1:9" ht="87">
      <c r="A120" s="57">
        <f t="shared" si="1"/>
        <v>115</v>
      </c>
      <c r="B120" s="1231" t="s">
        <v>447</v>
      </c>
      <c r="C120" s="1231" t="s">
        <v>182</v>
      </c>
      <c r="E120" s="1231" t="s">
        <v>1763</v>
      </c>
      <c r="F120" s="314">
        <v>45948</v>
      </c>
      <c r="G120" s="314"/>
      <c r="H120" s="1232" t="s">
        <v>1764</v>
      </c>
    </row>
    <row r="121" spans="1:9">
      <c r="A121" s="57">
        <f t="shared" si="1"/>
        <v>116</v>
      </c>
      <c r="B121" s="1203" t="s">
        <v>1336</v>
      </c>
      <c r="C121" s="1203" t="s">
        <v>115</v>
      </c>
      <c r="D121" s="1138">
        <v>18.727009000000002</v>
      </c>
      <c r="E121" s="1231" t="s">
        <v>1763</v>
      </c>
      <c r="F121" s="314">
        <v>45967</v>
      </c>
      <c r="G121" s="57"/>
      <c r="H121" s="1224" t="s">
        <v>278</v>
      </c>
    </row>
    <row r="122" spans="1:9">
      <c r="A122" s="57">
        <f t="shared" si="1"/>
        <v>117</v>
      </c>
      <c r="B122" s="57" t="s">
        <v>174</v>
      </c>
      <c r="C122" s="57" t="s">
        <v>132</v>
      </c>
      <c r="D122" s="57"/>
      <c r="E122" s="1231" t="s">
        <v>1599</v>
      </c>
      <c r="F122" s="314">
        <v>45964</v>
      </c>
      <c r="G122" s="57"/>
      <c r="H122" s="57" t="s">
        <v>278</v>
      </c>
    </row>
    <row r="123" spans="1:9">
      <c r="A123" s="57">
        <f t="shared" si="1"/>
        <v>118</v>
      </c>
      <c r="B123" s="57" t="s">
        <v>197</v>
      </c>
      <c r="C123" s="57" t="s">
        <v>117</v>
      </c>
      <c r="D123" s="57"/>
      <c r="E123" s="1231" t="s">
        <v>1700</v>
      </c>
      <c r="F123" s="314">
        <v>45962</v>
      </c>
      <c r="G123" s="57"/>
      <c r="H123" s="57" t="s">
        <v>278</v>
      </c>
    </row>
    <row r="124" spans="1:9">
      <c r="A124" s="57">
        <f t="shared" si="1"/>
        <v>119</v>
      </c>
      <c r="B124" s="57" t="s">
        <v>755</v>
      </c>
      <c r="C124" s="57" t="s">
        <v>185</v>
      </c>
      <c r="D124" s="57"/>
      <c r="E124" s="57" t="s">
        <v>1742</v>
      </c>
      <c r="F124" s="314">
        <v>45967</v>
      </c>
      <c r="G124" s="57"/>
      <c r="H124" s="57" t="s">
        <v>278</v>
      </c>
    </row>
    <row r="125" spans="1:9">
      <c r="A125" s="57">
        <f t="shared" si="1"/>
        <v>120</v>
      </c>
      <c r="B125" s="57" t="s">
        <v>186</v>
      </c>
      <c r="C125" s="57" t="s">
        <v>188</v>
      </c>
      <c r="D125" s="57"/>
      <c r="E125" s="1231" t="s">
        <v>1724</v>
      </c>
      <c r="F125" s="314">
        <v>45967</v>
      </c>
      <c r="G125" s="57"/>
      <c r="H125" s="57" t="s">
        <v>278</v>
      </c>
    </row>
    <row r="126" spans="1:9">
      <c r="A126" s="57">
        <f t="shared" si="1"/>
        <v>121</v>
      </c>
      <c r="B126" s="57" t="s">
        <v>761</v>
      </c>
      <c r="C126" s="57" t="s">
        <v>182</v>
      </c>
      <c r="D126" s="57"/>
      <c r="E126" s="57" t="s">
        <v>1702</v>
      </c>
      <c r="F126" s="314">
        <v>45969</v>
      </c>
      <c r="G126" s="314"/>
      <c r="H126" s="57" t="s">
        <v>278</v>
      </c>
    </row>
    <row r="196" spans="2:2">
      <c r="B196" s="57"/>
    </row>
    <row r="197" spans="2:2">
      <c r="B197" s="57"/>
    </row>
    <row r="198" spans="2:2">
      <c r="B198" s="57"/>
    </row>
    <row r="199" spans="2:2">
      <c r="B199" s="57"/>
    </row>
    <row r="200" spans="2:2">
      <c r="B200" s="57"/>
    </row>
    <row r="201" spans="2:2">
      <c r="B201" s="57"/>
    </row>
    <row r="202" spans="2:2">
      <c r="B202" s="57"/>
    </row>
    <row r="203" spans="2:2">
      <c r="B203" s="57"/>
    </row>
    <row r="204" spans="2:2">
      <c r="B204" s="57"/>
    </row>
    <row r="205" spans="2:2">
      <c r="B205" s="57"/>
    </row>
    <row r="206" spans="2:2">
      <c r="B206" s="57"/>
    </row>
    <row r="309" spans="30:30">
      <c r="AD309" s="577">
        <v>185</v>
      </c>
    </row>
    <row r="310" spans="30:30">
      <c r="AD310" s="577">
        <v>5</v>
      </c>
    </row>
  </sheetData>
  <autoFilter ref="A5:H5" xr:uid="{E5639B08-54A5-49D5-95E3-40F71BECF3F7}"/>
  <mergeCells count="3">
    <mergeCell ref="A1:H1"/>
    <mergeCell ref="A2:H2"/>
    <mergeCell ref="A3:H3"/>
  </mergeCells>
  <phoneticPr fontId="195" type="noConversion"/>
  <conditionalFormatting sqref="B1:B1048576">
    <cfRule type="duplicateValues" dxfId="3297" priority="3"/>
  </conditionalFormatting>
  <conditionalFormatting sqref="B5">
    <cfRule type="duplicateValues" dxfId="3296" priority="2189"/>
    <cfRule type="duplicateValues" dxfId="3295" priority="2190"/>
    <cfRule type="duplicateValues" dxfId="3294" priority="2191" stopIfTrue="1"/>
  </conditionalFormatting>
  <conditionalFormatting sqref="B6:B21">
    <cfRule type="duplicateValues" dxfId="3293" priority="2726"/>
  </conditionalFormatting>
  <conditionalFormatting sqref="B23">
    <cfRule type="duplicateValues" dxfId="3292" priority="65"/>
  </conditionalFormatting>
  <conditionalFormatting sqref="B111:B113 B109">
    <cfRule type="duplicateValues" dxfId="3291" priority="11372"/>
    <cfRule type="duplicateValues" dxfId="3290" priority="11373"/>
  </conditionalFormatting>
  <conditionalFormatting sqref="B111:B114 B109">
    <cfRule type="duplicateValues" dxfId="3289" priority="11376"/>
  </conditionalFormatting>
  <conditionalFormatting sqref="B120">
    <cfRule type="duplicateValues" dxfId="3288" priority="4"/>
    <cfRule type="duplicateValues" dxfId="3287" priority="5"/>
    <cfRule type="duplicateValues" dxfId="3286" priority="6"/>
  </conditionalFormatting>
  <conditionalFormatting sqref="B122:B123 B115:B119">
    <cfRule type="duplicateValues" dxfId="3285" priority="11369"/>
  </conditionalFormatting>
  <conditionalFormatting sqref="B127:B1048576 B124:B125 B110 B1:B107 B121">
    <cfRule type="duplicateValues" dxfId="3284" priority="57"/>
  </conditionalFormatting>
  <conditionalFormatting sqref="B127:B1048576 B124:B125 B110 B57:C57 B4:B44 B45:C48 B49:B51 B54:B56 E45:G46 B52:C53 B58:B107 B121">
    <cfRule type="duplicateValues" dxfId="3283" priority="7205"/>
  </conditionalFormatting>
  <conditionalFormatting sqref="B126">
    <cfRule type="duplicateValues" dxfId="3282" priority="2"/>
  </conditionalFormatting>
  <conditionalFormatting sqref="D7 D15 D31:D32 D35 D45:D46 D49 D52 D59 D62 D64">
    <cfRule type="cellIs" dxfId="3281" priority="53" operator="greaterThan">
      <formula>45839</formula>
    </cfRule>
  </conditionalFormatting>
  <conditionalFormatting sqref="D64 D62 D59 D52 D49 D45:D46 D35 D31:D32 D15 D7">
    <cfRule type="duplicateValues" dxfId="3280" priority="7413"/>
    <cfRule type="duplicateValues" dxfId="3279" priority="7414"/>
    <cfRule type="duplicateValues" dxfId="3278" priority="7415"/>
  </conditionalFormatting>
  <conditionalFormatting sqref="D67">
    <cfRule type="duplicateValues" dxfId="3277" priority="47"/>
    <cfRule type="duplicateValues" dxfId="3276" priority="48"/>
    <cfRule type="duplicateValues" dxfId="3275" priority="50"/>
  </conditionalFormatting>
  <conditionalFormatting sqref="D67:D68">
    <cfRule type="cellIs" dxfId="3274" priority="14" operator="greaterThan">
      <formula>45839</formula>
    </cfRule>
  </conditionalFormatting>
  <conditionalFormatting sqref="D68">
    <cfRule type="duplicateValues" dxfId="3273" priority="15"/>
    <cfRule type="duplicateValues" dxfId="3272" priority="16"/>
    <cfRule type="duplicateValues" dxfId="3271" priority="17"/>
  </conditionalFormatting>
  <conditionalFormatting sqref="D73">
    <cfRule type="cellIs" dxfId="3270" priority="26" operator="greaterThan">
      <formula>45839</formula>
    </cfRule>
    <cfRule type="duplicateValues" dxfId="3269" priority="27"/>
    <cfRule type="duplicateValues" dxfId="3268" priority="28"/>
    <cfRule type="duplicateValues" dxfId="3267" priority="29"/>
  </conditionalFormatting>
  <conditionalFormatting sqref="D76 D79">
    <cfRule type="cellIs" dxfId="3266" priority="22" operator="greaterThan">
      <formula>45839</formula>
    </cfRule>
  </conditionalFormatting>
  <conditionalFormatting sqref="D79 D76">
    <cfRule type="duplicateValues" dxfId="3265" priority="23"/>
    <cfRule type="duplicateValues" dxfId="3264" priority="24"/>
    <cfRule type="duplicateValues" dxfId="3263" priority="25"/>
  </conditionalFormatting>
  <conditionalFormatting sqref="D100">
    <cfRule type="cellIs" dxfId="3262" priority="18" operator="greaterThan">
      <formula>45839</formula>
    </cfRule>
    <cfRule type="duplicateValues" dxfId="3261" priority="19"/>
    <cfRule type="duplicateValues" dxfId="3260" priority="20"/>
    <cfRule type="duplicateValues" dxfId="3259" priority="21"/>
  </conditionalFormatting>
  <conditionalFormatting sqref="E57 E52:E53 E47:E48">
    <cfRule type="duplicateValues" dxfId="3258" priority="6907"/>
  </conditionalFormatting>
  <conditionalFormatting sqref="E58">
    <cfRule type="duplicateValues" dxfId="3257" priority="63"/>
  </conditionalFormatting>
  <conditionalFormatting sqref="E66">
    <cfRule type="duplicateValues" dxfId="3256" priority="61"/>
  </conditionalFormatting>
  <conditionalFormatting sqref="E67">
    <cfRule type="duplicateValues" dxfId="3255" priority="62"/>
  </conditionalFormatting>
  <conditionalFormatting sqref="E73">
    <cfRule type="duplicateValues" dxfId="3254" priority="56"/>
  </conditionalFormatting>
  <conditionalFormatting sqref="E74">
    <cfRule type="duplicateValues" dxfId="3253" priority="55"/>
  </conditionalFormatting>
  <conditionalFormatting sqref="E76">
    <cfRule type="duplicateValues" dxfId="3252" priority="34"/>
  </conditionalFormatting>
  <conditionalFormatting sqref="E79">
    <cfRule type="duplicateValues" dxfId="3251" priority="32"/>
  </conditionalFormatting>
  <conditionalFormatting sqref="E82">
    <cfRule type="duplicateValues" dxfId="3250" priority="33"/>
  </conditionalFormatting>
  <conditionalFormatting sqref="E86">
    <cfRule type="duplicateValues" dxfId="3249" priority="31"/>
  </conditionalFormatting>
  <conditionalFormatting sqref="E88">
    <cfRule type="duplicateValues" dxfId="3248" priority="30"/>
  </conditionalFormatting>
  <conditionalFormatting sqref="S73 S75:S76">
    <cfRule type="duplicateValues" dxfId="3247" priority="7444"/>
  </conditionalFormatting>
  <conditionalFormatting sqref="S73">
    <cfRule type="duplicateValues" dxfId="3246" priority="58"/>
  </conditionalFormatting>
  <conditionalFormatting sqref="S75:S76">
    <cfRule type="duplicateValues" dxfId="3245" priority="7443"/>
  </conditionalFormatting>
  <hyperlinks>
    <hyperlink ref="X72" r:id="rId1" xr:uid="{5B55A7A2-1A7C-46E5-A5E4-F3CF07C36DDA}"/>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198"/>
  <sheetViews>
    <sheetView tabSelected="1" topLeftCell="A173" zoomScale="115" zoomScaleNormal="115" workbookViewId="0">
      <selection activeCell="H190" sqref="H190"/>
    </sheetView>
  </sheetViews>
  <sheetFormatPr defaultColWidth="9" defaultRowHeight="14.5"/>
  <cols>
    <col min="1" max="1" width="10.08984375" customWidth="1"/>
    <col min="3" max="3" width="10.54296875" bestFit="1" customWidth="1"/>
    <col min="5" max="5" width="10.36328125" customWidth="1"/>
    <col min="6" max="6" width="14.6328125" customWidth="1"/>
  </cols>
  <sheetData>
    <row r="1" spans="1:23" ht="15.5">
      <c r="A1" s="1436" t="s">
        <v>78</v>
      </c>
      <c r="B1" s="1437"/>
      <c r="C1" s="1437"/>
      <c r="D1" s="1437"/>
      <c r="E1" s="1437"/>
      <c r="F1" s="1437"/>
      <c r="G1" s="1437"/>
      <c r="H1" s="1437"/>
      <c r="I1" s="1437"/>
      <c r="J1" s="1437"/>
      <c r="K1" s="1437"/>
      <c r="L1" s="1437"/>
      <c r="M1" s="1437"/>
      <c r="N1" s="1437"/>
      <c r="O1" s="1437"/>
      <c r="P1" s="1437"/>
      <c r="Q1" s="1437"/>
      <c r="R1" s="1437"/>
      <c r="S1" s="1437"/>
      <c r="T1" s="1437"/>
      <c r="U1" s="1437"/>
      <c r="V1" s="1437"/>
      <c r="W1" s="1438"/>
    </row>
    <row r="2" spans="1:23" ht="15.5">
      <c r="A2" s="1439" t="s">
        <v>79</v>
      </c>
      <c r="B2" s="1440"/>
      <c r="C2" s="1440"/>
      <c r="D2" s="1440"/>
      <c r="E2" s="1440"/>
      <c r="F2" s="1440"/>
      <c r="G2" s="1440"/>
      <c r="H2" s="1440"/>
      <c r="I2" s="1440"/>
      <c r="J2" s="1440"/>
      <c r="K2" s="1440"/>
      <c r="L2" s="1440"/>
      <c r="M2" s="1440"/>
      <c r="N2" s="1440"/>
      <c r="O2" s="1440"/>
      <c r="P2" s="1440"/>
      <c r="Q2" s="1440"/>
      <c r="R2" s="1440"/>
      <c r="S2" s="1440"/>
      <c r="T2" s="1440"/>
      <c r="U2" s="1440"/>
      <c r="V2" s="1440"/>
      <c r="W2" s="1441"/>
    </row>
    <row r="3" spans="1:23" ht="15.5">
      <c r="A3" s="1439" t="s">
        <v>80</v>
      </c>
      <c r="B3" s="1440"/>
      <c r="C3" s="1440"/>
      <c r="D3" s="1440"/>
      <c r="E3" s="1440"/>
      <c r="F3" s="1440"/>
      <c r="G3" s="1440"/>
      <c r="H3" s="1440"/>
      <c r="I3" s="1440"/>
      <c r="J3" s="1440"/>
      <c r="K3" s="1440"/>
      <c r="L3" s="1440"/>
      <c r="M3" s="1440"/>
      <c r="N3" s="1440"/>
      <c r="O3" s="1440"/>
      <c r="P3" s="1440"/>
      <c r="Q3" s="1440"/>
      <c r="R3" s="1440"/>
      <c r="S3" s="1440"/>
      <c r="T3" s="1440"/>
      <c r="U3" s="1440"/>
      <c r="V3" s="1440"/>
      <c r="W3" s="1441"/>
    </row>
    <row r="5" spans="1:23">
      <c r="A5" s="1482" t="s">
        <v>203</v>
      </c>
      <c r="B5" s="1482" t="s">
        <v>204</v>
      </c>
      <c r="C5" s="1482" t="s">
        <v>205</v>
      </c>
      <c r="D5" s="1482" t="s">
        <v>221</v>
      </c>
      <c r="E5" s="309"/>
      <c r="F5" s="310"/>
    </row>
    <row r="6" spans="1:23" ht="26">
      <c r="A6" s="1483"/>
      <c r="B6" s="1483"/>
      <c r="C6" s="1483"/>
      <c r="D6" s="1483"/>
      <c r="E6" s="312" t="s">
        <v>208</v>
      </c>
      <c r="F6" s="313" t="s">
        <v>34</v>
      </c>
    </row>
    <row r="7" spans="1:23">
      <c r="A7" s="57">
        <v>1</v>
      </c>
      <c r="B7" s="314" t="s">
        <v>231</v>
      </c>
      <c r="C7" s="314" t="s">
        <v>182</v>
      </c>
      <c r="D7" s="314" t="s">
        <v>210</v>
      </c>
      <c r="E7" s="1066">
        <v>45685</v>
      </c>
      <c r="F7" s="314" t="s">
        <v>103</v>
      </c>
      <c r="G7" s="1045" t="s">
        <v>1732</v>
      </c>
    </row>
    <row r="8" spans="1:23">
      <c r="A8" s="57">
        <f>A7+1</f>
        <v>2</v>
      </c>
      <c r="B8" s="314" t="s">
        <v>209</v>
      </c>
      <c r="C8" s="314" t="s">
        <v>182</v>
      </c>
      <c r="D8" s="314" t="s">
        <v>210</v>
      </c>
      <c r="E8" s="1066">
        <v>45691</v>
      </c>
      <c r="F8" s="314" t="s">
        <v>103</v>
      </c>
      <c r="G8" s="1045" t="s">
        <v>1732</v>
      </c>
      <c r="K8" s="317"/>
      <c r="L8" s="317"/>
      <c r="M8" s="317"/>
      <c r="N8" s="317"/>
      <c r="O8" s="317"/>
      <c r="P8" s="317"/>
    </row>
    <row r="9" spans="1:23">
      <c r="A9" s="57">
        <f t="shared" ref="A9:A72" si="0">A8+1</f>
        <v>3</v>
      </c>
      <c r="B9" s="314" t="s">
        <v>241</v>
      </c>
      <c r="C9" s="314" t="s">
        <v>242</v>
      </c>
      <c r="D9" s="314" t="s">
        <v>210</v>
      </c>
      <c r="E9" s="1066">
        <v>45708</v>
      </c>
      <c r="F9" s="314" t="s">
        <v>103</v>
      </c>
      <c r="G9" s="1045" t="s">
        <v>1732</v>
      </c>
      <c r="K9" s="318"/>
      <c r="L9" s="318"/>
      <c r="M9" s="319"/>
      <c r="N9" s="319"/>
      <c r="O9" s="319"/>
      <c r="P9" s="319"/>
    </row>
    <row r="10" spans="1:23">
      <c r="A10" s="57">
        <f t="shared" si="0"/>
        <v>4</v>
      </c>
      <c r="B10" s="314" t="s">
        <v>214</v>
      </c>
      <c r="C10" s="314" t="s">
        <v>185</v>
      </c>
      <c r="D10" s="314" t="s">
        <v>210</v>
      </c>
      <c r="E10" s="1066">
        <v>45697</v>
      </c>
      <c r="F10" s="314" t="s">
        <v>103</v>
      </c>
      <c r="G10" s="1045" t="s">
        <v>1732</v>
      </c>
      <c r="K10" s="319"/>
      <c r="L10" s="318"/>
      <c r="M10" s="318"/>
      <c r="N10" s="320"/>
      <c r="O10" s="320"/>
      <c r="P10" s="320"/>
    </row>
    <row r="11" spans="1:23">
      <c r="A11" s="57">
        <f t="shared" si="0"/>
        <v>5</v>
      </c>
      <c r="B11" s="314" t="s">
        <v>251</v>
      </c>
      <c r="C11" s="314" t="s">
        <v>295</v>
      </c>
      <c r="D11" s="314" t="s">
        <v>210</v>
      </c>
      <c r="E11" s="1066">
        <v>45710</v>
      </c>
      <c r="F11" s="314" t="s">
        <v>103</v>
      </c>
      <c r="G11" s="1045" t="s">
        <v>1732</v>
      </c>
      <c r="K11" s="319"/>
      <c r="L11" s="318">
        <v>185</v>
      </c>
      <c r="M11" s="318"/>
      <c r="N11" s="320"/>
      <c r="O11" s="320"/>
      <c r="P11" s="320"/>
    </row>
    <row r="12" spans="1:23">
      <c r="A12" s="57">
        <f t="shared" si="0"/>
        <v>6</v>
      </c>
      <c r="B12" s="314" t="s">
        <v>236</v>
      </c>
      <c r="C12" s="314" t="s">
        <v>296</v>
      </c>
      <c r="D12" s="314" t="s">
        <v>210</v>
      </c>
      <c r="E12" s="1066">
        <v>45710</v>
      </c>
      <c r="F12" s="314" t="s">
        <v>103</v>
      </c>
      <c r="G12" s="1045" t="s">
        <v>1732</v>
      </c>
      <c r="K12" s="318"/>
      <c r="L12" s="318"/>
      <c r="M12" s="318"/>
      <c r="N12" s="318"/>
      <c r="O12" s="320"/>
      <c r="P12" s="320"/>
    </row>
    <row r="13" spans="1:23">
      <c r="A13" s="57">
        <f t="shared" si="0"/>
        <v>7</v>
      </c>
      <c r="B13" s="314" t="s">
        <v>237</v>
      </c>
      <c r="C13" s="314" t="s">
        <v>182</v>
      </c>
      <c r="D13" s="314" t="s">
        <v>210</v>
      </c>
      <c r="E13" s="1066">
        <v>45710</v>
      </c>
      <c r="F13" s="314" t="s">
        <v>103</v>
      </c>
      <c r="G13" s="1045" t="s">
        <v>1732</v>
      </c>
      <c r="K13" s="318"/>
      <c r="L13" s="318">
        <v>24</v>
      </c>
      <c r="M13" s="319"/>
      <c r="N13" s="319"/>
      <c r="O13" s="319"/>
      <c r="P13" s="319"/>
    </row>
    <row r="14" spans="1:23">
      <c r="A14" s="57">
        <f t="shared" si="0"/>
        <v>8</v>
      </c>
      <c r="B14" s="315" t="s">
        <v>215</v>
      </c>
      <c r="C14" s="314" t="s">
        <v>182</v>
      </c>
      <c r="D14" s="314" t="s">
        <v>210</v>
      </c>
      <c r="E14" s="1066">
        <v>45712</v>
      </c>
      <c r="F14" s="314" t="s">
        <v>103</v>
      </c>
      <c r="G14" s="1045" t="s">
        <v>1732</v>
      </c>
      <c r="K14" s="318"/>
      <c r="L14" s="318"/>
      <c r="M14" s="318"/>
      <c r="N14" s="320"/>
      <c r="O14" s="318"/>
      <c r="P14" s="320"/>
    </row>
    <row r="15" spans="1:23">
      <c r="A15" s="57">
        <f t="shared" si="0"/>
        <v>9</v>
      </c>
      <c r="B15" s="315" t="s">
        <v>240</v>
      </c>
      <c r="C15" s="314" t="s">
        <v>185</v>
      </c>
      <c r="D15" s="314" t="s">
        <v>210</v>
      </c>
      <c r="E15" s="1066">
        <v>45712</v>
      </c>
      <c r="F15" s="314" t="s">
        <v>103</v>
      </c>
      <c r="G15" s="1045" t="s">
        <v>1732</v>
      </c>
      <c r="K15" s="318"/>
      <c r="L15" s="318"/>
      <c r="M15" s="318"/>
      <c r="N15" s="320"/>
      <c r="O15" s="320"/>
      <c r="P15" s="320"/>
    </row>
    <row r="16" spans="1:23">
      <c r="A16" s="57">
        <f t="shared" si="0"/>
        <v>10</v>
      </c>
      <c r="B16" s="315" t="s">
        <v>253</v>
      </c>
      <c r="C16" s="314" t="s">
        <v>248</v>
      </c>
      <c r="D16" s="314" t="s">
        <v>210</v>
      </c>
      <c r="E16" s="1066">
        <v>45712</v>
      </c>
      <c r="F16" s="314" t="s">
        <v>103</v>
      </c>
      <c r="G16" s="1045" t="s">
        <v>1732</v>
      </c>
      <c r="K16" s="318"/>
      <c r="L16" s="318"/>
      <c r="M16" s="318"/>
      <c r="N16" s="320"/>
      <c r="O16" s="320"/>
      <c r="P16" s="320"/>
    </row>
    <row r="17" spans="1:16">
      <c r="A17" s="57">
        <f t="shared" si="0"/>
        <v>11</v>
      </c>
      <c r="B17" s="315" t="s">
        <v>217</v>
      </c>
      <c r="C17" s="314" t="s">
        <v>182</v>
      </c>
      <c r="D17" s="314" t="s">
        <v>292</v>
      </c>
      <c r="E17" s="1066">
        <v>45713</v>
      </c>
      <c r="F17" s="314" t="s">
        <v>103</v>
      </c>
      <c r="G17" s="1045" t="s">
        <v>1732</v>
      </c>
      <c r="K17" s="318"/>
      <c r="L17" s="318"/>
      <c r="M17" s="319"/>
      <c r="N17" s="319"/>
      <c r="O17" s="319"/>
      <c r="P17" s="319"/>
    </row>
    <row r="18" spans="1:16">
      <c r="A18" s="57">
        <f t="shared" si="0"/>
        <v>12</v>
      </c>
      <c r="B18" s="315" t="s">
        <v>259</v>
      </c>
      <c r="C18" s="314" t="s">
        <v>248</v>
      </c>
      <c r="D18" s="314" t="s">
        <v>210</v>
      </c>
      <c r="E18" s="1066">
        <v>45713</v>
      </c>
      <c r="F18" s="314" t="s">
        <v>103</v>
      </c>
      <c r="G18" s="1045" t="s">
        <v>1732</v>
      </c>
      <c r="K18" s="318"/>
      <c r="L18" s="318"/>
      <c r="M18" s="318"/>
      <c r="N18" s="320"/>
      <c r="O18" s="320"/>
      <c r="P18" s="320"/>
    </row>
    <row r="19" spans="1:16">
      <c r="A19" s="57">
        <f t="shared" si="0"/>
        <v>13</v>
      </c>
      <c r="B19" s="315" t="s">
        <v>257</v>
      </c>
      <c r="C19" s="314" t="s">
        <v>248</v>
      </c>
      <c r="D19" s="314" t="s">
        <v>210</v>
      </c>
      <c r="E19" s="1066">
        <v>45716</v>
      </c>
      <c r="F19" s="314" t="s">
        <v>103</v>
      </c>
      <c r="G19" s="1045" t="s">
        <v>1732</v>
      </c>
      <c r="K19" s="318"/>
      <c r="L19" s="318"/>
      <c r="M19" s="318"/>
      <c r="N19" s="320"/>
      <c r="O19" s="320"/>
      <c r="P19" s="320"/>
    </row>
    <row r="20" spans="1:16">
      <c r="A20" s="57">
        <f t="shared" si="0"/>
        <v>14</v>
      </c>
      <c r="B20" s="315" t="s">
        <v>239</v>
      </c>
      <c r="C20" s="314" t="s">
        <v>182</v>
      </c>
      <c r="D20" s="314" t="s">
        <v>210</v>
      </c>
      <c r="E20" s="1066">
        <v>45717</v>
      </c>
      <c r="F20" s="314" t="s">
        <v>103</v>
      </c>
      <c r="G20" s="1045" t="s">
        <v>1733</v>
      </c>
      <c r="K20" s="318"/>
      <c r="L20" s="318"/>
      <c r="M20" s="318"/>
      <c r="N20" s="320"/>
      <c r="O20" s="320"/>
      <c r="P20" s="320"/>
    </row>
    <row r="21" spans="1:16">
      <c r="A21" s="57">
        <f t="shared" si="0"/>
        <v>15</v>
      </c>
      <c r="B21" s="315" t="s">
        <v>216</v>
      </c>
      <c r="C21" s="314" t="s">
        <v>185</v>
      </c>
      <c r="D21" s="314" t="s">
        <v>210</v>
      </c>
      <c r="E21" s="1066">
        <v>45724</v>
      </c>
      <c r="F21" s="314" t="s">
        <v>103</v>
      </c>
      <c r="G21" s="1045" t="s">
        <v>1733</v>
      </c>
      <c r="K21" s="318"/>
      <c r="L21" s="318"/>
      <c r="M21" s="318"/>
      <c r="N21" s="320"/>
      <c r="O21" s="320"/>
      <c r="P21" s="320"/>
    </row>
    <row r="22" spans="1:16">
      <c r="A22" s="57">
        <f t="shared" si="0"/>
        <v>16</v>
      </c>
      <c r="B22" s="315" t="s">
        <v>263</v>
      </c>
      <c r="C22" s="314" t="s">
        <v>242</v>
      </c>
      <c r="D22" s="314" t="s">
        <v>210</v>
      </c>
      <c r="E22" s="1066">
        <v>45724</v>
      </c>
      <c r="F22" s="314" t="s">
        <v>103</v>
      </c>
      <c r="G22" s="1045" t="s">
        <v>1733</v>
      </c>
    </row>
    <row r="23" spans="1:16">
      <c r="A23" s="57">
        <f t="shared" si="0"/>
        <v>17</v>
      </c>
      <c r="B23" s="315" t="s">
        <v>297</v>
      </c>
      <c r="C23" s="314" t="s">
        <v>182</v>
      </c>
      <c r="D23" s="314" t="s">
        <v>210</v>
      </c>
      <c r="E23" s="1066">
        <v>45719</v>
      </c>
      <c r="F23" s="314" t="s">
        <v>103</v>
      </c>
      <c r="G23" s="1045" t="s">
        <v>1733</v>
      </c>
    </row>
    <row r="24" spans="1:16">
      <c r="A24" s="57">
        <f t="shared" si="0"/>
        <v>18</v>
      </c>
      <c r="B24" s="315" t="s">
        <v>294</v>
      </c>
      <c r="C24" s="316" t="s">
        <v>182</v>
      </c>
      <c r="D24" s="314" t="s">
        <v>210</v>
      </c>
      <c r="E24" s="1066">
        <v>45724</v>
      </c>
      <c r="F24" s="314" t="s">
        <v>103</v>
      </c>
      <c r="G24" s="1045" t="s">
        <v>1733</v>
      </c>
    </row>
    <row r="25" spans="1:16">
      <c r="A25" s="57">
        <f t="shared" si="0"/>
        <v>19</v>
      </c>
      <c r="B25" s="315" t="s">
        <v>276</v>
      </c>
      <c r="C25" s="316" t="s">
        <v>182</v>
      </c>
      <c r="D25" s="314" t="s">
        <v>210</v>
      </c>
      <c r="E25" s="1066">
        <v>45724</v>
      </c>
      <c r="F25" s="314" t="s">
        <v>103</v>
      </c>
      <c r="G25" s="1045" t="s">
        <v>1733</v>
      </c>
    </row>
    <row r="26" spans="1:16">
      <c r="A26" s="57">
        <f t="shared" si="0"/>
        <v>20</v>
      </c>
      <c r="B26" s="315" t="s">
        <v>213</v>
      </c>
      <c r="C26" s="314" t="s">
        <v>182</v>
      </c>
      <c r="D26" s="314" t="s">
        <v>210</v>
      </c>
      <c r="E26" s="1066">
        <v>45724</v>
      </c>
      <c r="F26" s="314" t="s">
        <v>103</v>
      </c>
      <c r="G26" s="1045" t="s">
        <v>1733</v>
      </c>
    </row>
    <row r="27" spans="1:16">
      <c r="A27" s="57">
        <f t="shared" si="0"/>
        <v>21</v>
      </c>
      <c r="B27" s="315" t="s">
        <v>268</v>
      </c>
      <c r="C27" s="316" t="s">
        <v>185</v>
      </c>
      <c r="D27" s="314" t="s">
        <v>210</v>
      </c>
      <c r="E27" s="1066">
        <v>45724</v>
      </c>
      <c r="F27" s="314" t="s">
        <v>103</v>
      </c>
      <c r="G27" s="1045" t="s">
        <v>1734</v>
      </c>
    </row>
    <row r="28" spans="1:16">
      <c r="A28" s="57">
        <f t="shared" si="0"/>
        <v>22</v>
      </c>
      <c r="B28" s="428" t="s">
        <v>274</v>
      </c>
      <c r="C28" s="428" t="s">
        <v>248</v>
      </c>
      <c r="D28" s="314" t="s">
        <v>210</v>
      </c>
      <c r="E28" s="1067">
        <v>45744</v>
      </c>
      <c r="F28" s="428" t="s">
        <v>103</v>
      </c>
      <c r="G28" s="1045" t="s">
        <v>1734</v>
      </c>
    </row>
    <row r="29" spans="1:16">
      <c r="A29" s="57">
        <f t="shared" si="0"/>
        <v>23</v>
      </c>
      <c r="B29" s="315" t="s">
        <v>258</v>
      </c>
      <c r="C29" s="315" t="s">
        <v>182</v>
      </c>
      <c r="D29" s="315" t="s">
        <v>210</v>
      </c>
      <c r="E29" s="1068">
        <v>45727</v>
      </c>
      <c r="F29" s="440" t="s">
        <v>103</v>
      </c>
      <c r="G29" s="1045" t="s">
        <v>1733</v>
      </c>
    </row>
    <row r="30" spans="1:16">
      <c r="A30" s="57">
        <f t="shared" si="0"/>
        <v>24</v>
      </c>
      <c r="B30" s="315" t="s">
        <v>169</v>
      </c>
      <c r="C30" s="316" t="s">
        <v>182</v>
      </c>
      <c r="D30" s="314" t="s">
        <v>292</v>
      </c>
      <c r="E30" s="1068">
        <v>45753</v>
      </c>
      <c r="F30" s="314" t="s">
        <v>103</v>
      </c>
      <c r="G30" s="1045" t="s">
        <v>1734</v>
      </c>
    </row>
    <row r="31" spans="1:16">
      <c r="A31" s="57">
        <f t="shared" si="0"/>
        <v>25</v>
      </c>
      <c r="B31" s="315" t="s">
        <v>355</v>
      </c>
      <c r="C31" s="315" t="s">
        <v>248</v>
      </c>
      <c r="D31" s="315" t="s">
        <v>210</v>
      </c>
      <c r="E31" s="1067">
        <v>45752</v>
      </c>
      <c r="F31" s="315" t="s">
        <v>103</v>
      </c>
      <c r="G31" s="1045" t="s">
        <v>1734</v>
      </c>
    </row>
    <row r="32" spans="1:16">
      <c r="A32" s="57">
        <f t="shared" si="0"/>
        <v>26</v>
      </c>
      <c r="B32" s="440" t="s">
        <v>289</v>
      </c>
      <c r="C32" s="316" t="s">
        <v>182</v>
      </c>
      <c r="D32" s="440" t="s">
        <v>292</v>
      </c>
      <c r="E32" s="1068">
        <v>45753</v>
      </c>
      <c r="F32" s="440" t="s">
        <v>103</v>
      </c>
      <c r="G32" s="1045" t="s">
        <v>1734</v>
      </c>
    </row>
    <row r="33" spans="1:7">
      <c r="A33" s="57">
        <f t="shared" si="0"/>
        <v>27</v>
      </c>
      <c r="B33" s="315" t="s">
        <v>275</v>
      </c>
      <c r="C33" s="315" t="s">
        <v>248</v>
      </c>
      <c r="D33" s="315" t="s">
        <v>210</v>
      </c>
      <c r="E33" s="1068">
        <v>45755</v>
      </c>
      <c r="F33" s="440" t="s">
        <v>103</v>
      </c>
      <c r="G33" s="1045" t="s">
        <v>1734</v>
      </c>
    </row>
    <row r="34" spans="1:7">
      <c r="A34" s="57">
        <f t="shared" si="0"/>
        <v>28</v>
      </c>
      <c r="B34" s="315" t="s">
        <v>284</v>
      </c>
      <c r="C34" s="315" t="s">
        <v>185</v>
      </c>
      <c r="D34" s="315" t="s">
        <v>210</v>
      </c>
      <c r="E34" s="1068">
        <v>45755</v>
      </c>
      <c r="F34" s="440" t="s">
        <v>103</v>
      </c>
      <c r="G34" s="1045" t="s">
        <v>1734</v>
      </c>
    </row>
    <row r="35" spans="1:7">
      <c r="A35" s="57">
        <f t="shared" si="0"/>
        <v>29</v>
      </c>
      <c r="B35" s="315" t="s">
        <v>285</v>
      </c>
      <c r="C35" s="315" t="s">
        <v>185</v>
      </c>
      <c r="D35" s="315" t="s">
        <v>210</v>
      </c>
      <c r="E35" s="1068">
        <v>45755</v>
      </c>
      <c r="F35" s="440" t="s">
        <v>103</v>
      </c>
      <c r="G35" s="1045" t="s">
        <v>1734</v>
      </c>
    </row>
    <row r="36" spans="1:7">
      <c r="A36" s="57">
        <f t="shared" si="0"/>
        <v>30</v>
      </c>
      <c r="B36" s="315" t="s">
        <v>287</v>
      </c>
      <c r="C36" s="315" t="s">
        <v>248</v>
      </c>
      <c r="D36" s="315" t="s">
        <v>210</v>
      </c>
      <c r="E36" s="1068">
        <v>45757</v>
      </c>
      <c r="F36" s="440" t="s">
        <v>103</v>
      </c>
      <c r="G36" s="1045" t="s">
        <v>1734</v>
      </c>
    </row>
    <row r="37" spans="1:7">
      <c r="A37" s="57">
        <f t="shared" si="0"/>
        <v>31</v>
      </c>
      <c r="B37" s="315" t="s">
        <v>1292</v>
      </c>
      <c r="C37" s="315" t="s">
        <v>182</v>
      </c>
      <c r="D37" s="315" t="s">
        <v>210</v>
      </c>
      <c r="E37" s="1068">
        <v>45764</v>
      </c>
      <c r="F37" s="521" t="s">
        <v>103</v>
      </c>
      <c r="G37" s="1045" t="s">
        <v>1734</v>
      </c>
    </row>
    <row r="38" spans="1:7">
      <c r="A38" s="57">
        <f t="shared" si="0"/>
        <v>32</v>
      </c>
      <c r="B38" s="315" t="s">
        <v>280</v>
      </c>
      <c r="C38" s="315" t="s">
        <v>248</v>
      </c>
      <c r="D38" s="315" t="s">
        <v>210</v>
      </c>
      <c r="E38" s="1068">
        <v>45764</v>
      </c>
      <c r="F38" s="521" t="s">
        <v>103</v>
      </c>
      <c r="G38" s="1045" t="s">
        <v>1734</v>
      </c>
    </row>
    <row r="39" spans="1:7">
      <c r="A39" s="57">
        <f t="shared" si="0"/>
        <v>33</v>
      </c>
      <c r="B39" s="315" t="s">
        <v>290</v>
      </c>
      <c r="C39" s="315" t="s">
        <v>182</v>
      </c>
      <c r="D39" s="315" t="s">
        <v>210</v>
      </c>
      <c r="E39" s="1067">
        <v>45764</v>
      </c>
      <c r="F39" s="521" t="s">
        <v>103</v>
      </c>
      <c r="G39" s="1045" t="s">
        <v>1734</v>
      </c>
    </row>
    <row r="40" spans="1:7">
      <c r="A40" s="57">
        <f t="shared" si="0"/>
        <v>34</v>
      </c>
      <c r="B40" s="315" t="s">
        <v>277</v>
      </c>
      <c r="C40" s="315" t="s">
        <v>185</v>
      </c>
      <c r="D40" s="315" t="s">
        <v>210</v>
      </c>
      <c r="E40" s="1067">
        <v>45764</v>
      </c>
      <c r="F40" s="521" t="s">
        <v>103</v>
      </c>
      <c r="G40" s="1045" t="s">
        <v>1734</v>
      </c>
    </row>
    <row r="41" spans="1:7">
      <c r="A41" s="57">
        <f t="shared" si="0"/>
        <v>35</v>
      </c>
      <c r="B41" s="315" t="s">
        <v>273</v>
      </c>
      <c r="C41" s="315" t="s">
        <v>182</v>
      </c>
      <c r="D41" s="315" t="s">
        <v>210</v>
      </c>
      <c r="E41" s="1067">
        <v>45765</v>
      </c>
      <c r="F41" s="521" t="s">
        <v>103</v>
      </c>
      <c r="G41" s="1045" t="s">
        <v>1734</v>
      </c>
    </row>
    <row r="42" spans="1:7">
      <c r="A42" s="57">
        <f t="shared" si="0"/>
        <v>36</v>
      </c>
      <c r="B42" s="315" t="s">
        <v>475</v>
      </c>
      <c r="C42" s="315" t="s">
        <v>185</v>
      </c>
      <c r="D42" s="315" t="s">
        <v>210</v>
      </c>
      <c r="E42" s="1067">
        <v>45768</v>
      </c>
      <c r="F42" s="521" t="s">
        <v>103</v>
      </c>
      <c r="G42" s="1045" t="s">
        <v>1734</v>
      </c>
    </row>
    <row r="43" spans="1:7">
      <c r="A43" s="57">
        <f t="shared" si="0"/>
        <v>37</v>
      </c>
      <c r="B43" s="315" t="s">
        <v>414</v>
      </c>
      <c r="C43" s="315" t="s">
        <v>248</v>
      </c>
      <c r="D43" s="315" t="s">
        <v>210</v>
      </c>
      <c r="E43" s="1067">
        <v>45768</v>
      </c>
      <c r="F43" s="315" t="s">
        <v>103</v>
      </c>
      <c r="G43" s="1045" t="s">
        <v>1734</v>
      </c>
    </row>
    <row r="44" spans="1:7">
      <c r="A44" s="57">
        <f t="shared" si="0"/>
        <v>38</v>
      </c>
      <c r="B44" s="523" t="s">
        <v>311</v>
      </c>
      <c r="C44" s="315" t="s">
        <v>185</v>
      </c>
      <c r="D44" s="315" t="s">
        <v>210</v>
      </c>
      <c r="E44" s="1067">
        <v>45771</v>
      </c>
      <c r="F44" s="315" t="s">
        <v>103</v>
      </c>
      <c r="G44" s="1045" t="s">
        <v>1734</v>
      </c>
    </row>
    <row r="45" spans="1:7">
      <c r="A45" s="57">
        <f t="shared" si="0"/>
        <v>39</v>
      </c>
      <c r="B45" s="523" t="s">
        <v>426</v>
      </c>
      <c r="C45" s="523" t="s">
        <v>182</v>
      </c>
      <c r="D45" s="523" t="s">
        <v>292</v>
      </c>
      <c r="E45" s="1067">
        <v>45772</v>
      </c>
      <c r="F45" s="523" t="s">
        <v>103</v>
      </c>
      <c r="G45" s="1045" t="s">
        <v>1734</v>
      </c>
    </row>
    <row r="46" spans="1:7">
      <c r="A46" s="57">
        <f t="shared" si="0"/>
        <v>40</v>
      </c>
      <c r="B46" s="526" t="s">
        <v>474</v>
      </c>
      <c r="C46" s="526" t="s">
        <v>185</v>
      </c>
      <c r="D46" s="315" t="s">
        <v>210</v>
      </c>
      <c r="E46" s="1067">
        <v>45767</v>
      </c>
      <c r="F46" s="523" t="s">
        <v>103</v>
      </c>
      <c r="G46" s="1045" t="s">
        <v>1734</v>
      </c>
    </row>
    <row r="47" spans="1:7">
      <c r="A47" s="57">
        <f t="shared" si="0"/>
        <v>41</v>
      </c>
      <c r="B47" s="315" t="s">
        <v>227</v>
      </c>
      <c r="C47" s="315" t="s">
        <v>182</v>
      </c>
      <c r="D47" s="315" t="s">
        <v>210</v>
      </c>
      <c r="E47" s="1068">
        <v>45779</v>
      </c>
      <c r="F47" s="315" t="s">
        <v>103</v>
      </c>
      <c r="G47" s="1045" t="s">
        <v>1735</v>
      </c>
    </row>
    <row r="48" spans="1:7">
      <c r="A48" s="57">
        <f t="shared" si="0"/>
        <v>42</v>
      </c>
      <c r="B48" s="1063" t="s">
        <v>282</v>
      </c>
      <c r="C48" s="315" t="s">
        <v>242</v>
      </c>
      <c r="D48" s="310" t="s">
        <v>210</v>
      </c>
      <c r="E48" s="1068">
        <v>45783</v>
      </c>
      <c r="F48" s="315" t="s">
        <v>103</v>
      </c>
      <c r="G48" s="1045" t="s">
        <v>1735</v>
      </c>
    </row>
    <row r="49" spans="1:7">
      <c r="A49" s="57">
        <f t="shared" si="0"/>
        <v>43</v>
      </c>
      <c r="B49" s="1063" t="s">
        <v>1310</v>
      </c>
      <c r="C49" s="315" t="s">
        <v>182</v>
      </c>
      <c r="D49" s="310" t="s">
        <v>210</v>
      </c>
      <c r="E49" s="1068">
        <v>45784</v>
      </c>
      <c r="F49" s="315" t="s">
        <v>103</v>
      </c>
      <c r="G49" s="1045" t="s">
        <v>1735</v>
      </c>
    </row>
    <row r="50" spans="1:7">
      <c r="A50" s="57">
        <f t="shared" si="0"/>
        <v>44</v>
      </c>
      <c r="B50" s="1063" t="s">
        <v>447</v>
      </c>
      <c r="C50" s="315" t="s">
        <v>182</v>
      </c>
      <c r="D50" s="310" t="s">
        <v>210</v>
      </c>
      <c r="E50" s="1068">
        <v>45784</v>
      </c>
      <c r="F50" s="315" t="s">
        <v>103</v>
      </c>
      <c r="G50" s="1045" t="s">
        <v>1735</v>
      </c>
    </row>
    <row r="51" spans="1:7">
      <c r="A51" s="57">
        <f t="shared" si="0"/>
        <v>45</v>
      </c>
      <c r="B51" s="315" t="s">
        <v>449</v>
      </c>
      <c r="C51" s="315" t="s">
        <v>185</v>
      </c>
      <c r="D51" s="310" t="s">
        <v>210</v>
      </c>
      <c r="E51" s="1067">
        <v>45792</v>
      </c>
      <c r="F51" s="315" t="s">
        <v>103</v>
      </c>
      <c r="G51" s="1045" t="s">
        <v>1735</v>
      </c>
    </row>
    <row r="52" spans="1:7">
      <c r="A52" s="57">
        <f t="shared" si="0"/>
        <v>46</v>
      </c>
      <c r="B52" s="538" t="s">
        <v>435</v>
      </c>
      <c r="C52" s="538" t="s">
        <v>242</v>
      </c>
      <c r="D52" s="310" t="s">
        <v>210</v>
      </c>
      <c r="E52" s="1067">
        <v>45796</v>
      </c>
      <c r="F52" s="315" t="s">
        <v>103</v>
      </c>
      <c r="G52" s="1045" t="s">
        <v>1735</v>
      </c>
    </row>
    <row r="53" spans="1:7">
      <c r="A53" s="57">
        <f t="shared" si="0"/>
        <v>47</v>
      </c>
      <c r="B53" s="315" t="s">
        <v>271</v>
      </c>
      <c r="C53" s="315" t="s">
        <v>242</v>
      </c>
      <c r="D53" s="310" t="s">
        <v>210</v>
      </c>
      <c r="E53" s="1068">
        <v>45798</v>
      </c>
      <c r="F53" s="315" t="s">
        <v>103</v>
      </c>
      <c r="G53" s="1045" t="s">
        <v>1735</v>
      </c>
    </row>
    <row r="54" spans="1:7">
      <c r="A54" s="57">
        <f t="shared" si="0"/>
        <v>48</v>
      </c>
      <c r="B54" s="547" t="s">
        <v>1331</v>
      </c>
      <c r="C54" s="547" t="s">
        <v>242</v>
      </c>
      <c r="D54" s="547" t="s">
        <v>210</v>
      </c>
      <c r="E54" s="1067">
        <v>45803</v>
      </c>
      <c r="F54" s="315" t="s">
        <v>103</v>
      </c>
      <c r="G54" s="1045" t="s">
        <v>1735</v>
      </c>
    </row>
    <row r="55" spans="1:7">
      <c r="A55" s="57">
        <f t="shared" si="0"/>
        <v>49</v>
      </c>
      <c r="B55" s="547" t="s">
        <v>726</v>
      </c>
      <c r="C55" s="547" t="s">
        <v>125</v>
      </c>
      <c r="D55" s="547" t="s">
        <v>210</v>
      </c>
      <c r="E55" s="1067">
        <v>45805</v>
      </c>
      <c r="F55" s="315" t="s">
        <v>103</v>
      </c>
      <c r="G55" s="1045" t="s">
        <v>1735</v>
      </c>
    </row>
    <row r="56" spans="1:7">
      <c r="A56" s="57">
        <f t="shared" si="0"/>
        <v>50</v>
      </c>
      <c r="B56" s="315" t="s">
        <v>283</v>
      </c>
      <c r="C56" s="315" t="s">
        <v>242</v>
      </c>
      <c r="D56" s="315" t="s">
        <v>210</v>
      </c>
      <c r="E56" s="1067">
        <v>45807</v>
      </c>
      <c r="F56" s="315" t="s">
        <v>103</v>
      </c>
      <c r="G56" s="1045" t="s">
        <v>1735</v>
      </c>
    </row>
    <row r="57" spans="1:7">
      <c r="A57" s="57">
        <f t="shared" si="0"/>
        <v>51</v>
      </c>
      <c r="B57" s="315" t="s">
        <v>421</v>
      </c>
      <c r="C57" s="315" t="s">
        <v>115</v>
      </c>
      <c r="D57" s="315" t="s">
        <v>292</v>
      </c>
      <c r="E57" s="1067">
        <v>45807</v>
      </c>
      <c r="F57" s="315" t="s">
        <v>103</v>
      </c>
      <c r="G57" s="1045" t="s">
        <v>1736</v>
      </c>
    </row>
    <row r="58" spans="1:7">
      <c r="A58" s="57">
        <f t="shared" si="0"/>
        <v>52</v>
      </c>
      <c r="B58" s="561" t="s">
        <v>269</v>
      </c>
      <c r="C58" s="561" t="s">
        <v>182</v>
      </c>
      <c r="D58" s="561" t="s">
        <v>210</v>
      </c>
      <c r="E58" s="1067">
        <v>45813</v>
      </c>
      <c r="F58" s="561" t="s">
        <v>103</v>
      </c>
      <c r="G58" s="1045" t="s">
        <v>1736</v>
      </c>
    </row>
    <row r="59" spans="1:7">
      <c r="A59" s="57">
        <f t="shared" si="0"/>
        <v>53</v>
      </c>
      <c r="B59" s="566" t="s">
        <v>477</v>
      </c>
      <c r="C59" s="566" t="s">
        <v>242</v>
      </c>
      <c r="D59" s="566" t="s">
        <v>210</v>
      </c>
      <c r="E59" s="1067">
        <v>45814</v>
      </c>
      <c r="F59" s="566" t="s">
        <v>103</v>
      </c>
    </row>
    <row r="60" spans="1:7">
      <c r="A60" s="57">
        <f t="shared" si="0"/>
        <v>54</v>
      </c>
      <c r="B60" s="563" t="s">
        <v>1311</v>
      </c>
      <c r="C60" s="563" t="s">
        <v>1374</v>
      </c>
      <c r="D60" s="563" t="s">
        <v>210</v>
      </c>
      <c r="E60" s="1067">
        <v>45818</v>
      </c>
      <c r="F60" s="563" t="s">
        <v>103</v>
      </c>
      <c r="G60" s="1045" t="s">
        <v>1736</v>
      </c>
    </row>
    <row r="61" spans="1:7">
      <c r="A61" s="57">
        <f t="shared" si="0"/>
        <v>55</v>
      </c>
      <c r="B61" s="564" t="s">
        <v>393</v>
      </c>
      <c r="C61" s="564" t="s">
        <v>182</v>
      </c>
      <c r="D61" s="564" t="s">
        <v>210</v>
      </c>
      <c r="E61" s="1067">
        <v>45818</v>
      </c>
      <c r="F61" s="315" t="s">
        <v>103</v>
      </c>
      <c r="G61" s="1045" t="s">
        <v>1736</v>
      </c>
    </row>
    <row r="62" spans="1:7">
      <c r="A62" s="57">
        <f t="shared" si="0"/>
        <v>56</v>
      </c>
      <c r="B62" s="566" t="s">
        <v>1334</v>
      </c>
      <c r="C62" s="566" t="s">
        <v>115</v>
      </c>
      <c r="D62" s="566" t="s">
        <v>210</v>
      </c>
      <c r="E62" s="1067">
        <v>45815</v>
      </c>
      <c r="F62" s="566" t="s">
        <v>103</v>
      </c>
      <c r="G62" s="1045" t="s">
        <v>1736</v>
      </c>
    </row>
    <row r="63" spans="1:7">
      <c r="A63" s="57">
        <f t="shared" si="0"/>
        <v>57</v>
      </c>
      <c r="B63" s="316" t="s">
        <v>1370</v>
      </c>
      <c r="C63" s="636" t="s">
        <v>143</v>
      </c>
      <c r="D63" s="872" t="s">
        <v>210</v>
      </c>
      <c r="E63" s="1068">
        <v>45823</v>
      </c>
      <c r="F63" s="872" t="s">
        <v>103</v>
      </c>
    </row>
    <row r="64" spans="1:7">
      <c r="A64" s="57">
        <f t="shared" si="0"/>
        <v>58</v>
      </c>
      <c r="B64" s="316" t="s">
        <v>813</v>
      </c>
      <c r="C64" s="636" t="s">
        <v>182</v>
      </c>
      <c r="D64" s="872" t="s">
        <v>210</v>
      </c>
      <c r="E64" s="1068">
        <v>45824</v>
      </c>
      <c r="F64" s="872" t="s">
        <v>103</v>
      </c>
    </row>
    <row r="65" spans="1:11">
      <c r="A65" s="57">
        <f t="shared" si="0"/>
        <v>59</v>
      </c>
      <c r="B65" s="567" t="s">
        <v>1375</v>
      </c>
      <c r="C65" s="567" t="s">
        <v>182</v>
      </c>
      <c r="D65" s="567" t="s">
        <v>210</v>
      </c>
      <c r="E65" s="1068">
        <v>45821</v>
      </c>
      <c r="F65" s="567" t="s">
        <v>103</v>
      </c>
    </row>
    <row r="66" spans="1:11">
      <c r="A66" s="57">
        <f t="shared" si="0"/>
        <v>60</v>
      </c>
      <c r="B66" s="896" t="s">
        <v>1371</v>
      </c>
      <c r="C66" s="896" t="s">
        <v>125</v>
      </c>
      <c r="D66" s="896" t="s">
        <v>210</v>
      </c>
      <c r="E66" s="1067">
        <v>45822</v>
      </c>
      <c r="F66" s="896" t="s">
        <v>103</v>
      </c>
    </row>
    <row r="67" spans="1:11">
      <c r="A67" s="57">
        <f t="shared" si="0"/>
        <v>61</v>
      </c>
      <c r="B67" s="896" t="s">
        <v>159</v>
      </c>
      <c r="C67" s="896" t="s">
        <v>115</v>
      </c>
      <c r="D67" s="896" t="s">
        <v>210</v>
      </c>
      <c r="E67" s="1067">
        <v>45824</v>
      </c>
      <c r="F67" s="896" t="s">
        <v>103</v>
      </c>
    </row>
    <row r="68" spans="1:11">
      <c r="A68" s="57">
        <f t="shared" si="0"/>
        <v>62</v>
      </c>
      <c r="B68" s="583" t="s">
        <v>392</v>
      </c>
      <c r="C68" s="583" t="s">
        <v>242</v>
      </c>
      <c r="D68" s="583" t="s">
        <v>210</v>
      </c>
      <c r="E68" s="1067">
        <v>45824</v>
      </c>
      <c r="F68" s="583" t="s">
        <v>103</v>
      </c>
    </row>
    <row r="69" spans="1:11">
      <c r="A69" s="57">
        <f t="shared" si="0"/>
        <v>63</v>
      </c>
      <c r="B69" s="616" t="s">
        <v>157</v>
      </c>
      <c r="C69" s="616" t="s">
        <v>132</v>
      </c>
      <c r="D69" s="616" t="s">
        <v>210</v>
      </c>
      <c r="E69" s="1067">
        <v>45828</v>
      </c>
      <c r="F69" s="616" t="s">
        <v>103</v>
      </c>
    </row>
    <row r="70" spans="1:11">
      <c r="A70" s="57">
        <f t="shared" si="0"/>
        <v>64</v>
      </c>
      <c r="B70" s="629" t="s">
        <v>810</v>
      </c>
      <c r="C70" s="629" t="s">
        <v>1498</v>
      </c>
      <c r="D70" s="629" t="s">
        <v>210</v>
      </c>
      <c r="E70" s="1067">
        <v>45830</v>
      </c>
      <c r="F70" s="629" t="s">
        <v>103</v>
      </c>
    </row>
    <row r="71" spans="1:11">
      <c r="A71" s="57">
        <f t="shared" si="0"/>
        <v>65</v>
      </c>
      <c r="B71" s="315" t="s">
        <v>415</v>
      </c>
      <c r="C71" s="315" t="s">
        <v>119</v>
      </c>
      <c r="D71" s="315" t="s">
        <v>210</v>
      </c>
      <c r="E71" s="1067">
        <v>45832</v>
      </c>
      <c r="F71" s="315" t="s">
        <v>103</v>
      </c>
    </row>
    <row r="72" spans="1:11">
      <c r="A72" s="57">
        <f t="shared" si="0"/>
        <v>66</v>
      </c>
      <c r="B72" s="794" t="s">
        <v>193</v>
      </c>
      <c r="C72" s="794" t="s">
        <v>115</v>
      </c>
      <c r="D72" s="794" t="s">
        <v>210</v>
      </c>
      <c r="E72" s="1067">
        <v>45835</v>
      </c>
      <c r="F72" s="794" t="s">
        <v>103</v>
      </c>
    </row>
    <row r="73" spans="1:11">
      <c r="A73" s="57">
        <f t="shared" ref="A73:A136" si="1">A72+1</f>
        <v>67</v>
      </c>
      <c r="B73" s="831" t="s">
        <v>1496</v>
      </c>
      <c r="C73" s="831" t="s">
        <v>119</v>
      </c>
      <c r="D73" s="831" t="s">
        <v>210</v>
      </c>
      <c r="E73" s="1067">
        <v>45836</v>
      </c>
      <c r="F73" s="831" t="s">
        <v>103</v>
      </c>
      <c r="G73" s="856"/>
      <c r="H73" s="856"/>
      <c r="I73" s="856"/>
      <c r="J73" s="322"/>
      <c r="K73" s="322"/>
    </row>
    <row r="74" spans="1:11">
      <c r="A74" s="57">
        <f t="shared" si="1"/>
        <v>68</v>
      </c>
      <c r="B74" s="832" t="s">
        <v>816</v>
      </c>
      <c r="C74" s="832" t="s">
        <v>182</v>
      </c>
      <c r="D74" s="832" t="s">
        <v>210</v>
      </c>
      <c r="E74" s="1067">
        <v>45837</v>
      </c>
      <c r="F74" s="831" t="s">
        <v>103</v>
      </c>
    </row>
    <row r="75" spans="1:11">
      <c r="A75" s="57">
        <f t="shared" si="1"/>
        <v>69</v>
      </c>
      <c r="B75" s="832" t="s">
        <v>812</v>
      </c>
      <c r="C75" s="832" t="s">
        <v>182</v>
      </c>
      <c r="D75" s="832" t="s">
        <v>210</v>
      </c>
      <c r="E75" s="1067">
        <v>45837</v>
      </c>
      <c r="F75" s="831" t="s">
        <v>103</v>
      </c>
    </row>
    <row r="76" spans="1:11">
      <c r="A76" s="57">
        <f t="shared" si="1"/>
        <v>70</v>
      </c>
      <c r="B76" s="832" t="s">
        <v>1303</v>
      </c>
      <c r="C76" s="832" t="s">
        <v>125</v>
      </c>
      <c r="D76" s="832" t="s">
        <v>210</v>
      </c>
      <c r="E76" s="1067">
        <v>45837</v>
      </c>
      <c r="F76" s="831" t="s">
        <v>103</v>
      </c>
      <c r="G76" s="1045" t="s">
        <v>1736</v>
      </c>
    </row>
    <row r="77" spans="1:11">
      <c r="A77" s="57">
        <f t="shared" si="1"/>
        <v>71</v>
      </c>
      <c r="B77" s="896" t="s">
        <v>372</v>
      </c>
      <c r="C77" s="896" t="s">
        <v>185</v>
      </c>
      <c r="D77" s="896" t="s">
        <v>292</v>
      </c>
      <c r="E77" s="1067">
        <v>45839</v>
      </c>
      <c r="F77" s="896" t="s">
        <v>103</v>
      </c>
    </row>
    <row r="78" spans="1:11">
      <c r="A78" s="57">
        <f t="shared" si="1"/>
        <v>72</v>
      </c>
      <c r="B78" s="855" t="s">
        <v>817</v>
      </c>
      <c r="C78" s="855" t="s">
        <v>182</v>
      </c>
      <c r="D78" s="855" t="s">
        <v>210</v>
      </c>
      <c r="E78" s="1069">
        <v>45839</v>
      </c>
      <c r="F78" s="855" t="s">
        <v>103</v>
      </c>
    </row>
    <row r="79" spans="1:11">
      <c r="A79" s="57">
        <f t="shared" si="1"/>
        <v>73</v>
      </c>
      <c r="B79" s="835" t="s">
        <v>412</v>
      </c>
      <c r="C79" s="835" t="s">
        <v>119</v>
      </c>
      <c r="D79" s="835" t="s">
        <v>292</v>
      </c>
      <c r="E79" s="1067">
        <v>45844</v>
      </c>
      <c r="F79" s="835" t="s">
        <v>103</v>
      </c>
    </row>
    <row r="80" spans="1:11">
      <c r="A80" s="57">
        <f t="shared" si="1"/>
        <v>74</v>
      </c>
      <c r="B80" s="861" t="s">
        <v>1372</v>
      </c>
      <c r="C80" s="861" t="s">
        <v>115</v>
      </c>
      <c r="D80" s="861" t="s">
        <v>210</v>
      </c>
      <c r="E80" s="1067">
        <v>45845</v>
      </c>
      <c r="F80" s="861" t="s">
        <v>103</v>
      </c>
    </row>
    <row r="81" spans="1:6">
      <c r="A81" s="57">
        <f t="shared" si="1"/>
        <v>75</v>
      </c>
      <c r="B81" s="994" t="s">
        <v>727</v>
      </c>
      <c r="C81" s="994" t="s">
        <v>128</v>
      </c>
      <c r="D81" s="994" t="s">
        <v>210</v>
      </c>
      <c r="E81" s="1067">
        <v>45845</v>
      </c>
      <c r="F81" s="994" t="s">
        <v>103</v>
      </c>
    </row>
    <row r="82" spans="1:6">
      <c r="A82" s="57">
        <f t="shared" si="1"/>
        <v>76</v>
      </c>
      <c r="B82" s="864" t="s">
        <v>808</v>
      </c>
      <c r="C82" s="864" t="s">
        <v>185</v>
      </c>
      <c r="D82" s="864" t="s">
        <v>210</v>
      </c>
      <c r="E82" s="1067">
        <v>45846</v>
      </c>
      <c r="F82" s="861" t="s">
        <v>103</v>
      </c>
    </row>
    <row r="83" spans="1:6">
      <c r="A83" s="57">
        <f t="shared" si="1"/>
        <v>77</v>
      </c>
      <c r="B83" s="864" t="s">
        <v>1571</v>
      </c>
      <c r="C83" s="864" t="s">
        <v>115</v>
      </c>
      <c r="D83" s="864" t="s">
        <v>210</v>
      </c>
      <c r="E83" s="1067">
        <v>45846</v>
      </c>
      <c r="F83" s="861" t="s">
        <v>103</v>
      </c>
    </row>
    <row r="84" spans="1:6">
      <c r="A84" s="57">
        <f t="shared" si="1"/>
        <v>78</v>
      </c>
      <c r="B84" s="994" t="s">
        <v>270</v>
      </c>
      <c r="C84" s="994" t="s">
        <v>1666</v>
      </c>
      <c r="D84" s="994" t="s">
        <v>210</v>
      </c>
      <c r="E84" s="1067">
        <v>45848</v>
      </c>
      <c r="F84" s="994" t="s">
        <v>103</v>
      </c>
    </row>
    <row r="85" spans="1:6">
      <c r="A85" s="57">
        <f t="shared" si="1"/>
        <v>79</v>
      </c>
      <c r="B85" s="315" t="s">
        <v>463</v>
      </c>
      <c r="C85" s="315" t="s">
        <v>248</v>
      </c>
      <c r="D85" s="942" t="s">
        <v>210</v>
      </c>
      <c r="E85" s="1067">
        <v>45848</v>
      </c>
      <c r="F85" s="942" t="s">
        <v>103</v>
      </c>
    </row>
    <row r="86" spans="1:6">
      <c r="A86" s="57">
        <f t="shared" si="1"/>
        <v>80</v>
      </c>
      <c r="B86" s="872" t="s">
        <v>806</v>
      </c>
      <c r="C86" s="872" t="s">
        <v>182</v>
      </c>
      <c r="D86" s="872" t="s">
        <v>210</v>
      </c>
      <c r="E86" s="1068">
        <v>45850</v>
      </c>
      <c r="F86" s="872" t="s">
        <v>103</v>
      </c>
    </row>
    <row r="87" spans="1:6">
      <c r="A87" s="57">
        <f t="shared" si="1"/>
        <v>81</v>
      </c>
      <c r="B87" s="885" t="s">
        <v>765</v>
      </c>
      <c r="C87" s="885" t="s">
        <v>185</v>
      </c>
      <c r="D87" s="885" t="s">
        <v>210</v>
      </c>
      <c r="E87" s="1067">
        <v>45854</v>
      </c>
      <c r="F87" s="885" t="s">
        <v>103</v>
      </c>
    </row>
    <row r="88" spans="1:6">
      <c r="A88" s="57">
        <f t="shared" si="1"/>
        <v>82</v>
      </c>
      <c r="B88" s="885" t="s">
        <v>168</v>
      </c>
      <c r="C88" s="885" t="s">
        <v>132</v>
      </c>
      <c r="D88" s="885" t="s">
        <v>292</v>
      </c>
      <c r="E88" s="1067">
        <v>45854</v>
      </c>
      <c r="F88" s="885" t="s">
        <v>103</v>
      </c>
    </row>
    <row r="89" spans="1:6">
      <c r="A89" s="57">
        <f t="shared" si="1"/>
        <v>83</v>
      </c>
      <c r="B89" s="994" t="s">
        <v>819</v>
      </c>
      <c r="C89" s="994" t="s">
        <v>182</v>
      </c>
      <c r="D89" s="994" t="s">
        <v>210</v>
      </c>
      <c r="E89" s="1068">
        <v>45855</v>
      </c>
      <c r="F89" s="994" t="s">
        <v>103</v>
      </c>
    </row>
    <row r="90" spans="1:6">
      <c r="A90" s="57">
        <f t="shared" si="1"/>
        <v>84</v>
      </c>
      <c r="B90" s="994" t="s">
        <v>820</v>
      </c>
      <c r="C90" s="994" t="s">
        <v>182</v>
      </c>
      <c r="D90" s="994" t="s">
        <v>210</v>
      </c>
      <c r="E90" s="1068">
        <v>45855</v>
      </c>
      <c r="F90" s="994" t="s">
        <v>103</v>
      </c>
    </row>
    <row r="91" spans="1:6">
      <c r="A91" s="57">
        <f t="shared" si="1"/>
        <v>85</v>
      </c>
      <c r="B91" s="994" t="s">
        <v>818</v>
      </c>
      <c r="C91" s="994" t="s">
        <v>182</v>
      </c>
      <c r="D91" s="994" t="s">
        <v>210</v>
      </c>
      <c r="E91" s="1068">
        <v>45855</v>
      </c>
      <c r="F91" s="994" t="s">
        <v>103</v>
      </c>
    </row>
    <row r="92" spans="1:6">
      <c r="A92" s="57">
        <f t="shared" si="1"/>
        <v>86</v>
      </c>
      <c r="B92" s="896" t="s">
        <v>1321</v>
      </c>
      <c r="C92" s="896" t="s">
        <v>115</v>
      </c>
      <c r="D92" s="896" t="s">
        <v>210</v>
      </c>
      <c r="E92" s="1067">
        <v>45858</v>
      </c>
      <c r="F92" s="896" t="s">
        <v>103</v>
      </c>
    </row>
    <row r="93" spans="1:6">
      <c r="A93" s="57">
        <f t="shared" si="1"/>
        <v>87</v>
      </c>
      <c r="B93" s="896" t="s">
        <v>1595</v>
      </c>
      <c r="C93" s="896" t="s">
        <v>167</v>
      </c>
      <c r="D93" s="896" t="s">
        <v>210</v>
      </c>
      <c r="E93" s="1067">
        <v>45858</v>
      </c>
      <c r="F93" s="896" t="s">
        <v>103</v>
      </c>
    </row>
    <row r="94" spans="1:6">
      <c r="A94" s="57">
        <f t="shared" si="1"/>
        <v>88</v>
      </c>
      <c r="B94" s="896" t="s">
        <v>763</v>
      </c>
      <c r="C94" s="896" t="s">
        <v>182</v>
      </c>
      <c r="D94" s="896" t="s">
        <v>210</v>
      </c>
      <c r="E94" s="1067">
        <v>45858</v>
      </c>
      <c r="F94" s="896" t="s">
        <v>103</v>
      </c>
    </row>
    <row r="95" spans="1:6">
      <c r="A95" s="57">
        <f t="shared" si="1"/>
        <v>89</v>
      </c>
      <c r="B95" s="897" t="s">
        <v>380</v>
      </c>
      <c r="C95" s="897" t="s">
        <v>119</v>
      </c>
      <c r="D95" s="897" t="s">
        <v>210</v>
      </c>
      <c r="E95" s="1070">
        <v>45859</v>
      </c>
      <c r="F95" s="897" t="s">
        <v>103</v>
      </c>
    </row>
    <row r="96" spans="1:6">
      <c r="A96" s="57">
        <f t="shared" si="1"/>
        <v>90</v>
      </c>
      <c r="B96" s="897" t="s">
        <v>823</v>
      </c>
      <c r="C96" s="897" t="s">
        <v>182</v>
      </c>
      <c r="D96" s="897" t="s">
        <v>210</v>
      </c>
      <c r="E96" s="1067">
        <v>45859</v>
      </c>
      <c r="F96" s="897" t="s">
        <v>103</v>
      </c>
    </row>
    <row r="97" spans="1:6">
      <c r="A97" s="57">
        <f t="shared" si="1"/>
        <v>91</v>
      </c>
      <c r="B97" s="902" t="s">
        <v>1610</v>
      </c>
      <c r="C97" s="902" t="s">
        <v>115</v>
      </c>
      <c r="D97" s="902" t="s">
        <v>210</v>
      </c>
      <c r="E97" s="1067">
        <v>45860</v>
      </c>
      <c r="F97" s="902" t="s">
        <v>103</v>
      </c>
    </row>
    <row r="98" spans="1:6">
      <c r="A98" s="57">
        <f t="shared" si="1"/>
        <v>92</v>
      </c>
      <c r="B98" s="913" t="s">
        <v>183</v>
      </c>
      <c r="C98" s="913" t="s">
        <v>182</v>
      </c>
      <c r="D98" s="913" t="s">
        <v>210</v>
      </c>
      <c r="E98" s="1067">
        <v>45863</v>
      </c>
      <c r="F98" s="913" t="s">
        <v>103</v>
      </c>
    </row>
    <row r="99" spans="1:6">
      <c r="A99" s="57">
        <f t="shared" si="1"/>
        <v>93</v>
      </c>
      <c r="B99" s="913" t="s">
        <v>166</v>
      </c>
      <c r="C99" s="913" t="s">
        <v>167</v>
      </c>
      <c r="D99" s="913" t="s">
        <v>210</v>
      </c>
      <c r="E99" s="1067">
        <v>45863</v>
      </c>
      <c r="F99" s="913" t="s">
        <v>103</v>
      </c>
    </row>
    <row r="100" spans="1:6">
      <c r="A100" s="57">
        <f t="shared" si="1"/>
        <v>94</v>
      </c>
      <c r="B100" s="915" t="s">
        <v>767</v>
      </c>
      <c r="C100" s="915" t="s">
        <v>242</v>
      </c>
      <c r="D100" s="913" t="s">
        <v>210</v>
      </c>
      <c r="E100" s="1068">
        <v>45864</v>
      </c>
      <c r="F100" s="915" t="s">
        <v>103</v>
      </c>
    </row>
    <row r="101" spans="1:6">
      <c r="A101" s="57">
        <f t="shared" si="1"/>
        <v>95</v>
      </c>
      <c r="B101" s="994" t="s">
        <v>824</v>
      </c>
      <c r="C101" s="994" t="s">
        <v>182</v>
      </c>
      <c r="D101" s="994" t="s">
        <v>210</v>
      </c>
      <c r="E101" s="1068">
        <v>45865</v>
      </c>
      <c r="F101" s="994" t="s">
        <v>103</v>
      </c>
    </row>
    <row r="102" spans="1:6">
      <c r="A102" s="57">
        <f t="shared" si="1"/>
        <v>96</v>
      </c>
      <c r="B102" s="938" t="s">
        <v>385</v>
      </c>
      <c r="C102" s="938" t="s">
        <v>182</v>
      </c>
      <c r="D102" s="938" t="s">
        <v>210</v>
      </c>
      <c r="E102" s="1067">
        <v>45866</v>
      </c>
      <c r="F102" s="915" t="s">
        <v>103</v>
      </c>
    </row>
    <row r="103" spans="1:6">
      <c r="A103" s="57">
        <f t="shared" si="1"/>
        <v>97</v>
      </c>
      <c r="B103" s="942" t="s">
        <v>427</v>
      </c>
      <c r="C103" s="942" t="s">
        <v>185</v>
      </c>
      <c r="D103" s="942" t="s">
        <v>210</v>
      </c>
      <c r="E103" s="1067">
        <v>45867</v>
      </c>
      <c r="F103" s="942" t="s">
        <v>103</v>
      </c>
    </row>
    <row r="104" spans="1:6">
      <c r="A104" s="57">
        <f t="shared" si="1"/>
        <v>98</v>
      </c>
      <c r="B104" s="315" t="s">
        <v>731</v>
      </c>
      <c r="C104" s="315" t="s">
        <v>115</v>
      </c>
      <c r="D104" s="942" t="s">
        <v>210</v>
      </c>
      <c r="E104" s="1067">
        <v>45868</v>
      </c>
      <c r="F104" s="942" t="s">
        <v>103</v>
      </c>
    </row>
    <row r="105" spans="1:6">
      <c r="A105" s="57">
        <f t="shared" si="1"/>
        <v>99</v>
      </c>
      <c r="B105" s="961" t="s">
        <v>1365</v>
      </c>
      <c r="C105" s="961" t="s">
        <v>185</v>
      </c>
      <c r="D105" s="942" t="s">
        <v>210</v>
      </c>
      <c r="E105" s="1067">
        <v>45869</v>
      </c>
      <c r="F105" s="942" t="s">
        <v>103</v>
      </c>
    </row>
    <row r="106" spans="1:6">
      <c r="A106" s="57">
        <f t="shared" si="1"/>
        <v>100</v>
      </c>
      <c r="B106" s="961" t="s">
        <v>1366</v>
      </c>
      <c r="C106" s="961" t="s">
        <v>182</v>
      </c>
      <c r="D106" s="942" t="s">
        <v>210</v>
      </c>
      <c r="E106" s="1067">
        <v>45869</v>
      </c>
      <c r="F106" s="942" t="s">
        <v>103</v>
      </c>
    </row>
    <row r="107" spans="1:6">
      <c r="A107" s="57">
        <f t="shared" si="1"/>
        <v>101</v>
      </c>
      <c r="B107" s="994" t="s">
        <v>174</v>
      </c>
      <c r="C107" s="994" t="s">
        <v>1633</v>
      </c>
      <c r="D107" s="994" t="s">
        <v>210</v>
      </c>
      <c r="E107" s="1068">
        <v>45870</v>
      </c>
      <c r="F107" s="994" t="s">
        <v>103</v>
      </c>
    </row>
    <row r="108" spans="1:6">
      <c r="A108" s="57">
        <f t="shared" si="1"/>
        <v>102</v>
      </c>
      <c r="B108" s="994" t="s">
        <v>180</v>
      </c>
      <c r="C108" s="994" t="s">
        <v>182</v>
      </c>
      <c r="D108" s="994" t="s">
        <v>210</v>
      </c>
      <c r="E108" s="1068">
        <v>45870</v>
      </c>
      <c r="F108" s="994" t="s">
        <v>103</v>
      </c>
    </row>
    <row r="109" spans="1:6">
      <c r="A109" s="57">
        <f t="shared" si="1"/>
        <v>103</v>
      </c>
      <c r="B109" s="995" t="s">
        <v>422</v>
      </c>
      <c r="C109" s="995" t="s">
        <v>125</v>
      </c>
      <c r="D109" s="995" t="s">
        <v>292</v>
      </c>
      <c r="E109" s="1067">
        <v>45871</v>
      </c>
      <c r="F109" s="995" t="s">
        <v>103</v>
      </c>
    </row>
    <row r="110" spans="1:6">
      <c r="A110" s="57">
        <f t="shared" si="1"/>
        <v>104</v>
      </c>
      <c r="B110" s="996" t="s">
        <v>158</v>
      </c>
      <c r="C110" s="996" t="s">
        <v>115</v>
      </c>
      <c r="D110" s="996" t="s">
        <v>210</v>
      </c>
      <c r="E110" s="1067">
        <v>45872</v>
      </c>
      <c r="F110" s="996" t="s">
        <v>103</v>
      </c>
    </row>
    <row r="111" spans="1:6">
      <c r="A111" s="57">
        <f t="shared" si="1"/>
        <v>105</v>
      </c>
      <c r="B111" s="996" t="s">
        <v>1658</v>
      </c>
      <c r="C111" s="996" t="s">
        <v>125</v>
      </c>
      <c r="D111" s="996" t="s">
        <v>210</v>
      </c>
      <c r="E111" s="1067">
        <v>45872</v>
      </c>
      <c r="F111" s="996" t="s">
        <v>103</v>
      </c>
    </row>
    <row r="112" spans="1:6">
      <c r="A112" s="57">
        <f t="shared" si="1"/>
        <v>106</v>
      </c>
      <c r="B112" s="997" t="s">
        <v>161</v>
      </c>
      <c r="C112" s="997" t="s">
        <v>115</v>
      </c>
      <c r="D112" s="997" t="s">
        <v>210</v>
      </c>
      <c r="E112" s="1067">
        <v>45874</v>
      </c>
      <c r="F112" s="997" t="s">
        <v>103</v>
      </c>
    </row>
    <row r="113" spans="1:6">
      <c r="A113" s="57">
        <f t="shared" si="1"/>
        <v>107</v>
      </c>
      <c r="B113" s="997" t="s">
        <v>418</v>
      </c>
      <c r="C113" s="997" t="s">
        <v>185</v>
      </c>
      <c r="D113" s="997" t="s">
        <v>210</v>
      </c>
      <c r="E113" s="1067">
        <v>45875</v>
      </c>
      <c r="F113" s="997" t="s">
        <v>103</v>
      </c>
    </row>
    <row r="114" spans="1:6">
      <c r="A114" s="57">
        <f t="shared" si="1"/>
        <v>108</v>
      </c>
      <c r="B114" s="1000" t="s">
        <v>1336</v>
      </c>
      <c r="C114" s="999" t="s">
        <v>1611</v>
      </c>
      <c r="D114" s="1000" t="s">
        <v>210</v>
      </c>
      <c r="E114" s="1067">
        <v>45876</v>
      </c>
      <c r="F114" s="1000" t="s">
        <v>103</v>
      </c>
    </row>
    <row r="115" spans="1:6">
      <c r="A115" s="57">
        <f t="shared" si="1"/>
        <v>109</v>
      </c>
      <c r="B115" s="1000" t="s">
        <v>181</v>
      </c>
      <c r="C115" s="1001" t="s">
        <v>182</v>
      </c>
      <c r="D115" s="1001" t="s">
        <v>210</v>
      </c>
      <c r="E115" s="1067">
        <v>45877</v>
      </c>
      <c r="F115" s="1001" t="s">
        <v>103</v>
      </c>
    </row>
    <row r="116" spans="1:6">
      <c r="A116" s="57">
        <f t="shared" si="1"/>
        <v>110</v>
      </c>
      <c r="B116" s="1001" t="s">
        <v>439</v>
      </c>
      <c r="C116" s="1001" t="s">
        <v>182</v>
      </c>
      <c r="D116" s="1001" t="s">
        <v>210</v>
      </c>
      <c r="E116" s="1067">
        <v>45877</v>
      </c>
      <c r="F116" s="1001" t="s">
        <v>103</v>
      </c>
    </row>
    <row r="117" spans="1:6">
      <c r="A117" s="57">
        <f t="shared" si="1"/>
        <v>111</v>
      </c>
      <c r="B117" s="1001" t="s">
        <v>869</v>
      </c>
      <c r="C117" s="1001" t="s">
        <v>115</v>
      </c>
      <c r="D117" s="1001" t="s">
        <v>210</v>
      </c>
      <c r="E117" s="1067">
        <v>45877</v>
      </c>
      <c r="F117" s="1001" t="s">
        <v>103</v>
      </c>
    </row>
    <row r="118" spans="1:6">
      <c r="A118" s="57">
        <f t="shared" si="1"/>
        <v>112</v>
      </c>
      <c r="B118" s="1003" t="s">
        <v>190</v>
      </c>
      <c r="C118" s="1003" t="s">
        <v>192</v>
      </c>
      <c r="D118" s="1003" t="s">
        <v>210</v>
      </c>
      <c r="E118" s="1068">
        <v>45875</v>
      </c>
      <c r="F118" s="1001" t="s">
        <v>103</v>
      </c>
    </row>
    <row r="119" spans="1:6">
      <c r="A119" s="57">
        <f t="shared" si="1"/>
        <v>113</v>
      </c>
      <c r="B119" s="1003" t="s">
        <v>799</v>
      </c>
      <c r="C119" s="1003" t="s">
        <v>182</v>
      </c>
      <c r="D119" s="1003" t="s">
        <v>210</v>
      </c>
      <c r="E119" s="1068">
        <v>45875</v>
      </c>
      <c r="F119" s="1001" t="s">
        <v>103</v>
      </c>
    </row>
    <row r="120" spans="1:6">
      <c r="A120" s="57">
        <f t="shared" si="1"/>
        <v>114</v>
      </c>
      <c r="B120" s="1003" t="s">
        <v>798</v>
      </c>
      <c r="C120" s="1003" t="s">
        <v>185</v>
      </c>
      <c r="D120" s="1003" t="s">
        <v>210</v>
      </c>
      <c r="E120" s="1068">
        <v>45875</v>
      </c>
      <c r="F120" s="1001" t="s">
        <v>103</v>
      </c>
    </row>
    <row r="121" spans="1:6">
      <c r="A121" s="57">
        <f t="shared" si="1"/>
        <v>115</v>
      </c>
      <c r="B121" s="1003" t="s">
        <v>805</v>
      </c>
      <c r="C121" s="1003" t="s">
        <v>182</v>
      </c>
      <c r="D121" s="1003" t="s">
        <v>210</v>
      </c>
      <c r="E121" s="1068">
        <v>45875</v>
      </c>
      <c r="F121" s="1001" t="s">
        <v>103</v>
      </c>
    </row>
    <row r="122" spans="1:6">
      <c r="A122" s="57">
        <f t="shared" si="1"/>
        <v>116</v>
      </c>
      <c r="B122" s="1003" t="s">
        <v>800</v>
      </c>
      <c r="C122" s="1003" t="s">
        <v>185</v>
      </c>
      <c r="D122" s="1003" t="s">
        <v>210</v>
      </c>
      <c r="E122" s="1068">
        <v>45875</v>
      </c>
      <c r="F122" s="1001" t="s">
        <v>103</v>
      </c>
    </row>
    <row r="123" spans="1:6">
      <c r="A123" s="57">
        <f t="shared" si="1"/>
        <v>117</v>
      </c>
      <c r="B123" s="1003" t="s">
        <v>191</v>
      </c>
      <c r="C123" s="1003" t="s">
        <v>192</v>
      </c>
      <c r="D123" s="1003" t="s">
        <v>210</v>
      </c>
      <c r="E123" s="1068">
        <v>45876</v>
      </c>
      <c r="F123" s="1003" t="s">
        <v>103</v>
      </c>
    </row>
    <row r="124" spans="1:6">
      <c r="A124" s="57">
        <f t="shared" si="1"/>
        <v>118</v>
      </c>
      <c r="B124" s="1006" t="s">
        <v>425</v>
      </c>
      <c r="C124" s="1006" t="s">
        <v>1374</v>
      </c>
      <c r="D124" s="1006" t="s">
        <v>210</v>
      </c>
      <c r="E124" s="1068">
        <v>45881</v>
      </c>
      <c r="F124" s="1003" t="s">
        <v>103</v>
      </c>
    </row>
    <row r="125" spans="1:6">
      <c r="A125" s="57">
        <f t="shared" si="1"/>
        <v>119</v>
      </c>
      <c r="B125" s="1006" t="s">
        <v>794</v>
      </c>
      <c r="C125" s="1006" t="s">
        <v>242</v>
      </c>
      <c r="D125" s="1006" t="s">
        <v>210</v>
      </c>
      <c r="E125" s="1068">
        <v>45881</v>
      </c>
      <c r="F125" s="1003" t="s">
        <v>103</v>
      </c>
    </row>
    <row r="126" spans="1:6">
      <c r="A126" s="57">
        <f t="shared" si="1"/>
        <v>120</v>
      </c>
      <c r="B126" s="1004" t="s">
        <v>465</v>
      </c>
      <c r="C126" s="1004" t="s">
        <v>132</v>
      </c>
      <c r="D126" s="1004" t="s">
        <v>210</v>
      </c>
      <c r="E126" s="1068">
        <v>45885</v>
      </c>
      <c r="F126" s="1003" t="s">
        <v>103</v>
      </c>
    </row>
    <row r="127" spans="1:6">
      <c r="A127" s="57">
        <f t="shared" si="1"/>
        <v>121</v>
      </c>
      <c r="B127" s="1004" t="s">
        <v>438</v>
      </c>
      <c r="C127" s="1004" t="s">
        <v>182</v>
      </c>
      <c r="D127" s="1004" t="s">
        <v>210</v>
      </c>
      <c r="E127" s="1068">
        <v>45885</v>
      </c>
      <c r="F127" s="1003" t="s">
        <v>103</v>
      </c>
    </row>
    <row r="128" spans="1:6">
      <c r="A128" s="57">
        <f t="shared" si="1"/>
        <v>122</v>
      </c>
      <c r="B128" s="1009" t="s">
        <v>790</v>
      </c>
      <c r="C128" s="1009" t="s">
        <v>182</v>
      </c>
      <c r="D128" s="1009" t="s">
        <v>210</v>
      </c>
      <c r="E128" s="1068">
        <v>45888</v>
      </c>
      <c r="F128" s="1003" t="s">
        <v>103</v>
      </c>
    </row>
    <row r="129" spans="1:6">
      <c r="A129" s="57">
        <f t="shared" si="1"/>
        <v>123</v>
      </c>
      <c r="B129" s="1009" t="s">
        <v>795</v>
      </c>
      <c r="C129" s="1009" t="s">
        <v>182</v>
      </c>
      <c r="D129" s="1009" t="s">
        <v>210</v>
      </c>
      <c r="E129" s="1068">
        <v>45888</v>
      </c>
      <c r="F129" s="1003" t="s">
        <v>103</v>
      </c>
    </row>
    <row r="130" spans="1:6">
      <c r="A130" s="57">
        <f t="shared" si="1"/>
        <v>124</v>
      </c>
      <c r="B130" s="1009" t="s">
        <v>1362</v>
      </c>
      <c r="C130" s="1009" t="s">
        <v>125</v>
      </c>
      <c r="D130" s="1009" t="s">
        <v>210</v>
      </c>
      <c r="E130" s="1068">
        <v>45888</v>
      </c>
      <c r="F130" s="1003" t="s">
        <v>103</v>
      </c>
    </row>
    <row r="131" spans="1:6">
      <c r="A131" s="57">
        <f t="shared" si="1"/>
        <v>125</v>
      </c>
      <c r="B131" s="1010" t="s">
        <v>755</v>
      </c>
      <c r="C131" s="315" t="s">
        <v>185</v>
      </c>
      <c r="D131" s="315" t="s">
        <v>210</v>
      </c>
      <c r="E131" s="1068">
        <v>45890</v>
      </c>
      <c r="F131" s="315" t="s">
        <v>103</v>
      </c>
    </row>
    <row r="132" spans="1:6">
      <c r="A132" s="57">
        <f t="shared" si="1"/>
        <v>126</v>
      </c>
      <c r="B132" s="315" t="s">
        <v>756</v>
      </c>
      <c r="C132" s="315" t="s">
        <v>185</v>
      </c>
      <c r="D132" s="315" t="s">
        <v>210</v>
      </c>
      <c r="E132" s="1068">
        <v>45890</v>
      </c>
      <c r="F132" s="315" t="s">
        <v>103</v>
      </c>
    </row>
    <row r="133" spans="1:6">
      <c r="A133" s="57">
        <f t="shared" si="1"/>
        <v>127</v>
      </c>
      <c r="B133" s="1010" t="s">
        <v>189</v>
      </c>
      <c r="C133" s="1010" t="s">
        <v>115</v>
      </c>
      <c r="D133" s="1010" t="s">
        <v>210</v>
      </c>
      <c r="E133" s="1068">
        <v>45890</v>
      </c>
      <c r="F133" s="315" t="s">
        <v>103</v>
      </c>
    </row>
    <row r="134" spans="1:6">
      <c r="A134" s="57">
        <f t="shared" si="1"/>
        <v>128</v>
      </c>
      <c r="B134" s="315" t="s">
        <v>739</v>
      </c>
      <c r="C134" s="315" t="s">
        <v>182</v>
      </c>
      <c r="D134" s="315" t="s">
        <v>210</v>
      </c>
      <c r="E134" s="1068">
        <v>45895</v>
      </c>
      <c r="F134" s="315" t="s">
        <v>103</v>
      </c>
    </row>
    <row r="135" spans="1:6">
      <c r="A135" s="57">
        <f t="shared" si="1"/>
        <v>129</v>
      </c>
      <c r="B135" s="315" t="s">
        <v>866</v>
      </c>
      <c r="C135" s="315" t="s">
        <v>137</v>
      </c>
      <c r="D135" s="315" t="s">
        <v>210</v>
      </c>
      <c r="E135" s="1068">
        <v>45895</v>
      </c>
      <c r="F135" s="315" t="s">
        <v>103</v>
      </c>
    </row>
    <row r="136" spans="1:6">
      <c r="A136" s="57">
        <f t="shared" si="1"/>
        <v>130</v>
      </c>
      <c r="B136" s="315" t="s">
        <v>751</v>
      </c>
      <c r="C136" s="315" t="s">
        <v>185</v>
      </c>
      <c r="D136" s="315" t="s">
        <v>210</v>
      </c>
      <c r="E136" s="1068">
        <v>45895</v>
      </c>
      <c r="F136" s="315" t="s">
        <v>103</v>
      </c>
    </row>
    <row r="137" spans="1:6">
      <c r="A137" s="57">
        <f t="shared" ref="A137:A143" si="2">A136+1</f>
        <v>131</v>
      </c>
      <c r="B137" s="315" t="s">
        <v>868</v>
      </c>
      <c r="C137" s="315" t="s">
        <v>137</v>
      </c>
      <c r="D137" s="315" t="s">
        <v>210</v>
      </c>
      <c r="E137" s="1068">
        <v>45895</v>
      </c>
      <c r="F137" s="315" t="s">
        <v>103</v>
      </c>
    </row>
    <row r="138" spans="1:6">
      <c r="A138" s="57">
        <f t="shared" si="2"/>
        <v>132</v>
      </c>
      <c r="B138" s="315" t="s">
        <v>177</v>
      </c>
      <c r="C138" s="315" t="s">
        <v>128</v>
      </c>
      <c r="D138" s="315" t="s">
        <v>210</v>
      </c>
      <c r="E138" s="1068">
        <v>45895</v>
      </c>
      <c r="F138" s="315" t="s">
        <v>103</v>
      </c>
    </row>
    <row r="139" spans="1:6">
      <c r="A139" s="57">
        <f t="shared" si="2"/>
        <v>133</v>
      </c>
      <c r="B139" s="315" t="s">
        <v>743</v>
      </c>
      <c r="C139" s="315" t="s">
        <v>242</v>
      </c>
      <c r="D139" s="315" t="s">
        <v>210</v>
      </c>
      <c r="E139" s="1068">
        <v>45895</v>
      </c>
      <c r="F139" s="315" t="s">
        <v>103</v>
      </c>
    </row>
    <row r="140" spans="1:6">
      <c r="A140" s="57">
        <f t="shared" si="2"/>
        <v>134</v>
      </c>
      <c r="B140" s="315" t="s">
        <v>744</v>
      </c>
      <c r="C140" s="315" t="s">
        <v>185</v>
      </c>
      <c r="D140" s="315" t="s">
        <v>210</v>
      </c>
      <c r="E140" s="1068">
        <v>45895</v>
      </c>
      <c r="F140" s="315" t="s">
        <v>103</v>
      </c>
    </row>
    <row r="141" spans="1:6">
      <c r="A141" s="57">
        <f t="shared" si="2"/>
        <v>135</v>
      </c>
      <c r="B141" s="315" t="s">
        <v>821</v>
      </c>
      <c r="C141" s="315" t="s">
        <v>182</v>
      </c>
      <c r="D141" s="315" t="s">
        <v>210</v>
      </c>
      <c r="E141" s="1068">
        <v>45895</v>
      </c>
      <c r="F141" s="315" t="s">
        <v>103</v>
      </c>
    </row>
    <row r="142" spans="1:6">
      <c r="A142" s="57">
        <f t="shared" si="2"/>
        <v>136</v>
      </c>
      <c r="B142" s="315" t="s">
        <v>822</v>
      </c>
      <c r="C142" s="315" t="s">
        <v>182</v>
      </c>
      <c r="D142" s="315" t="s">
        <v>210</v>
      </c>
      <c r="E142" s="1068">
        <v>45895</v>
      </c>
      <c r="F142" s="315" t="s">
        <v>103</v>
      </c>
    </row>
    <row r="143" spans="1:6">
      <c r="A143" s="57">
        <f t="shared" si="2"/>
        <v>137</v>
      </c>
      <c r="B143" s="1016" t="s">
        <v>1672</v>
      </c>
      <c r="C143" s="1016" t="s">
        <v>188</v>
      </c>
      <c r="D143" s="1016" t="s">
        <v>210</v>
      </c>
      <c r="E143" s="1068">
        <v>45897</v>
      </c>
      <c r="F143" s="1016" t="s">
        <v>103</v>
      </c>
    </row>
    <row r="144" spans="1:6">
      <c r="A144" s="57">
        <f>A143+1</f>
        <v>138</v>
      </c>
      <c r="B144" s="1016" t="s">
        <v>1679</v>
      </c>
      <c r="C144" s="1016" t="s">
        <v>125</v>
      </c>
      <c r="D144" s="1016" t="s">
        <v>210</v>
      </c>
      <c r="E144" s="1068">
        <v>45897</v>
      </c>
      <c r="F144" s="1016" t="s">
        <v>103</v>
      </c>
    </row>
    <row r="145" spans="1:6">
      <c r="A145" s="57">
        <f t="shared" ref="A145:A196" si="3">A144+1</f>
        <v>139</v>
      </c>
      <c r="B145" s="1020" t="s">
        <v>1680</v>
      </c>
      <c r="C145" s="1020" t="s">
        <v>188</v>
      </c>
      <c r="D145" s="1016" t="s">
        <v>210</v>
      </c>
      <c r="E145" s="1071">
        <v>45901</v>
      </c>
      <c r="F145" s="1016" t="s">
        <v>103</v>
      </c>
    </row>
    <row r="146" spans="1:6">
      <c r="A146" s="57">
        <f t="shared" si="3"/>
        <v>140</v>
      </c>
      <c r="B146" s="1064" t="s">
        <v>1654</v>
      </c>
      <c r="C146" s="1020" t="s">
        <v>185</v>
      </c>
      <c r="D146" s="1016" t="s">
        <v>210</v>
      </c>
      <c r="E146" s="1068">
        <v>45867</v>
      </c>
      <c r="F146" s="1016" t="s">
        <v>103</v>
      </c>
    </row>
    <row r="147" spans="1:6">
      <c r="A147" s="57">
        <f t="shared" si="3"/>
        <v>141</v>
      </c>
      <c r="B147" s="316" t="s">
        <v>804</v>
      </c>
      <c r="C147" s="1020" t="s">
        <v>182</v>
      </c>
      <c r="D147" s="1016" t="s">
        <v>210</v>
      </c>
      <c r="E147" s="1068">
        <v>45855</v>
      </c>
      <c r="F147" s="1016" t="s">
        <v>103</v>
      </c>
    </row>
    <row r="148" spans="1:6">
      <c r="A148" s="57">
        <f t="shared" si="3"/>
        <v>142</v>
      </c>
      <c r="B148" s="316" t="s">
        <v>803</v>
      </c>
      <c r="C148" s="1020" t="s">
        <v>185</v>
      </c>
      <c r="D148" s="1016" t="s">
        <v>210</v>
      </c>
      <c r="E148" s="1068">
        <v>45855</v>
      </c>
      <c r="F148" s="1016" t="s">
        <v>103</v>
      </c>
    </row>
    <row r="149" spans="1:6">
      <c r="A149" s="57">
        <f t="shared" si="3"/>
        <v>143</v>
      </c>
      <c r="B149" s="316" t="s">
        <v>797</v>
      </c>
      <c r="C149" s="1020" t="s">
        <v>185</v>
      </c>
      <c r="D149" s="1016" t="s">
        <v>210</v>
      </c>
      <c r="E149" s="1068">
        <v>45888</v>
      </c>
      <c r="F149" s="1016" t="s">
        <v>103</v>
      </c>
    </row>
    <row r="150" spans="1:6">
      <c r="A150" s="57">
        <f t="shared" si="3"/>
        <v>144</v>
      </c>
      <c r="B150" s="316" t="s">
        <v>788</v>
      </c>
      <c r="C150" s="1020" t="s">
        <v>185</v>
      </c>
      <c r="D150" s="1016" t="s">
        <v>210</v>
      </c>
      <c r="E150" s="1068">
        <v>45888</v>
      </c>
      <c r="F150" s="1016" t="s">
        <v>103</v>
      </c>
    </row>
    <row r="151" spans="1:6">
      <c r="A151" s="57">
        <f t="shared" si="3"/>
        <v>145</v>
      </c>
      <c r="B151" s="316" t="s">
        <v>787</v>
      </c>
      <c r="C151" s="1020" t="s">
        <v>185</v>
      </c>
      <c r="D151" s="1016" t="s">
        <v>210</v>
      </c>
      <c r="E151" s="1068">
        <v>45888</v>
      </c>
      <c r="F151" s="1016" t="s">
        <v>103</v>
      </c>
    </row>
    <row r="152" spans="1:6">
      <c r="A152" s="57">
        <f t="shared" si="3"/>
        <v>146</v>
      </c>
      <c r="B152" s="316" t="s">
        <v>764</v>
      </c>
      <c r="C152" s="1020" t="s">
        <v>182</v>
      </c>
      <c r="D152" s="1016" t="s">
        <v>210</v>
      </c>
      <c r="E152" s="1068">
        <v>45855</v>
      </c>
      <c r="F152" s="1016" t="s">
        <v>103</v>
      </c>
    </row>
    <row r="153" spans="1:6">
      <c r="A153" s="57">
        <f t="shared" si="3"/>
        <v>147</v>
      </c>
      <c r="B153" s="316" t="s">
        <v>766</v>
      </c>
      <c r="C153" s="1020" t="s">
        <v>182</v>
      </c>
      <c r="D153" s="1016" t="s">
        <v>210</v>
      </c>
      <c r="E153" s="1068">
        <v>45870</v>
      </c>
      <c r="F153" s="1016" t="s">
        <v>103</v>
      </c>
    </row>
    <row r="154" spans="1:6">
      <c r="A154" s="57">
        <f t="shared" si="3"/>
        <v>148</v>
      </c>
      <c r="B154" s="1064" t="s">
        <v>1678</v>
      </c>
      <c r="C154" s="1020" t="s">
        <v>115</v>
      </c>
      <c r="D154" s="1016" t="s">
        <v>210</v>
      </c>
      <c r="E154" s="1068">
        <v>45890</v>
      </c>
      <c r="F154" s="1016" t="s">
        <v>103</v>
      </c>
    </row>
    <row r="155" spans="1:6">
      <c r="A155" s="57">
        <f t="shared" si="3"/>
        <v>149</v>
      </c>
      <c r="B155" s="1064" t="s">
        <v>774</v>
      </c>
      <c r="C155" s="1020" t="s">
        <v>182</v>
      </c>
      <c r="D155" s="1016" t="s">
        <v>210</v>
      </c>
      <c r="E155" s="1068">
        <v>45892</v>
      </c>
      <c r="F155" s="1016" t="s">
        <v>103</v>
      </c>
    </row>
    <row r="156" spans="1:6">
      <c r="A156" s="57">
        <f t="shared" si="3"/>
        <v>150</v>
      </c>
      <c r="B156" s="1021" t="s">
        <v>752</v>
      </c>
      <c r="C156" s="1020" t="s">
        <v>1670</v>
      </c>
      <c r="D156" s="1016" t="s">
        <v>210</v>
      </c>
      <c r="E156" s="1068">
        <v>45893</v>
      </c>
      <c r="F156" s="1016" t="s">
        <v>103</v>
      </c>
    </row>
    <row r="157" spans="1:6">
      <c r="A157" s="57">
        <f t="shared" si="3"/>
        <v>151</v>
      </c>
      <c r="B157" s="1021" t="s">
        <v>468</v>
      </c>
      <c r="C157" s="1036" t="s">
        <v>182</v>
      </c>
      <c r="D157" s="1036" t="s">
        <v>210</v>
      </c>
      <c r="E157" s="1067">
        <v>45903</v>
      </c>
      <c r="F157" s="1016" t="s">
        <v>103</v>
      </c>
    </row>
    <row r="158" spans="1:6">
      <c r="A158" s="57">
        <f t="shared" si="3"/>
        <v>152</v>
      </c>
      <c r="B158" s="1021" t="s">
        <v>171</v>
      </c>
      <c r="C158" s="1036" t="s">
        <v>167</v>
      </c>
      <c r="D158" s="1036" t="s">
        <v>210</v>
      </c>
      <c r="E158" s="1067">
        <v>45903</v>
      </c>
      <c r="F158" s="1016" t="s">
        <v>103</v>
      </c>
    </row>
    <row r="159" spans="1:6">
      <c r="A159" s="57">
        <f t="shared" si="3"/>
        <v>153</v>
      </c>
      <c r="B159" s="1038" t="s">
        <v>1358</v>
      </c>
      <c r="C159" s="315" t="s">
        <v>185</v>
      </c>
      <c r="D159" s="315" t="s">
        <v>210</v>
      </c>
      <c r="E159" s="1067">
        <v>45896</v>
      </c>
      <c r="F159" s="315" t="s">
        <v>103</v>
      </c>
    </row>
    <row r="160" spans="1:6">
      <c r="A160" s="57">
        <f t="shared" si="3"/>
        <v>154</v>
      </c>
      <c r="B160" s="1038" t="s">
        <v>1357</v>
      </c>
      <c r="C160" s="315" t="s">
        <v>248</v>
      </c>
      <c r="D160" s="315" t="s">
        <v>210</v>
      </c>
      <c r="E160" s="1067">
        <v>45898</v>
      </c>
      <c r="F160" s="315" t="s">
        <v>103</v>
      </c>
    </row>
    <row r="161" spans="1:6">
      <c r="A161" s="57">
        <f t="shared" si="3"/>
        <v>155</v>
      </c>
      <c r="B161" s="1021" t="s">
        <v>350</v>
      </c>
      <c r="C161" s="1039" t="s">
        <v>182</v>
      </c>
      <c r="D161" s="1039" t="s">
        <v>210</v>
      </c>
      <c r="E161" s="1068">
        <v>45911</v>
      </c>
      <c r="F161" s="1039" t="s">
        <v>103</v>
      </c>
    </row>
    <row r="162" spans="1:6">
      <c r="A162" s="57">
        <f t="shared" si="3"/>
        <v>156</v>
      </c>
      <c r="B162" s="1040" t="s">
        <v>1103</v>
      </c>
      <c r="C162" s="1040" t="s">
        <v>132</v>
      </c>
      <c r="D162" s="1040" t="s">
        <v>210</v>
      </c>
      <c r="E162" s="1068">
        <v>45913</v>
      </c>
      <c r="F162" s="1039" t="s">
        <v>103</v>
      </c>
    </row>
    <row r="163" spans="1:6">
      <c r="A163" s="57">
        <f t="shared" si="3"/>
        <v>157</v>
      </c>
      <c r="B163" s="1041" t="s">
        <v>160</v>
      </c>
      <c r="C163" s="315" t="s">
        <v>132</v>
      </c>
      <c r="D163" s="1040" t="s">
        <v>210</v>
      </c>
      <c r="E163" s="1068">
        <v>45915</v>
      </c>
      <c r="F163" s="1039" t="s">
        <v>103</v>
      </c>
    </row>
    <row r="164" spans="1:6">
      <c r="A164" s="57">
        <f t="shared" si="3"/>
        <v>158</v>
      </c>
      <c r="B164" s="1041" t="s">
        <v>153</v>
      </c>
      <c r="C164" s="315" t="s">
        <v>123</v>
      </c>
      <c r="D164" s="1040" t="s">
        <v>210</v>
      </c>
      <c r="E164" s="1068">
        <v>45915</v>
      </c>
      <c r="F164" s="1039" t="s">
        <v>103</v>
      </c>
    </row>
    <row r="165" spans="1:6">
      <c r="A165" s="57">
        <f t="shared" si="3"/>
        <v>159</v>
      </c>
      <c r="B165" s="315" t="s">
        <v>325</v>
      </c>
      <c r="C165" s="315" t="s">
        <v>182</v>
      </c>
      <c r="D165" s="1040" t="s">
        <v>210</v>
      </c>
      <c r="E165" s="1068">
        <v>45916</v>
      </c>
      <c r="F165" s="1039" t="s">
        <v>103</v>
      </c>
    </row>
    <row r="166" spans="1:6">
      <c r="A166" s="57">
        <f t="shared" si="3"/>
        <v>160</v>
      </c>
      <c r="B166" s="315" t="s">
        <v>327</v>
      </c>
      <c r="C166" s="315" t="s">
        <v>242</v>
      </c>
      <c r="D166" s="1040" t="s">
        <v>210</v>
      </c>
      <c r="E166" s="1068">
        <v>45916</v>
      </c>
      <c r="F166" s="1039" t="s">
        <v>103</v>
      </c>
    </row>
    <row r="167" spans="1:6">
      <c r="A167" s="57">
        <f t="shared" si="3"/>
        <v>161</v>
      </c>
      <c r="B167" s="315" t="s">
        <v>328</v>
      </c>
      <c r="C167" s="315" t="s">
        <v>242</v>
      </c>
      <c r="D167" s="1040" t="s">
        <v>210</v>
      </c>
      <c r="E167" s="1068">
        <v>45916</v>
      </c>
      <c r="F167" s="1039" t="s">
        <v>103</v>
      </c>
    </row>
    <row r="168" spans="1:6">
      <c r="A168" s="57">
        <f t="shared" si="3"/>
        <v>162</v>
      </c>
      <c r="B168" s="315" t="s">
        <v>187</v>
      </c>
      <c r="C168" s="315" t="s">
        <v>188</v>
      </c>
      <c r="D168" s="1040" t="s">
        <v>210</v>
      </c>
      <c r="E168" s="1068">
        <v>45898</v>
      </c>
      <c r="F168" s="1039" t="s">
        <v>103</v>
      </c>
    </row>
    <row r="169" spans="1:6">
      <c r="A169" s="57">
        <f t="shared" si="3"/>
        <v>163</v>
      </c>
      <c r="B169" s="315" t="s">
        <v>780</v>
      </c>
      <c r="C169" s="315" t="s">
        <v>182</v>
      </c>
      <c r="D169" s="1040" t="s">
        <v>210</v>
      </c>
      <c r="E169" s="1068">
        <v>45893</v>
      </c>
      <c r="F169" s="1039" t="s">
        <v>103</v>
      </c>
    </row>
    <row r="170" spans="1:6">
      <c r="A170" s="57">
        <f t="shared" si="3"/>
        <v>164</v>
      </c>
      <c r="B170" s="315" t="s">
        <v>781</v>
      </c>
      <c r="C170" s="315" t="s">
        <v>182</v>
      </c>
      <c r="D170" s="1040" t="s">
        <v>210</v>
      </c>
      <c r="E170" s="1068">
        <v>45895</v>
      </c>
      <c r="F170" s="1039" t="s">
        <v>103</v>
      </c>
    </row>
    <row r="171" spans="1:6">
      <c r="A171" s="57">
        <f t="shared" si="3"/>
        <v>165</v>
      </c>
      <c r="B171" s="315" t="s">
        <v>782</v>
      </c>
      <c r="C171" s="315" t="s">
        <v>182</v>
      </c>
      <c r="D171" s="1040" t="s">
        <v>210</v>
      </c>
      <c r="E171" s="1068">
        <v>45919</v>
      </c>
      <c r="F171" s="1039" t="s">
        <v>103</v>
      </c>
    </row>
    <row r="172" spans="1:6">
      <c r="A172" s="57">
        <f t="shared" si="3"/>
        <v>166</v>
      </c>
      <c r="B172" s="315" t="s">
        <v>324</v>
      </c>
      <c r="C172" s="315" t="s">
        <v>132</v>
      </c>
      <c r="D172" s="1040" t="s">
        <v>210</v>
      </c>
      <c r="E172" s="1068">
        <v>45919</v>
      </c>
      <c r="F172" s="1039" t="s">
        <v>103</v>
      </c>
    </row>
    <row r="173" spans="1:6">
      <c r="A173" s="57">
        <f t="shared" si="3"/>
        <v>167</v>
      </c>
      <c r="B173" s="315" t="s">
        <v>151</v>
      </c>
      <c r="C173" s="315" t="s">
        <v>123</v>
      </c>
      <c r="D173" s="1040" t="s">
        <v>210</v>
      </c>
      <c r="E173" s="1068">
        <v>45919</v>
      </c>
      <c r="F173" s="1039" t="s">
        <v>103</v>
      </c>
    </row>
    <row r="174" spans="1:6">
      <c r="A174" s="57">
        <f t="shared" si="3"/>
        <v>168</v>
      </c>
      <c r="B174" s="315" t="s">
        <v>1721</v>
      </c>
      <c r="C174" s="315" t="s">
        <v>132</v>
      </c>
      <c r="D174" s="1040" t="s">
        <v>210</v>
      </c>
      <c r="E174" s="1068">
        <v>45919</v>
      </c>
      <c r="F174" s="1039" t="s">
        <v>103</v>
      </c>
    </row>
    <row r="175" spans="1:6">
      <c r="A175" s="57">
        <f t="shared" si="3"/>
        <v>169</v>
      </c>
      <c r="B175" s="1044" t="s">
        <v>371</v>
      </c>
      <c r="C175" s="1044" t="s">
        <v>185</v>
      </c>
      <c r="D175" s="1040" t="s">
        <v>210</v>
      </c>
      <c r="E175" s="1067">
        <v>45922</v>
      </c>
      <c r="F175" s="1039" t="s">
        <v>103</v>
      </c>
    </row>
    <row r="176" spans="1:6">
      <c r="A176" s="57">
        <f t="shared" si="3"/>
        <v>170</v>
      </c>
      <c r="B176" s="1044" t="s">
        <v>428</v>
      </c>
      <c r="C176" s="1055" t="s">
        <v>185</v>
      </c>
      <c r="D176" s="1040" t="s">
        <v>210</v>
      </c>
      <c r="E176" s="1067">
        <v>45893</v>
      </c>
      <c r="F176" s="1039" t="s">
        <v>103</v>
      </c>
    </row>
    <row r="177" spans="1:6">
      <c r="A177" s="57">
        <f t="shared" si="3"/>
        <v>171</v>
      </c>
      <c r="B177" s="1055" t="s">
        <v>1731</v>
      </c>
      <c r="C177" s="1055" t="s">
        <v>119</v>
      </c>
      <c r="D177" s="1055" t="s">
        <v>292</v>
      </c>
      <c r="E177" s="1067">
        <v>45929</v>
      </c>
      <c r="F177" s="1055" t="s">
        <v>103</v>
      </c>
    </row>
    <row r="178" spans="1:6">
      <c r="A178" s="57">
        <f t="shared" si="3"/>
        <v>172</v>
      </c>
      <c r="B178" s="1065" t="s">
        <v>1667</v>
      </c>
      <c r="C178" s="315" t="s">
        <v>123</v>
      </c>
      <c r="D178" s="315" t="s">
        <v>210</v>
      </c>
      <c r="E178" s="1067">
        <v>45879</v>
      </c>
      <c r="F178" s="1058" t="s">
        <v>103</v>
      </c>
    </row>
    <row r="179" spans="1:6">
      <c r="A179" s="57">
        <f t="shared" si="3"/>
        <v>173</v>
      </c>
      <c r="B179" s="1044" t="s">
        <v>740</v>
      </c>
      <c r="C179" s="636" t="s">
        <v>182</v>
      </c>
      <c r="D179" s="636" t="s">
        <v>210</v>
      </c>
      <c r="E179" s="1072">
        <v>45916</v>
      </c>
      <c r="F179" s="1058" t="s">
        <v>103</v>
      </c>
    </row>
    <row r="180" spans="1:6">
      <c r="A180" s="57">
        <f t="shared" si="3"/>
        <v>174</v>
      </c>
      <c r="B180" s="1044" t="s">
        <v>741</v>
      </c>
      <c r="C180" s="636" t="s">
        <v>182</v>
      </c>
      <c r="D180" s="636" t="s">
        <v>210</v>
      </c>
      <c r="E180" s="1072">
        <v>45910</v>
      </c>
      <c r="F180" s="1058" t="s">
        <v>103</v>
      </c>
    </row>
    <row r="181" spans="1:6">
      <c r="A181" s="57">
        <f t="shared" si="3"/>
        <v>175</v>
      </c>
      <c r="B181" s="1044" t="s">
        <v>1598</v>
      </c>
      <c r="C181" s="1062" t="s">
        <v>128</v>
      </c>
      <c r="D181" s="637" t="s">
        <v>210</v>
      </c>
      <c r="E181" s="1072">
        <v>45892</v>
      </c>
      <c r="F181" s="1058" t="s">
        <v>103</v>
      </c>
    </row>
    <row r="182" spans="1:6">
      <c r="A182" s="57">
        <f t="shared" si="3"/>
        <v>176</v>
      </c>
      <c r="B182" s="1044" t="s">
        <v>178</v>
      </c>
      <c r="C182" s="636" t="s">
        <v>125</v>
      </c>
      <c r="D182" s="636" t="s">
        <v>210</v>
      </c>
      <c r="E182" s="1072">
        <v>45905</v>
      </c>
      <c r="F182" s="1058" t="s">
        <v>103</v>
      </c>
    </row>
    <row r="183" spans="1:6">
      <c r="A183" s="57">
        <f t="shared" si="3"/>
        <v>177</v>
      </c>
      <c r="B183" s="1044" t="s">
        <v>758</v>
      </c>
      <c r="C183" s="636" t="s">
        <v>182</v>
      </c>
      <c r="D183" s="636" t="s">
        <v>210</v>
      </c>
      <c r="E183" s="1072">
        <v>45931</v>
      </c>
      <c r="F183" s="1058" t="s">
        <v>103</v>
      </c>
    </row>
    <row r="184" spans="1:6">
      <c r="A184" s="57">
        <f t="shared" si="3"/>
        <v>178</v>
      </c>
      <c r="B184" s="1044" t="s">
        <v>760</v>
      </c>
      <c r="C184" s="636" t="s">
        <v>182</v>
      </c>
      <c r="D184" s="636" t="s">
        <v>210</v>
      </c>
      <c r="E184" s="1072">
        <v>45931</v>
      </c>
      <c r="F184" s="1058" t="s">
        <v>103</v>
      </c>
    </row>
    <row r="185" spans="1:6">
      <c r="A185" s="57">
        <f t="shared" si="3"/>
        <v>179</v>
      </c>
      <c r="B185" s="1044" t="s">
        <v>1683</v>
      </c>
      <c r="C185" s="1062" t="s">
        <v>125</v>
      </c>
      <c r="D185" s="637" t="s">
        <v>210</v>
      </c>
      <c r="E185" s="1072">
        <v>45899</v>
      </c>
      <c r="F185" s="1058" t="s">
        <v>103</v>
      </c>
    </row>
    <row r="186" spans="1:6">
      <c r="A186" s="57">
        <f t="shared" si="3"/>
        <v>180</v>
      </c>
      <c r="B186" s="1044" t="s">
        <v>1682</v>
      </c>
      <c r="C186" s="636" t="s">
        <v>125</v>
      </c>
      <c r="D186" s="636" t="s">
        <v>210</v>
      </c>
      <c r="E186" s="1072">
        <v>45902</v>
      </c>
      <c r="F186" s="1058" t="s">
        <v>103</v>
      </c>
    </row>
    <row r="187" spans="1:6">
      <c r="A187" s="57">
        <f t="shared" si="3"/>
        <v>181</v>
      </c>
      <c r="B187" s="1044" t="s">
        <v>1716</v>
      </c>
      <c r="C187" s="636" t="s">
        <v>125</v>
      </c>
      <c r="D187" s="636" t="s">
        <v>210</v>
      </c>
      <c r="E187" s="1072">
        <v>45922</v>
      </c>
      <c r="F187" s="1058" t="s">
        <v>103</v>
      </c>
    </row>
    <row r="188" spans="1:6">
      <c r="A188" s="57">
        <f t="shared" si="3"/>
        <v>182</v>
      </c>
      <c r="B188" s="1044" t="s">
        <v>186</v>
      </c>
      <c r="C188" s="636" t="s">
        <v>188</v>
      </c>
      <c r="D188" s="636" t="s">
        <v>210</v>
      </c>
      <c r="E188" s="1072">
        <v>45897</v>
      </c>
      <c r="F188" s="1058" t="s">
        <v>103</v>
      </c>
    </row>
    <row r="189" spans="1:6">
      <c r="A189" s="57">
        <f t="shared" si="3"/>
        <v>183</v>
      </c>
      <c r="B189" s="1044" t="s">
        <v>1705</v>
      </c>
      <c r="C189" s="636" t="s">
        <v>1708</v>
      </c>
      <c r="D189" s="636" t="s">
        <v>210</v>
      </c>
      <c r="E189" s="1072">
        <v>45907</v>
      </c>
      <c r="F189" s="1058" t="s">
        <v>103</v>
      </c>
    </row>
    <row r="190" spans="1:6">
      <c r="A190" s="57">
        <f t="shared" si="3"/>
        <v>184</v>
      </c>
      <c r="B190" s="1044" t="s">
        <v>791</v>
      </c>
      <c r="C190" s="1062" t="s">
        <v>242</v>
      </c>
      <c r="D190" s="1062" t="s">
        <v>210</v>
      </c>
      <c r="E190" s="1072">
        <v>45862</v>
      </c>
      <c r="F190" s="1058" t="s">
        <v>103</v>
      </c>
    </row>
    <row r="191" spans="1:6">
      <c r="A191" s="57">
        <f t="shared" si="3"/>
        <v>185</v>
      </c>
      <c r="B191" s="1044" t="s">
        <v>1617</v>
      </c>
      <c r="C191" s="636" t="s">
        <v>137</v>
      </c>
      <c r="D191" s="636" t="s">
        <v>210</v>
      </c>
      <c r="E191" s="1072">
        <v>45882</v>
      </c>
      <c r="F191" s="1058" t="s">
        <v>103</v>
      </c>
    </row>
    <row r="192" spans="1:6">
      <c r="A192" s="57">
        <f t="shared" si="3"/>
        <v>186</v>
      </c>
      <c r="B192" s="1044" t="s">
        <v>1634</v>
      </c>
      <c r="C192" s="636" t="s">
        <v>137</v>
      </c>
      <c r="D192" s="636" t="s">
        <v>210</v>
      </c>
      <c r="E192" s="1072">
        <v>45862</v>
      </c>
      <c r="F192" s="1058" t="s">
        <v>103</v>
      </c>
    </row>
    <row r="193" spans="1:6">
      <c r="A193" s="57">
        <f t="shared" si="3"/>
        <v>187</v>
      </c>
      <c r="B193" s="1044" t="s">
        <v>796</v>
      </c>
      <c r="C193" s="636" t="s">
        <v>185</v>
      </c>
      <c r="D193" s="636" t="s">
        <v>210</v>
      </c>
      <c r="E193" s="1072">
        <v>45882</v>
      </c>
      <c r="F193" s="1058" t="s">
        <v>103</v>
      </c>
    </row>
    <row r="194" spans="1:6">
      <c r="A194" s="57">
        <f t="shared" si="3"/>
        <v>188</v>
      </c>
      <c r="B194" s="1044" t="s">
        <v>815</v>
      </c>
      <c r="C194" s="636" t="s">
        <v>182</v>
      </c>
      <c r="D194" s="636" t="s">
        <v>210</v>
      </c>
      <c r="E194" s="1072">
        <v>45908</v>
      </c>
      <c r="F194" s="1058" t="s">
        <v>103</v>
      </c>
    </row>
    <row r="195" spans="1:6">
      <c r="A195" s="57">
        <f t="shared" si="3"/>
        <v>189</v>
      </c>
      <c r="B195" s="1044" t="s">
        <v>1286</v>
      </c>
      <c r="C195" s="636" t="s">
        <v>182</v>
      </c>
      <c r="D195" s="636" t="s">
        <v>210</v>
      </c>
      <c r="E195" s="1072">
        <v>45917</v>
      </c>
      <c r="F195" s="1058" t="s">
        <v>103</v>
      </c>
    </row>
    <row r="196" spans="1:6">
      <c r="A196" s="57">
        <f t="shared" si="3"/>
        <v>190</v>
      </c>
      <c r="B196" s="1044" t="s">
        <v>1363</v>
      </c>
      <c r="C196" s="636" t="s">
        <v>125</v>
      </c>
      <c r="D196" s="636" t="s">
        <v>210</v>
      </c>
      <c r="E196" s="1072">
        <v>45926</v>
      </c>
      <c r="F196" s="1058" t="s">
        <v>103</v>
      </c>
    </row>
    <row r="197" spans="1:6">
      <c r="A197" s="57">
        <v>191</v>
      </c>
      <c r="B197" s="57" t="s">
        <v>368</v>
      </c>
      <c r="C197" s="57" t="s">
        <v>182</v>
      </c>
      <c r="D197" s="57" t="s">
        <v>210</v>
      </c>
      <c r="E197" s="1235">
        <v>45961</v>
      </c>
      <c r="F197" s="57" t="s">
        <v>103</v>
      </c>
    </row>
    <row r="198" spans="1:6">
      <c r="A198" s="57">
        <v>192</v>
      </c>
      <c r="B198" s="57" t="s">
        <v>369</v>
      </c>
      <c r="C198" s="57" t="s">
        <v>182</v>
      </c>
      <c r="D198" s="57" t="s">
        <v>210</v>
      </c>
      <c r="E198" s="1235">
        <v>45969</v>
      </c>
      <c r="F198" s="57" t="s">
        <v>103</v>
      </c>
    </row>
  </sheetData>
  <autoFilter ref="A5:F6" xr:uid="{00000000-0001-0000-0800-000000000000}"/>
  <mergeCells count="7">
    <mergeCell ref="A1:W1"/>
    <mergeCell ref="A2:W2"/>
    <mergeCell ref="A3:W3"/>
    <mergeCell ref="A5:A6"/>
    <mergeCell ref="B5:B6"/>
    <mergeCell ref="C5:C6"/>
    <mergeCell ref="D5:D6"/>
  </mergeCells>
  <phoneticPr fontId="201" type="noConversion"/>
  <conditionalFormatting sqref="B1:B62 B65:B78 B80:B146 B157:B196 B199:B1048576">
    <cfRule type="duplicateValues" dxfId="3244" priority="6970"/>
  </conditionalFormatting>
  <conditionalFormatting sqref="B1:B62 B65:B146 B157:B196 B199:B1048576">
    <cfRule type="duplicateValues" dxfId="3243" priority="6976"/>
  </conditionalFormatting>
  <conditionalFormatting sqref="B1:B146 B157:B196 B199:B1048576">
    <cfRule type="duplicateValues" dxfId="3242" priority="6981"/>
    <cfRule type="duplicateValues" dxfId="3241" priority="6982"/>
    <cfRule type="duplicateValues" dxfId="3240" priority="6983"/>
    <cfRule type="duplicateValues" dxfId="3239" priority="6984"/>
  </conditionalFormatting>
  <conditionalFormatting sqref="B1:B196 B199:B1048576">
    <cfRule type="duplicateValues" dxfId="3238" priority="22"/>
    <cfRule type="duplicateValues" dxfId="3237" priority="23"/>
    <cfRule type="duplicateValues" dxfId="3236" priority="24"/>
    <cfRule type="duplicateValues" dxfId="3235" priority="25"/>
    <cfRule type="duplicateValues" dxfId="3234" priority="26"/>
    <cfRule type="duplicateValues" dxfId="3233" priority="71"/>
    <cfRule type="duplicateValues" dxfId="3232" priority="117"/>
    <cfRule type="duplicateValues" dxfId="3231" priority="6997"/>
    <cfRule type="duplicateValues" dxfId="3230" priority="6998"/>
    <cfRule type="duplicateValues" dxfId="3229" priority="6999"/>
    <cfRule type="duplicateValues" dxfId="3228" priority="7000"/>
    <cfRule type="duplicateValues" dxfId="3227" priority="7001"/>
    <cfRule type="duplicateValues" dxfId="3226" priority="7002"/>
    <cfRule type="duplicateValues" dxfId="3225" priority="7015"/>
    <cfRule type="duplicateValues" dxfId="3224" priority="7018"/>
  </conditionalFormatting>
  <conditionalFormatting sqref="B5:B6">
    <cfRule type="duplicateValues" dxfId="3223" priority="300"/>
    <cfRule type="duplicateValues" dxfId="3222" priority="314"/>
    <cfRule type="duplicateValues" dxfId="3221" priority="316" stopIfTrue="1"/>
  </conditionalFormatting>
  <conditionalFormatting sqref="B7:B45">
    <cfRule type="duplicateValues" dxfId="3220" priority="269"/>
  </conditionalFormatting>
  <conditionalFormatting sqref="B63">
    <cfRule type="duplicateValues" dxfId="3219" priority="257"/>
    <cfRule type="duplicateValues" dxfId="3218" priority="258"/>
    <cfRule type="duplicateValues" dxfId="3217" priority="259" stopIfTrue="1"/>
    <cfRule type="duplicateValues" dxfId="3216" priority="2730"/>
  </conditionalFormatting>
  <conditionalFormatting sqref="B64">
    <cfRule type="duplicateValues" dxfId="3215" priority="253"/>
    <cfRule type="duplicateValues" dxfId="3214" priority="254"/>
    <cfRule type="duplicateValues" dxfId="3213" priority="255"/>
    <cfRule type="duplicateValues" dxfId="3212" priority="256" stopIfTrue="1"/>
  </conditionalFormatting>
  <conditionalFormatting sqref="B77 B66:B67">
    <cfRule type="duplicateValues" dxfId="3211" priority="2764"/>
    <cfRule type="duplicateValues" dxfId="3210" priority="2765"/>
    <cfRule type="duplicateValues" dxfId="3209" priority="2766" stopIfTrue="1"/>
  </conditionalFormatting>
  <conditionalFormatting sqref="B146:B155">
    <cfRule type="duplicateValues" dxfId="3208" priority="6560" stopIfTrue="1"/>
    <cfRule type="duplicateValues" dxfId="3207" priority="6562"/>
  </conditionalFormatting>
  <conditionalFormatting sqref="B146:B158">
    <cfRule type="duplicateValues" dxfId="3206" priority="6564"/>
    <cfRule type="duplicateValues" dxfId="3205" priority="6565"/>
    <cfRule type="duplicateValues" dxfId="3204" priority="6568"/>
  </conditionalFormatting>
  <conditionalFormatting sqref="B148">
    <cfRule type="duplicateValues" dxfId="3203" priority="153"/>
    <cfRule type="duplicateValues" dxfId="3202" priority="154"/>
    <cfRule type="duplicateValues" dxfId="3201" priority="155" stopIfTrue="1"/>
  </conditionalFormatting>
  <conditionalFormatting sqref="B155">
    <cfRule type="duplicateValues" dxfId="3200" priority="156"/>
    <cfRule type="duplicateValues" dxfId="3199" priority="157"/>
    <cfRule type="duplicateValues" dxfId="3198" priority="158" stopIfTrue="1"/>
  </conditionalFormatting>
  <conditionalFormatting sqref="B156:B158">
    <cfRule type="duplicateValues" dxfId="3197" priority="167"/>
    <cfRule type="duplicateValues" dxfId="3196" priority="168"/>
    <cfRule type="duplicateValues" dxfId="3195" priority="169" stopIfTrue="1"/>
  </conditionalFormatting>
  <conditionalFormatting sqref="B179:B196">
    <cfRule type="duplicateValues" dxfId="3194" priority="10728"/>
    <cfRule type="duplicateValues" dxfId="3193" priority="10729"/>
    <cfRule type="duplicateValues" dxfId="3192" priority="10732"/>
  </conditionalFormatting>
  <conditionalFormatting sqref="B190:B193">
    <cfRule type="duplicateValues" dxfId="3191" priority="10725"/>
  </conditionalFormatting>
  <conditionalFormatting sqref="B195 B179:B193">
    <cfRule type="duplicateValues" dxfId="3190" priority="10343" stopIfTrue="1"/>
    <cfRule type="duplicateValues" dxfId="3189" priority="10345"/>
  </conditionalFormatting>
  <conditionalFormatting sqref="B197:B198">
    <cfRule type="duplicateValues" dxfId="3188" priority="1"/>
    <cfRule type="duplicateValues" dxfId="3187" priority="2"/>
    <cfRule type="duplicateValues" dxfId="3186" priority="3"/>
    <cfRule type="duplicateValues" dxfId="3185" priority="4"/>
    <cfRule type="duplicateValues" dxfId="3184" priority="5"/>
    <cfRule type="duplicateValues" dxfId="3183" priority="6"/>
    <cfRule type="duplicateValues" dxfId="3182" priority="7"/>
    <cfRule type="duplicateValues" dxfId="3181" priority="8"/>
    <cfRule type="duplicateValues" dxfId="3180" priority="9"/>
    <cfRule type="duplicateValues" dxfId="3179" priority="10"/>
    <cfRule type="duplicateValues" dxfId="3178" priority="11"/>
    <cfRule type="duplicateValues" dxfId="3177" priority="12"/>
    <cfRule type="duplicateValues" dxfId="3176" priority="13"/>
    <cfRule type="duplicateValues" dxfId="3175" priority="14"/>
    <cfRule type="duplicateValues" dxfId="3174" priority="15"/>
    <cfRule type="duplicateValues" dxfId="3173" priority="16"/>
    <cfRule type="duplicateValues" dxfId="3172" priority="17"/>
    <cfRule type="duplicateValues" dxfId="3171" priority="18"/>
    <cfRule type="duplicateValues" dxfId="3170" priority="19"/>
    <cfRule type="duplicateValues" dxfId="3169" priority="20"/>
    <cfRule type="duplicateValues" dxfId="3168" priority="21"/>
  </conditionalFormatting>
  <conditionalFormatting sqref="B79:D79 F79">
    <cfRule type="duplicateValues" dxfId="3167" priority="265"/>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61" workbookViewId="0">
      <selection activeCell="K11" sqref="K11:M11"/>
    </sheetView>
  </sheetViews>
  <sheetFormatPr defaultColWidth="9" defaultRowHeight="14.5"/>
  <cols>
    <col min="1" max="6" width="15.1796875" customWidth="1"/>
  </cols>
  <sheetData>
    <row r="1" spans="1:19" ht="15.5">
      <c r="A1" s="1436" t="s">
        <v>78</v>
      </c>
      <c r="B1" s="1437"/>
      <c r="C1" s="1437"/>
      <c r="D1" s="1437"/>
      <c r="E1" s="1437"/>
      <c r="F1" s="1437"/>
      <c r="G1" s="1437"/>
      <c r="H1" s="1437"/>
      <c r="I1" s="1437"/>
      <c r="J1" s="1437"/>
      <c r="K1" s="1437"/>
      <c r="L1" s="1437"/>
      <c r="M1" s="1437"/>
      <c r="N1" s="1437"/>
      <c r="O1" s="1437"/>
      <c r="P1" s="1437"/>
      <c r="Q1" s="1437"/>
      <c r="R1" s="1437"/>
      <c r="S1" s="1438"/>
    </row>
    <row r="2" spans="1:19" ht="15.5">
      <c r="A2" s="1439" t="s">
        <v>79</v>
      </c>
      <c r="B2" s="1440"/>
      <c r="C2" s="1440"/>
      <c r="D2" s="1440"/>
      <c r="E2" s="1440"/>
      <c r="F2" s="1440"/>
      <c r="G2" s="1440"/>
      <c r="H2" s="1440"/>
      <c r="I2" s="1440"/>
      <c r="J2" s="1440"/>
      <c r="K2" s="1440"/>
      <c r="L2" s="1440"/>
      <c r="M2" s="1440"/>
      <c r="N2" s="1440"/>
      <c r="O2" s="1440"/>
      <c r="P2" s="1440"/>
      <c r="Q2" s="1440"/>
      <c r="R2" s="1440"/>
      <c r="S2" s="1441"/>
    </row>
    <row r="3" spans="1:19" ht="15.5">
      <c r="A3" s="1439" t="s">
        <v>80</v>
      </c>
      <c r="B3" s="1440"/>
      <c r="C3" s="1440"/>
      <c r="D3" s="1440"/>
      <c r="E3" s="1440"/>
      <c r="F3" s="1440"/>
      <c r="G3" s="1440"/>
      <c r="H3" s="1440"/>
      <c r="I3" s="1440"/>
      <c r="J3" s="1440"/>
      <c r="K3" s="1440"/>
      <c r="L3" s="1440"/>
      <c r="M3" s="1440"/>
      <c r="N3" s="1440"/>
      <c r="O3" s="1440"/>
      <c r="P3" s="1440"/>
      <c r="Q3" s="1440"/>
      <c r="R3" s="1440"/>
      <c r="S3" s="1441"/>
    </row>
    <row r="4" spans="1:19" ht="18.5">
      <c r="A4" s="1531" t="s">
        <v>106</v>
      </c>
      <c r="B4" s="1532"/>
      <c r="C4" s="1532"/>
      <c r="D4" s="1532"/>
      <c r="E4" s="350"/>
      <c r="F4" s="350"/>
    </row>
    <row r="5" spans="1:19" ht="43.5">
      <c r="A5" s="351" t="s">
        <v>107</v>
      </c>
      <c r="B5" s="351" t="s">
        <v>108</v>
      </c>
      <c r="C5" s="351" t="s">
        <v>109</v>
      </c>
      <c r="D5" s="352" t="s">
        <v>110</v>
      </c>
      <c r="E5" s="352" t="s">
        <v>111</v>
      </c>
      <c r="F5" s="352" t="s">
        <v>34</v>
      </c>
    </row>
    <row r="6" spans="1:19">
      <c r="A6" s="520">
        <v>1</v>
      </c>
      <c r="B6" s="57" t="s">
        <v>112</v>
      </c>
      <c r="C6" s="354" t="s">
        <v>113</v>
      </c>
      <c r="D6" s="355">
        <v>45689</v>
      </c>
      <c r="E6" s="356"/>
      <c r="F6" s="356"/>
    </row>
    <row r="7" spans="1:19">
      <c r="A7" s="520">
        <v>2</v>
      </c>
      <c r="B7" s="57" t="s">
        <v>114</v>
      </c>
      <c r="C7" s="354" t="s">
        <v>115</v>
      </c>
      <c r="D7" s="355">
        <v>45689</v>
      </c>
      <c r="E7" s="356"/>
      <c r="F7" s="356"/>
    </row>
    <row r="8" spans="1:19">
      <c r="A8" s="520">
        <v>3</v>
      </c>
      <c r="B8" s="57" t="s">
        <v>116</v>
      </c>
      <c r="C8" s="354" t="s">
        <v>117</v>
      </c>
      <c r="D8" s="357">
        <v>45688</v>
      </c>
      <c r="E8" s="356"/>
      <c r="F8" s="356"/>
    </row>
    <row r="9" spans="1:19">
      <c r="A9" s="520">
        <v>4</v>
      </c>
      <c r="B9" s="57" t="s">
        <v>118</v>
      </c>
      <c r="C9" s="354" t="s">
        <v>119</v>
      </c>
      <c r="D9" s="357">
        <v>45688</v>
      </c>
      <c r="E9" s="356"/>
      <c r="F9" s="356"/>
    </row>
    <row r="10" spans="1:19">
      <c r="A10" s="520">
        <v>5</v>
      </c>
      <c r="B10" s="57" t="s">
        <v>120</v>
      </c>
      <c r="C10" s="354" t="s">
        <v>119</v>
      </c>
      <c r="D10" s="357">
        <v>45688</v>
      </c>
      <c r="E10" s="356"/>
      <c r="F10" s="356"/>
    </row>
    <row r="11" spans="1:19">
      <c r="A11" s="520">
        <v>6</v>
      </c>
      <c r="B11" s="57" t="s">
        <v>121</v>
      </c>
      <c r="C11" s="354" t="s">
        <v>119</v>
      </c>
      <c r="D11" s="357">
        <v>45688</v>
      </c>
      <c r="E11" s="356"/>
      <c r="F11" s="356"/>
    </row>
    <row r="12" spans="1:19">
      <c r="A12" s="520">
        <v>7</v>
      </c>
      <c r="B12" s="57" t="s">
        <v>122</v>
      </c>
      <c r="C12" s="354" t="s">
        <v>123</v>
      </c>
      <c r="D12" s="357">
        <v>45687</v>
      </c>
      <c r="E12" s="356"/>
      <c r="F12" s="356"/>
    </row>
    <row r="13" spans="1:19">
      <c r="A13" s="520">
        <v>8</v>
      </c>
      <c r="B13" s="57" t="s">
        <v>124</v>
      </c>
      <c r="C13" s="358" t="s">
        <v>125</v>
      </c>
      <c r="D13" s="314">
        <v>45687</v>
      </c>
      <c r="E13" s="356"/>
      <c r="F13" s="356"/>
      <c r="K13">
        <v>90</v>
      </c>
    </row>
    <row r="14" spans="1:19">
      <c r="A14" s="520">
        <v>9</v>
      </c>
      <c r="B14" s="57" t="s">
        <v>126</v>
      </c>
      <c r="C14" s="358" t="s">
        <v>115</v>
      </c>
      <c r="D14" s="314">
        <v>45687</v>
      </c>
      <c r="E14" s="356"/>
      <c r="F14" s="356"/>
    </row>
    <row r="15" spans="1:19">
      <c r="A15" s="520">
        <v>10</v>
      </c>
      <c r="B15" s="57" t="s">
        <v>127</v>
      </c>
      <c r="C15" s="358" t="s">
        <v>128</v>
      </c>
      <c r="D15" s="314">
        <v>45686</v>
      </c>
      <c r="E15" s="356"/>
      <c r="F15" s="356"/>
    </row>
    <row r="16" spans="1:19">
      <c r="A16" s="520">
        <v>11</v>
      </c>
      <c r="B16" s="57" t="s">
        <v>129</v>
      </c>
      <c r="C16" s="358" t="s">
        <v>115</v>
      </c>
      <c r="D16" s="314">
        <v>45686</v>
      </c>
      <c r="E16" s="356"/>
      <c r="F16" s="356"/>
    </row>
    <row r="17" spans="1:6">
      <c r="A17" s="520">
        <v>12</v>
      </c>
      <c r="B17" s="57" t="s">
        <v>130</v>
      </c>
      <c r="C17" s="358" t="s">
        <v>119</v>
      </c>
      <c r="D17" s="314">
        <v>45686</v>
      </c>
      <c r="E17" s="356"/>
      <c r="F17" s="356"/>
    </row>
    <row r="18" spans="1:6">
      <c r="A18" s="520">
        <v>13</v>
      </c>
      <c r="B18" s="57" t="s">
        <v>131</v>
      </c>
      <c r="C18" s="358" t="s">
        <v>132</v>
      </c>
      <c r="D18" s="314">
        <v>45686</v>
      </c>
      <c r="E18" s="356"/>
      <c r="F18" s="356"/>
    </row>
    <row r="19" spans="1:6">
      <c r="A19" s="520">
        <v>14</v>
      </c>
      <c r="B19" s="57" t="s">
        <v>133</v>
      </c>
      <c r="C19" s="358" t="s">
        <v>123</v>
      </c>
      <c r="D19" s="314">
        <v>45685</v>
      </c>
      <c r="E19" s="356"/>
      <c r="F19" s="356"/>
    </row>
    <row r="20" spans="1:6">
      <c r="A20" s="520">
        <v>15</v>
      </c>
      <c r="B20" s="57" t="s">
        <v>134</v>
      </c>
      <c r="C20" s="358" t="s">
        <v>117</v>
      </c>
      <c r="D20" s="314">
        <v>45685</v>
      </c>
      <c r="E20" s="356"/>
      <c r="F20" s="356"/>
    </row>
    <row r="21" spans="1:6">
      <c r="A21" s="520">
        <v>16</v>
      </c>
      <c r="B21" s="57" t="s">
        <v>135</v>
      </c>
      <c r="C21" s="358" t="s">
        <v>113</v>
      </c>
      <c r="D21" s="314">
        <v>45685</v>
      </c>
      <c r="E21" s="356"/>
      <c r="F21" s="356"/>
    </row>
    <row r="22" spans="1:6">
      <c r="A22" s="520">
        <v>17</v>
      </c>
      <c r="B22" s="57" t="s">
        <v>136</v>
      </c>
      <c r="C22" s="358" t="s">
        <v>137</v>
      </c>
      <c r="D22" s="314">
        <v>45684</v>
      </c>
      <c r="E22" s="356"/>
      <c r="F22" s="356"/>
    </row>
    <row r="23" spans="1:6">
      <c r="A23" s="520">
        <v>18</v>
      </c>
      <c r="B23" s="57" t="s">
        <v>138</v>
      </c>
      <c r="C23" s="358" t="s">
        <v>137</v>
      </c>
      <c r="D23" s="314">
        <v>45684</v>
      </c>
      <c r="E23" s="356"/>
      <c r="F23" s="356"/>
    </row>
    <row r="24" spans="1:6">
      <c r="A24" s="520">
        <v>19</v>
      </c>
      <c r="B24" s="57" t="s">
        <v>139</v>
      </c>
      <c r="C24" s="358" t="s">
        <v>123</v>
      </c>
      <c r="D24" s="314">
        <v>45684</v>
      </c>
      <c r="E24" s="356"/>
      <c r="F24" s="356"/>
    </row>
    <row r="25" spans="1:6">
      <c r="A25" s="520">
        <v>20</v>
      </c>
      <c r="B25" s="57" t="s">
        <v>140</v>
      </c>
      <c r="C25" s="358" t="s">
        <v>123</v>
      </c>
      <c r="D25" s="314">
        <v>45683</v>
      </c>
      <c r="E25" s="356"/>
      <c r="F25" s="356"/>
    </row>
    <row r="26" spans="1:6">
      <c r="A26" s="520">
        <v>21</v>
      </c>
      <c r="B26" s="57" t="s">
        <v>141</v>
      </c>
      <c r="C26" s="358" t="s">
        <v>119</v>
      </c>
      <c r="D26" s="314">
        <v>45683</v>
      </c>
      <c r="E26" s="356"/>
      <c r="F26" s="356"/>
    </row>
    <row r="27" spans="1:6">
      <c r="A27" s="520">
        <v>22</v>
      </c>
      <c r="B27" s="57" t="s">
        <v>142</v>
      </c>
      <c r="C27" s="358" t="s">
        <v>143</v>
      </c>
      <c r="D27" s="314">
        <v>45683</v>
      </c>
      <c r="E27" s="356"/>
      <c r="F27" s="356"/>
    </row>
    <row r="28" spans="1:6">
      <c r="A28" s="520">
        <v>23</v>
      </c>
      <c r="B28" s="57" t="s">
        <v>144</v>
      </c>
      <c r="C28" s="358" t="s">
        <v>128</v>
      </c>
      <c r="D28" s="314">
        <v>45682</v>
      </c>
      <c r="E28" s="57"/>
      <c r="F28" s="57"/>
    </row>
    <row r="29" spans="1:6">
      <c r="A29" s="520">
        <v>24</v>
      </c>
      <c r="B29" s="57" t="s">
        <v>145</v>
      </c>
      <c r="C29" s="358" t="s">
        <v>132</v>
      </c>
      <c r="D29" s="314">
        <v>45682</v>
      </c>
      <c r="E29" s="57"/>
      <c r="F29" s="57"/>
    </row>
    <row r="30" spans="1:6">
      <c r="A30" s="520">
        <v>25</v>
      </c>
      <c r="B30" s="57" t="s">
        <v>146</v>
      </c>
      <c r="C30" s="358" t="s">
        <v>147</v>
      </c>
      <c r="D30" s="314">
        <v>45682</v>
      </c>
      <c r="E30" s="57"/>
      <c r="F30" s="57"/>
    </row>
    <row r="31" spans="1:6">
      <c r="A31" s="520">
        <v>26</v>
      </c>
      <c r="B31" s="57" t="s">
        <v>148</v>
      </c>
      <c r="C31" s="358" t="s">
        <v>147</v>
      </c>
      <c r="D31" s="314">
        <v>45681</v>
      </c>
      <c r="E31" s="57"/>
      <c r="F31" s="57"/>
    </row>
    <row r="32" spans="1:6">
      <c r="A32" s="520">
        <v>27</v>
      </c>
      <c r="B32" s="57" t="s">
        <v>149</v>
      </c>
      <c r="C32" s="358" t="s">
        <v>117</v>
      </c>
      <c r="D32" s="314">
        <v>45681</v>
      </c>
      <c r="E32" s="57"/>
      <c r="F32" s="57"/>
    </row>
    <row r="33" spans="1:6">
      <c r="A33" s="520">
        <v>28</v>
      </c>
      <c r="B33" s="57" t="s">
        <v>150</v>
      </c>
      <c r="C33" s="359" t="s">
        <v>132</v>
      </c>
      <c r="D33" s="314">
        <v>45673</v>
      </c>
      <c r="E33" s="57"/>
      <c r="F33" s="57"/>
    </row>
    <row r="34" spans="1:6">
      <c r="A34" s="520">
        <v>29</v>
      </c>
      <c r="B34" s="57" t="s">
        <v>151</v>
      </c>
      <c r="C34" s="359" t="s">
        <v>147</v>
      </c>
      <c r="D34" s="314">
        <v>45673</v>
      </c>
      <c r="E34" s="57"/>
      <c r="F34" s="57"/>
    </row>
    <row r="35" spans="1:6">
      <c r="A35" s="520">
        <v>30</v>
      </c>
      <c r="B35" s="57" t="s">
        <v>152</v>
      </c>
      <c r="C35" s="359" t="s">
        <v>119</v>
      </c>
      <c r="D35" s="314">
        <v>45673</v>
      </c>
      <c r="E35" s="57"/>
      <c r="F35" s="57"/>
    </row>
    <row r="36" spans="1:6">
      <c r="A36" s="520">
        <v>31</v>
      </c>
      <c r="B36" s="57" t="s">
        <v>153</v>
      </c>
      <c r="C36" s="359" t="s">
        <v>132</v>
      </c>
      <c r="D36" s="314">
        <v>45672</v>
      </c>
      <c r="E36" s="57"/>
      <c r="F36" s="57"/>
    </row>
    <row r="37" spans="1:6">
      <c r="A37" s="520">
        <v>32</v>
      </c>
      <c r="B37" s="57" t="s">
        <v>154</v>
      </c>
      <c r="C37" s="359" t="s">
        <v>143</v>
      </c>
      <c r="D37" s="314">
        <v>45672</v>
      </c>
      <c r="E37" s="57"/>
      <c r="F37" s="57"/>
    </row>
    <row r="38" spans="1:6">
      <c r="A38" s="520">
        <v>33</v>
      </c>
      <c r="B38" s="57" t="s">
        <v>155</v>
      </c>
      <c r="C38" s="359" t="s">
        <v>132</v>
      </c>
      <c r="D38" s="314">
        <v>45672</v>
      </c>
      <c r="E38" s="57"/>
      <c r="F38" s="57"/>
    </row>
    <row r="39" spans="1:6">
      <c r="A39" s="520">
        <v>34</v>
      </c>
      <c r="B39" s="57" t="s">
        <v>156</v>
      </c>
      <c r="C39" s="359" t="s">
        <v>119</v>
      </c>
      <c r="D39" s="314">
        <v>45671</v>
      </c>
      <c r="E39" s="57"/>
      <c r="F39" s="57"/>
    </row>
    <row r="40" spans="1:6">
      <c r="A40" s="520">
        <v>35</v>
      </c>
      <c r="B40" s="57" t="s">
        <v>157</v>
      </c>
      <c r="C40" s="359" t="s">
        <v>132</v>
      </c>
      <c r="D40" s="314">
        <v>45671</v>
      </c>
      <c r="E40" s="57"/>
      <c r="F40" s="57"/>
    </row>
    <row r="41" spans="1:6">
      <c r="A41" s="520">
        <v>36</v>
      </c>
      <c r="B41" s="57" t="s">
        <v>158</v>
      </c>
      <c r="C41" s="359" t="s">
        <v>115</v>
      </c>
      <c r="D41" s="314">
        <v>45664</v>
      </c>
      <c r="E41" s="57"/>
      <c r="F41" s="57"/>
    </row>
    <row r="42" spans="1:6">
      <c r="A42" s="520">
        <v>37</v>
      </c>
      <c r="B42" s="57" t="s">
        <v>159</v>
      </c>
      <c r="C42" s="359" t="s">
        <v>115</v>
      </c>
      <c r="D42" s="314">
        <v>45664</v>
      </c>
      <c r="E42" s="57"/>
      <c r="F42" s="57"/>
    </row>
    <row r="43" spans="1:6">
      <c r="A43" s="520">
        <v>38</v>
      </c>
      <c r="B43" s="57" t="s">
        <v>160</v>
      </c>
      <c r="C43" s="359" t="s">
        <v>132</v>
      </c>
      <c r="D43" s="314">
        <v>45665</v>
      </c>
      <c r="E43" s="57"/>
      <c r="F43" s="57"/>
    </row>
    <row r="44" spans="1:6">
      <c r="A44" s="520">
        <v>39</v>
      </c>
      <c r="B44" s="57" t="s">
        <v>161</v>
      </c>
      <c r="C44" s="359" t="s">
        <v>119</v>
      </c>
      <c r="D44" s="314">
        <v>45666</v>
      </c>
      <c r="E44" s="57"/>
      <c r="F44" s="57"/>
    </row>
    <row r="45" spans="1:6">
      <c r="A45" s="520">
        <v>40</v>
      </c>
      <c r="B45" s="57" t="s">
        <v>162</v>
      </c>
      <c r="C45" s="359" t="s">
        <v>115</v>
      </c>
      <c r="D45" s="314">
        <v>45666</v>
      </c>
      <c r="E45" s="57"/>
      <c r="F45" s="57"/>
    </row>
    <row r="46" spans="1:6">
      <c r="A46" s="520">
        <v>41</v>
      </c>
      <c r="B46" s="57" t="s">
        <v>163</v>
      </c>
      <c r="C46" s="359" t="s">
        <v>125</v>
      </c>
      <c r="D46" s="314">
        <v>45666</v>
      </c>
      <c r="E46" s="57"/>
      <c r="F46" s="57"/>
    </row>
    <row r="47" spans="1:6">
      <c r="A47" s="520">
        <v>42</v>
      </c>
      <c r="B47" s="57" t="s">
        <v>164</v>
      </c>
      <c r="C47" s="359" t="s">
        <v>115</v>
      </c>
      <c r="D47" s="314">
        <v>45667</v>
      </c>
      <c r="E47" s="57"/>
      <c r="F47" s="57"/>
    </row>
    <row r="48" spans="1:6">
      <c r="A48" s="520">
        <v>43</v>
      </c>
      <c r="B48" s="57" t="s">
        <v>165</v>
      </c>
      <c r="C48" s="359" t="s">
        <v>115</v>
      </c>
      <c r="D48" s="314">
        <v>45667</v>
      </c>
      <c r="E48" s="57"/>
      <c r="F48" s="57"/>
    </row>
    <row r="49" spans="1:6">
      <c r="A49" s="520">
        <v>44</v>
      </c>
      <c r="B49" s="57" t="s">
        <v>166</v>
      </c>
      <c r="C49" s="359" t="s">
        <v>167</v>
      </c>
      <c r="D49" s="314">
        <v>45668</v>
      </c>
      <c r="E49" s="57"/>
      <c r="F49" s="57"/>
    </row>
    <row r="50" spans="1:6">
      <c r="A50" s="520">
        <v>45</v>
      </c>
      <c r="B50" s="57" t="s">
        <v>168</v>
      </c>
      <c r="C50" s="359" t="s">
        <v>167</v>
      </c>
      <c r="D50" s="314">
        <v>45668</v>
      </c>
      <c r="E50" s="57"/>
      <c r="F50" s="57"/>
    </row>
    <row r="51" spans="1:6">
      <c r="A51" s="520">
        <v>46</v>
      </c>
      <c r="B51" s="383" t="s">
        <v>169</v>
      </c>
      <c r="C51" s="359" t="s">
        <v>170</v>
      </c>
      <c r="D51" s="314">
        <v>45668</v>
      </c>
      <c r="E51" s="57"/>
      <c r="F51" s="57"/>
    </row>
    <row r="52" spans="1:6">
      <c r="A52" s="520">
        <v>47</v>
      </c>
      <c r="B52" s="383" t="s">
        <v>171</v>
      </c>
      <c r="C52" s="359" t="s">
        <v>119</v>
      </c>
      <c r="D52" s="314">
        <v>45669</v>
      </c>
      <c r="E52" s="57"/>
      <c r="F52" s="57"/>
    </row>
    <row r="53" spans="1:6">
      <c r="A53" s="520">
        <v>48</v>
      </c>
      <c r="B53" s="383" t="s">
        <v>172</v>
      </c>
      <c r="C53" s="359" t="s">
        <v>115</v>
      </c>
      <c r="D53" s="314">
        <v>45669</v>
      </c>
      <c r="E53" s="57"/>
      <c r="F53" s="57"/>
    </row>
    <row r="54" spans="1:6">
      <c r="A54" s="520">
        <v>49</v>
      </c>
      <c r="B54" s="383" t="s">
        <v>173</v>
      </c>
      <c r="C54" s="359" t="s">
        <v>143</v>
      </c>
      <c r="D54" s="314">
        <v>45669</v>
      </c>
      <c r="E54" s="57"/>
      <c r="F54" s="57"/>
    </row>
    <row r="55" spans="1:6">
      <c r="A55" s="520">
        <v>50</v>
      </c>
      <c r="B55" s="383" t="s">
        <v>174</v>
      </c>
      <c r="C55" s="359" t="s">
        <v>147</v>
      </c>
      <c r="D55" s="314">
        <v>45670</v>
      </c>
      <c r="E55" s="57"/>
      <c r="F55" s="57"/>
    </row>
    <row r="56" spans="1:6">
      <c r="A56" s="520">
        <v>51</v>
      </c>
      <c r="B56" s="383" t="s">
        <v>175</v>
      </c>
      <c r="C56" s="359" t="s">
        <v>115</v>
      </c>
      <c r="D56" s="314">
        <v>45670</v>
      </c>
      <c r="E56" s="57"/>
      <c r="F56" s="57"/>
    </row>
    <row r="57" spans="1:6">
      <c r="A57" s="520">
        <v>52</v>
      </c>
      <c r="B57" s="383" t="s">
        <v>176</v>
      </c>
      <c r="C57" s="359" t="s">
        <v>125</v>
      </c>
      <c r="D57" s="314">
        <v>45670</v>
      </c>
      <c r="E57" s="57"/>
      <c r="F57" s="57"/>
    </row>
    <row r="58" spans="1:6">
      <c r="A58" s="520">
        <v>53</v>
      </c>
      <c r="B58" s="383" t="s">
        <v>177</v>
      </c>
      <c r="C58" s="359" t="s">
        <v>137</v>
      </c>
      <c r="D58" s="314">
        <v>45674</v>
      </c>
      <c r="E58" s="57"/>
      <c r="F58" s="57"/>
    </row>
    <row r="59" spans="1:6">
      <c r="A59" s="520">
        <v>54</v>
      </c>
      <c r="B59" s="383" t="s">
        <v>178</v>
      </c>
      <c r="C59" s="359" t="s">
        <v>115</v>
      </c>
      <c r="D59" s="314">
        <v>45674</v>
      </c>
      <c r="E59" s="57"/>
      <c r="F59" s="57"/>
    </row>
    <row r="60" spans="1:6">
      <c r="A60" s="520">
        <v>55</v>
      </c>
      <c r="B60" s="383" t="s">
        <v>179</v>
      </c>
      <c r="C60" s="359" t="s">
        <v>125</v>
      </c>
      <c r="D60" s="314">
        <v>45675</v>
      </c>
      <c r="E60" s="57"/>
      <c r="F60" s="57"/>
    </row>
    <row r="61" spans="1:6">
      <c r="A61" s="520">
        <v>56</v>
      </c>
      <c r="B61" s="383" t="s">
        <v>180</v>
      </c>
      <c r="C61" s="359" t="s">
        <v>115</v>
      </c>
      <c r="D61" s="314">
        <v>45675</v>
      </c>
      <c r="E61" s="57"/>
      <c r="F61" s="57" t="s">
        <v>64</v>
      </c>
    </row>
    <row r="62" spans="1:6">
      <c r="A62" s="520">
        <v>57</v>
      </c>
      <c r="B62" s="383" t="s">
        <v>181</v>
      </c>
      <c r="C62" s="359" t="s">
        <v>182</v>
      </c>
      <c r="D62" s="314">
        <v>45675</v>
      </c>
      <c r="E62" s="57"/>
      <c r="F62" s="57" t="s">
        <v>64</v>
      </c>
    </row>
    <row r="63" spans="1:6">
      <c r="A63" s="520">
        <v>58</v>
      </c>
      <c r="B63" s="383" t="s">
        <v>183</v>
      </c>
      <c r="C63" s="359" t="s">
        <v>182</v>
      </c>
      <c r="D63" s="314">
        <v>45675</v>
      </c>
      <c r="E63" s="57"/>
      <c r="F63" s="57"/>
    </row>
    <row r="64" spans="1:6">
      <c r="A64" s="520">
        <v>59</v>
      </c>
      <c r="B64" s="383" t="s">
        <v>184</v>
      </c>
      <c r="C64" s="359" t="s">
        <v>185</v>
      </c>
      <c r="D64" s="314">
        <v>45676</v>
      </c>
      <c r="E64" s="57"/>
      <c r="F64" s="57"/>
    </row>
    <row r="65" spans="1:6">
      <c r="A65" s="520">
        <v>60</v>
      </c>
      <c r="B65" s="383" t="s">
        <v>186</v>
      </c>
      <c r="C65" s="359" t="s">
        <v>119</v>
      </c>
      <c r="D65" s="314">
        <v>45676</v>
      </c>
      <c r="E65" s="57"/>
      <c r="F65" s="57"/>
    </row>
    <row r="66" spans="1:6">
      <c r="A66" s="520">
        <v>61</v>
      </c>
      <c r="B66" s="383" t="s">
        <v>187</v>
      </c>
      <c r="C66" s="359" t="s">
        <v>188</v>
      </c>
      <c r="D66" s="314">
        <v>45677</v>
      </c>
      <c r="E66" s="57"/>
      <c r="F66" s="57"/>
    </row>
    <row r="67" spans="1:6">
      <c r="A67" s="520">
        <v>62</v>
      </c>
      <c r="B67" s="383" t="s">
        <v>189</v>
      </c>
      <c r="C67" s="359" t="s">
        <v>188</v>
      </c>
      <c r="D67" s="314">
        <v>45677</v>
      </c>
      <c r="E67" s="57"/>
      <c r="F67" s="57"/>
    </row>
    <row r="68" spans="1:6">
      <c r="A68" s="520">
        <v>63</v>
      </c>
      <c r="B68" s="383" t="s">
        <v>190</v>
      </c>
      <c r="C68" s="359" t="s">
        <v>115</v>
      </c>
      <c r="D68" s="314">
        <v>45677</v>
      </c>
      <c r="E68" s="57"/>
      <c r="F68" s="57"/>
    </row>
    <row r="69" spans="1:6">
      <c r="A69" s="520">
        <v>64</v>
      </c>
      <c r="B69" s="383" t="s">
        <v>191</v>
      </c>
      <c r="C69" s="359" t="s">
        <v>192</v>
      </c>
      <c r="D69" s="314">
        <v>45678</v>
      </c>
      <c r="E69" s="57"/>
      <c r="F69" s="57"/>
    </row>
    <row r="70" spans="1:6">
      <c r="A70" s="520">
        <v>65</v>
      </c>
      <c r="B70" s="383" t="s">
        <v>193</v>
      </c>
      <c r="C70" s="359" t="s">
        <v>192</v>
      </c>
      <c r="D70" s="314">
        <v>45678</v>
      </c>
      <c r="E70" s="57"/>
      <c r="F70" s="57"/>
    </row>
    <row r="71" spans="1:6">
      <c r="A71" s="520">
        <v>66</v>
      </c>
      <c r="B71" s="383" t="s">
        <v>194</v>
      </c>
      <c r="C71" s="359" t="s">
        <v>115</v>
      </c>
      <c r="D71" s="314">
        <v>45679</v>
      </c>
      <c r="E71" s="57"/>
      <c r="F71" s="57"/>
    </row>
    <row r="72" spans="1:6">
      <c r="A72" s="520">
        <v>67</v>
      </c>
      <c r="B72" s="383" t="s">
        <v>195</v>
      </c>
      <c r="C72" s="359" t="s">
        <v>119</v>
      </c>
      <c r="D72" s="314">
        <v>45678</v>
      </c>
      <c r="E72" s="57"/>
      <c r="F72" s="57"/>
    </row>
    <row r="73" spans="1:6">
      <c r="A73" s="520">
        <v>68</v>
      </c>
      <c r="B73" s="383" t="s">
        <v>196</v>
      </c>
      <c r="C73" s="359" t="s">
        <v>147</v>
      </c>
      <c r="D73" s="314">
        <v>45679</v>
      </c>
      <c r="E73" s="57"/>
      <c r="F73" s="57"/>
    </row>
    <row r="74" spans="1:6">
      <c r="A74" s="520">
        <v>69</v>
      </c>
      <c r="B74" s="383" t="s">
        <v>197</v>
      </c>
      <c r="C74" s="359" t="s">
        <v>147</v>
      </c>
      <c r="D74" s="314">
        <v>45679</v>
      </c>
      <c r="E74" s="57"/>
      <c r="F74" s="57"/>
    </row>
    <row r="75" spans="1:6">
      <c r="A75" s="520">
        <v>70</v>
      </c>
      <c r="B75" s="383" t="s">
        <v>198</v>
      </c>
      <c r="C75" s="359" t="s">
        <v>117</v>
      </c>
      <c r="D75" s="314">
        <v>45679</v>
      </c>
      <c r="E75" s="57"/>
      <c r="F75" s="57"/>
    </row>
    <row r="76" spans="1:6">
      <c r="A76" s="520">
        <v>71</v>
      </c>
      <c r="B76" s="383" t="s">
        <v>199</v>
      </c>
      <c r="C76" s="359" t="s">
        <v>117</v>
      </c>
      <c r="D76" s="314">
        <v>45680</v>
      </c>
      <c r="E76" s="57"/>
      <c r="F76" s="57"/>
    </row>
    <row r="77" spans="1:6">
      <c r="A77" s="520">
        <v>72</v>
      </c>
      <c r="B77" s="383" t="s">
        <v>200</v>
      </c>
      <c r="C77" s="359" t="s">
        <v>201</v>
      </c>
      <c r="D77" s="314">
        <v>45680</v>
      </c>
      <c r="E77" s="57"/>
      <c r="F77" s="57"/>
    </row>
    <row r="78" spans="1:6">
      <c r="A78" s="520">
        <v>73</v>
      </c>
      <c r="B78" s="525" t="s">
        <v>1289</v>
      </c>
      <c r="C78" s="358" t="s">
        <v>113</v>
      </c>
      <c r="D78" s="314">
        <v>45744</v>
      </c>
      <c r="E78" s="57"/>
      <c r="F78" s="57"/>
    </row>
    <row r="79" spans="1:6">
      <c r="A79" s="1533" t="s">
        <v>202</v>
      </c>
      <c r="B79" s="1533"/>
      <c r="C79" s="1533"/>
      <c r="D79" s="360">
        <v>73</v>
      </c>
      <c r="E79" s="360"/>
      <c r="F79" s="360"/>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55" customWidth="1"/>
    <col min="2" max="2" width="17.6328125" style="455" customWidth="1"/>
    <col min="3" max="3" width="11.1796875" style="455" customWidth="1"/>
    <col min="4" max="4" width="17.6328125" style="455" customWidth="1"/>
    <col min="5" max="5" width="13" style="455" customWidth="1"/>
    <col min="6" max="6" width="17.6328125" style="455" customWidth="1"/>
    <col min="7" max="7" width="11.1796875" style="455" customWidth="1"/>
    <col min="8" max="8" width="17.6328125" style="455" customWidth="1"/>
    <col min="9" max="9" width="15.81640625" style="455" customWidth="1"/>
    <col min="10" max="10" width="17.6328125" style="455" customWidth="1"/>
    <col min="11" max="11" width="11.1796875" style="455" customWidth="1"/>
    <col min="12" max="12" width="17.6328125" style="455" customWidth="1"/>
    <col min="13" max="13" width="11.1796875" style="455" customWidth="1"/>
    <col min="14" max="14" width="17.6328125" style="455" customWidth="1"/>
    <col min="15" max="15" width="11.1796875" style="455" customWidth="1"/>
    <col min="16" max="16" width="17.6328125" style="455" customWidth="1"/>
    <col min="17" max="17" width="16.90625" style="455" customWidth="1"/>
    <col min="18" max="18" width="17.6328125" style="455" customWidth="1"/>
    <col min="19" max="19" width="14.1796875" style="455" customWidth="1"/>
    <col min="20" max="20" width="17.6328125" style="455" customWidth="1"/>
    <col min="21" max="21" width="19.36328125" style="455" customWidth="1"/>
    <col min="22" max="22" width="23.08984375" style="455" customWidth="1"/>
    <col min="23" max="23" width="19.08984375" style="455" customWidth="1"/>
    <col min="24" max="24" width="17.6328125" style="455" customWidth="1"/>
    <col min="25" max="25" width="13" style="455" customWidth="1"/>
    <col min="26" max="26" width="17.6328125" style="455" customWidth="1"/>
    <col min="27" max="27" width="11.1796875" style="455" customWidth="1"/>
    <col min="28" max="28" width="17.6328125" style="455" customWidth="1"/>
    <col min="29" max="29" width="13.453125" style="455" customWidth="1"/>
    <col min="30" max="30" width="14.81640625" style="455" customWidth="1"/>
    <col min="31" max="31" width="14.36328125" style="455" customWidth="1"/>
    <col min="32" max="32" width="15.453125" style="455" customWidth="1"/>
    <col min="33" max="33" width="8.453125" style="455" customWidth="1"/>
    <col min="34" max="38" width="11" style="455" hidden="1" customWidth="1"/>
    <col min="39" max="39" width="28.81640625" style="455" customWidth="1"/>
    <col min="40" max="40" width="12.1796875" style="455" bestFit="1" customWidth="1"/>
    <col min="41" max="41" width="32" style="455" bestFit="1" customWidth="1"/>
    <col min="42" max="16384" width="8.81640625" style="455"/>
  </cols>
  <sheetData>
    <row r="1" spans="1:41" ht="46" customHeight="1" thickBot="1">
      <c r="A1" s="1611" t="s">
        <v>1504</v>
      </c>
      <c r="B1" s="1612"/>
      <c r="C1" s="1612"/>
      <c r="D1" s="1612"/>
      <c r="E1" s="1612"/>
      <c r="F1" s="1612"/>
      <c r="G1" s="1612"/>
      <c r="H1" s="1612"/>
      <c r="I1" s="1612"/>
      <c r="J1" s="1612"/>
      <c r="K1" s="1612"/>
      <c r="L1" s="1612"/>
      <c r="M1" s="1612"/>
      <c r="N1" s="1612"/>
      <c r="O1" s="1612"/>
      <c r="P1" s="1612"/>
      <c r="Q1" s="1612"/>
      <c r="R1" s="1612"/>
      <c r="S1" s="1612"/>
      <c r="T1" s="1612"/>
      <c r="U1" s="1612"/>
      <c r="V1" s="1612"/>
      <c r="W1" s="1612"/>
      <c r="X1" s="1612"/>
      <c r="Y1" s="1612"/>
      <c r="Z1" s="1613"/>
      <c r="AA1" s="1613"/>
      <c r="AB1" s="1613"/>
      <c r="AC1" s="1613"/>
      <c r="AD1" s="1613"/>
      <c r="AE1" s="453"/>
      <c r="AF1" s="453"/>
      <c r="AG1" s="453"/>
    </row>
    <row r="2" spans="1:41" ht="48.5" customHeight="1" thickBot="1">
      <c r="A2" s="1614" t="s">
        <v>1163</v>
      </c>
      <c r="B2" s="1615"/>
      <c r="C2" s="1615"/>
      <c r="D2" s="1615"/>
      <c r="E2" s="1615"/>
      <c r="F2" s="1615"/>
      <c r="G2" s="1615"/>
      <c r="H2" s="1615"/>
      <c r="I2" s="1615"/>
      <c r="J2" s="1615"/>
      <c r="K2" s="1615"/>
      <c r="L2" s="1615"/>
      <c r="M2" s="1615"/>
      <c r="N2" s="1615"/>
      <c r="O2" s="1615"/>
      <c r="P2" s="1615"/>
      <c r="Q2" s="1615"/>
      <c r="R2" s="1615"/>
      <c r="S2" s="1615"/>
      <c r="T2" s="1615"/>
      <c r="U2" s="1615"/>
      <c r="V2" s="1615"/>
      <c r="W2" s="1615"/>
      <c r="X2" s="1615"/>
      <c r="Y2" s="1615"/>
      <c r="Z2" s="1616" t="s">
        <v>1505</v>
      </c>
      <c r="AA2" s="1616"/>
      <c r="AB2" s="1616">
        <f ca="1">NOW()-1</f>
        <v>45969.45282233796</v>
      </c>
      <c r="AC2" s="1616"/>
      <c r="AD2" s="1616"/>
    </row>
    <row r="3" spans="1:41" ht="14.5">
      <c r="A3" s="1617" t="s">
        <v>1164</v>
      </c>
      <c r="B3" s="1618"/>
      <c r="C3" s="1618"/>
      <c r="D3" s="1618"/>
      <c r="E3" s="1618"/>
      <c r="F3" s="1618"/>
      <c r="G3" s="1618"/>
      <c r="H3" s="1618"/>
      <c r="I3" s="1618"/>
      <c r="J3" s="1618"/>
      <c r="K3" s="1618"/>
      <c r="L3" s="1618"/>
      <c r="M3" s="1618"/>
      <c r="N3" s="1618"/>
      <c r="O3" s="1618"/>
      <c r="P3" s="1619"/>
      <c r="Q3" s="649"/>
      <c r="R3" s="649"/>
      <c r="S3" s="1622"/>
      <c r="T3" s="1622"/>
      <c r="U3" s="1622"/>
      <c r="V3" s="650"/>
      <c r="W3" s="1623"/>
      <c r="X3" s="1623"/>
      <c r="Y3" s="1623"/>
      <c r="Z3" s="1624"/>
      <c r="AA3" s="650"/>
      <c r="AB3" s="650"/>
      <c r="AC3" s="651"/>
      <c r="AD3" s="651"/>
    </row>
    <row r="4" spans="1:41" ht="24.5">
      <c r="A4" s="1620"/>
      <c r="B4" s="1595"/>
      <c r="C4" s="1595"/>
      <c r="D4" s="1595"/>
      <c r="E4" s="1595"/>
      <c r="F4" s="1595"/>
      <c r="G4" s="1595"/>
      <c r="H4" s="1595"/>
      <c r="I4" s="1595"/>
      <c r="J4" s="1595"/>
      <c r="K4" s="1595"/>
      <c r="L4" s="1595"/>
      <c r="M4" s="1595"/>
      <c r="N4" s="1595"/>
      <c r="O4" s="1595"/>
      <c r="P4" s="1621"/>
      <c r="Q4" s="649"/>
      <c r="R4" s="649"/>
      <c r="S4" s="1625" t="s">
        <v>1165</v>
      </c>
      <c r="T4" s="1625"/>
      <c r="U4" s="1625"/>
      <c r="V4" s="652"/>
      <c r="W4" s="1626" t="s">
        <v>1166</v>
      </c>
      <c r="X4" s="1626"/>
      <c r="Y4" s="1626"/>
      <c r="Z4" s="1626"/>
      <c r="AA4" s="652"/>
      <c r="AB4" s="652"/>
      <c r="AC4" s="652"/>
      <c r="AD4" s="652"/>
    </row>
    <row r="5" spans="1:41" ht="30.5">
      <c r="A5" s="1590" t="s">
        <v>1012</v>
      </c>
      <c r="B5" s="1591"/>
      <c r="C5" s="1591" t="s">
        <v>27</v>
      </c>
      <c r="D5" s="1591"/>
      <c r="E5" s="1591"/>
      <c r="F5" s="1591" t="s">
        <v>1167</v>
      </c>
      <c r="G5" s="1591"/>
      <c r="H5" s="1591" t="s">
        <v>1168</v>
      </c>
      <c r="I5" s="1591"/>
      <c r="J5" s="1591"/>
      <c r="K5" s="1591" t="s">
        <v>1506</v>
      </c>
      <c r="L5" s="1591"/>
      <c r="M5" s="1591"/>
      <c r="N5" s="1591" t="s">
        <v>857</v>
      </c>
      <c r="O5" s="1591"/>
      <c r="P5" s="1610"/>
      <c r="Q5" s="649"/>
      <c r="R5" s="649"/>
      <c r="S5" s="654"/>
      <c r="T5" s="652"/>
      <c r="U5" s="652"/>
      <c r="V5" s="652"/>
      <c r="W5" s="652"/>
      <c r="X5" s="652"/>
      <c r="Y5" s="652"/>
      <c r="Z5" s="652"/>
      <c r="AA5" s="1609" t="s">
        <v>64</v>
      </c>
      <c r="AB5" s="1609"/>
      <c r="AC5" s="1609"/>
      <c r="AD5" s="655"/>
    </row>
    <row r="6" spans="1:41" ht="17">
      <c r="A6" s="1590"/>
      <c r="B6" s="1591"/>
      <c r="C6" s="1591"/>
      <c r="D6" s="1591"/>
      <c r="E6" s="1591"/>
      <c r="F6" s="1591"/>
      <c r="G6" s="1591"/>
      <c r="H6" s="1591"/>
      <c r="I6" s="1591"/>
      <c r="J6" s="1591"/>
      <c r="K6" s="1591"/>
      <c r="L6" s="1591"/>
      <c r="M6" s="1591"/>
      <c r="N6" s="1591"/>
      <c r="O6" s="1591"/>
      <c r="P6" s="1610"/>
      <c r="Q6" s="649"/>
      <c r="R6" s="649"/>
      <c r="S6" s="654"/>
      <c r="T6" s="652"/>
      <c r="U6" s="652"/>
      <c r="V6" s="652"/>
      <c r="W6" s="652"/>
      <c r="X6" s="652"/>
      <c r="Y6" s="652"/>
      <c r="Z6" s="652"/>
      <c r="AA6" s="656"/>
      <c r="AB6" s="656"/>
      <c r="AC6" s="656"/>
      <c r="AD6" s="656"/>
    </row>
    <row r="7" spans="1:41" ht="40" customHeight="1">
      <c r="A7" s="1590">
        <v>1</v>
      </c>
      <c r="B7" s="1591"/>
      <c r="C7" s="1595" t="s">
        <v>1170</v>
      </c>
      <c r="D7" s="1595"/>
      <c r="E7" s="1595"/>
      <c r="F7" s="1591" t="s">
        <v>1065</v>
      </c>
      <c r="G7" s="1591"/>
      <c r="H7" s="1593">
        <v>188.44399999999999</v>
      </c>
      <c r="I7" s="1593"/>
      <c r="J7" s="1593"/>
      <c r="K7" s="1606">
        <v>188.44399999999999</v>
      </c>
      <c r="L7" s="1607"/>
      <c r="M7" s="1608"/>
      <c r="N7" s="1593">
        <f>H7-K7</f>
        <v>0</v>
      </c>
      <c r="O7" s="1593"/>
      <c r="P7" s="1594"/>
      <c r="Q7" s="649"/>
      <c r="R7" s="649"/>
      <c r="S7" s="654"/>
      <c r="T7" s="652"/>
      <c r="U7" s="652"/>
      <c r="V7" s="652"/>
      <c r="W7" s="652"/>
      <c r="X7" s="652"/>
      <c r="Y7" s="652"/>
      <c r="Z7" s="652"/>
      <c r="AA7" s="656"/>
      <c r="AB7" s="656"/>
      <c r="AC7" s="656"/>
      <c r="AD7" s="656"/>
    </row>
    <row r="8" spans="1:41" ht="40" customHeight="1">
      <c r="A8" s="1590">
        <f>A7+1</f>
        <v>2</v>
      </c>
      <c r="B8" s="1591"/>
      <c r="C8" s="1595" t="s">
        <v>1171</v>
      </c>
      <c r="D8" s="1595"/>
      <c r="E8" s="1595"/>
      <c r="F8" s="1591" t="s">
        <v>1065</v>
      </c>
      <c r="G8" s="1591"/>
      <c r="H8" s="1593">
        <v>188.44399999999999</v>
      </c>
      <c r="I8" s="1593"/>
      <c r="J8" s="1593"/>
      <c r="K8" s="1593">
        <v>178.07499999999999</v>
      </c>
      <c r="L8" s="1593"/>
      <c r="M8" s="1593"/>
      <c r="N8" s="1593">
        <f>H8-K8</f>
        <v>10.369</v>
      </c>
      <c r="O8" s="1593"/>
      <c r="P8" s="1594"/>
      <c r="Q8" s="649"/>
      <c r="R8" s="649"/>
      <c r="S8" s="649"/>
      <c r="T8" s="651"/>
      <c r="U8" s="651"/>
      <c r="V8" s="651"/>
      <c r="W8" s="651"/>
      <c r="X8" s="651"/>
      <c r="Y8" s="651"/>
      <c r="Z8" s="651"/>
      <c r="AA8" s="657"/>
      <c r="AB8" s="657"/>
      <c r="AC8" s="657"/>
      <c r="AD8" s="657"/>
    </row>
    <row r="9" spans="1:41" ht="40" customHeight="1">
      <c r="A9" s="1590">
        <f>A8+1</f>
        <v>3</v>
      </c>
      <c r="B9" s="1591"/>
      <c r="C9" s="1595" t="s">
        <v>1507</v>
      </c>
      <c r="D9" s="1595"/>
      <c r="E9" s="1595"/>
      <c r="F9" s="1591" t="s">
        <v>1065</v>
      </c>
      <c r="G9" s="1591"/>
      <c r="H9" s="1593">
        <v>188.44399999999999</v>
      </c>
      <c r="I9" s="1593"/>
      <c r="J9" s="1593"/>
      <c r="K9" s="1606">
        <v>178.07499999999999</v>
      </c>
      <c r="L9" s="1607"/>
      <c r="M9" s="1608"/>
      <c r="N9" s="1593">
        <f>H9-K9</f>
        <v>10.369</v>
      </c>
      <c r="O9" s="1593"/>
      <c r="P9" s="1594"/>
      <c r="Q9" s="649"/>
      <c r="R9" s="649"/>
      <c r="S9" s="649"/>
      <c r="T9" s="651"/>
      <c r="U9" s="651"/>
      <c r="V9" s="651"/>
      <c r="W9" s="651"/>
      <c r="X9" s="651"/>
      <c r="Y9" s="651"/>
      <c r="Z9" s="651"/>
      <c r="AA9" s="657"/>
      <c r="AB9" s="657"/>
      <c r="AC9" s="657"/>
      <c r="AD9" s="657"/>
    </row>
    <row r="10" spans="1:41" ht="40" customHeight="1">
      <c r="A10" s="1590">
        <f>A9+1</f>
        <v>4</v>
      </c>
      <c r="B10" s="1591"/>
      <c r="C10" s="1595" t="s">
        <v>1172</v>
      </c>
      <c r="D10" s="1595"/>
      <c r="E10" s="1595"/>
      <c r="F10" s="1596" t="s">
        <v>1173</v>
      </c>
      <c r="G10" s="1597"/>
      <c r="H10" s="1598">
        <v>73</v>
      </c>
      <c r="I10" s="1599"/>
      <c r="J10" s="1600"/>
      <c r="K10" s="1598">
        <v>73</v>
      </c>
      <c r="L10" s="1599"/>
      <c r="M10" s="1600"/>
      <c r="N10" s="1602">
        <f t="shared" ref="N10:N14" si="0">H10-K10</f>
        <v>0</v>
      </c>
      <c r="O10" s="1602"/>
      <c r="P10" s="1603"/>
      <c r="Q10" s="649"/>
      <c r="R10" s="649"/>
      <c r="S10" s="649"/>
      <c r="T10" s="651"/>
      <c r="U10" s="651"/>
      <c r="V10" s="651"/>
      <c r="W10" s="651"/>
      <c r="X10" s="651"/>
      <c r="Y10" s="651"/>
      <c r="Z10" s="651"/>
      <c r="AA10" s="657"/>
      <c r="AB10" s="657"/>
      <c r="AC10" s="657"/>
      <c r="AD10" s="657"/>
    </row>
    <row r="11" spans="1:41" ht="40" customHeight="1">
      <c r="A11" s="1590">
        <f>A10+1</f>
        <v>5</v>
      </c>
      <c r="B11" s="1591"/>
      <c r="C11" s="1595" t="s">
        <v>304</v>
      </c>
      <c r="D11" s="1595"/>
      <c r="E11" s="1595"/>
      <c r="F11" s="1596" t="s">
        <v>1173</v>
      </c>
      <c r="G11" s="1597"/>
      <c r="H11" s="1598">
        <v>512</v>
      </c>
      <c r="I11" s="1599"/>
      <c r="J11" s="1600"/>
      <c r="K11" s="1601">
        <v>208</v>
      </c>
      <c r="L11" s="1601"/>
      <c r="M11" s="1601"/>
      <c r="N11" s="1602">
        <f t="shared" si="0"/>
        <v>304</v>
      </c>
      <c r="O11" s="1602"/>
      <c r="P11" s="1603"/>
      <c r="Q11" s="649"/>
      <c r="R11" s="649"/>
      <c r="S11" s="651"/>
      <c r="T11" s="651"/>
      <c r="U11" s="651"/>
      <c r="V11" s="651"/>
      <c r="W11" s="651"/>
      <c r="X11" s="651"/>
      <c r="Y11" s="651"/>
      <c r="Z11" s="651"/>
      <c r="AA11" s="658" t="s">
        <v>1174</v>
      </c>
      <c r="AB11" s="659"/>
      <c r="AC11" s="657"/>
      <c r="AD11" s="657"/>
    </row>
    <row r="12" spans="1:41" ht="40" customHeight="1">
      <c r="A12" s="1590">
        <f t="shared" ref="A12:A16" si="1">A11+1</f>
        <v>6</v>
      </c>
      <c r="B12" s="1591"/>
      <c r="C12" s="1595" t="s">
        <v>305</v>
      </c>
      <c r="D12" s="1595"/>
      <c r="E12" s="1595"/>
      <c r="F12" s="1596" t="s">
        <v>1175</v>
      </c>
      <c r="G12" s="1597"/>
      <c r="H12" s="1598">
        <v>514</v>
      </c>
      <c r="I12" s="1599"/>
      <c r="J12" s="1600"/>
      <c r="K12" s="1601">
        <v>190</v>
      </c>
      <c r="L12" s="1601"/>
      <c r="M12" s="1601"/>
      <c r="N12" s="1602">
        <f t="shared" si="0"/>
        <v>324</v>
      </c>
      <c r="O12" s="1602"/>
      <c r="P12" s="1603"/>
      <c r="Q12" s="649"/>
      <c r="R12" s="660"/>
      <c r="S12" s="661" t="s">
        <v>1176</v>
      </c>
      <c r="T12" s="653"/>
      <c r="U12" s="651"/>
      <c r="V12" s="1604" t="s">
        <v>219</v>
      </c>
      <c r="W12" s="1604"/>
      <c r="X12" s="1604"/>
      <c r="Y12" s="651"/>
      <c r="Z12" s="651"/>
      <c r="AA12" s="657"/>
      <c r="AB12" s="662"/>
      <c r="AC12" s="658" t="s">
        <v>1508</v>
      </c>
      <c r="AD12" s="659"/>
    </row>
    <row r="13" spans="1:41" ht="40" customHeight="1">
      <c r="A13" s="1590">
        <f t="shared" si="1"/>
        <v>7</v>
      </c>
      <c r="B13" s="1591"/>
      <c r="C13" s="1595" t="s">
        <v>1178</v>
      </c>
      <c r="D13" s="1595"/>
      <c r="E13" s="1595"/>
      <c r="F13" s="1596" t="s">
        <v>1173</v>
      </c>
      <c r="G13" s="1597"/>
      <c r="H13" s="1598">
        <v>512</v>
      </c>
      <c r="I13" s="1599"/>
      <c r="J13" s="1600"/>
      <c r="K13" s="1601">
        <v>75</v>
      </c>
      <c r="L13" s="1601"/>
      <c r="M13" s="1601"/>
      <c r="N13" s="1602">
        <f t="shared" si="0"/>
        <v>437</v>
      </c>
      <c r="O13" s="1602"/>
      <c r="P13" s="1603"/>
      <c r="Q13" s="649"/>
      <c r="R13" s="660"/>
      <c r="S13" s="653" t="s">
        <v>305</v>
      </c>
      <c r="T13" s="653"/>
      <c r="U13" s="651"/>
      <c r="V13" s="1605"/>
      <c r="W13" s="1605"/>
      <c r="X13" s="1605"/>
      <c r="Y13" s="651"/>
      <c r="Z13" s="651"/>
      <c r="AA13" s="663"/>
      <c r="AB13" s="657"/>
      <c r="AC13" s="657"/>
      <c r="AD13" s="657"/>
    </row>
    <row r="14" spans="1:41" ht="40" customHeight="1">
      <c r="A14" s="1590">
        <f t="shared" si="1"/>
        <v>8</v>
      </c>
      <c r="B14" s="1591"/>
      <c r="C14" s="1595" t="s">
        <v>517</v>
      </c>
      <c r="D14" s="1595"/>
      <c r="E14" s="1595"/>
      <c r="F14" s="1596" t="s">
        <v>1175</v>
      </c>
      <c r="G14" s="1597"/>
      <c r="H14" s="1598">
        <v>512</v>
      </c>
      <c r="I14" s="1599"/>
      <c r="J14" s="1600"/>
      <c r="K14" s="1601"/>
      <c r="L14" s="1601"/>
      <c r="M14" s="1601"/>
      <c r="N14" s="1602">
        <f t="shared" si="0"/>
        <v>512</v>
      </c>
      <c r="O14" s="1602"/>
      <c r="P14" s="1603"/>
      <c r="Q14" s="649"/>
      <c r="R14" s="649"/>
      <c r="S14" s="649"/>
      <c r="T14" s="651"/>
      <c r="U14" s="651"/>
      <c r="V14" s="651"/>
      <c r="W14" s="651"/>
      <c r="X14" s="651"/>
      <c r="Y14" s="651"/>
      <c r="Z14" s="651"/>
      <c r="AA14" s="657"/>
      <c r="AB14" s="657"/>
      <c r="AC14" s="657"/>
      <c r="AD14" s="657"/>
    </row>
    <row r="15" spans="1:41" ht="40" customHeight="1">
      <c r="A15" s="1590">
        <f t="shared" si="1"/>
        <v>9</v>
      </c>
      <c r="B15" s="1591"/>
      <c r="C15" s="1592" t="s">
        <v>1509</v>
      </c>
      <c r="D15" s="1592"/>
      <c r="E15" s="1592"/>
      <c r="F15" s="1591" t="s">
        <v>1065</v>
      </c>
      <c r="G15" s="1591"/>
      <c r="H15" s="1593">
        <v>188.44399999999999</v>
      </c>
      <c r="I15" s="1593"/>
      <c r="J15" s="1593"/>
      <c r="K15" s="1591"/>
      <c r="L15" s="1591"/>
      <c r="M15" s="1591"/>
      <c r="N15" s="1593">
        <v>188.44399999999999</v>
      </c>
      <c r="O15" s="1593"/>
      <c r="P15" s="1594"/>
      <c r="Q15" s="649"/>
      <c r="R15" s="649"/>
      <c r="S15" s="1589" t="s">
        <v>1510</v>
      </c>
      <c r="T15" s="1589"/>
      <c r="U15" s="651"/>
      <c r="V15" s="651"/>
      <c r="W15" s="652"/>
      <c r="X15" s="661" t="s">
        <v>1180</v>
      </c>
      <c r="Y15" s="652"/>
      <c r="Z15" s="652"/>
      <c r="AA15" s="652"/>
      <c r="AB15" s="652"/>
      <c r="AC15" s="652"/>
      <c r="AD15" s="652"/>
      <c r="AO15" s="664"/>
    </row>
    <row r="16" spans="1:41" ht="40" customHeight="1">
      <c r="A16" s="1590">
        <f t="shared" si="1"/>
        <v>10</v>
      </c>
      <c r="B16" s="1591"/>
      <c r="C16" s="1592" t="s">
        <v>1511</v>
      </c>
      <c r="D16" s="1592"/>
      <c r="E16" s="1592"/>
      <c r="F16" s="1591" t="s">
        <v>1065</v>
      </c>
      <c r="G16" s="1591"/>
      <c r="H16" s="1593">
        <v>188.44399999999999</v>
      </c>
      <c r="I16" s="1593"/>
      <c r="J16" s="1593"/>
      <c r="K16" s="1591"/>
      <c r="L16" s="1591"/>
      <c r="M16" s="1591"/>
      <c r="N16" s="1593">
        <v>188.44399999999999</v>
      </c>
      <c r="O16" s="1593"/>
      <c r="P16" s="1594"/>
      <c r="Q16" s="665"/>
      <c r="R16" s="665"/>
      <c r="S16" s="665"/>
      <c r="T16" s="666"/>
      <c r="U16" s="666"/>
      <c r="V16" s="666"/>
      <c r="W16" s="667"/>
      <c r="X16" s="667"/>
      <c r="Y16" s="667"/>
      <c r="Z16" s="668" t="s">
        <v>1512</v>
      </c>
      <c r="AA16" s="669" t="s">
        <v>1513</v>
      </c>
      <c r="AB16" s="1585" t="s">
        <v>1514</v>
      </c>
      <c r="AC16" s="1585"/>
      <c r="AD16" s="1585"/>
    </row>
    <row r="17" spans="1:41" ht="67" customHeight="1">
      <c r="A17" s="1586" t="s">
        <v>1515</v>
      </c>
      <c r="B17" s="1587"/>
      <c r="C17" s="671"/>
      <c r="D17" s="670" t="s">
        <v>520</v>
      </c>
      <c r="E17" s="671"/>
      <c r="F17" s="1588" t="s">
        <v>1516</v>
      </c>
      <c r="G17" s="1588"/>
      <c r="H17" s="672" t="s">
        <v>521</v>
      </c>
      <c r="I17" s="671"/>
      <c r="J17" s="672" t="s">
        <v>522</v>
      </c>
      <c r="K17" s="671"/>
      <c r="L17" s="672" t="s">
        <v>1186</v>
      </c>
      <c r="M17" s="671"/>
      <c r="N17" s="672" t="s">
        <v>524</v>
      </c>
      <c r="O17" s="671"/>
      <c r="P17" s="672" t="s">
        <v>525</v>
      </c>
      <c r="Q17" s="671"/>
      <c r="R17" s="672" t="s">
        <v>532</v>
      </c>
      <c r="S17" s="671"/>
      <c r="T17" s="672" t="s">
        <v>533</v>
      </c>
      <c r="U17" s="671"/>
      <c r="V17" s="672" t="s">
        <v>1187</v>
      </c>
      <c r="W17" s="671"/>
      <c r="X17" s="672" t="s">
        <v>1188</v>
      </c>
      <c r="Y17" s="671"/>
      <c r="Z17" s="672" t="s">
        <v>1189</v>
      </c>
      <c r="AA17" s="671"/>
      <c r="AB17" s="672" t="s">
        <v>1190</v>
      </c>
      <c r="AC17" s="673" t="s">
        <v>1513</v>
      </c>
      <c r="AD17" s="674"/>
      <c r="AE17" s="475"/>
      <c r="AF17" s="475"/>
      <c r="AG17" s="475"/>
    </row>
    <row r="18" spans="1:41" ht="33.5">
      <c r="A18" s="467"/>
      <c r="B18" s="379"/>
      <c r="C18" s="674"/>
      <c r="D18" s="379"/>
      <c r="E18" s="674"/>
      <c r="F18" s="379"/>
      <c r="G18" s="674"/>
      <c r="H18" s="379"/>
      <c r="I18" s="674"/>
      <c r="J18" s="379"/>
      <c r="K18" s="674"/>
      <c r="L18" s="379"/>
      <c r="M18" s="674"/>
      <c r="N18" s="379"/>
      <c r="O18" s="675"/>
      <c r="P18" s="379"/>
      <c r="Q18" s="674"/>
      <c r="R18" s="379"/>
      <c r="S18" s="674"/>
      <c r="T18" s="379"/>
      <c r="U18" s="674"/>
      <c r="V18" s="379"/>
      <c r="W18" s="674"/>
      <c r="X18" s="379"/>
      <c r="Y18" s="674"/>
      <c r="Z18" s="379"/>
      <c r="AA18" s="674"/>
      <c r="AB18" s="379"/>
      <c r="AC18" s="674"/>
      <c r="AD18" s="379"/>
      <c r="AE18" s="475"/>
      <c r="AF18" s="475"/>
      <c r="AG18" s="475"/>
      <c r="AM18" s="672" t="s">
        <v>390</v>
      </c>
      <c r="AN18" s="672" t="s">
        <v>228</v>
      </c>
      <c r="AO18" s="672" t="s">
        <v>375</v>
      </c>
    </row>
    <row r="19" spans="1:41" ht="15" thickBot="1">
      <c r="A19" s="467"/>
      <c r="B19" s="676"/>
      <c r="C19" s="674"/>
      <c r="D19" s="676"/>
      <c r="E19" s="674"/>
      <c r="F19" s="676"/>
      <c r="G19" s="674"/>
      <c r="H19" s="676"/>
      <c r="I19" s="674"/>
      <c r="J19" s="676"/>
      <c r="K19" s="674"/>
      <c r="L19" s="676"/>
      <c r="M19" s="674"/>
      <c r="N19" s="676"/>
      <c r="O19" s="675"/>
      <c r="P19" s="676"/>
      <c r="Q19" s="674"/>
      <c r="R19" s="676"/>
      <c r="S19" s="674"/>
      <c r="T19" s="676"/>
      <c r="U19" s="674"/>
      <c r="V19" s="676"/>
      <c r="W19" s="674"/>
      <c r="X19" s="676"/>
      <c r="Y19" s="674"/>
      <c r="Z19" s="676"/>
      <c r="AA19" s="674"/>
      <c r="AB19" s="676"/>
      <c r="AC19" s="674"/>
      <c r="AD19" s="674"/>
      <c r="AE19" s="475"/>
      <c r="AF19" s="475"/>
      <c r="AG19" s="475"/>
    </row>
    <row r="20" spans="1:41" ht="101.5" customHeight="1" thickBot="1">
      <c r="A20" s="467"/>
      <c r="B20" s="677"/>
      <c r="C20" s="678">
        <v>89</v>
      </c>
      <c r="D20" s="679"/>
      <c r="E20" s="678">
        <v>113</v>
      </c>
      <c r="F20" s="679"/>
      <c r="G20" s="678">
        <v>264</v>
      </c>
      <c r="H20" s="679"/>
      <c r="I20" s="678">
        <v>244</v>
      </c>
      <c r="J20" s="679"/>
      <c r="K20" s="678">
        <v>657</v>
      </c>
      <c r="L20" s="679"/>
      <c r="M20" s="678">
        <v>419.226</v>
      </c>
      <c r="N20" s="679"/>
      <c r="O20" s="678">
        <v>420.01</v>
      </c>
      <c r="P20" s="679"/>
      <c r="Q20" s="678">
        <v>416.53100000000001</v>
      </c>
      <c r="R20" s="679"/>
      <c r="S20" s="678">
        <v>356.262</v>
      </c>
      <c r="T20" s="679"/>
      <c r="U20" s="678">
        <v>343.07400000000001</v>
      </c>
      <c r="V20" s="679"/>
      <c r="W20" s="678">
        <v>381.32900000000001</v>
      </c>
      <c r="X20" s="679"/>
      <c r="Y20" s="678">
        <v>373.32299999999998</v>
      </c>
      <c r="Z20" s="679"/>
      <c r="AA20" s="678">
        <v>246.012</v>
      </c>
      <c r="AB20" s="679"/>
      <c r="AC20" s="680">
        <v>249.42400000000001</v>
      </c>
      <c r="AD20" s="674"/>
      <c r="AE20" s="684"/>
      <c r="AF20" s="684"/>
      <c r="AG20" s="684"/>
      <c r="AM20" s="871">
        <f>COUNTIF(B20:AB20,"U/P")</f>
        <v>0</v>
      </c>
      <c r="AN20" s="871">
        <f>COUNTIF(C20:AC20,"ROW")</f>
        <v>0</v>
      </c>
      <c r="AO20" s="871">
        <f>COUNTIF(D20:AD20,"C")</f>
        <v>0</v>
      </c>
    </row>
    <row r="21" spans="1:41" ht="15" thickBot="1">
      <c r="A21" s="467"/>
      <c r="B21" s="681"/>
      <c r="C21" s="675"/>
      <c r="D21" s="682"/>
      <c r="E21" s="675"/>
      <c r="F21" s="682"/>
      <c r="G21" s="675"/>
      <c r="H21" s="682"/>
      <c r="I21" s="675"/>
      <c r="J21" s="682"/>
      <c r="K21" s="675"/>
      <c r="L21" s="682"/>
      <c r="M21" s="675"/>
      <c r="N21" s="682"/>
      <c r="O21" s="675"/>
      <c r="P21" s="682"/>
      <c r="Q21" s="675"/>
      <c r="R21" s="682"/>
      <c r="S21" s="675"/>
      <c r="T21" s="682"/>
      <c r="U21" s="675"/>
      <c r="V21" s="682"/>
      <c r="W21" s="675"/>
      <c r="X21" s="682"/>
      <c r="Y21" s="675"/>
      <c r="Z21" s="682"/>
      <c r="AA21" s="675"/>
      <c r="AB21" s="682"/>
      <c r="AC21" s="675"/>
      <c r="AD21" s="674"/>
      <c r="AE21" s="683"/>
      <c r="AF21" s="684"/>
      <c r="AG21" s="684"/>
    </row>
    <row r="22" spans="1:41" ht="33.5">
      <c r="A22" s="685"/>
      <c r="B22" s="686"/>
      <c r="C22" s="686"/>
      <c r="D22" s="687" t="s">
        <v>125</v>
      </c>
      <c r="E22" s="688"/>
      <c r="F22" s="687" t="s">
        <v>143</v>
      </c>
      <c r="G22" s="688"/>
      <c r="H22" s="687" t="s">
        <v>113</v>
      </c>
      <c r="I22" s="689"/>
      <c r="J22" s="687" t="s">
        <v>113</v>
      </c>
      <c r="K22" s="689"/>
      <c r="L22" s="687" t="s">
        <v>167</v>
      </c>
      <c r="M22" s="686"/>
      <c r="N22" s="686" t="s">
        <v>182</v>
      </c>
      <c r="O22" s="686"/>
      <c r="P22" s="686" t="s">
        <v>248</v>
      </c>
      <c r="Q22" s="686"/>
      <c r="R22" s="687" t="s">
        <v>115</v>
      </c>
      <c r="S22" s="686"/>
      <c r="T22" s="686" t="s">
        <v>182</v>
      </c>
      <c r="U22" s="686"/>
      <c r="V22" s="686" t="s">
        <v>182</v>
      </c>
      <c r="W22" s="686"/>
      <c r="X22" s="686" t="s">
        <v>242</v>
      </c>
      <c r="Y22" s="686"/>
      <c r="Z22" s="686" t="s">
        <v>185</v>
      </c>
      <c r="AA22" s="686"/>
      <c r="AB22" s="687" t="s">
        <v>119</v>
      </c>
      <c r="AC22" s="690"/>
      <c r="AD22" s="674"/>
      <c r="AE22" s="683"/>
      <c r="AF22" s="684"/>
      <c r="AG22" s="684"/>
      <c r="AM22" s="871"/>
      <c r="AN22" s="871"/>
      <c r="AO22" s="871"/>
    </row>
    <row r="23" spans="1:41" ht="29" customHeight="1">
      <c r="A23" s="1581" t="s">
        <v>1711</v>
      </c>
      <c r="B23" s="1576"/>
      <c r="C23" s="1576"/>
      <c r="D23" s="1576"/>
      <c r="E23" s="1576"/>
      <c r="F23" s="1576"/>
      <c r="G23" s="1576"/>
      <c r="H23" s="1576"/>
      <c r="I23" s="1576"/>
      <c r="J23" s="1576"/>
      <c r="K23" s="1576"/>
      <c r="L23" s="1576"/>
      <c r="M23" s="1576"/>
      <c r="N23" s="1576"/>
      <c r="O23" s="1576"/>
      <c r="P23" s="1576"/>
      <c r="Q23" s="1576"/>
      <c r="R23" s="1576"/>
      <c r="S23" s="1576"/>
      <c r="T23" s="1576"/>
      <c r="U23" s="1576"/>
      <c r="V23" s="1576"/>
      <c r="W23" s="1576"/>
      <c r="X23" s="1576"/>
      <c r="Y23" s="1576"/>
      <c r="Z23" s="1576"/>
      <c r="AA23" s="1576"/>
      <c r="AB23" s="1576"/>
      <c r="AC23" s="1576"/>
      <c r="AD23" s="1576"/>
      <c r="AE23" s="1576"/>
      <c r="AF23" s="1576"/>
      <c r="AG23" s="1576"/>
      <c r="AH23" s="1576"/>
      <c r="AI23" s="884"/>
      <c r="AJ23" s="884"/>
      <c r="AK23" s="884"/>
      <c r="AL23" s="884"/>
      <c r="AM23" s="871"/>
      <c r="AN23" s="871"/>
      <c r="AO23" s="871"/>
    </row>
    <row r="24" spans="1:41" ht="29.5" customHeight="1">
      <c r="A24" s="685"/>
      <c r="B24" s="672" t="s">
        <v>1195</v>
      </c>
      <c r="C24" s="671"/>
      <c r="D24" s="672" t="s">
        <v>1196</v>
      </c>
      <c r="E24" s="671"/>
      <c r="F24" s="672" t="s">
        <v>1197</v>
      </c>
      <c r="G24" s="671"/>
      <c r="H24" s="672" t="s">
        <v>1198</v>
      </c>
      <c r="I24" s="671"/>
      <c r="J24" s="672" t="s">
        <v>534</v>
      </c>
      <c r="K24" s="671"/>
      <c r="L24" s="672" t="s">
        <v>537</v>
      </c>
      <c r="M24" s="671"/>
      <c r="N24" s="672" t="s">
        <v>1199</v>
      </c>
      <c r="O24" s="671"/>
      <c r="P24" s="672" t="s">
        <v>1200</v>
      </c>
      <c r="Q24" s="671"/>
      <c r="R24" s="672" t="s">
        <v>1201</v>
      </c>
      <c r="S24" s="671"/>
      <c r="T24" s="672" t="s">
        <v>1202</v>
      </c>
      <c r="U24" s="671"/>
      <c r="V24" s="672" t="s">
        <v>1203</v>
      </c>
      <c r="W24" s="671"/>
      <c r="X24" s="672" t="s">
        <v>1204</v>
      </c>
      <c r="Y24" s="671"/>
      <c r="Z24" s="672" t="s">
        <v>1205</v>
      </c>
      <c r="AA24" s="671"/>
      <c r="AB24" s="672" t="s">
        <v>538</v>
      </c>
      <c r="AC24" s="690"/>
      <c r="AD24" s="691"/>
      <c r="AE24" s="684"/>
      <c r="AF24" s="684"/>
      <c r="AG24" s="684"/>
      <c r="AM24" s="871"/>
      <c r="AN24" s="871"/>
      <c r="AO24" s="871"/>
    </row>
    <row r="25" spans="1:41" ht="31">
      <c r="A25" s="467"/>
      <c r="B25" s="692"/>
      <c r="C25" s="693"/>
      <c r="D25" s="692"/>
      <c r="E25" s="693"/>
      <c r="F25" s="692"/>
      <c r="G25" s="693"/>
      <c r="H25" s="692"/>
      <c r="I25" s="693"/>
      <c r="J25" s="692"/>
      <c r="K25" s="693"/>
      <c r="L25" s="692"/>
      <c r="M25" s="693"/>
      <c r="N25" s="692"/>
      <c r="O25" s="693"/>
      <c r="P25" s="692"/>
      <c r="Q25" s="693"/>
      <c r="R25" s="692"/>
      <c r="S25" s="693"/>
      <c r="T25" s="692"/>
      <c r="U25" s="693"/>
      <c r="V25" s="692"/>
      <c r="W25" s="693"/>
      <c r="X25" s="692"/>
      <c r="Y25" s="693"/>
      <c r="Z25" s="692"/>
      <c r="AA25" s="693"/>
      <c r="AB25" s="692"/>
      <c r="AC25" s="693"/>
      <c r="AD25" s="691"/>
      <c r="AE25" s="684"/>
      <c r="AF25" s="684"/>
      <c r="AG25" s="684"/>
      <c r="AM25" s="871"/>
      <c r="AN25" s="871"/>
      <c r="AO25" s="871"/>
    </row>
    <row r="26" spans="1:41" ht="16.5" customHeight="1" thickBot="1">
      <c r="A26" s="467"/>
      <c r="B26" s="694"/>
      <c r="C26" s="693"/>
      <c r="D26" s="694"/>
      <c r="E26" s="693"/>
      <c r="F26" s="694"/>
      <c r="G26" s="693"/>
      <c r="H26" s="694"/>
      <c r="I26" s="693"/>
      <c r="J26" s="694"/>
      <c r="K26" s="693"/>
      <c r="L26" s="694"/>
      <c r="M26" s="693"/>
      <c r="N26" s="694"/>
      <c r="O26" s="693"/>
      <c r="P26" s="694"/>
      <c r="Q26" s="693"/>
      <c r="R26" s="694"/>
      <c r="S26" s="693"/>
      <c r="T26" s="694"/>
      <c r="U26" s="693"/>
      <c r="V26" s="694"/>
      <c r="W26" s="693"/>
      <c r="X26" s="694"/>
      <c r="Y26" s="693"/>
      <c r="Z26" s="694"/>
      <c r="AA26" s="693"/>
      <c r="AB26" s="694"/>
      <c r="AC26" s="693"/>
      <c r="AD26" s="691"/>
      <c r="AE26" s="684"/>
      <c r="AF26" s="684"/>
      <c r="AG26" s="684"/>
      <c r="AM26" s="871"/>
      <c r="AN26" s="871"/>
      <c r="AO26" s="871"/>
    </row>
    <row r="27" spans="1:41" ht="100" customHeight="1" thickBot="1">
      <c r="A27" s="467"/>
      <c r="B27" s="560"/>
      <c r="C27" s="695">
        <v>399.70699999999999</v>
      </c>
      <c r="D27" s="679"/>
      <c r="E27" s="695">
        <v>438.61599999999999</v>
      </c>
      <c r="F27" s="679"/>
      <c r="G27" s="695">
        <v>400.60399999999998</v>
      </c>
      <c r="H27" s="679"/>
      <c r="I27" s="695">
        <v>438.76499999999999</v>
      </c>
      <c r="J27" s="679"/>
      <c r="K27" s="695">
        <v>226.315</v>
      </c>
      <c r="L27" s="679"/>
      <c r="M27" s="695">
        <v>442.553</v>
      </c>
      <c r="N27" s="679"/>
      <c r="O27" s="695">
        <v>389.32900000000001</v>
      </c>
      <c r="P27" s="679"/>
      <c r="Q27" s="695">
        <v>359.36099999999999</v>
      </c>
      <c r="R27" s="679"/>
      <c r="S27" s="695">
        <v>405.00599999999997</v>
      </c>
      <c r="T27" s="679"/>
      <c r="U27" s="695">
        <v>426.51799999999997</v>
      </c>
      <c r="V27" s="679"/>
      <c r="W27" s="695">
        <v>356.05500000000001</v>
      </c>
      <c r="X27" s="679"/>
      <c r="Y27" s="695">
        <v>369.29500000000002</v>
      </c>
      <c r="Z27" s="679"/>
      <c r="AA27" s="695">
        <v>374.99299999999999</v>
      </c>
      <c r="AB27" s="679"/>
      <c r="AC27" s="696">
        <v>383.76799999999997</v>
      </c>
      <c r="AD27" s="691"/>
      <c r="AE27" s="684"/>
      <c r="AF27" s="684"/>
      <c r="AG27" s="684"/>
      <c r="AM27" s="871">
        <f>COUNTIF(B27:AB27,"U/P")</f>
        <v>0</v>
      </c>
      <c r="AN27" s="871">
        <f>COUNTIF(C27:AC27,"ROW")</f>
        <v>0</v>
      </c>
      <c r="AO27" s="871">
        <f>COUNTIF(D27:AD27,"C")</f>
        <v>0</v>
      </c>
    </row>
    <row r="28" spans="1:41" ht="34" thickBot="1">
      <c r="A28" s="467"/>
      <c r="B28" s="697"/>
      <c r="C28" s="690"/>
      <c r="D28" s="698"/>
      <c r="E28" s="690"/>
      <c r="F28" s="698"/>
      <c r="G28" s="690"/>
      <c r="H28" s="698"/>
      <c r="I28" s="690"/>
      <c r="J28" s="698"/>
      <c r="K28" s="690"/>
      <c r="L28" s="698"/>
      <c r="M28" s="690"/>
      <c r="N28" s="698"/>
      <c r="O28" s="690"/>
      <c r="P28" s="698"/>
      <c r="Q28" s="690"/>
      <c r="R28" s="698"/>
      <c r="S28" s="690"/>
      <c r="T28" s="698"/>
      <c r="U28" s="690"/>
      <c r="V28" s="698"/>
      <c r="W28" s="690"/>
      <c r="X28" s="698"/>
      <c r="Y28" s="690"/>
      <c r="Z28" s="698"/>
      <c r="AA28" s="690"/>
      <c r="AB28" s="698"/>
      <c r="AC28" s="693"/>
      <c r="AD28" s="691"/>
      <c r="AE28" s="684"/>
      <c r="AF28" s="684"/>
      <c r="AG28" s="684"/>
      <c r="AM28" s="871"/>
      <c r="AN28" s="871"/>
      <c r="AO28" s="871"/>
    </row>
    <row r="29" spans="1:41" ht="33.5">
      <c r="A29" s="467"/>
      <c r="B29" s="686" t="s">
        <v>182</v>
      </c>
      <c r="C29" s="686"/>
      <c r="D29" s="686" t="s">
        <v>242</v>
      </c>
      <c r="E29" s="686"/>
      <c r="F29" s="686" t="s">
        <v>242</v>
      </c>
      <c r="G29" s="686"/>
      <c r="H29" s="686" t="s">
        <v>185</v>
      </c>
      <c r="I29" s="686"/>
      <c r="J29" s="687" t="s">
        <v>117</v>
      </c>
      <c r="K29" s="686"/>
      <c r="L29" s="687" t="s">
        <v>117</v>
      </c>
      <c r="M29" s="686"/>
      <c r="N29" s="686" t="s">
        <v>185</v>
      </c>
      <c r="O29" s="686"/>
      <c r="P29" s="686" t="s">
        <v>182</v>
      </c>
      <c r="Q29" s="686"/>
      <c r="R29" s="686" t="s">
        <v>182</v>
      </c>
      <c r="S29" s="686"/>
      <c r="T29" s="686" t="s">
        <v>182</v>
      </c>
      <c r="U29" s="686"/>
      <c r="V29" s="686" t="s">
        <v>182</v>
      </c>
      <c r="W29" s="686"/>
      <c r="X29" s="686" t="s">
        <v>182</v>
      </c>
      <c r="Y29" s="686"/>
      <c r="Z29" s="686" t="s">
        <v>182</v>
      </c>
      <c r="AA29" s="686"/>
      <c r="AB29" s="687" t="s">
        <v>119</v>
      </c>
      <c r="AC29" s="693"/>
      <c r="AD29" s="691"/>
      <c r="AE29" s="683"/>
      <c r="AF29" s="684"/>
      <c r="AG29" s="684"/>
      <c r="AM29" s="871"/>
      <c r="AN29" s="871"/>
      <c r="AO29" s="871"/>
    </row>
    <row r="30" spans="1:41" ht="28.5" customHeight="1">
      <c r="A30" s="1581" t="s">
        <v>1711</v>
      </c>
      <c r="B30" s="1576"/>
      <c r="C30" s="1576"/>
      <c r="D30" s="1576"/>
      <c r="E30" s="1576"/>
      <c r="F30" s="1576"/>
      <c r="G30" s="1576"/>
      <c r="H30" s="1576"/>
      <c r="I30" s="1576"/>
      <c r="J30" s="1576"/>
      <c r="K30" s="1576"/>
      <c r="L30" s="1576"/>
      <c r="M30" s="1576"/>
      <c r="N30" s="1576"/>
      <c r="O30" s="1576"/>
      <c r="P30" s="1576"/>
      <c r="Q30" s="1576"/>
      <c r="R30" s="1576"/>
      <c r="S30" s="1576"/>
      <c r="T30" s="1576"/>
      <c r="U30" s="1576"/>
      <c r="V30" s="1576"/>
      <c r="W30" s="1576"/>
      <c r="X30" s="1576"/>
      <c r="Y30" s="1576"/>
      <c r="Z30" s="1576"/>
      <c r="AA30" s="1576"/>
      <c r="AB30" s="1576"/>
      <c r="AC30" s="1576"/>
      <c r="AD30" s="1576"/>
      <c r="AE30" s="1576"/>
      <c r="AF30" s="1576"/>
      <c r="AG30" s="1576"/>
      <c r="AH30" s="1576"/>
      <c r="AI30" s="884"/>
      <c r="AJ30" s="884"/>
      <c r="AK30" s="884"/>
      <c r="AL30" s="884"/>
    </row>
    <row r="31" spans="1:41" ht="21" customHeight="1">
      <c r="A31" s="467"/>
      <c r="B31" s="672" t="s">
        <v>539</v>
      </c>
      <c r="C31" s="671"/>
      <c r="D31" s="672"/>
      <c r="E31" s="671"/>
      <c r="F31" s="672" t="s">
        <v>542</v>
      </c>
      <c r="G31" s="671"/>
      <c r="H31" s="672" t="s">
        <v>543</v>
      </c>
      <c r="I31" s="671"/>
      <c r="J31" s="672" t="s">
        <v>544</v>
      </c>
      <c r="K31" s="671"/>
      <c r="L31" s="672" t="s">
        <v>545</v>
      </c>
      <c r="M31" s="671"/>
      <c r="N31" s="672" t="s">
        <v>546</v>
      </c>
      <c r="O31" s="671"/>
      <c r="P31" s="672" t="s">
        <v>1206</v>
      </c>
      <c r="Q31" s="671"/>
      <c r="R31" s="672" t="s">
        <v>1207</v>
      </c>
      <c r="S31" s="671"/>
      <c r="T31" s="672" t="s">
        <v>1208</v>
      </c>
      <c r="U31" s="671"/>
      <c r="V31" s="672" t="s">
        <v>1209</v>
      </c>
      <c r="W31" s="671"/>
      <c r="X31" s="672" t="s">
        <v>548</v>
      </c>
      <c r="Y31" s="671"/>
      <c r="Z31" s="699" t="s">
        <v>1210</v>
      </c>
      <c r="AA31" s="671"/>
      <c r="AB31" s="672" t="s">
        <v>1211</v>
      </c>
      <c r="AC31" s="690"/>
      <c r="AD31" s="691"/>
      <c r="AE31" s="684"/>
      <c r="AF31" s="684"/>
      <c r="AG31" s="684"/>
    </row>
    <row r="32" spans="1:41" ht="33.5">
      <c r="A32" s="467"/>
      <c r="B32" s="700"/>
      <c r="C32" s="690"/>
      <c r="D32" s="700"/>
      <c r="E32" s="686"/>
      <c r="F32" s="700"/>
      <c r="G32" s="701"/>
      <c r="H32" s="700"/>
      <c r="I32" s="690"/>
      <c r="J32" s="700"/>
      <c r="K32" s="690"/>
      <c r="L32" s="700"/>
      <c r="M32" s="690"/>
      <c r="N32" s="700"/>
      <c r="O32" s="690"/>
      <c r="P32" s="700"/>
      <c r="Q32" s="690"/>
      <c r="R32" s="700"/>
      <c r="S32" s="690"/>
      <c r="T32" s="700"/>
      <c r="U32" s="690"/>
      <c r="V32" s="700"/>
      <c r="W32" s="686"/>
      <c r="X32" s="700"/>
      <c r="Y32" s="686"/>
      <c r="Z32" s="700"/>
      <c r="AA32" s="690"/>
      <c r="AB32" s="700"/>
      <c r="AC32" s="690"/>
      <c r="AD32" s="691"/>
      <c r="AE32" s="684"/>
      <c r="AF32" s="684"/>
      <c r="AG32" s="684"/>
    </row>
    <row r="33" spans="1:41" ht="15" customHeight="1" thickBot="1">
      <c r="A33" s="467"/>
      <c r="B33" s="702"/>
      <c r="C33" s="690"/>
      <c r="D33" s="702"/>
      <c r="E33" s="690"/>
      <c r="F33" s="702"/>
      <c r="G33" s="690"/>
      <c r="H33" s="702"/>
      <c r="I33" s="690"/>
      <c r="J33" s="702"/>
      <c r="K33" s="690"/>
      <c r="L33" s="702"/>
      <c r="M33" s="690"/>
      <c r="N33" s="702"/>
      <c r="O33" s="690"/>
      <c r="P33" s="702"/>
      <c r="Q33" s="690"/>
      <c r="R33" s="702"/>
      <c r="S33" s="690"/>
      <c r="T33" s="702"/>
      <c r="U33" s="690"/>
      <c r="V33" s="702"/>
      <c r="W33" s="690"/>
      <c r="X33" s="702"/>
      <c r="Y33" s="690"/>
      <c r="Z33" s="702"/>
      <c r="AA33" s="690"/>
      <c r="AB33" s="702"/>
      <c r="AC33" s="690"/>
      <c r="AD33" s="691"/>
      <c r="AE33" s="684"/>
      <c r="AF33" s="684"/>
      <c r="AG33" s="684"/>
    </row>
    <row r="34" spans="1:41" ht="100" customHeight="1" thickBot="1">
      <c r="A34" s="467"/>
      <c r="B34" s="679"/>
      <c r="C34" s="695"/>
      <c r="D34" s="695">
        <v>396.38</v>
      </c>
      <c r="E34" s="695"/>
      <c r="F34" s="679"/>
      <c r="G34" s="695">
        <v>392.53399999999999</v>
      </c>
      <c r="H34" s="679"/>
      <c r="I34" s="695">
        <v>332.16199999999998</v>
      </c>
      <c r="J34" s="679"/>
      <c r="K34" s="695">
        <v>352.11200000000002</v>
      </c>
      <c r="L34" s="679"/>
      <c r="M34" s="695">
        <v>389.39299999999997</v>
      </c>
      <c r="N34" s="679"/>
      <c r="O34" s="695">
        <v>374.47699999999998</v>
      </c>
      <c r="P34" s="679"/>
      <c r="Q34" s="695">
        <v>419.97699999999998</v>
      </c>
      <c r="R34" s="679"/>
      <c r="S34" s="695">
        <v>387.899</v>
      </c>
      <c r="T34" s="679"/>
      <c r="U34" s="695">
        <v>407.654</v>
      </c>
      <c r="V34" s="679"/>
      <c r="W34" s="695">
        <v>402.35700000000003</v>
      </c>
      <c r="X34" s="679"/>
      <c r="Y34" s="678">
        <v>372.25900000000001</v>
      </c>
      <c r="Z34" s="679"/>
      <c r="AA34" s="695">
        <v>410.94900000000001</v>
      </c>
      <c r="AB34" s="679"/>
      <c r="AC34" s="695">
        <v>379.07499999999999</v>
      </c>
      <c r="AD34" s="691"/>
      <c r="AE34" s="684"/>
      <c r="AF34" s="684"/>
      <c r="AG34" s="684"/>
      <c r="AM34" s="871">
        <f>COUNTIF(B34:AB34,"U/P")</f>
        <v>0</v>
      </c>
      <c r="AN34" s="871">
        <f>COUNTIF(C34:AC34,"ROW")</f>
        <v>0</v>
      </c>
      <c r="AO34" s="871">
        <f>COUNTIF(D34:AD34,"C")</f>
        <v>0</v>
      </c>
    </row>
    <row r="35" spans="1:41" ht="34" thickBot="1">
      <c r="A35" s="467"/>
      <c r="B35" s="698"/>
      <c r="C35" s="690"/>
      <c r="D35" s="700"/>
      <c r="E35" s="690"/>
      <c r="F35" s="698"/>
      <c r="G35" s="690"/>
      <c r="H35" s="698"/>
      <c r="I35" s="690"/>
      <c r="J35" s="698"/>
      <c r="K35" s="690"/>
      <c r="L35" s="698"/>
      <c r="M35" s="690"/>
      <c r="N35" s="698"/>
      <c r="O35" s="690"/>
      <c r="P35" s="698"/>
      <c r="Q35" s="690"/>
      <c r="R35" s="698"/>
      <c r="S35" s="690"/>
      <c r="T35" s="878" t="s">
        <v>454</v>
      </c>
      <c r="U35" s="690"/>
      <c r="V35" s="698"/>
      <c r="W35" s="690"/>
      <c r="X35" s="698"/>
      <c r="Y35" s="690"/>
      <c r="Z35" s="698"/>
      <c r="AA35" s="690"/>
      <c r="AB35" s="698"/>
      <c r="AC35" s="690"/>
      <c r="AD35" s="691"/>
      <c r="AE35" s="684"/>
      <c r="AF35" s="684"/>
      <c r="AG35" s="684"/>
    </row>
    <row r="36" spans="1:41" ht="33.5">
      <c r="A36" s="467"/>
      <c r="B36" s="703" t="s">
        <v>182</v>
      </c>
      <c r="C36" s="686"/>
      <c r="D36" s="703"/>
      <c r="E36" s="686"/>
      <c r="F36" s="703" t="s">
        <v>182</v>
      </c>
      <c r="G36" s="686"/>
      <c r="H36" s="703" t="s">
        <v>182</v>
      </c>
      <c r="I36" s="686"/>
      <c r="J36" s="703" t="s">
        <v>182</v>
      </c>
      <c r="K36" s="686"/>
      <c r="L36" s="703" t="s">
        <v>182</v>
      </c>
      <c r="M36" s="686"/>
      <c r="N36" s="703" t="s">
        <v>182</v>
      </c>
      <c r="O36" s="686"/>
      <c r="P36" s="703" t="s">
        <v>182</v>
      </c>
      <c r="Q36" s="686"/>
      <c r="R36" s="703" t="s">
        <v>185</v>
      </c>
      <c r="S36" s="686"/>
      <c r="T36" s="703" t="s">
        <v>182</v>
      </c>
      <c r="U36" s="686"/>
      <c r="V36" s="703" t="s">
        <v>185</v>
      </c>
      <c r="W36" s="686"/>
      <c r="X36" s="687" t="s">
        <v>119</v>
      </c>
      <c r="Y36" s="686"/>
      <c r="Z36" s="703" t="s">
        <v>182</v>
      </c>
      <c r="AA36" s="686"/>
      <c r="AB36" s="703" t="s">
        <v>182</v>
      </c>
      <c r="AC36" s="693"/>
      <c r="AD36" s="691"/>
      <c r="AE36" s="683"/>
      <c r="AF36" s="684"/>
      <c r="AG36" s="684"/>
    </row>
    <row r="37" spans="1:41" ht="30.5" customHeight="1">
      <c r="A37" s="1561" t="s">
        <v>1712</v>
      </c>
      <c r="B37" s="1551"/>
      <c r="C37" s="1551"/>
      <c r="D37" s="1551"/>
      <c r="E37" s="1551"/>
      <c r="F37" s="1551"/>
      <c r="G37" s="1551"/>
      <c r="H37" s="1551"/>
      <c r="I37" s="1551"/>
      <c r="J37" s="1551"/>
      <c r="K37" s="1551"/>
      <c r="L37" s="1551"/>
      <c r="M37" s="1551"/>
      <c r="N37" s="1551"/>
      <c r="O37" s="1551"/>
      <c r="P37" s="1551"/>
      <c r="Q37" s="1551"/>
      <c r="R37" s="1551"/>
      <c r="S37" s="1551"/>
      <c r="T37" s="1551"/>
      <c r="U37" s="1551"/>
      <c r="V37" s="1551"/>
      <c r="W37" s="1551"/>
      <c r="X37" s="1551"/>
      <c r="Y37" s="1551"/>
      <c r="Z37" s="1551"/>
      <c r="AA37" s="1551"/>
      <c r="AB37" s="1551"/>
      <c r="AC37" s="1551"/>
      <c r="AD37" s="1551"/>
      <c r="AE37" s="1551"/>
      <c r="AF37" s="1551"/>
      <c r="AG37" s="1551"/>
      <c r="AH37" s="1551"/>
      <c r="AI37" s="884"/>
      <c r="AJ37" s="884"/>
      <c r="AK37" s="884"/>
      <c r="AL37" s="884"/>
    </row>
    <row r="38" spans="1:41" ht="25" customHeight="1">
      <c r="A38" s="467"/>
      <c r="B38" s="672" t="s">
        <v>1212</v>
      </c>
      <c r="C38" s="671"/>
      <c r="D38" s="672" t="s">
        <v>1213</v>
      </c>
      <c r="E38" s="671"/>
      <c r="F38" s="672" t="s">
        <v>556</v>
      </c>
      <c r="G38" s="671"/>
      <c r="H38" s="672" t="s">
        <v>1214</v>
      </c>
      <c r="I38" s="671"/>
      <c r="J38" s="672" t="s">
        <v>1215</v>
      </c>
      <c r="K38" s="671"/>
      <c r="L38" s="672" t="s">
        <v>1216</v>
      </c>
      <c r="M38" s="671"/>
      <c r="N38" s="672" t="s">
        <v>1217</v>
      </c>
      <c r="O38" s="671"/>
      <c r="P38" s="672" t="s">
        <v>1218</v>
      </c>
      <c r="Q38" s="671"/>
      <c r="R38" s="672" t="s">
        <v>1517</v>
      </c>
      <c r="S38" s="671"/>
      <c r="T38" s="672" t="s">
        <v>1219</v>
      </c>
      <c r="U38" s="671"/>
      <c r="V38" s="672" t="s">
        <v>1220</v>
      </c>
      <c r="W38" s="671"/>
      <c r="X38" s="672" t="s">
        <v>1221</v>
      </c>
      <c r="Y38" s="671"/>
      <c r="Z38" s="672" t="s">
        <v>1222</v>
      </c>
      <c r="AA38" s="671"/>
      <c r="AB38" s="672" t="s">
        <v>1223</v>
      </c>
      <c r="AC38" s="690"/>
      <c r="AD38" s="691"/>
      <c r="AE38" s="684"/>
      <c r="AF38" s="684"/>
      <c r="AG38" s="684"/>
    </row>
    <row r="39" spans="1:41" ht="33.5">
      <c r="A39" s="467"/>
      <c r="B39" s="700"/>
      <c r="C39" s="690"/>
      <c r="D39" s="700"/>
      <c r="E39" s="690"/>
      <c r="F39" s="700"/>
      <c r="G39" s="690"/>
      <c r="H39" s="700"/>
      <c r="I39" s="690"/>
      <c r="J39" s="700"/>
      <c r="K39" s="690"/>
      <c r="L39" s="700"/>
      <c r="M39" s="690"/>
      <c r="N39" s="700"/>
      <c r="O39" s="690"/>
      <c r="P39" s="700"/>
      <c r="Q39" s="690"/>
      <c r="R39" s="700"/>
      <c r="S39" s="690"/>
      <c r="T39" s="700"/>
      <c r="U39" s="690"/>
      <c r="V39" s="700"/>
      <c r="W39" s="690"/>
      <c r="X39" s="700"/>
      <c r="Y39" s="690"/>
      <c r="Z39" s="700"/>
      <c r="AA39" s="690"/>
      <c r="AB39" s="700"/>
      <c r="AC39" s="690"/>
      <c r="AD39" s="691"/>
      <c r="AE39" s="684"/>
      <c r="AF39" s="684"/>
      <c r="AG39" s="684"/>
    </row>
    <row r="40" spans="1:41" ht="15" customHeight="1" thickBot="1">
      <c r="A40" s="467"/>
      <c r="B40" s="702"/>
      <c r="C40" s="690"/>
      <c r="D40" s="702"/>
      <c r="E40" s="690"/>
      <c r="F40" s="702"/>
      <c r="G40" s="690"/>
      <c r="H40" s="702"/>
      <c r="I40" s="690"/>
      <c r="J40" s="702"/>
      <c r="K40" s="690"/>
      <c r="L40" s="702"/>
      <c r="M40" s="690"/>
      <c r="N40" s="702"/>
      <c r="O40" s="690"/>
      <c r="P40" s="702"/>
      <c r="Q40" s="690"/>
      <c r="R40" s="702"/>
      <c r="S40" s="690"/>
      <c r="T40" s="702"/>
      <c r="U40" s="690"/>
      <c r="V40" s="702"/>
      <c r="W40" s="690"/>
      <c r="X40" s="702"/>
      <c r="Y40" s="690"/>
      <c r="Z40" s="702"/>
      <c r="AA40" s="690"/>
      <c r="AB40" s="702"/>
      <c r="AC40" s="690"/>
      <c r="AD40" s="691"/>
      <c r="AE40" s="684"/>
      <c r="AF40" s="684"/>
      <c r="AG40" s="684"/>
    </row>
    <row r="41" spans="1:41" ht="100" customHeight="1" thickBot="1">
      <c r="A41" s="467"/>
      <c r="B41" s="679"/>
      <c r="C41" s="695">
        <v>412.596</v>
      </c>
      <c r="D41" s="679"/>
      <c r="E41" s="695">
        <v>340.11200000000002</v>
      </c>
      <c r="F41" s="679"/>
      <c r="G41" s="695">
        <v>410.76</v>
      </c>
      <c r="H41" s="679"/>
      <c r="I41" s="695">
        <v>427.9</v>
      </c>
      <c r="J41" s="679"/>
      <c r="K41" s="695">
        <v>404.21</v>
      </c>
      <c r="L41" s="679"/>
      <c r="M41" s="695">
        <v>398.44600000000003</v>
      </c>
      <c r="N41" s="679"/>
      <c r="O41" s="695">
        <v>431.93900000000002</v>
      </c>
      <c r="P41" s="679"/>
      <c r="Q41" s="695">
        <v>486.19600000000003</v>
      </c>
      <c r="R41" s="679"/>
      <c r="S41" s="695">
        <v>369.71699999999998</v>
      </c>
      <c r="T41" s="679"/>
      <c r="U41" s="695">
        <v>389.34399999999999</v>
      </c>
      <c r="V41" s="679"/>
      <c r="W41" s="695">
        <v>395.60199999999998</v>
      </c>
      <c r="X41" s="679"/>
      <c r="Y41" s="695">
        <v>375</v>
      </c>
      <c r="Z41" s="679"/>
      <c r="AA41" s="695">
        <v>462</v>
      </c>
      <c r="AB41" s="679"/>
      <c r="AC41" s="695">
        <v>382</v>
      </c>
      <c r="AD41" s="691"/>
      <c r="AE41" s="684"/>
      <c r="AF41" s="684"/>
      <c r="AG41" s="684"/>
      <c r="AM41" s="871">
        <f>COUNTIF(B41:AB41,"U/P")</f>
        <v>0</v>
      </c>
      <c r="AN41" s="871">
        <f>COUNTIF(C41:AC41,"ROW")</f>
        <v>0</v>
      </c>
      <c r="AO41" s="871">
        <f>COUNTIF(D41:AD41,"C")</f>
        <v>0</v>
      </c>
    </row>
    <row r="42" spans="1:41" ht="34" thickBot="1">
      <c r="A42" s="467"/>
      <c r="B42" s="698"/>
      <c r="C42" s="690"/>
      <c r="D42" s="698"/>
      <c r="E42" s="690"/>
      <c r="F42" s="698"/>
      <c r="G42" s="690"/>
      <c r="H42" s="698"/>
      <c r="I42" s="690"/>
      <c r="J42" s="698"/>
      <c r="K42" s="690"/>
      <c r="L42" s="698"/>
      <c r="M42" s="690"/>
      <c r="N42" s="698"/>
      <c r="O42" s="690"/>
      <c r="P42" s="698"/>
      <c r="Q42" s="690"/>
      <c r="R42" s="698"/>
      <c r="S42" s="690"/>
      <c r="T42" s="698"/>
      <c r="U42" s="690"/>
      <c r="V42" s="698"/>
      <c r="W42" s="690"/>
      <c r="X42" s="698"/>
      <c r="Y42" s="690"/>
      <c r="Z42" s="698"/>
      <c r="AA42" s="690"/>
      <c r="AB42" s="698"/>
      <c r="AC42" s="690"/>
      <c r="AD42" s="691"/>
      <c r="AE42" s="684"/>
      <c r="AF42" s="684"/>
      <c r="AG42" s="684"/>
    </row>
    <row r="43" spans="1:41" ht="33.5">
      <c r="A43" s="467"/>
      <c r="B43" s="686" t="s">
        <v>182</v>
      </c>
      <c r="C43" s="686"/>
      <c r="D43" s="686" t="s">
        <v>185</v>
      </c>
      <c r="E43" s="686"/>
      <c r="F43" s="687" t="s">
        <v>119</v>
      </c>
      <c r="G43" s="686"/>
      <c r="H43" s="686" t="s">
        <v>185</v>
      </c>
      <c r="I43" s="686"/>
      <c r="J43" s="686" t="s">
        <v>242</v>
      </c>
      <c r="K43" s="686"/>
      <c r="L43" s="686" t="s">
        <v>182</v>
      </c>
      <c r="M43" s="686"/>
      <c r="N43" s="686" t="s">
        <v>185</v>
      </c>
      <c r="O43" s="686"/>
      <c r="P43" s="687" t="s">
        <v>132</v>
      </c>
      <c r="Q43" s="686"/>
      <c r="R43" s="687" t="s">
        <v>137</v>
      </c>
      <c r="S43" s="686"/>
      <c r="T43" s="686" t="s">
        <v>185</v>
      </c>
      <c r="U43" s="686"/>
      <c r="V43" s="686" t="s">
        <v>182</v>
      </c>
      <c r="W43" s="686"/>
      <c r="X43" s="686" t="s">
        <v>185</v>
      </c>
      <c r="Y43" s="686"/>
      <c r="Z43" s="686" t="s">
        <v>242</v>
      </c>
      <c r="AA43" s="686"/>
      <c r="AB43" s="686" t="s">
        <v>182</v>
      </c>
      <c r="AC43" s="690"/>
      <c r="AD43" s="691"/>
      <c r="AE43" s="684"/>
      <c r="AF43" s="684"/>
      <c r="AG43" s="684"/>
    </row>
    <row r="44" spans="1:41" ht="30.5" customHeight="1">
      <c r="A44" s="1564" t="s">
        <v>1518</v>
      </c>
      <c r="B44" s="1554"/>
      <c r="C44" s="1554"/>
      <c r="D44" s="1554"/>
      <c r="E44" s="1554"/>
      <c r="F44" s="1554"/>
      <c r="G44" s="1554"/>
      <c r="H44" s="1554"/>
      <c r="I44" s="1554"/>
      <c r="J44" s="1554"/>
      <c r="K44" s="1554"/>
      <c r="L44" s="1554"/>
      <c r="M44" s="1554"/>
      <c r="N44" s="1554"/>
      <c r="O44" s="1554"/>
      <c r="P44" s="1554"/>
      <c r="Q44" s="1554"/>
      <c r="R44" s="1554"/>
      <c r="S44" s="1554"/>
      <c r="T44" s="1554"/>
      <c r="U44" s="1554"/>
      <c r="V44" s="1554"/>
      <c r="W44" s="1554"/>
      <c r="X44" s="1554"/>
      <c r="Y44" s="1554"/>
      <c r="Z44" s="1554"/>
      <c r="AA44" s="1554"/>
      <c r="AB44" s="1554"/>
      <c r="AC44" s="1554"/>
      <c r="AD44" s="1554"/>
      <c r="AE44" s="1554"/>
      <c r="AF44" s="1554"/>
      <c r="AG44" s="1554"/>
      <c r="AH44" s="1554"/>
      <c r="AI44" s="881"/>
      <c r="AJ44" s="881"/>
      <c r="AK44" s="881"/>
      <c r="AL44" s="881"/>
    </row>
    <row r="45" spans="1:41" ht="67" customHeight="1">
      <c r="A45" s="467"/>
      <c r="B45" s="672" t="s">
        <v>1224</v>
      </c>
      <c r="C45" s="671"/>
      <c r="D45" s="672" t="s">
        <v>1225</v>
      </c>
      <c r="E45" s="671"/>
      <c r="F45" s="672" t="s">
        <v>1226</v>
      </c>
      <c r="G45" s="671"/>
      <c r="H45" s="672" t="s">
        <v>1227</v>
      </c>
      <c r="I45" s="671"/>
      <c r="J45" s="672" t="s">
        <v>1228</v>
      </c>
      <c r="K45" s="671"/>
      <c r="L45" s="1584" t="s">
        <v>1229</v>
      </c>
      <c r="M45" s="1584"/>
      <c r="N45" s="1584" t="s">
        <v>1230</v>
      </c>
      <c r="O45" s="1584"/>
      <c r="P45" s="1584" t="s">
        <v>1231</v>
      </c>
      <c r="Q45" s="1584"/>
      <c r="R45" s="1584" t="s">
        <v>1232</v>
      </c>
      <c r="S45" s="1584"/>
      <c r="T45" s="1584" t="s">
        <v>1233</v>
      </c>
      <c r="U45" s="1584"/>
      <c r="V45" s="1584" t="s">
        <v>573</v>
      </c>
      <c r="W45" s="1584"/>
      <c r="X45" s="672" t="s">
        <v>1234</v>
      </c>
      <c r="Y45" s="671"/>
      <c r="Z45" s="672" t="s">
        <v>1235</v>
      </c>
      <c r="AA45" s="671"/>
      <c r="AB45" s="672" t="s">
        <v>1236</v>
      </c>
      <c r="AC45" s="690"/>
      <c r="AD45" s="691"/>
      <c r="AE45" s="684"/>
      <c r="AF45" s="684"/>
      <c r="AG45" s="684"/>
    </row>
    <row r="46" spans="1:41" ht="33.5">
      <c r="A46" s="467"/>
      <c r="B46" s="700"/>
      <c r="C46" s="690"/>
      <c r="D46" s="700"/>
      <c r="E46" s="690"/>
      <c r="F46" s="700"/>
      <c r="G46" s="690"/>
      <c r="H46" s="700"/>
      <c r="I46" s="690"/>
      <c r="J46" s="700"/>
      <c r="K46" s="690"/>
      <c r="L46" s="700"/>
      <c r="M46" s="690"/>
      <c r="N46" s="700"/>
      <c r="O46" s="690"/>
      <c r="P46" s="700"/>
      <c r="Q46" s="690"/>
      <c r="R46" s="700"/>
      <c r="S46" s="690"/>
      <c r="T46" s="700"/>
      <c r="U46" s="690"/>
      <c r="V46" s="700"/>
      <c r="W46" s="690"/>
      <c r="X46" s="700"/>
      <c r="Y46" s="690"/>
      <c r="Z46" s="700"/>
      <c r="AA46" s="690"/>
      <c r="AB46" s="700"/>
      <c r="AC46" s="690"/>
      <c r="AD46" s="691"/>
      <c r="AE46" s="684"/>
      <c r="AF46" s="684"/>
      <c r="AG46" s="684"/>
    </row>
    <row r="47" spans="1:41" ht="16.5" customHeight="1" thickBot="1">
      <c r="A47" s="467"/>
      <c r="B47" s="702"/>
      <c r="C47" s="690"/>
      <c r="D47" s="702"/>
      <c r="E47" s="690"/>
      <c r="F47" s="702"/>
      <c r="G47" s="690"/>
      <c r="H47" s="702"/>
      <c r="I47" s="690"/>
      <c r="J47" s="702"/>
      <c r="K47" s="690"/>
      <c r="L47" s="702"/>
      <c r="M47" s="690"/>
      <c r="N47" s="702"/>
      <c r="O47" s="690"/>
      <c r="P47" s="702"/>
      <c r="Q47" s="690"/>
      <c r="R47" s="702"/>
      <c r="S47" s="690"/>
      <c r="T47" s="702"/>
      <c r="U47" s="690"/>
      <c r="V47" s="702"/>
      <c r="W47" s="690"/>
      <c r="X47" s="702"/>
      <c r="Y47" s="690"/>
      <c r="Z47" s="702"/>
      <c r="AA47" s="690"/>
      <c r="AB47" s="702"/>
      <c r="AC47" s="690"/>
      <c r="AD47" s="691"/>
      <c r="AE47" s="684"/>
      <c r="AF47" s="684"/>
      <c r="AG47" s="684"/>
    </row>
    <row r="48" spans="1:41" ht="100" customHeight="1" thickBot="1">
      <c r="A48" s="467"/>
      <c r="B48" s="679"/>
      <c r="C48" s="695">
        <v>428</v>
      </c>
      <c r="D48" s="679"/>
      <c r="E48" s="695">
        <v>411</v>
      </c>
      <c r="F48" s="679"/>
      <c r="G48" s="695">
        <v>352</v>
      </c>
      <c r="H48" s="679"/>
      <c r="I48" s="695">
        <v>405</v>
      </c>
      <c r="J48" s="679"/>
      <c r="K48" s="695">
        <v>400.12599999999998</v>
      </c>
      <c r="L48" s="679"/>
      <c r="M48" s="695">
        <v>384</v>
      </c>
      <c r="N48" s="679"/>
      <c r="O48" s="695">
        <v>406</v>
      </c>
      <c r="P48" s="679"/>
      <c r="Q48" s="695">
        <v>378</v>
      </c>
      <c r="R48" s="679"/>
      <c r="S48" s="695">
        <v>373</v>
      </c>
      <c r="T48" s="679"/>
      <c r="U48" s="695">
        <v>378.36200000000002</v>
      </c>
      <c r="V48" s="679"/>
      <c r="W48" s="695">
        <v>433.995</v>
      </c>
      <c r="X48" s="679"/>
      <c r="Y48" s="695">
        <v>370.685</v>
      </c>
      <c r="Z48" s="679"/>
      <c r="AA48" s="695">
        <v>323.97199999999998</v>
      </c>
      <c r="AB48" s="679"/>
      <c r="AC48" s="695">
        <v>384.46199999999999</v>
      </c>
      <c r="AD48" s="691"/>
      <c r="AE48" s="684"/>
      <c r="AF48" s="684"/>
      <c r="AG48" s="684"/>
      <c r="AM48" s="871">
        <f>COUNTIF(B48:AB48,"U/P")</f>
        <v>0</v>
      </c>
      <c r="AN48" s="871">
        <f>COUNTIF(C48:AC48,"ROW")</f>
        <v>0</v>
      </c>
      <c r="AO48" s="871">
        <f>COUNTIF(D48:AD48,"C")</f>
        <v>0</v>
      </c>
    </row>
    <row r="49" spans="1:41" ht="34" thickBot="1">
      <c r="A49" s="467"/>
      <c r="B49" s="698"/>
      <c r="C49" s="690"/>
      <c r="D49" s="698"/>
      <c r="E49" s="690"/>
      <c r="F49" s="698"/>
      <c r="G49" s="690"/>
      <c r="H49" s="698"/>
      <c r="I49" s="690"/>
      <c r="J49" s="698"/>
      <c r="K49" s="690"/>
      <c r="L49" s="698"/>
      <c r="M49" s="690"/>
      <c r="N49" s="698"/>
      <c r="O49" s="690"/>
      <c r="P49" s="698"/>
      <c r="Q49" s="690"/>
      <c r="R49" s="698"/>
      <c r="S49" s="690"/>
      <c r="T49" s="698"/>
      <c r="U49" s="690"/>
      <c r="V49" s="698"/>
      <c r="W49" s="690"/>
      <c r="X49" s="698"/>
      <c r="Y49" s="690"/>
      <c r="Z49" s="698"/>
      <c r="AA49" s="690"/>
      <c r="AB49" s="698"/>
      <c r="AC49" s="690"/>
      <c r="AD49" s="691"/>
      <c r="AE49" s="684"/>
      <c r="AF49" s="684"/>
      <c r="AG49" s="684"/>
    </row>
    <row r="50" spans="1:41" ht="33.5">
      <c r="A50" s="467"/>
      <c r="B50" s="686" t="s">
        <v>182</v>
      </c>
      <c r="C50" s="686"/>
      <c r="D50" s="686" t="s">
        <v>182</v>
      </c>
      <c r="E50" s="686"/>
      <c r="F50" s="686" t="s">
        <v>182</v>
      </c>
      <c r="G50" s="686"/>
      <c r="H50" s="687" t="s">
        <v>119</v>
      </c>
      <c r="I50" s="686"/>
      <c r="J50" s="686" t="s">
        <v>182</v>
      </c>
      <c r="K50" s="686"/>
      <c r="L50" s="686" t="s">
        <v>185</v>
      </c>
      <c r="M50" s="686"/>
      <c r="N50" s="686" t="s">
        <v>185</v>
      </c>
      <c r="O50" s="686"/>
      <c r="P50" s="686" t="s">
        <v>185</v>
      </c>
      <c r="Q50" s="686"/>
      <c r="R50" s="686" t="s">
        <v>182</v>
      </c>
      <c r="S50" s="686"/>
      <c r="T50" s="686" t="s">
        <v>242</v>
      </c>
      <c r="U50" s="686"/>
      <c r="V50" s="687" t="s">
        <v>119</v>
      </c>
      <c r="W50" s="686"/>
      <c r="X50" s="686" t="s">
        <v>185</v>
      </c>
      <c r="Y50" s="686"/>
      <c r="Z50" s="686" t="s">
        <v>182</v>
      </c>
      <c r="AA50" s="686"/>
      <c r="AB50" s="686" t="s">
        <v>182</v>
      </c>
      <c r="AC50" s="690"/>
      <c r="AD50" s="691"/>
      <c r="AE50" s="683"/>
      <c r="AF50" s="684"/>
      <c r="AG50" s="684"/>
    </row>
    <row r="51" spans="1:41" ht="29.5" customHeight="1">
      <c r="A51" s="467"/>
      <c r="B51" s="704"/>
      <c r="C51" s="704"/>
      <c r="D51" s="705" t="s">
        <v>1620</v>
      </c>
      <c r="E51" s="704"/>
      <c r="F51" s="704"/>
      <c r="G51" s="704"/>
      <c r="H51" s="704"/>
      <c r="I51" s="704"/>
      <c r="J51" s="705" t="s">
        <v>1620</v>
      </c>
      <c r="K51" s="704"/>
      <c r="L51" s="704"/>
      <c r="M51" s="704"/>
      <c r="N51" s="704"/>
      <c r="O51" s="704"/>
      <c r="P51" s="704"/>
      <c r="Q51" s="704"/>
      <c r="R51" s="704"/>
      <c r="S51" s="704"/>
      <c r="T51" s="704"/>
      <c r="U51" s="704"/>
      <c r="V51" s="704"/>
      <c r="W51" s="704"/>
      <c r="X51" s="704"/>
      <c r="Y51" s="704"/>
      <c r="Z51" s="704"/>
      <c r="AA51" s="704"/>
      <c r="AB51" s="704"/>
      <c r="AC51" s="693"/>
      <c r="AD51" s="691"/>
      <c r="AE51" s="683"/>
      <c r="AF51" s="684"/>
      <c r="AG51" s="684"/>
    </row>
    <row r="52" spans="1:41" ht="41.5" customHeight="1">
      <c r="A52" s="1561" t="s">
        <v>1518</v>
      </c>
      <c r="B52" s="1551"/>
      <c r="C52" s="1551"/>
      <c r="D52" s="1551"/>
      <c r="E52" s="1551"/>
      <c r="F52" s="1551"/>
      <c r="G52" s="1551"/>
      <c r="H52" s="1551"/>
      <c r="I52" s="1551"/>
      <c r="J52" s="1551"/>
      <c r="K52" s="1551"/>
      <c r="L52" s="1551"/>
      <c r="M52" s="1551"/>
      <c r="N52" s="1551"/>
      <c r="O52" s="1551"/>
      <c r="P52" s="1551"/>
      <c r="Q52" s="1551"/>
      <c r="R52" s="1551"/>
      <c r="S52" s="1551"/>
      <c r="T52" s="1551"/>
      <c r="U52" s="1551"/>
      <c r="V52" s="1551"/>
      <c r="W52" s="1551"/>
      <c r="X52" s="1551"/>
      <c r="Y52" s="1551"/>
      <c r="Z52" s="1551"/>
      <c r="AA52" s="1551"/>
      <c r="AB52" s="1551"/>
      <c r="AC52" s="1551"/>
      <c r="AD52" s="1551"/>
      <c r="AE52" s="1551"/>
      <c r="AF52" s="1551"/>
      <c r="AG52" s="1551"/>
      <c r="AH52" s="1551"/>
      <c r="AI52" s="881"/>
      <c r="AJ52" s="881"/>
      <c r="AK52" s="881"/>
      <c r="AL52" s="881"/>
    </row>
    <row r="53" spans="1:41" ht="29.5" customHeight="1">
      <c r="A53" s="706"/>
      <c r="B53" s="707"/>
      <c r="C53" s="707"/>
      <c r="D53" s="707"/>
      <c r="E53" s="707"/>
      <c r="F53" s="707"/>
      <c r="G53" s="707"/>
      <c r="H53" s="707"/>
      <c r="I53" s="707"/>
      <c r="J53" s="707"/>
      <c r="K53" s="707"/>
      <c r="L53" s="707"/>
      <c r="M53" s="707"/>
      <c r="N53" s="707"/>
      <c r="O53" s="707"/>
      <c r="P53" s="707"/>
      <c r="Q53" s="707"/>
      <c r="R53" s="707"/>
      <c r="S53" s="707"/>
      <c r="T53" s="707"/>
      <c r="U53" s="707"/>
      <c r="V53" s="707"/>
      <c r="W53" s="707"/>
      <c r="X53" s="707"/>
      <c r="Y53" s="707"/>
      <c r="Z53" s="707"/>
      <c r="AA53" s="707"/>
      <c r="AB53" s="707"/>
      <c r="AC53" s="707"/>
      <c r="AD53" s="707"/>
      <c r="AE53" s="707"/>
      <c r="AF53" s="707"/>
      <c r="AG53" s="707"/>
      <c r="AH53" s="707"/>
      <c r="AI53" s="707"/>
      <c r="AJ53" s="707"/>
      <c r="AK53" s="707"/>
      <c r="AL53" s="707"/>
    </row>
    <row r="54" spans="1:41" ht="67" customHeight="1">
      <c r="A54" s="467"/>
      <c r="B54" s="672" t="s">
        <v>1237</v>
      </c>
      <c r="C54" s="671"/>
      <c r="D54" s="672" t="s">
        <v>1238</v>
      </c>
      <c r="E54" s="671"/>
      <c r="F54" s="672" t="s">
        <v>1239</v>
      </c>
      <c r="G54" s="671"/>
      <c r="H54" s="672" t="s">
        <v>575</v>
      </c>
      <c r="I54" s="671"/>
      <c r="J54" s="672" t="s">
        <v>1240</v>
      </c>
      <c r="K54" s="671"/>
      <c r="L54" s="672" t="s">
        <v>1241</v>
      </c>
      <c r="M54" s="671"/>
      <c r="N54" s="1550" t="s">
        <v>584</v>
      </c>
      <c r="O54" s="1550"/>
      <c r="P54" s="672" t="s">
        <v>1242</v>
      </c>
      <c r="Q54" s="671"/>
      <c r="R54" s="672" t="s">
        <v>1243</v>
      </c>
      <c r="S54" s="671"/>
      <c r="T54" s="672" t="s">
        <v>1244</v>
      </c>
      <c r="U54" s="671"/>
      <c r="V54" s="1550" t="s">
        <v>589</v>
      </c>
      <c r="W54" s="1550"/>
      <c r="X54" s="672" t="s">
        <v>1245</v>
      </c>
      <c r="Y54" s="671"/>
      <c r="Z54" s="1550" t="s">
        <v>590</v>
      </c>
      <c r="AA54" s="1550"/>
      <c r="AB54" s="672" t="s">
        <v>1246</v>
      </c>
      <c r="AC54" s="690"/>
      <c r="AD54" s="708"/>
      <c r="AE54" s="684"/>
      <c r="AF54" s="684"/>
      <c r="AG54" s="684"/>
    </row>
    <row r="55" spans="1:41" ht="33.5">
      <c r="A55" s="467"/>
      <c r="B55" s="700"/>
      <c r="C55" s="690"/>
      <c r="D55" s="700"/>
      <c r="E55" s="701"/>
      <c r="F55" s="700"/>
      <c r="G55" s="701"/>
      <c r="H55" s="700"/>
      <c r="I55" s="690"/>
      <c r="J55" s="700"/>
      <c r="K55" s="690"/>
      <c r="L55" s="700"/>
      <c r="M55" s="690"/>
      <c r="N55" s="700"/>
      <c r="O55" s="690"/>
      <c r="P55" s="700"/>
      <c r="Q55" s="690"/>
      <c r="R55" s="700"/>
      <c r="S55" s="701"/>
      <c r="T55" s="700"/>
      <c r="U55" s="701"/>
      <c r="V55" s="700"/>
      <c r="W55" s="686"/>
      <c r="X55" s="700"/>
      <c r="Y55" s="690"/>
      <c r="Z55" s="700"/>
      <c r="AA55" s="709"/>
      <c r="AB55" s="700"/>
      <c r="AC55" s="690"/>
      <c r="AD55" s="708"/>
      <c r="AE55" s="684"/>
      <c r="AF55" s="684"/>
      <c r="AG55" s="684"/>
    </row>
    <row r="56" spans="1:41" ht="14" customHeight="1" thickBot="1">
      <c r="A56" s="467"/>
      <c r="B56" s="702"/>
      <c r="C56" s="690"/>
      <c r="D56" s="702"/>
      <c r="E56" s="690"/>
      <c r="F56" s="702"/>
      <c r="G56" s="690"/>
      <c r="H56" s="702"/>
      <c r="I56" s="690"/>
      <c r="J56" s="702"/>
      <c r="K56" s="690"/>
      <c r="L56" s="702"/>
      <c r="M56" s="690"/>
      <c r="N56" s="702"/>
      <c r="O56" s="690"/>
      <c r="P56" s="702"/>
      <c r="Q56" s="690"/>
      <c r="R56" s="702"/>
      <c r="S56" s="690"/>
      <c r="T56" s="702"/>
      <c r="U56" s="690"/>
      <c r="V56" s="702"/>
      <c r="W56" s="690"/>
      <c r="X56" s="702"/>
      <c r="Y56" s="690"/>
      <c r="Z56" s="702"/>
      <c r="AA56" s="690"/>
      <c r="AB56" s="702"/>
      <c r="AC56" s="690"/>
      <c r="AD56" s="708"/>
      <c r="AE56" s="684"/>
      <c r="AF56" s="684"/>
      <c r="AG56" s="684"/>
    </row>
    <row r="57" spans="1:41" ht="100" customHeight="1" thickBot="1">
      <c r="A57" s="467"/>
      <c r="B57" s="679"/>
      <c r="C57" s="695">
        <v>381.18799999999999</v>
      </c>
      <c r="D57" s="679"/>
      <c r="E57" s="695">
        <v>336.40899999999999</v>
      </c>
      <c r="F57" s="679"/>
      <c r="G57" s="695">
        <v>438.97</v>
      </c>
      <c r="H57" s="679"/>
      <c r="I57" s="695">
        <v>395.17899999999997</v>
      </c>
      <c r="J57" s="679"/>
      <c r="K57" s="695">
        <v>388.12</v>
      </c>
      <c r="L57" s="679"/>
      <c r="M57" s="695">
        <v>364.44600000000003</v>
      </c>
      <c r="N57" s="679"/>
      <c r="O57" s="695">
        <v>404.572</v>
      </c>
      <c r="P57" s="679"/>
      <c r="Q57" s="695">
        <v>432.27</v>
      </c>
      <c r="R57" s="679"/>
      <c r="S57" s="695">
        <v>404.23</v>
      </c>
      <c r="T57" s="679"/>
      <c r="U57" s="695">
        <v>416.62099999999998</v>
      </c>
      <c r="V57" s="679"/>
      <c r="W57" s="695">
        <v>468.03899999999999</v>
      </c>
      <c r="X57" s="679"/>
      <c r="Y57" s="695">
        <v>432.31799999999998</v>
      </c>
      <c r="Z57" s="679"/>
      <c r="AA57" s="695">
        <v>464.52100000000002</v>
      </c>
      <c r="AB57" s="679"/>
      <c r="AC57" s="695">
        <v>369.74299999999999</v>
      </c>
      <c r="AD57" s="708"/>
      <c r="AE57" s="684"/>
      <c r="AF57" s="684"/>
      <c r="AG57" s="684"/>
      <c r="AM57" s="871">
        <f>COUNTIF(B57:AB57,"U/P")</f>
        <v>0</v>
      </c>
      <c r="AN57" s="871">
        <f>COUNTIF(C57:AC57,"ROW")</f>
        <v>0</v>
      </c>
      <c r="AO57" s="871">
        <f>COUNTIF(D57:AD57,"C")</f>
        <v>0</v>
      </c>
    </row>
    <row r="58" spans="1:41" ht="34" thickBot="1">
      <c r="A58" s="467"/>
      <c r="B58" s="698"/>
      <c r="C58" s="690"/>
      <c r="D58" s="698"/>
      <c r="E58" s="690"/>
      <c r="F58" s="698"/>
      <c r="G58" s="690"/>
      <c r="H58" s="698"/>
      <c r="I58" s="690"/>
      <c r="J58" s="698"/>
      <c r="K58" s="690"/>
      <c r="L58" s="698"/>
      <c r="M58" s="690"/>
      <c r="N58" s="698"/>
      <c r="O58" s="690"/>
      <c r="P58" s="698"/>
      <c r="Q58" s="690"/>
      <c r="R58" s="698"/>
      <c r="S58" s="690"/>
      <c r="T58" s="698"/>
      <c r="U58" s="690"/>
      <c r="V58" s="698"/>
      <c r="W58" s="690"/>
      <c r="X58" s="698"/>
      <c r="Y58" s="690"/>
      <c r="Z58" s="698"/>
      <c r="AA58" s="690"/>
      <c r="AB58" s="698"/>
      <c r="AC58" s="690"/>
      <c r="AD58" s="708"/>
      <c r="AE58" s="684"/>
      <c r="AF58" s="684"/>
      <c r="AG58" s="684"/>
    </row>
    <row r="59" spans="1:41" ht="33.5">
      <c r="A59" s="467"/>
      <c r="B59" s="686" t="s">
        <v>182</v>
      </c>
      <c r="C59" s="686"/>
      <c r="D59" s="686" t="s">
        <v>182</v>
      </c>
      <c r="E59" s="686"/>
      <c r="F59" s="686" t="s">
        <v>182</v>
      </c>
      <c r="G59" s="686"/>
      <c r="H59" s="687" t="s">
        <v>119</v>
      </c>
      <c r="I59" s="686"/>
      <c r="J59" s="686" t="s">
        <v>182</v>
      </c>
      <c r="K59" s="686"/>
      <c r="L59" s="686" t="s">
        <v>185</v>
      </c>
      <c r="M59" s="686"/>
      <c r="N59" s="687" t="s">
        <v>115</v>
      </c>
      <c r="O59" s="686"/>
      <c r="P59" s="686" t="s">
        <v>248</v>
      </c>
      <c r="Q59" s="686"/>
      <c r="R59" s="686" t="s">
        <v>242</v>
      </c>
      <c r="S59" s="686"/>
      <c r="T59" s="686" t="s">
        <v>185</v>
      </c>
      <c r="U59" s="686"/>
      <c r="V59" s="687" t="s">
        <v>119</v>
      </c>
      <c r="W59" s="686"/>
      <c r="X59" s="687" t="s">
        <v>132</v>
      </c>
      <c r="Y59" s="686"/>
      <c r="Z59" s="687" t="s">
        <v>123</v>
      </c>
      <c r="AA59" s="686"/>
      <c r="AB59" s="686" t="s">
        <v>242</v>
      </c>
      <c r="AC59" s="690"/>
      <c r="AD59" s="708"/>
      <c r="AE59" s="684"/>
      <c r="AF59" s="684"/>
      <c r="AG59" s="684"/>
    </row>
    <row r="60" spans="1:41" ht="51" customHeight="1">
      <c r="A60" s="467"/>
      <c r="B60" s="686"/>
      <c r="C60" s="686"/>
      <c r="D60" s="686"/>
      <c r="E60" s="686"/>
      <c r="F60" s="686"/>
      <c r="G60" s="686"/>
      <c r="H60" s="686"/>
      <c r="I60" s="1582" t="s">
        <v>1519</v>
      </c>
      <c r="J60" s="1582"/>
      <c r="K60" s="695"/>
      <c r="L60" s="1583" t="s">
        <v>1520</v>
      </c>
      <c r="M60" s="1583"/>
      <c r="N60" s="686"/>
      <c r="O60" s="686"/>
      <c r="P60" s="686"/>
      <c r="Q60" s="686"/>
      <c r="R60" s="686"/>
      <c r="S60" s="686"/>
      <c r="T60" s="686"/>
      <c r="U60" s="686"/>
      <c r="V60" s="717" t="s">
        <v>1685</v>
      </c>
      <c r="W60" s="686"/>
      <c r="X60" s="686"/>
      <c r="Y60" s="686"/>
      <c r="Z60" s="686"/>
      <c r="AA60" s="686"/>
      <c r="AB60" s="686"/>
      <c r="AC60" s="690"/>
      <c r="AD60" s="708"/>
      <c r="AE60" s="684"/>
      <c r="AF60" s="684"/>
      <c r="AG60" s="684"/>
    </row>
    <row r="61" spans="1:41" ht="33.5" customHeight="1">
      <c r="A61" s="1561" t="s">
        <v>1518</v>
      </c>
      <c r="B61" s="1551"/>
      <c r="C61" s="1551"/>
      <c r="D61" s="1551"/>
      <c r="E61" s="1551"/>
      <c r="F61" s="1551"/>
      <c r="G61" s="1551"/>
      <c r="H61" s="1551"/>
      <c r="I61" s="1551"/>
      <c r="J61" s="1551"/>
      <c r="K61" s="1551"/>
      <c r="L61" s="1551"/>
      <c r="M61" s="1551"/>
      <c r="N61" s="1551"/>
      <c r="O61" s="1551"/>
      <c r="P61" s="1551"/>
      <c r="Q61" s="1551"/>
      <c r="R61" s="1551"/>
      <c r="S61" s="1551"/>
      <c r="T61" s="1551"/>
      <c r="U61" s="1551"/>
      <c r="V61" s="1551"/>
      <c r="W61" s="1551"/>
      <c r="X61" s="1551"/>
      <c r="Y61" s="1551"/>
      <c r="Z61" s="1551"/>
      <c r="AA61" s="1551"/>
      <c r="AB61" s="1551"/>
      <c r="AC61" s="1551"/>
      <c r="AD61" s="1551"/>
      <c r="AE61" s="1551"/>
      <c r="AF61" s="1551"/>
      <c r="AG61" s="1551"/>
      <c r="AH61" s="1551"/>
      <c r="AI61" s="881"/>
      <c r="AJ61" s="881"/>
      <c r="AK61" s="881"/>
      <c r="AL61" s="881"/>
    </row>
    <row r="62" spans="1:41" ht="23.5" customHeight="1">
      <c r="A62" s="467"/>
      <c r="B62" s="672" t="s">
        <v>595</v>
      </c>
      <c r="C62" s="671"/>
      <c r="D62" s="672" t="s">
        <v>1247</v>
      </c>
      <c r="E62" s="671"/>
      <c r="F62" s="672" t="s">
        <v>604</v>
      </c>
      <c r="G62" s="671"/>
      <c r="H62" s="672" t="s">
        <v>1248</v>
      </c>
      <c r="I62" s="671"/>
      <c r="J62" s="672" t="s">
        <v>608</v>
      </c>
      <c r="K62" s="671"/>
      <c r="L62" s="672" t="s">
        <v>1249</v>
      </c>
      <c r="M62" s="671"/>
      <c r="N62" s="672" t="s">
        <v>609</v>
      </c>
      <c r="O62" s="671"/>
      <c r="P62" s="672" t="s">
        <v>1250</v>
      </c>
      <c r="Q62" s="671"/>
      <c r="R62" s="672" t="s">
        <v>1251</v>
      </c>
      <c r="S62" s="671"/>
      <c r="T62" s="672" t="s">
        <v>1252</v>
      </c>
      <c r="U62" s="671"/>
      <c r="V62" s="672" t="s">
        <v>610</v>
      </c>
      <c r="W62" s="671"/>
      <c r="X62" s="672" t="s">
        <v>1253</v>
      </c>
      <c r="Y62" s="671"/>
      <c r="Z62" s="672" t="s">
        <v>1254</v>
      </c>
      <c r="AA62" s="671"/>
      <c r="AB62" s="672" t="s">
        <v>1255</v>
      </c>
      <c r="AC62" s="690"/>
      <c r="AD62" s="708"/>
      <c r="AE62" s="711"/>
      <c r="AF62" s="711"/>
      <c r="AG62" s="711"/>
      <c r="AH62" s="708"/>
      <c r="AI62" s="708"/>
      <c r="AJ62" s="708"/>
      <c r="AK62" s="708"/>
      <c r="AL62" s="708"/>
    </row>
    <row r="63" spans="1:41" ht="33.5">
      <c r="A63" s="467"/>
      <c r="B63" s="700"/>
      <c r="C63" s="690"/>
      <c r="D63" s="700"/>
      <c r="E63" s="690"/>
      <c r="F63" s="700"/>
      <c r="G63" s="690"/>
      <c r="H63" s="700"/>
      <c r="I63" s="690"/>
      <c r="J63" s="700"/>
      <c r="K63" s="690"/>
      <c r="L63" s="700"/>
      <c r="M63" s="701"/>
      <c r="N63" s="700"/>
      <c r="O63" s="686"/>
      <c r="P63" s="700"/>
      <c r="Q63" s="690"/>
      <c r="R63" s="700"/>
      <c r="S63" s="690"/>
      <c r="T63" s="700"/>
      <c r="U63" s="690"/>
      <c r="V63" s="700"/>
      <c r="W63" s="690"/>
      <c r="X63" s="700"/>
      <c r="Y63" s="690"/>
      <c r="Z63" s="700"/>
      <c r="AA63" s="690"/>
      <c r="AB63" s="700"/>
      <c r="AC63" s="690"/>
      <c r="AD63" s="708"/>
      <c r="AE63" s="711"/>
      <c r="AF63" s="711"/>
      <c r="AG63" s="711"/>
      <c r="AH63" s="708"/>
      <c r="AI63" s="708"/>
      <c r="AJ63" s="708"/>
      <c r="AK63" s="708"/>
      <c r="AL63" s="708"/>
    </row>
    <row r="64" spans="1:41" ht="15" customHeight="1" thickBot="1">
      <c r="A64" s="467"/>
      <c r="B64" s="702"/>
      <c r="C64" s="690"/>
      <c r="D64" s="702"/>
      <c r="E64" s="690"/>
      <c r="F64" s="702"/>
      <c r="G64" s="690"/>
      <c r="H64" s="702"/>
      <c r="I64" s="690"/>
      <c r="J64" s="702"/>
      <c r="K64" s="690"/>
      <c r="L64" s="702"/>
      <c r="M64" s="690"/>
      <c r="N64" s="702"/>
      <c r="O64" s="690"/>
      <c r="P64" s="702"/>
      <c r="Q64" s="690"/>
      <c r="R64" s="702"/>
      <c r="S64" s="690"/>
      <c r="T64" s="702"/>
      <c r="U64" s="690"/>
      <c r="V64" s="702"/>
      <c r="W64" s="690"/>
      <c r="X64" s="702"/>
      <c r="Y64" s="690"/>
      <c r="Z64" s="702"/>
      <c r="AA64" s="690"/>
      <c r="AB64" s="702"/>
      <c r="AC64" s="690"/>
      <c r="AD64" s="708"/>
      <c r="AE64" s="711"/>
      <c r="AF64" s="711"/>
      <c r="AG64" s="711"/>
      <c r="AH64" s="708"/>
      <c r="AI64" s="708"/>
      <c r="AJ64" s="708"/>
      <c r="AK64" s="708"/>
      <c r="AL64" s="708"/>
    </row>
    <row r="65" spans="1:41" ht="100" customHeight="1" thickBot="1">
      <c r="A65" s="467"/>
      <c r="B65" s="679"/>
      <c r="C65" s="695">
        <v>284.16000000000003</v>
      </c>
      <c r="D65" s="679"/>
      <c r="E65" s="695">
        <v>270.74200000000002</v>
      </c>
      <c r="F65" s="679"/>
      <c r="G65" s="695">
        <v>286.64</v>
      </c>
      <c r="H65" s="679"/>
      <c r="I65" s="695">
        <v>291.69900000000001</v>
      </c>
      <c r="J65" s="679"/>
      <c r="K65" s="695">
        <v>398.71899999999999</v>
      </c>
      <c r="L65" s="679"/>
      <c r="M65" s="695">
        <v>425.46499999999997</v>
      </c>
      <c r="N65" s="679"/>
      <c r="O65" s="695">
        <v>383.81299999999999</v>
      </c>
      <c r="P65" s="679"/>
      <c r="Q65" s="695">
        <v>403.279</v>
      </c>
      <c r="R65" s="679"/>
      <c r="S65" s="695">
        <v>355.21499999999997</v>
      </c>
      <c r="T65" s="679"/>
      <c r="U65" s="695">
        <v>399.839</v>
      </c>
      <c r="V65" s="679"/>
      <c r="W65" s="695">
        <v>287.44200000000001</v>
      </c>
      <c r="X65" s="679"/>
      <c r="Y65" s="695">
        <v>390.74799999999999</v>
      </c>
      <c r="Z65" s="679"/>
      <c r="AA65" s="695">
        <v>364.274</v>
      </c>
      <c r="AB65" s="679"/>
      <c r="AC65" s="695">
        <v>337.54599999999999</v>
      </c>
      <c r="AD65" s="708"/>
      <c r="AE65" s="711"/>
      <c r="AF65" s="711"/>
      <c r="AG65" s="711"/>
      <c r="AH65" s="708"/>
      <c r="AI65" s="708"/>
      <c r="AJ65" s="708"/>
      <c r="AK65" s="708"/>
      <c r="AL65" s="708"/>
      <c r="AM65" s="871">
        <f>COUNTIF(B65:AB65,"U/P")</f>
        <v>0</v>
      </c>
      <c r="AN65" s="871">
        <f>COUNTIF(C65:AC65,"ROW")</f>
        <v>0</v>
      </c>
      <c r="AO65" s="871">
        <f>COUNTIF(D65:AD65,"C")</f>
        <v>0</v>
      </c>
    </row>
    <row r="66" spans="1:41" ht="34" thickBot="1">
      <c r="A66" s="467"/>
      <c r="B66" s="698"/>
      <c r="C66" s="690"/>
      <c r="D66" s="698"/>
      <c r="E66" s="690"/>
      <c r="F66" s="698"/>
      <c r="G66" s="690"/>
      <c r="H66" s="698"/>
      <c r="I66" s="690"/>
      <c r="J66" s="698"/>
      <c r="K66" s="690"/>
      <c r="L66" s="698"/>
      <c r="M66" s="690"/>
      <c r="N66" s="698"/>
      <c r="O66" s="690"/>
      <c r="P66" s="698"/>
      <c r="Q66" s="690"/>
      <c r="R66" s="698"/>
      <c r="S66" s="690"/>
      <c r="T66" s="698"/>
      <c r="U66" s="690"/>
      <c r="V66" s="698"/>
      <c r="W66" s="690"/>
      <c r="X66" s="698"/>
      <c r="Y66" s="690"/>
      <c r="Z66" s="698"/>
      <c r="AA66" s="690"/>
      <c r="AB66" s="698"/>
      <c r="AC66" s="690"/>
      <c r="AD66" s="708"/>
      <c r="AE66" s="711"/>
      <c r="AF66" s="711"/>
      <c r="AG66" s="711"/>
      <c r="AH66" s="708"/>
      <c r="AI66" s="708"/>
      <c r="AJ66" s="708"/>
      <c r="AK66" s="708"/>
      <c r="AL66" s="708"/>
    </row>
    <row r="67" spans="1:41" ht="21" customHeight="1">
      <c r="A67" s="467"/>
      <c r="B67" s="687" t="s">
        <v>125</v>
      </c>
      <c r="C67" s="686"/>
      <c r="D67" s="686" t="s">
        <v>182</v>
      </c>
      <c r="E67" s="686"/>
      <c r="F67" s="687" t="s">
        <v>119</v>
      </c>
      <c r="G67" s="686"/>
      <c r="H67" s="686" t="s">
        <v>182</v>
      </c>
      <c r="I67" s="686"/>
      <c r="J67" s="687" t="s">
        <v>115</v>
      </c>
      <c r="K67" s="686"/>
      <c r="L67" s="686" t="s">
        <v>242</v>
      </c>
      <c r="M67" s="686"/>
      <c r="N67" s="687" t="s">
        <v>125</v>
      </c>
      <c r="O67" s="686"/>
      <c r="P67" s="686" t="s">
        <v>185</v>
      </c>
      <c r="Q67" s="686"/>
      <c r="R67" s="686" t="s">
        <v>182</v>
      </c>
      <c r="S67" s="686"/>
      <c r="T67" s="686" t="s">
        <v>185</v>
      </c>
      <c r="U67" s="686"/>
      <c r="V67" s="687" t="s">
        <v>115</v>
      </c>
      <c r="W67" s="686"/>
      <c r="X67" s="686" t="s">
        <v>182</v>
      </c>
      <c r="Y67" s="686"/>
      <c r="Z67" s="686" t="s">
        <v>182</v>
      </c>
      <c r="AA67" s="686"/>
      <c r="AB67" s="686" t="s">
        <v>182</v>
      </c>
      <c r="AC67" s="690"/>
      <c r="AD67" s="708"/>
      <c r="AE67" s="711"/>
      <c r="AF67" s="711"/>
      <c r="AG67" s="711"/>
      <c r="AH67" s="708"/>
      <c r="AI67" s="708"/>
      <c r="AJ67" s="708"/>
      <c r="AK67" s="708"/>
      <c r="AL67" s="708"/>
    </row>
    <row r="68" spans="1:41" ht="37.5" customHeight="1">
      <c r="A68" s="467"/>
      <c r="B68" s="686"/>
      <c r="C68" s="686"/>
      <c r="D68" s="686"/>
      <c r="E68" s="686"/>
      <c r="F68" s="686"/>
      <c r="G68" s="686"/>
      <c r="H68" s="686"/>
      <c r="I68" s="686"/>
      <c r="J68" s="686"/>
      <c r="K68" s="686"/>
      <c r="L68" s="686"/>
      <c r="M68" s="1582" t="s">
        <v>1521</v>
      </c>
      <c r="N68" s="1582"/>
      <c r="O68" s="686"/>
      <c r="P68" s="686"/>
      <c r="Q68" s="686"/>
      <c r="R68" s="686"/>
      <c r="S68" s="686"/>
      <c r="T68" s="686"/>
      <c r="U68" s="686"/>
      <c r="V68" s="686"/>
      <c r="W68" s="686"/>
      <c r="X68" s="1583" t="s">
        <v>1522</v>
      </c>
      <c r="Y68" s="1583"/>
      <c r="Z68" s="686"/>
      <c r="AA68" s="686"/>
      <c r="AB68" s="686"/>
      <c r="AC68" s="690"/>
      <c r="AD68" s="708"/>
      <c r="AE68" s="711"/>
      <c r="AF68" s="711"/>
      <c r="AG68" s="711"/>
      <c r="AH68" s="708"/>
      <c r="AI68" s="708"/>
      <c r="AJ68" s="708"/>
      <c r="AK68" s="708"/>
      <c r="AL68" s="708"/>
    </row>
    <row r="69" spans="1:41" ht="41.5" customHeight="1">
      <c r="A69" s="1561" t="s">
        <v>1518</v>
      </c>
      <c r="B69" s="1551"/>
      <c r="C69" s="1551"/>
      <c r="D69" s="1551"/>
      <c r="E69" s="1551"/>
      <c r="F69" s="1551"/>
      <c r="G69" s="1551"/>
      <c r="H69" s="1551"/>
      <c r="I69" s="1551"/>
      <c r="J69" s="1551"/>
      <c r="K69" s="1551"/>
      <c r="L69" s="1551"/>
      <c r="M69" s="1551"/>
      <c r="N69" s="1551"/>
      <c r="O69" s="1551"/>
      <c r="P69" s="1551"/>
      <c r="Q69" s="1551"/>
      <c r="R69" s="1551"/>
      <c r="S69" s="1551"/>
      <c r="T69" s="1551"/>
      <c r="U69" s="1551"/>
      <c r="V69" s="1551"/>
      <c r="W69" s="1551"/>
      <c r="X69" s="1551"/>
      <c r="Y69" s="1551"/>
      <c r="Z69" s="1551"/>
      <c r="AA69" s="1551"/>
      <c r="AB69" s="1551"/>
      <c r="AC69" s="1551"/>
      <c r="AD69" s="1551"/>
      <c r="AE69" s="1551"/>
      <c r="AF69" s="1551"/>
      <c r="AG69" s="1551"/>
      <c r="AH69" s="1551"/>
      <c r="AI69" s="881"/>
      <c r="AJ69" s="881"/>
      <c r="AK69" s="881"/>
      <c r="AL69" s="881"/>
    </row>
    <row r="70" spans="1:41" ht="35.5" customHeight="1">
      <c r="A70" s="467"/>
      <c r="B70" s="672" t="s">
        <v>1256</v>
      </c>
      <c r="C70" s="671"/>
      <c r="D70" s="672" t="s">
        <v>1257</v>
      </c>
      <c r="E70" s="671"/>
      <c r="F70" s="672" t="s">
        <v>1258</v>
      </c>
      <c r="G70" s="671"/>
      <c r="H70" s="672" t="s">
        <v>616</v>
      </c>
      <c r="I70" s="671"/>
      <c r="J70" s="672" t="s">
        <v>1259</v>
      </c>
      <c r="K70" s="671"/>
      <c r="L70" s="672" t="s">
        <v>1260</v>
      </c>
      <c r="M70" s="671"/>
      <c r="N70" s="1550" t="s">
        <v>620</v>
      </c>
      <c r="O70" s="1550"/>
      <c r="P70" s="1550" t="s">
        <v>623</v>
      </c>
      <c r="Q70" s="1550"/>
      <c r="R70" s="672" t="s">
        <v>1261</v>
      </c>
      <c r="S70" s="671"/>
      <c r="T70" s="672" t="s">
        <v>1262</v>
      </c>
      <c r="U70" s="671"/>
      <c r="V70" s="672" t="s">
        <v>1263</v>
      </c>
      <c r="W70" s="671"/>
      <c r="X70" s="672" t="s">
        <v>624</v>
      </c>
      <c r="Y70" s="671"/>
      <c r="Z70" s="672" t="s">
        <v>1264</v>
      </c>
      <c r="AA70" s="671"/>
      <c r="AB70" s="672" t="s">
        <v>625</v>
      </c>
      <c r="AC70" s="690"/>
      <c r="AD70" s="708"/>
      <c r="AE70" s="711"/>
      <c r="AF70" s="711"/>
      <c r="AG70" s="711"/>
      <c r="AH70" s="708"/>
      <c r="AI70" s="708"/>
      <c r="AJ70" s="708"/>
      <c r="AK70" s="708"/>
      <c r="AL70" s="708"/>
    </row>
    <row r="71" spans="1:41" ht="33.5">
      <c r="A71" s="467"/>
      <c r="B71" s="700"/>
      <c r="C71" s="690"/>
      <c r="D71" s="700"/>
      <c r="E71" s="690"/>
      <c r="F71" s="700"/>
      <c r="G71" s="690"/>
      <c r="H71" s="700"/>
      <c r="I71" s="690"/>
      <c r="J71" s="700"/>
      <c r="K71" s="690"/>
      <c r="L71" s="700"/>
      <c r="M71" s="690"/>
      <c r="N71" s="700"/>
      <c r="O71" s="690"/>
      <c r="P71" s="700"/>
      <c r="Q71" s="690"/>
      <c r="R71" s="700"/>
      <c r="S71" s="701"/>
      <c r="T71" s="700"/>
      <c r="U71" s="701"/>
      <c r="V71" s="700"/>
      <c r="W71" s="690"/>
      <c r="X71" s="700"/>
      <c r="Y71" s="690"/>
      <c r="Z71" s="700"/>
      <c r="AA71" s="690"/>
      <c r="AB71" s="700"/>
      <c r="AC71" s="690"/>
      <c r="AD71" s="708"/>
      <c r="AE71" s="711"/>
      <c r="AF71" s="711"/>
      <c r="AG71" s="711"/>
      <c r="AH71" s="708"/>
      <c r="AI71" s="708"/>
      <c r="AJ71" s="708"/>
      <c r="AK71" s="708"/>
      <c r="AL71" s="708"/>
    </row>
    <row r="72" spans="1:41" ht="15.5" customHeight="1" thickBot="1">
      <c r="A72" s="467"/>
      <c r="B72" s="702"/>
      <c r="C72" s="690"/>
      <c r="D72" s="702"/>
      <c r="E72" s="690"/>
      <c r="F72" s="702"/>
      <c r="G72" s="690"/>
      <c r="H72" s="702"/>
      <c r="I72" s="690"/>
      <c r="J72" s="702"/>
      <c r="K72" s="690"/>
      <c r="L72" s="702"/>
      <c r="M72" s="690"/>
      <c r="N72" s="702"/>
      <c r="O72" s="690"/>
      <c r="P72" s="702"/>
      <c r="Q72" s="690"/>
      <c r="R72" s="702"/>
      <c r="S72" s="690"/>
      <c r="T72" s="702"/>
      <c r="U72" s="690"/>
      <c r="V72" s="702"/>
      <c r="W72" s="690"/>
      <c r="X72" s="702"/>
      <c r="Y72" s="690"/>
      <c r="Z72" s="702"/>
      <c r="AA72" s="690"/>
      <c r="AB72" s="702"/>
      <c r="AC72" s="690"/>
      <c r="AD72" s="708"/>
      <c r="AE72" s="711"/>
      <c r="AF72" s="711"/>
      <c r="AG72" s="711"/>
      <c r="AH72" s="708"/>
      <c r="AI72" s="708"/>
      <c r="AJ72" s="708"/>
      <c r="AK72" s="708"/>
      <c r="AL72" s="708"/>
    </row>
    <row r="73" spans="1:41" ht="100" customHeight="1" thickBot="1">
      <c r="A73" s="467"/>
      <c r="B73" s="679"/>
      <c r="C73" s="695">
        <v>348.29199999999997</v>
      </c>
      <c r="D73" s="679"/>
      <c r="E73" s="695">
        <v>418.83499999999998</v>
      </c>
      <c r="F73" s="679"/>
      <c r="G73" s="695">
        <v>408.96300000000002</v>
      </c>
      <c r="H73" s="679"/>
      <c r="I73" s="695">
        <v>365.46699999999998</v>
      </c>
      <c r="J73" s="679"/>
      <c r="K73" s="695">
        <v>437.07400000000001</v>
      </c>
      <c r="L73" s="679"/>
      <c r="M73" s="695">
        <v>363.142</v>
      </c>
      <c r="N73" s="679"/>
      <c r="O73" s="695">
        <v>159.78899999999999</v>
      </c>
      <c r="P73" s="679"/>
      <c r="Q73" s="695">
        <v>300.15800000000002</v>
      </c>
      <c r="R73" s="679"/>
      <c r="S73" s="695">
        <v>293.13099999999997</v>
      </c>
      <c r="T73" s="679"/>
      <c r="U73" s="695">
        <v>357.37700000000001</v>
      </c>
      <c r="V73" s="679"/>
      <c r="W73" s="695">
        <v>341.40899999999999</v>
      </c>
      <c r="X73" s="679"/>
      <c r="Y73" s="695">
        <v>362.90499999999997</v>
      </c>
      <c r="Z73" s="679"/>
      <c r="AA73" s="695">
        <v>421.05200000000002</v>
      </c>
      <c r="AB73" s="679"/>
      <c r="AC73" s="695">
        <v>216.44800000000001</v>
      </c>
      <c r="AD73" s="708"/>
      <c r="AE73" s="711"/>
      <c r="AF73" s="711"/>
      <c r="AG73" s="711"/>
      <c r="AH73" s="708"/>
      <c r="AI73" s="708"/>
      <c r="AJ73" s="708"/>
      <c r="AK73" s="708"/>
      <c r="AL73" s="708"/>
      <c r="AM73" s="871">
        <f>COUNTIF(B73:AB73,"U/P")</f>
        <v>0</v>
      </c>
      <c r="AN73" s="871">
        <f>COUNTIF(C73:AC73,"ROW")</f>
        <v>0</v>
      </c>
      <c r="AO73" s="871">
        <f>COUNTIF(D73:AD73,"C")</f>
        <v>0</v>
      </c>
    </row>
    <row r="74" spans="1:41" ht="34" thickBot="1">
      <c r="A74" s="467"/>
      <c r="B74" s="698"/>
      <c r="C74" s="690"/>
      <c r="D74" s="698"/>
      <c r="E74" s="690"/>
      <c r="F74" s="698"/>
      <c r="G74" s="690"/>
      <c r="H74" s="698"/>
      <c r="I74" s="690"/>
      <c r="J74" s="698"/>
      <c r="K74" s="690"/>
      <c r="L74" s="698"/>
      <c r="M74" s="690"/>
      <c r="N74" s="698"/>
      <c r="O74" s="690"/>
      <c r="P74" s="698"/>
      <c r="Q74" s="690"/>
      <c r="R74" s="698"/>
      <c r="S74" s="690"/>
      <c r="T74" s="698"/>
      <c r="U74" s="690"/>
      <c r="V74" s="698"/>
      <c r="W74" s="690"/>
      <c r="X74" s="698"/>
      <c r="Y74" s="690"/>
      <c r="Z74" s="698"/>
      <c r="AA74" s="690"/>
      <c r="AB74" s="698"/>
      <c r="AC74" s="690"/>
      <c r="AD74" s="708"/>
      <c r="AE74" s="711"/>
      <c r="AF74" s="711"/>
      <c r="AG74" s="711"/>
      <c r="AH74" s="708"/>
      <c r="AI74" s="708"/>
      <c r="AJ74" s="708"/>
      <c r="AK74" s="708"/>
      <c r="AL74" s="708"/>
    </row>
    <row r="75" spans="1:41" ht="33.5">
      <c r="A75" s="467"/>
      <c r="B75" s="686" t="s">
        <v>182</v>
      </c>
      <c r="C75" s="686"/>
      <c r="D75" s="686" t="s">
        <v>185</v>
      </c>
      <c r="E75" s="686"/>
      <c r="F75" s="686" t="s">
        <v>248</v>
      </c>
      <c r="G75" s="686"/>
      <c r="H75" s="687" t="s">
        <v>143</v>
      </c>
      <c r="I75" s="686"/>
      <c r="J75" s="686" t="s">
        <v>182</v>
      </c>
      <c r="K75" s="686"/>
      <c r="L75" s="686" t="s">
        <v>242</v>
      </c>
      <c r="M75" s="686"/>
      <c r="N75" s="687" t="s">
        <v>188</v>
      </c>
      <c r="O75" s="686"/>
      <c r="P75" s="687" t="s">
        <v>125</v>
      </c>
      <c r="Q75" s="686"/>
      <c r="R75" s="687" t="s">
        <v>188</v>
      </c>
      <c r="S75" s="686"/>
      <c r="T75" s="686" t="s">
        <v>182</v>
      </c>
      <c r="U75" s="686"/>
      <c r="V75" s="686" t="s">
        <v>182</v>
      </c>
      <c r="W75" s="686"/>
      <c r="X75" s="687" t="s">
        <v>123</v>
      </c>
      <c r="Y75" s="686"/>
      <c r="Z75" s="686" t="s">
        <v>248</v>
      </c>
      <c r="AA75" s="686"/>
      <c r="AB75" s="687" t="s">
        <v>192</v>
      </c>
      <c r="AC75" s="690"/>
      <c r="AD75" s="708"/>
      <c r="AE75" s="711"/>
      <c r="AF75" s="711"/>
      <c r="AG75" s="711"/>
      <c r="AH75" s="708"/>
      <c r="AI75" s="708"/>
      <c r="AJ75" s="708"/>
      <c r="AK75" s="708"/>
      <c r="AL75" s="708"/>
    </row>
    <row r="76" spans="1:41" ht="33.5">
      <c r="A76" s="467"/>
      <c r="B76" s="686"/>
      <c r="C76" s="686"/>
      <c r="D76" s="686"/>
      <c r="E76" s="717" t="s">
        <v>1621</v>
      </c>
      <c r="G76" s="686"/>
      <c r="H76" s="687"/>
      <c r="I76" s="686"/>
      <c r="J76" s="686"/>
      <c r="K76" s="686"/>
      <c r="L76" s="686"/>
      <c r="M76" s="686"/>
      <c r="N76" s="687"/>
      <c r="O76" s="686"/>
      <c r="P76" s="687"/>
      <c r="Q76" s="686"/>
      <c r="R76" s="687"/>
      <c r="S76" s="686"/>
      <c r="T76" s="686"/>
      <c r="U76" s="686"/>
      <c r="V76" s="686"/>
      <c r="W76" s="686"/>
      <c r="X76" s="687"/>
      <c r="Y76" s="686"/>
      <c r="Z76" s="686"/>
      <c r="AA76" s="686"/>
      <c r="AB76" s="687"/>
      <c r="AC76" s="690"/>
      <c r="AD76" s="708"/>
      <c r="AE76" s="711"/>
      <c r="AF76" s="711"/>
      <c r="AG76" s="711"/>
      <c r="AH76" s="708"/>
      <c r="AI76" s="708"/>
      <c r="AJ76" s="708"/>
      <c r="AK76" s="708"/>
      <c r="AL76" s="708"/>
    </row>
    <row r="77" spans="1:41" ht="36" customHeight="1">
      <c r="A77" s="1561" t="s">
        <v>1518</v>
      </c>
      <c r="B77" s="1551"/>
      <c r="C77" s="1551"/>
      <c r="D77" s="1551"/>
      <c r="E77" s="1551"/>
      <c r="F77" s="1551"/>
      <c r="G77" s="1551"/>
      <c r="H77" s="1551"/>
      <c r="I77" s="1551"/>
      <c r="J77" s="1551"/>
      <c r="K77" s="1551"/>
      <c r="L77" s="1551"/>
      <c r="M77" s="1551"/>
      <c r="N77" s="1551"/>
      <c r="O77" s="1551"/>
      <c r="P77" s="1551"/>
      <c r="Q77" s="1551"/>
      <c r="R77" s="1551"/>
      <c r="S77" s="1551"/>
      <c r="T77" s="1551"/>
      <c r="U77" s="1551"/>
      <c r="V77" s="1551"/>
      <c r="W77" s="1551"/>
      <c r="X77" s="1576" t="s">
        <v>1579</v>
      </c>
      <c r="Y77" s="1576"/>
      <c r="Z77" s="1576"/>
      <c r="AA77" s="1576"/>
      <c r="AB77" s="1576"/>
      <c r="AC77" s="1576"/>
      <c r="AD77" s="1576"/>
      <c r="AE77" s="1576"/>
      <c r="AF77" s="1576"/>
      <c r="AG77" s="1576"/>
      <c r="AH77" s="1576"/>
      <c r="AI77" s="884"/>
      <c r="AJ77" s="884"/>
      <c r="AK77" s="884"/>
      <c r="AL77" s="884"/>
    </row>
    <row r="78" spans="1:41" ht="22" customHeight="1">
      <c r="A78" s="713"/>
      <c r="B78" s="714"/>
      <c r="C78" s="714"/>
      <c r="D78" s="714"/>
      <c r="E78" s="714"/>
      <c r="F78" s="714"/>
      <c r="G78" s="714"/>
      <c r="H78" s="715"/>
      <c r="I78" s="714"/>
      <c r="J78" s="714"/>
      <c r="K78" s="714"/>
      <c r="L78" s="714"/>
      <c r="M78" s="714"/>
      <c r="N78" s="715"/>
      <c r="O78" s="714"/>
      <c r="P78" s="715"/>
      <c r="Q78" s="714"/>
      <c r="R78" s="715"/>
      <c r="S78" s="714"/>
      <c r="T78" s="714"/>
      <c r="U78" s="714"/>
      <c r="V78" s="714"/>
      <c r="W78" s="714"/>
      <c r="X78" s="715"/>
      <c r="Y78" s="714"/>
      <c r="Z78" s="714"/>
      <c r="AA78" s="714"/>
      <c r="AB78" s="715"/>
      <c r="AC78" s="693"/>
      <c r="AD78" s="691"/>
      <c r="AE78" s="683"/>
      <c r="AF78" s="684"/>
      <c r="AG78" s="684"/>
    </row>
    <row r="79" spans="1:41" ht="44.5" customHeight="1">
      <c r="A79" s="467"/>
      <c r="B79" s="672" t="s">
        <v>1635</v>
      </c>
      <c r="C79" s="671"/>
      <c r="D79" s="1550" t="s">
        <v>1637</v>
      </c>
      <c r="E79" s="1550"/>
      <c r="F79" s="1550" t="s">
        <v>1639</v>
      </c>
      <c r="G79" s="1550"/>
      <c r="H79" s="1550" t="s">
        <v>1640</v>
      </c>
      <c r="I79" s="1550"/>
      <c r="J79" s="1550" t="s">
        <v>1641</v>
      </c>
      <c r="K79" s="1550"/>
      <c r="L79" s="1550" t="s">
        <v>1266</v>
      </c>
      <c r="M79" s="1550"/>
      <c r="N79" s="1550" t="s">
        <v>1267</v>
      </c>
      <c r="O79" s="1550"/>
      <c r="P79" s="1550" t="s">
        <v>1269</v>
      </c>
      <c r="Q79" s="1550"/>
      <c r="R79" s="1550" t="s">
        <v>1270</v>
      </c>
      <c r="S79" s="1550"/>
      <c r="T79" s="1550" t="s">
        <v>1271</v>
      </c>
      <c r="U79" s="1550"/>
      <c r="V79" s="1550" t="s">
        <v>1272</v>
      </c>
      <c r="W79" s="1550"/>
      <c r="X79" s="1550" t="s">
        <v>637</v>
      </c>
      <c r="Y79" s="1550"/>
      <c r="Z79" s="672" t="s">
        <v>638</v>
      </c>
      <c r="AA79" s="671"/>
      <c r="AB79" s="672" t="s">
        <v>642</v>
      </c>
      <c r="AC79" s="672"/>
      <c r="AD79" s="690"/>
      <c r="AE79" s="708"/>
      <c r="AF79" s="683"/>
      <c r="AG79" s="684"/>
      <c r="AH79" s="684"/>
    </row>
    <row r="80" spans="1:41" ht="33.5">
      <c r="A80" s="467"/>
      <c r="B80" s="700"/>
      <c r="C80" s="690"/>
      <c r="D80" s="700"/>
      <c r="E80" s="690"/>
      <c r="F80" s="700"/>
      <c r="G80" s="690"/>
      <c r="H80" s="700"/>
      <c r="I80" s="690"/>
      <c r="J80" s="700"/>
      <c r="K80" s="690"/>
      <c r="L80" s="700"/>
      <c r="M80" s="690"/>
      <c r="N80" s="700"/>
      <c r="O80" s="690"/>
      <c r="P80" s="700"/>
      <c r="Q80" s="690"/>
      <c r="R80" s="700"/>
      <c r="S80" s="690"/>
      <c r="T80" s="700"/>
      <c r="U80" s="690"/>
      <c r="V80" s="700"/>
      <c r="W80" s="690"/>
      <c r="X80" s="700"/>
      <c r="Y80" s="690"/>
      <c r="Z80" s="700"/>
      <c r="AA80" s="690"/>
      <c r="AB80" s="700"/>
      <c r="AC80" s="690"/>
      <c r="AD80" s="708"/>
      <c r="AE80" s="684"/>
      <c r="AF80" s="684"/>
      <c r="AG80" s="684"/>
    </row>
    <row r="81" spans="1:43" ht="16" customHeight="1" thickBot="1">
      <c r="A81" s="467"/>
      <c r="B81" s="702"/>
      <c r="C81" s="690"/>
      <c r="D81" s="702"/>
      <c r="E81" s="690"/>
      <c r="F81" s="702"/>
      <c r="G81" s="690"/>
      <c r="H81" s="702"/>
      <c r="I81" s="690"/>
      <c r="J81" s="702"/>
      <c r="K81" s="690"/>
      <c r="L81" s="702"/>
      <c r="M81" s="690"/>
      <c r="N81" s="702"/>
      <c r="O81" s="690"/>
      <c r="P81" s="702"/>
      <c r="Q81" s="690"/>
      <c r="R81" s="702"/>
      <c r="S81" s="690"/>
      <c r="T81" s="702"/>
      <c r="U81" s="690"/>
      <c r="V81" s="702"/>
      <c r="W81" s="690"/>
      <c r="X81" s="702"/>
      <c r="Y81" s="690"/>
      <c r="Z81" s="702"/>
      <c r="AA81" s="690"/>
      <c r="AB81" s="702"/>
      <c r="AC81" s="690"/>
      <c r="AD81" s="708"/>
      <c r="AE81" s="684"/>
      <c r="AF81" s="684"/>
      <c r="AG81" s="684"/>
      <c r="AM81" s="871"/>
      <c r="AN81" s="871"/>
      <c r="AO81" s="871"/>
    </row>
    <row r="82" spans="1:43" ht="100" customHeight="1" thickBot="1">
      <c r="A82" s="467"/>
      <c r="B82" s="679"/>
      <c r="C82" s="695">
        <v>439.69499999999999</v>
      </c>
      <c r="D82" s="679"/>
      <c r="E82" s="695">
        <v>243.18799999999999</v>
      </c>
      <c r="F82" s="679"/>
      <c r="G82" s="695">
        <v>333.21899999999999</v>
      </c>
      <c r="H82" s="679"/>
      <c r="I82" s="695">
        <v>333.21899999999999</v>
      </c>
      <c r="J82" s="679"/>
      <c r="K82" s="695">
        <v>363.00099999999998</v>
      </c>
      <c r="L82" s="679"/>
      <c r="M82" s="695">
        <v>363.00099999999998</v>
      </c>
      <c r="N82" s="679"/>
      <c r="O82" s="695">
        <v>356.12400000000002</v>
      </c>
      <c r="P82" s="679"/>
      <c r="Q82" s="695">
        <v>376.245</v>
      </c>
      <c r="R82" s="679"/>
      <c r="S82" s="695">
        <v>381.12200000000001</v>
      </c>
      <c r="T82" s="679"/>
      <c r="U82" s="695">
        <v>364.43299999999999</v>
      </c>
      <c r="V82" s="679"/>
      <c r="W82" s="695">
        <v>263.077</v>
      </c>
      <c r="X82" s="679"/>
      <c r="Y82" s="695">
        <v>356.19299999999998</v>
      </c>
      <c r="Z82" s="679"/>
      <c r="AA82" s="695">
        <v>352.42</v>
      </c>
      <c r="AB82" s="679"/>
      <c r="AC82" s="695">
        <v>381.02800000000002</v>
      </c>
      <c r="AD82" s="708"/>
      <c r="AE82" s="684"/>
      <c r="AF82" s="684"/>
      <c r="AG82" s="684"/>
      <c r="AM82" s="871">
        <f>COUNTIF(B82:AB82,"U/P")</f>
        <v>0</v>
      </c>
      <c r="AN82" s="871">
        <f>COUNTIF(C82:AC82,"ROW")</f>
        <v>0</v>
      </c>
      <c r="AO82" s="871">
        <f>COUNTIF(D82:AD82,"C")</f>
        <v>0</v>
      </c>
    </row>
    <row r="83" spans="1:43" ht="34" thickBot="1">
      <c r="A83" s="467"/>
      <c r="B83" s="698"/>
      <c r="C83" s="690"/>
      <c r="D83" s="698"/>
      <c r="E83" s="690"/>
      <c r="F83" s="698"/>
      <c r="G83" s="690"/>
      <c r="H83" s="698"/>
      <c r="I83" s="690"/>
      <c r="J83" s="698"/>
      <c r="K83" s="690"/>
      <c r="L83" s="698"/>
      <c r="M83" s="690"/>
      <c r="N83" s="698"/>
      <c r="O83" s="690"/>
      <c r="P83" s="698"/>
      <c r="Q83" s="690"/>
      <c r="R83" s="698"/>
      <c r="S83" s="690"/>
      <c r="T83" s="698"/>
      <c r="U83" s="690"/>
      <c r="V83" s="698"/>
      <c r="W83" s="690"/>
      <c r="X83" s="698"/>
      <c r="Y83" s="690"/>
      <c r="Z83" s="698"/>
      <c r="AA83" s="690"/>
      <c r="AB83" s="698"/>
      <c r="AC83" s="690"/>
      <c r="AD83" s="708"/>
      <c r="AE83" s="684"/>
      <c r="AF83" s="684"/>
      <c r="AG83" s="684"/>
    </row>
    <row r="84" spans="1:43" ht="33.5">
      <c r="A84" s="467"/>
      <c r="B84" s="687" t="s">
        <v>1636</v>
      </c>
      <c r="C84" s="686"/>
      <c r="D84" s="687" t="s">
        <v>1638</v>
      </c>
      <c r="E84" s="686"/>
      <c r="F84" s="687" t="s">
        <v>119</v>
      </c>
      <c r="G84" s="686"/>
      <c r="H84" s="687" t="s">
        <v>123</v>
      </c>
      <c r="I84" s="686"/>
      <c r="J84" s="687" t="s">
        <v>147</v>
      </c>
      <c r="K84" s="686"/>
      <c r="L84" s="686" t="s">
        <v>182</v>
      </c>
      <c r="M84" s="686"/>
      <c r="N84" s="686" t="s">
        <v>242</v>
      </c>
      <c r="O84" s="686"/>
      <c r="P84" s="687" t="s">
        <v>115</v>
      </c>
      <c r="Q84" s="686"/>
      <c r="R84" s="686" t="s">
        <v>242</v>
      </c>
      <c r="S84" s="686"/>
      <c r="T84" s="686" t="s">
        <v>182</v>
      </c>
      <c r="U84" s="686"/>
      <c r="V84" s="686" t="s">
        <v>248</v>
      </c>
      <c r="W84" s="686"/>
      <c r="X84" s="687" t="s">
        <v>188</v>
      </c>
      <c r="Y84" s="686"/>
      <c r="Z84" s="686" t="s">
        <v>185</v>
      </c>
      <c r="AA84" s="686"/>
      <c r="AB84" s="687" t="s">
        <v>132</v>
      </c>
      <c r="AC84" s="690"/>
      <c r="AD84" s="708"/>
      <c r="AE84" s="684"/>
      <c r="AF84" s="684"/>
      <c r="AG84" s="684"/>
    </row>
    <row r="85" spans="1:43" ht="37" customHeight="1">
      <c r="A85" s="1581" t="s">
        <v>1578</v>
      </c>
      <c r="B85" s="1576"/>
      <c r="C85" s="1576"/>
      <c r="D85" s="1576"/>
      <c r="E85" s="1576"/>
      <c r="F85" s="1576"/>
      <c r="G85" s="1576"/>
      <c r="H85" s="1576"/>
      <c r="I85" s="1551" t="s">
        <v>1712</v>
      </c>
      <c r="J85" s="1551"/>
      <c r="K85" s="1551"/>
      <c r="L85" s="1551"/>
      <c r="M85" s="1551"/>
      <c r="N85" s="1551"/>
      <c r="O85" s="1551"/>
      <c r="P85" s="1551"/>
      <c r="Q85" s="1551"/>
      <c r="R85" s="1551"/>
      <c r="S85" s="1551"/>
      <c r="T85" s="1551"/>
      <c r="U85" s="1551"/>
      <c r="V85" s="1551"/>
      <c r="W85" s="1551"/>
      <c r="X85" s="1551"/>
      <c r="Y85" s="1551"/>
      <c r="Z85" s="1551"/>
      <c r="AA85" s="1551"/>
      <c r="AB85" s="1551"/>
      <c r="AC85" s="1551"/>
      <c r="AD85" s="1551"/>
      <c r="AE85" s="1551"/>
      <c r="AF85" s="1551"/>
      <c r="AG85" s="1025"/>
      <c r="AH85" s="1025"/>
      <c r="AI85" s="884"/>
      <c r="AJ85" s="884"/>
      <c r="AK85" s="884"/>
      <c r="AL85" s="884"/>
    </row>
    <row r="86" spans="1:43" ht="21.5" customHeight="1">
      <c r="A86" s="467"/>
      <c r="B86" s="704"/>
      <c r="C86" s="704"/>
      <c r="D86" s="704"/>
      <c r="E86" s="704"/>
      <c r="F86" s="704"/>
      <c r="G86" s="704"/>
      <c r="H86" s="704"/>
      <c r="I86" s="704"/>
      <c r="J86" s="704"/>
      <c r="K86" s="704"/>
      <c r="L86" s="704"/>
      <c r="M86" s="704"/>
      <c r="N86" s="704"/>
      <c r="O86" s="704"/>
      <c r="P86" s="704"/>
      <c r="Q86" s="704"/>
      <c r="R86" s="704"/>
      <c r="S86" s="704"/>
      <c r="T86" s="704"/>
      <c r="U86" s="704"/>
      <c r="V86" s="704"/>
      <c r="W86" s="704"/>
      <c r="X86" s="704"/>
      <c r="Y86" s="704"/>
      <c r="Z86" s="704"/>
      <c r="AA86" s="704"/>
      <c r="AB86" s="704"/>
      <c r="AC86" s="693"/>
      <c r="AD86" s="691"/>
      <c r="AE86" s="683"/>
      <c r="AF86" s="684"/>
      <c r="AG86" s="684"/>
    </row>
    <row r="87" spans="1:43" ht="32" customHeight="1">
      <c r="A87" s="467"/>
      <c r="B87" s="672" t="s">
        <v>643</v>
      </c>
      <c r="C87" s="671"/>
      <c r="D87" s="672" t="s">
        <v>644</v>
      </c>
      <c r="E87" s="671"/>
      <c r="F87" s="672" t="s">
        <v>1642</v>
      </c>
      <c r="G87" s="671"/>
      <c r="H87" s="672" t="s">
        <v>645</v>
      </c>
      <c r="I87" s="671"/>
      <c r="J87" s="672" t="s">
        <v>646</v>
      </c>
      <c r="K87" s="671"/>
      <c r="L87" s="672" t="s">
        <v>647</v>
      </c>
      <c r="M87" s="671"/>
      <c r="N87" s="672" t="s">
        <v>648</v>
      </c>
      <c r="O87" s="671"/>
      <c r="P87" s="672" t="s">
        <v>649</v>
      </c>
      <c r="Q87" s="671"/>
      <c r="R87" s="672" t="s">
        <v>650</v>
      </c>
      <c r="S87" s="671"/>
      <c r="T87" s="672" t="s">
        <v>651</v>
      </c>
      <c r="U87" s="671"/>
      <c r="V87" s="672" t="s">
        <v>652</v>
      </c>
      <c r="W87" s="671"/>
      <c r="X87" s="672" t="s">
        <v>653</v>
      </c>
      <c r="Y87" s="671"/>
      <c r="Z87" s="672" t="s">
        <v>654</v>
      </c>
      <c r="AA87" s="671"/>
      <c r="AB87" s="672" t="s">
        <v>655</v>
      </c>
      <c r="AC87" s="671"/>
      <c r="AD87" s="672" t="s">
        <v>656</v>
      </c>
      <c r="AE87" s="690"/>
      <c r="AF87" s="708"/>
      <c r="AG87" s="684"/>
      <c r="AH87" s="684"/>
      <c r="AI87" s="684"/>
    </row>
    <row r="88" spans="1:43" ht="33.5">
      <c r="A88" s="467"/>
      <c r="B88" s="700"/>
      <c r="C88" s="690"/>
      <c r="D88" s="700"/>
      <c r="E88" s="690"/>
      <c r="F88" s="700"/>
      <c r="G88" s="690"/>
      <c r="H88" s="700"/>
      <c r="I88" s="690"/>
      <c r="J88" s="700"/>
      <c r="K88" s="701"/>
      <c r="L88" s="700"/>
      <c r="M88" s="690"/>
      <c r="N88" s="700"/>
      <c r="O88" s="690"/>
      <c r="P88" s="700"/>
      <c r="Q88" s="690"/>
      <c r="R88" s="700"/>
      <c r="S88" s="690"/>
      <c r="T88" s="700"/>
      <c r="U88" s="690"/>
      <c r="V88" s="700"/>
      <c r="W88" s="690"/>
      <c r="X88" s="700"/>
      <c r="Y88" s="690"/>
      <c r="Z88" s="700"/>
      <c r="AA88" s="690"/>
      <c r="AB88" s="700"/>
      <c r="AC88" s="701"/>
      <c r="AD88" s="700"/>
      <c r="AE88" s="690"/>
      <c r="AF88" s="708"/>
      <c r="AG88" s="684"/>
      <c r="AH88" s="684"/>
      <c r="AI88" s="684"/>
    </row>
    <row r="89" spans="1:43" ht="15.5" customHeight="1" thickBot="1">
      <c r="A89" s="467"/>
      <c r="B89" s="702"/>
      <c r="C89" s="690"/>
      <c r="D89" s="702"/>
      <c r="E89" s="690"/>
      <c r="F89" s="702"/>
      <c r="G89" s="690"/>
      <c r="H89" s="702"/>
      <c r="I89" s="690"/>
      <c r="J89" s="702"/>
      <c r="K89" s="690"/>
      <c r="L89" s="702"/>
      <c r="M89" s="690"/>
      <c r="N89" s="702"/>
      <c r="O89" s="690"/>
      <c r="P89" s="702"/>
      <c r="Q89" s="690"/>
      <c r="R89" s="702"/>
      <c r="S89" s="690"/>
      <c r="T89" s="702"/>
      <c r="U89" s="690"/>
      <c r="V89" s="702"/>
      <c r="W89" s="690"/>
      <c r="X89" s="702"/>
      <c r="Y89" s="690"/>
      <c r="Z89" s="702"/>
      <c r="AA89" s="690"/>
      <c r="AB89" s="702"/>
      <c r="AC89" s="690"/>
      <c r="AD89" s="702"/>
      <c r="AE89" s="690"/>
      <c r="AF89" s="708"/>
      <c r="AG89" s="684"/>
      <c r="AH89" s="684"/>
      <c r="AI89" s="684"/>
    </row>
    <row r="90" spans="1:43" ht="100" customHeight="1" thickBot="1">
      <c r="A90" s="467"/>
      <c r="B90" s="679"/>
      <c r="C90" s="695">
        <v>419.60300000000001</v>
      </c>
      <c r="D90" s="679"/>
      <c r="E90" s="695">
        <v>425.18</v>
      </c>
      <c r="F90" s="679"/>
      <c r="G90" s="695">
        <v>425.18</v>
      </c>
      <c r="H90" s="679"/>
      <c r="I90" s="695">
        <v>287.53699999999998</v>
      </c>
      <c r="J90" s="679"/>
      <c r="K90" s="695">
        <v>336.512</v>
      </c>
      <c r="L90" s="679"/>
      <c r="M90" s="695">
        <v>325.30399999999997</v>
      </c>
      <c r="N90" s="679"/>
      <c r="O90" s="695">
        <v>214.25299999999999</v>
      </c>
      <c r="P90" s="679"/>
      <c r="Q90" s="695">
        <v>455.94600000000003</v>
      </c>
      <c r="R90" s="679"/>
      <c r="S90" s="695">
        <v>421</v>
      </c>
      <c r="T90" s="679"/>
      <c r="U90" s="695">
        <v>419</v>
      </c>
      <c r="V90" s="679"/>
      <c r="W90" s="695">
        <v>408</v>
      </c>
      <c r="X90" s="679"/>
      <c r="Y90" s="695">
        <v>409.74900000000002</v>
      </c>
      <c r="Z90" s="679"/>
      <c r="AA90" s="695">
        <v>324.02999999999997</v>
      </c>
      <c r="AB90" s="679"/>
      <c r="AC90" s="695">
        <v>366.7</v>
      </c>
      <c r="AD90" s="679"/>
      <c r="AE90" s="678">
        <v>473.30500000000001</v>
      </c>
      <c r="AF90" s="708"/>
      <c r="AG90" s="684"/>
      <c r="AH90" s="684"/>
      <c r="AI90" s="684"/>
      <c r="AM90" s="871">
        <f>COUNTIF(A90:AB90,"U/P")</f>
        <v>0</v>
      </c>
      <c r="AN90" s="871">
        <f>COUNTIF(A90:AC90,"ROW")</f>
        <v>0</v>
      </c>
      <c r="AO90" s="871">
        <f>COUNTIF(B90:AD90,"C")</f>
        <v>0</v>
      </c>
      <c r="AP90" s="871"/>
      <c r="AQ90" s="871"/>
    </row>
    <row r="91" spans="1:43" ht="34" thickBot="1">
      <c r="A91" s="467"/>
      <c r="B91" s="698"/>
      <c r="C91" s="690"/>
      <c r="D91" s="698"/>
      <c r="E91" s="690"/>
      <c r="F91" s="698"/>
      <c r="G91" s="690"/>
      <c r="H91" s="698"/>
      <c r="I91" s="690"/>
      <c r="J91" s="698"/>
      <c r="K91" s="690"/>
      <c r="L91" s="698"/>
      <c r="M91" s="690"/>
      <c r="N91" s="698"/>
      <c r="O91" s="690"/>
      <c r="P91" s="698"/>
      <c r="Q91" s="690"/>
      <c r="R91" s="698"/>
      <c r="S91" s="690"/>
      <c r="T91" s="698"/>
      <c r="U91" s="690"/>
      <c r="V91" s="698"/>
      <c r="W91" s="690"/>
      <c r="X91" s="698"/>
      <c r="Y91" s="690"/>
      <c r="Z91" s="698"/>
      <c r="AA91" s="690"/>
      <c r="AB91" s="698"/>
      <c r="AC91" s="690"/>
      <c r="AD91" s="698"/>
      <c r="AE91" s="690"/>
      <c r="AF91" s="708"/>
      <c r="AG91" s="684"/>
      <c r="AH91" s="684"/>
      <c r="AI91" s="684"/>
    </row>
    <row r="92" spans="1:43" ht="33.5">
      <c r="A92" s="467"/>
      <c r="B92" s="686" t="s">
        <v>242</v>
      </c>
      <c r="C92" s="686"/>
      <c r="D92" s="686" t="s">
        <v>248</v>
      </c>
      <c r="E92" s="686"/>
      <c r="F92" s="686" t="s">
        <v>132</v>
      </c>
      <c r="G92" s="686"/>
      <c r="H92" s="687" t="s">
        <v>115</v>
      </c>
      <c r="I92" s="686"/>
      <c r="J92" s="686" t="s">
        <v>182</v>
      </c>
      <c r="K92" s="686"/>
      <c r="L92" s="686" t="s">
        <v>182</v>
      </c>
      <c r="M92" s="686"/>
      <c r="N92" s="686" t="s">
        <v>182</v>
      </c>
      <c r="O92" s="686"/>
      <c r="P92" s="687" t="s">
        <v>123</v>
      </c>
      <c r="Q92" s="688"/>
      <c r="R92" s="687" t="s">
        <v>123</v>
      </c>
      <c r="S92" s="686"/>
      <c r="T92" s="686" t="s">
        <v>185</v>
      </c>
      <c r="U92" s="686"/>
      <c r="V92" s="686" t="s">
        <v>185</v>
      </c>
      <c r="W92" s="686"/>
      <c r="X92" s="686" t="s">
        <v>248</v>
      </c>
      <c r="Y92" s="686"/>
      <c r="Z92" s="687" t="s">
        <v>119</v>
      </c>
      <c r="AA92" s="688"/>
      <c r="AB92" s="687" t="s">
        <v>128</v>
      </c>
      <c r="AC92" s="686"/>
      <c r="AD92" s="686" t="s">
        <v>248</v>
      </c>
      <c r="AE92" s="690"/>
      <c r="AF92" s="708"/>
      <c r="AG92" s="684"/>
      <c r="AH92" s="684"/>
      <c r="AI92" s="684"/>
    </row>
    <row r="93" spans="1:43" ht="37" customHeight="1">
      <c r="A93" s="1561" t="s">
        <v>1713</v>
      </c>
      <c r="B93" s="1551"/>
      <c r="C93" s="1551"/>
      <c r="D93" s="1551"/>
      <c r="E93" s="1551"/>
      <c r="F93" s="1551"/>
      <c r="G93" s="1551"/>
      <c r="H93" s="1551"/>
      <c r="I93" s="1551"/>
      <c r="J93" s="1551"/>
      <c r="K93" s="1551"/>
      <c r="L93" s="1551"/>
      <c r="M93" s="1551"/>
      <c r="N93" s="1551"/>
      <c r="O93" s="1551"/>
      <c r="P93" s="1551"/>
      <c r="Q93" s="1551"/>
      <c r="R93" s="1551"/>
      <c r="S93" s="1551"/>
      <c r="T93" s="1551"/>
      <c r="U93" s="1551"/>
      <c r="V93" s="1551"/>
      <c r="W93" s="1551"/>
      <c r="X93" s="1551"/>
      <c r="Y93" s="1551"/>
      <c r="Z93" s="1551"/>
      <c r="AA93" s="1551"/>
      <c r="AB93" s="1551"/>
      <c r="AC93" s="1551"/>
      <c r="AD93" s="1551"/>
      <c r="AE93" s="1551"/>
      <c r="AF93" s="1551"/>
      <c r="AG93" s="1551"/>
      <c r="AH93" s="1551"/>
      <c r="AI93" s="884"/>
      <c r="AJ93" s="884"/>
      <c r="AK93" s="884"/>
      <c r="AL93" s="884"/>
    </row>
    <row r="94" spans="1:43" ht="15" customHeight="1">
      <c r="A94" s="467"/>
      <c r="B94" s="704"/>
      <c r="C94" s="704"/>
      <c r="D94" s="704"/>
      <c r="E94" s="704"/>
      <c r="F94" s="704"/>
      <c r="G94" s="704"/>
      <c r="H94" s="704"/>
      <c r="I94" s="704"/>
      <c r="J94" s="704"/>
      <c r="K94" s="704"/>
      <c r="L94" s="704"/>
      <c r="M94" s="693"/>
      <c r="N94" s="704"/>
      <c r="O94" s="704"/>
      <c r="P94" s="704"/>
      <c r="Q94" s="704"/>
      <c r="R94" s="704"/>
      <c r="S94" s="704"/>
      <c r="T94" s="704"/>
      <c r="U94" s="704"/>
      <c r="V94" s="704"/>
      <c r="W94" s="704"/>
      <c r="X94" s="704"/>
      <c r="Y94" s="704"/>
      <c r="Z94" s="704"/>
      <c r="AA94" s="704"/>
      <c r="AB94" s="704"/>
      <c r="AC94" s="693"/>
      <c r="AD94" s="691"/>
      <c r="AE94" s="683"/>
      <c r="AF94" s="684"/>
      <c r="AG94" s="684"/>
    </row>
    <row r="95" spans="1:43" ht="18" customHeight="1">
      <c r="A95" s="467"/>
      <c r="B95" s="691"/>
      <c r="C95" s="693"/>
      <c r="D95" s="691"/>
      <c r="E95" s="693"/>
      <c r="F95" s="691"/>
      <c r="G95" s="693"/>
      <c r="H95" s="691"/>
      <c r="I95" s="693"/>
      <c r="J95" s="691"/>
      <c r="K95" s="693"/>
      <c r="L95" s="691"/>
      <c r="M95" s="693"/>
      <c r="N95" s="691"/>
      <c r="O95" s="693"/>
      <c r="P95" s="691"/>
      <c r="Q95" s="693"/>
      <c r="R95" s="691"/>
      <c r="S95" s="693"/>
      <c r="T95" s="691"/>
      <c r="U95" s="693"/>
      <c r="V95" s="691"/>
      <c r="W95" s="693"/>
      <c r="X95" s="691"/>
      <c r="Y95" s="693"/>
      <c r="Z95" s="691"/>
      <c r="AA95" s="693"/>
      <c r="AB95" s="691"/>
      <c r="AC95" s="693"/>
      <c r="AD95" s="691"/>
      <c r="AE95" s="683"/>
      <c r="AF95" s="684"/>
      <c r="AG95" s="684"/>
    </row>
    <row r="96" spans="1:43" ht="28" customHeight="1">
      <c r="A96" s="467"/>
      <c r="B96" s="672" t="s">
        <v>657</v>
      </c>
      <c r="C96" s="671"/>
      <c r="D96" s="672" t="s">
        <v>658</v>
      </c>
      <c r="E96" s="671"/>
      <c r="F96" s="672" t="s">
        <v>659</v>
      </c>
      <c r="G96" s="671"/>
      <c r="H96" s="672" t="s">
        <v>660</v>
      </c>
      <c r="I96" s="671"/>
      <c r="J96" s="672" t="s">
        <v>661</v>
      </c>
      <c r="K96" s="671"/>
      <c r="L96" s="672" t="s">
        <v>1421</v>
      </c>
      <c r="M96" s="708"/>
      <c r="N96" s="672" t="s">
        <v>662</v>
      </c>
      <c r="O96" s="671"/>
      <c r="P96" s="672" t="s">
        <v>664</v>
      </c>
      <c r="Q96" s="671"/>
      <c r="R96" s="672" t="s">
        <v>665</v>
      </c>
      <c r="S96" s="671"/>
      <c r="T96" s="672" t="s">
        <v>666</v>
      </c>
      <c r="U96" s="671"/>
      <c r="V96" s="672" t="s">
        <v>667</v>
      </c>
      <c r="W96" s="671"/>
      <c r="X96" s="672" t="s">
        <v>1643</v>
      </c>
      <c r="Y96" s="671"/>
      <c r="Z96" s="672" t="s">
        <v>1644</v>
      </c>
      <c r="AA96" s="671"/>
      <c r="AB96" s="672" t="s">
        <v>668</v>
      </c>
      <c r="AC96" s="671"/>
      <c r="AD96" s="672" t="s">
        <v>669</v>
      </c>
      <c r="AE96" s="671"/>
      <c r="AF96" s="672" t="s">
        <v>670</v>
      </c>
      <c r="AG96" s="693"/>
      <c r="AH96" s="684"/>
      <c r="AI96" s="684"/>
    </row>
    <row r="97" spans="1:45" ht="33.5">
      <c r="A97" s="467"/>
      <c r="B97" s="700"/>
      <c r="C97" s="690"/>
      <c r="D97" s="700"/>
      <c r="E97" s="690"/>
      <c r="F97" s="700"/>
      <c r="G97" s="690"/>
      <c r="H97" s="700"/>
      <c r="I97" s="690"/>
      <c r="J97" s="700"/>
      <c r="K97" s="690"/>
      <c r="L97" s="700"/>
      <c r="M97" s="708"/>
      <c r="N97" s="700"/>
      <c r="O97" s="690"/>
      <c r="P97" s="700"/>
      <c r="Q97" s="690"/>
      <c r="R97" s="700"/>
      <c r="S97" s="690"/>
      <c r="T97" s="700"/>
      <c r="U97" s="690"/>
      <c r="V97" s="700"/>
      <c r="W97" s="690"/>
      <c r="X97" s="700"/>
      <c r="Y97" s="690"/>
      <c r="Z97" s="700"/>
      <c r="AA97" s="690"/>
      <c r="AB97" s="700"/>
      <c r="AC97" s="690"/>
      <c r="AD97" s="700"/>
      <c r="AE97" s="690"/>
      <c r="AF97" s="700"/>
      <c r="AG97" s="693"/>
      <c r="AH97" s="684"/>
      <c r="AI97" s="684"/>
    </row>
    <row r="98" spans="1:45" ht="15.5" customHeight="1" thickBot="1">
      <c r="A98" s="467"/>
      <c r="B98" s="702"/>
      <c r="C98" s="690"/>
      <c r="D98" s="702"/>
      <c r="E98" s="690"/>
      <c r="F98" s="702"/>
      <c r="G98" s="690"/>
      <c r="H98" s="702"/>
      <c r="I98" s="690"/>
      <c r="J98" s="702"/>
      <c r="K98" s="690"/>
      <c r="L98" s="702"/>
      <c r="M98" s="708"/>
      <c r="N98" s="702"/>
      <c r="O98" s="690"/>
      <c r="P98" s="702"/>
      <c r="Q98" s="690"/>
      <c r="R98" s="702"/>
      <c r="S98" s="690"/>
      <c r="T98" s="702"/>
      <c r="U98" s="690"/>
      <c r="V98" s="702"/>
      <c r="W98" s="690"/>
      <c r="X98" s="702"/>
      <c r="Y98" s="690"/>
      <c r="Z98" s="702"/>
      <c r="AA98" s="690"/>
      <c r="AB98" s="702"/>
      <c r="AC98" s="690"/>
      <c r="AD98" s="702"/>
      <c r="AE98" s="690"/>
      <c r="AF98" s="702"/>
      <c r="AG98" s="693"/>
      <c r="AH98" s="684"/>
      <c r="AI98" s="684"/>
    </row>
    <row r="99" spans="1:45" ht="100" customHeight="1" thickBot="1">
      <c r="A99" s="467"/>
      <c r="B99" s="679"/>
      <c r="C99" s="695">
        <v>358.32100000000003</v>
      </c>
      <c r="D99" s="679"/>
      <c r="E99" s="695">
        <v>477.815</v>
      </c>
      <c r="F99" s="679"/>
      <c r="G99" s="695">
        <v>415.464</v>
      </c>
      <c r="H99" s="679"/>
      <c r="I99" s="695">
        <v>402.22899999999998</v>
      </c>
      <c r="J99" s="679"/>
      <c r="K99" s="695">
        <v>437.43400000000003</v>
      </c>
      <c r="L99" s="679"/>
      <c r="M99" s="708"/>
      <c r="N99" s="679"/>
      <c r="O99" s="695">
        <v>455.92200000000003</v>
      </c>
      <c r="P99" s="679"/>
      <c r="Q99" s="695">
        <v>419.76499999999999</v>
      </c>
      <c r="R99" s="679"/>
      <c r="S99" s="695">
        <v>418.91699999999997</v>
      </c>
      <c r="T99" s="679"/>
      <c r="U99" s="695">
        <v>386.48599999999999</v>
      </c>
      <c r="V99" s="679"/>
      <c r="W99" s="695">
        <v>376.53</v>
      </c>
      <c r="X99" s="679"/>
      <c r="Y99" s="695"/>
      <c r="Z99" s="679"/>
      <c r="AA99" s="695"/>
      <c r="AB99" s="679"/>
      <c r="AC99" s="695">
        <v>404.73899999999998</v>
      </c>
      <c r="AD99" s="679"/>
      <c r="AE99" s="695">
        <v>366.72899999999998</v>
      </c>
      <c r="AF99" s="679"/>
      <c r="AG99" s="696">
        <v>274.58699999999999</v>
      </c>
      <c r="AH99" s="684"/>
      <c r="AI99" s="684"/>
      <c r="AM99" s="871">
        <f>COUNTIF(A99:AB99,"U/P")</f>
        <v>0</v>
      </c>
      <c r="AN99" s="871">
        <f>COUNTIF(A99:AC99,"ROW")</f>
        <v>0</v>
      </c>
      <c r="AO99" s="871">
        <f>COUNTIF(B99:AC99,"C")</f>
        <v>0</v>
      </c>
      <c r="AP99" s="871"/>
      <c r="AQ99" s="871"/>
      <c r="AR99" s="871"/>
      <c r="AS99" s="871"/>
    </row>
    <row r="100" spans="1:45" ht="34" thickBot="1">
      <c r="A100" s="467"/>
      <c r="B100" s="698"/>
      <c r="C100" s="690"/>
      <c r="D100" s="698"/>
      <c r="E100" s="690"/>
      <c r="F100" s="698"/>
      <c r="G100" s="690"/>
      <c r="H100" s="698"/>
      <c r="I100" s="690"/>
      <c r="J100" s="698"/>
      <c r="K100" s="690"/>
      <c r="L100" s="698"/>
      <c r="M100" s="708"/>
      <c r="N100" s="698"/>
      <c r="O100" s="690"/>
      <c r="P100" s="698"/>
      <c r="Q100" s="690"/>
      <c r="R100" s="698"/>
      <c r="S100" s="690"/>
      <c r="T100" s="698"/>
      <c r="U100" s="690"/>
      <c r="V100" s="698"/>
      <c r="W100" s="690"/>
      <c r="X100" s="698"/>
      <c r="Y100" s="690"/>
      <c r="Z100" s="698"/>
      <c r="AA100" s="690"/>
      <c r="AB100" s="698"/>
      <c r="AC100" s="690"/>
      <c r="AD100" s="698"/>
      <c r="AE100" s="690"/>
      <c r="AF100" s="698"/>
      <c r="AG100" s="693"/>
      <c r="AH100" s="684"/>
      <c r="AI100" s="684"/>
    </row>
    <row r="101" spans="1:45" ht="33.5">
      <c r="A101" s="467"/>
      <c r="B101" s="687" t="s">
        <v>123</v>
      </c>
      <c r="C101" s="686"/>
      <c r="D101" s="686" t="s">
        <v>248</v>
      </c>
      <c r="E101" s="686"/>
      <c r="F101" s="687" t="s">
        <v>128</v>
      </c>
      <c r="G101" s="686"/>
      <c r="H101" s="686" t="s">
        <v>248</v>
      </c>
      <c r="I101" s="686"/>
      <c r="J101" s="686" t="s">
        <v>182</v>
      </c>
      <c r="K101" s="686"/>
      <c r="L101" s="686" t="s">
        <v>125</v>
      </c>
      <c r="M101" s="708"/>
      <c r="N101" s="687" t="s">
        <v>125</v>
      </c>
      <c r="O101" s="686"/>
      <c r="P101" s="687" t="s">
        <v>119</v>
      </c>
      <c r="Q101" s="686"/>
      <c r="R101" s="686" t="s">
        <v>167</v>
      </c>
      <c r="S101" s="686"/>
      <c r="T101" s="686" t="s">
        <v>185</v>
      </c>
      <c r="U101" s="686"/>
      <c r="V101" s="686" t="s">
        <v>248</v>
      </c>
      <c r="W101" s="686"/>
      <c r="X101" s="686" t="s">
        <v>182</v>
      </c>
      <c r="Y101" s="686"/>
      <c r="Z101" s="686" t="s">
        <v>248</v>
      </c>
      <c r="AA101" s="686"/>
      <c r="AB101" s="687" t="s">
        <v>188</v>
      </c>
      <c r="AC101" s="686"/>
      <c r="AD101" s="686" t="s">
        <v>242</v>
      </c>
      <c r="AE101" s="686"/>
      <c r="AF101" s="686" t="s">
        <v>182</v>
      </c>
      <c r="AG101" s="693"/>
      <c r="AH101" s="684"/>
      <c r="AI101" s="684"/>
    </row>
    <row r="102" spans="1:45" ht="35" customHeight="1">
      <c r="A102" s="1561" t="s">
        <v>1713</v>
      </c>
      <c r="B102" s="1551"/>
      <c r="C102" s="1551"/>
      <c r="D102" s="1551"/>
      <c r="E102" s="1551"/>
      <c r="F102" s="1551"/>
      <c r="G102" s="1551"/>
      <c r="H102" s="1551"/>
      <c r="I102" s="1551"/>
      <c r="J102" s="1551"/>
      <c r="K102" s="1551"/>
      <c r="L102" s="1551"/>
      <c r="M102" s="1551"/>
      <c r="N102" s="1551"/>
      <c r="O102" s="1551"/>
      <c r="P102" s="1551"/>
      <c r="Q102" s="1551"/>
      <c r="R102" s="1551"/>
      <c r="S102" s="1551"/>
      <c r="T102" s="1551"/>
      <c r="U102" s="1551"/>
      <c r="V102" s="1551"/>
      <c r="W102" s="1551"/>
      <c r="X102" s="1551"/>
      <c r="Y102" s="1551"/>
      <c r="Z102" s="1551"/>
      <c r="AA102" s="1551"/>
      <c r="AB102" s="1551"/>
      <c r="AC102" s="1551"/>
      <c r="AD102" s="1551"/>
      <c r="AE102" s="1551"/>
      <c r="AF102" s="1551"/>
      <c r="AG102" s="1551"/>
      <c r="AH102" s="1551"/>
      <c r="AI102" s="884"/>
      <c r="AJ102" s="884"/>
      <c r="AK102" s="884"/>
      <c r="AL102" s="884"/>
    </row>
    <row r="103" spans="1:45" ht="14.5" customHeight="1">
      <c r="A103" s="467"/>
      <c r="B103" s="704"/>
      <c r="C103" s="704"/>
      <c r="D103" s="704"/>
      <c r="E103" s="704"/>
      <c r="F103" s="704"/>
      <c r="G103" s="704"/>
      <c r="H103" s="704"/>
      <c r="I103" s="704"/>
      <c r="J103" s="704"/>
      <c r="K103" s="704"/>
      <c r="L103" s="704"/>
      <c r="M103" s="704"/>
      <c r="N103" s="704"/>
      <c r="O103" s="704"/>
      <c r="P103" s="704"/>
      <c r="Q103" s="704"/>
      <c r="R103" s="704"/>
      <c r="S103" s="704"/>
      <c r="T103" s="704"/>
      <c r="U103" s="704"/>
      <c r="V103" s="704"/>
      <c r="W103" s="704"/>
      <c r="X103" s="704"/>
      <c r="Y103" s="704"/>
      <c r="Z103" s="704"/>
      <c r="AA103" s="704"/>
      <c r="AB103" s="704"/>
      <c r="AC103" s="693"/>
      <c r="AD103" s="691"/>
      <c r="AE103" s="683"/>
      <c r="AF103" s="684"/>
      <c r="AG103" s="684"/>
    </row>
    <row r="104" spans="1:45" ht="33.5">
      <c r="A104" s="467"/>
      <c r="B104" s="672" t="s">
        <v>671</v>
      </c>
      <c r="C104" s="671"/>
      <c r="D104" s="672" t="s">
        <v>672</v>
      </c>
      <c r="E104" s="671"/>
      <c r="F104" s="672" t="s">
        <v>674</v>
      </c>
      <c r="G104" s="671"/>
      <c r="H104" s="671"/>
      <c r="I104" s="672" t="s">
        <v>677</v>
      </c>
      <c r="J104" s="671"/>
      <c r="K104" s="672" t="s">
        <v>678</v>
      </c>
      <c r="L104" s="671"/>
      <c r="M104" s="672" t="s">
        <v>679</v>
      </c>
      <c r="N104" s="671"/>
      <c r="O104" s="672" t="s">
        <v>680</v>
      </c>
      <c r="P104" s="671"/>
      <c r="Q104" s="672" t="s">
        <v>681</v>
      </c>
      <c r="R104" s="671"/>
      <c r="S104" s="672" t="s">
        <v>682</v>
      </c>
      <c r="T104" s="671"/>
      <c r="U104" s="672" t="s">
        <v>683</v>
      </c>
      <c r="V104" s="671"/>
      <c r="W104" s="672" t="s">
        <v>684</v>
      </c>
      <c r="X104" s="690"/>
      <c r="Y104" s="691"/>
      <c r="Z104" s="684"/>
      <c r="AA104" s="684"/>
      <c r="AB104" s="684"/>
    </row>
    <row r="105" spans="1:45" ht="33.5">
      <c r="A105" s="467"/>
      <c r="B105" s="700"/>
      <c r="C105" s="686"/>
      <c r="D105" s="700"/>
      <c r="E105" s="690"/>
      <c r="F105" s="700"/>
      <c r="G105" s="690"/>
      <c r="H105" s="690"/>
      <c r="I105" s="700"/>
      <c r="J105" s="690"/>
      <c r="K105" s="700"/>
      <c r="L105" s="701"/>
      <c r="M105" s="700"/>
      <c r="N105" s="701"/>
      <c r="O105" s="700"/>
      <c r="P105" s="690"/>
      <c r="Q105" s="700"/>
      <c r="R105" s="690"/>
      <c r="S105" s="700"/>
      <c r="T105" s="690"/>
      <c r="U105" s="700"/>
      <c r="V105" s="690"/>
      <c r="W105" s="700"/>
      <c r="X105" s="690"/>
      <c r="Y105" s="691"/>
      <c r="Z105" s="684"/>
      <c r="AA105" s="684"/>
      <c r="AB105" s="684"/>
    </row>
    <row r="106" spans="1:45" ht="15.5" customHeight="1" thickBot="1">
      <c r="A106" s="467"/>
      <c r="B106" s="702"/>
      <c r="C106" s="690"/>
      <c r="D106" s="702"/>
      <c r="E106" s="690"/>
      <c r="F106" s="702"/>
      <c r="G106" s="690"/>
      <c r="H106" s="690"/>
      <c r="I106" s="702"/>
      <c r="J106" s="690"/>
      <c r="K106" s="702"/>
      <c r="L106" s="690"/>
      <c r="M106" s="702"/>
      <c r="N106" s="690"/>
      <c r="O106" s="702"/>
      <c r="P106" s="690"/>
      <c r="Q106" s="702"/>
      <c r="R106" s="690"/>
      <c r="S106" s="702"/>
      <c r="T106" s="690"/>
      <c r="U106" s="702"/>
      <c r="V106" s="690"/>
      <c r="W106" s="702"/>
      <c r="X106" s="690"/>
      <c r="Y106" s="691"/>
      <c r="Z106" s="684"/>
      <c r="AA106" s="684"/>
      <c r="AB106" s="684"/>
    </row>
    <row r="107" spans="1:45" ht="100" customHeight="1" thickBot="1">
      <c r="A107" s="467"/>
      <c r="B107" s="679"/>
      <c r="C107" s="695">
        <v>341.66800000000001</v>
      </c>
      <c r="D107" s="679"/>
      <c r="E107" s="695">
        <v>425.863</v>
      </c>
      <c r="F107" s="679"/>
      <c r="G107" s="695">
        <v>370.45</v>
      </c>
      <c r="H107" s="695">
        <v>397.61</v>
      </c>
      <c r="I107" s="679"/>
      <c r="J107" s="695">
        <v>413.4</v>
      </c>
      <c r="K107" s="679"/>
      <c r="L107" s="678">
        <v>423.65</v>
      </c>
      <c r="M107" s="679"/>
      <c r="N107" s="695">
        <v>415.97</v>
      </c>
      <c r="O107" s="679"/>
      <c r="P107" s="695">
        <v>415.35</v>
      </c>
      <c r="Q107" s="679"/>
      <c r="R107" s="678">
        <v>394.875</v>
      </c>
      <c r="S107" s="1042" t="s">
        <v>390</v>
      </c>
      <c r="T107" s="678">
        <v>429.62</v>
      </c>
      <c r="U107" s="679"/>
      <c r="V107" s="678">
        <v>381.90499999999997</v>
      </c>
      <c r="W107" s="679"/>
      <c r="X107" s="678">
        <v>405.26</v>
      </c>
      <c r="Y107" s="691"/>
      <c r="Z107" s="684"/>
      <c r="AA107" s="684"/>
      <c r="AB107" s="684"/>
      <c r="AH107" s="871">
        <f>COUNTIF(B107:W107,"U/P")</f>
        <v>1</v>
      </c>
      <c r="AI107" s="871">
        <f>COUNTIF(C107:X107,"ROW")</f>
        <v>0</v>
      </c>
      <c r="AJ107" s="871">
        <f>COUNTIF(D107:Y107,"C")</f>
        <v>0</v>
      </c>
      <c r="AM107" s="871">
        <f>COUNTIF(B107:AB107,"U/P")</f>
        <v>1</v>
      </c>
      <c r="AN107" s="871">
        <f>COUNTIF(C107:AC107,"ROW")</f>
        <v>0</v>
      </c>
      <c r="AO107" s="871">
        <f>COUNTIF(D107:AD107,"C")</f>
        <v>0</v>
      </c>
    </row>
    <row r="108" spans="1:45" ht="34" thickBot="1">
      <c r="A108" s="467"/>
      <c r="B108" s="698"/>
      <c r="C108" s="690"/>
      <c r="D108" s="698"/>
      <c r="E108" s="690"/>
      <c r="F108" s="698"/>
      <c r="G108" s="690"/>
      <c r="H108" s="690"/>
      <c r="I108" s="698"/>
      <c r="J108" s="690"/>
      <c r="K108" s="698"/>
      <c r="L108" s="690"/>
      <c r="M108" s="698"/>
      <c r="N108" s="690"/>
      <c r="O108" s="698"/>
      <c r="P108" s="690"/>
      <c r="Q108" s="698"/>
      <c r="R108" s="690"/>
      <c r="S108" s="772" t="s">
        <v>228</v>
      </c>
      <c r="T108" s="690"/>
      <c r="U108" s="698"/>
      <c r="V108" s="690"/>
      <c r="W108" s="698"/>
      <c r="X108" s="690"/>
      <c r="Y108" s="691"/>
      <c r="Z108" s="684"/>
      <c r="AA108" s="684"/>
      <c r="AB108" s="684"/>
    </row>
    <row r="109" spans="1:45" ht="33.5">
      <c r="A109" s="467"/>
      <c r="B109" s="686" t="s">
        <v>182</v>
      </c>
      <c r="C109" s="686"/>
      <c r="D109" s="686" t="s">
        <v>242</v>
      </c>
      <c r="E109" s="686"/>
      <c r="F109" s="687" t="s">
        <v>143</v>
      </c>
      <c r="G109" s="686"/>
      <c r="H109" s="686"/>
      <c r="I109" s="687" t="s">
        <v>119</v>
      </c>
      <c r="J109" s="686"/>
      <c r="K109" s="686" t="s">
        <v>248</v>
      </c>
      <c r="L109" s="686"/>
      <c r="M109" s="686" t="s">
        <v>182</v>
      </c>
      <c r="N109" s="686"/>
      <c r="O109" s="686" t="s">
        <v>248</v>
      </c>
      <c r="P109" s="686"/>
      <c r="Q109" s="687" t="s">
        <v>137</v>
      </c>
      <c r="R109" s="686"/>
      <c r="S109" s="686" t="s">
        <v>248</v>
      </c>
      <c r="T109" s="686"/>
      <c r="U109" s="716" t="s">
        <v>1273</v>
      </c>
      <c r="V109" s="686"/>
      <c r="W109" s="686" t="s">
        <v>248</v>
      </c>
      <c r="X109" s="690"/>
      <c r="Y109" s="691"/>
      <c r="Z109" s="684"/>
      <c r="AA109" s="684"/>
      <c r="AB109" s="684"/>
    </row>
    <row r="110" spans="1:45" ht="69" customHeight="1">
      <c r="A110" s="467"/>
      <c r="B110" s="686"/>
      <c r="C110" s="686"/>
      <c r="D110" s="686"/>
      <c r="E110" s="686"/>
      <c r="F110" s="686"/>
      <c r="G110" s="686"/>
      <c r="H110" s="686"/>
      <c r="I110" s="686"/>
      <c r="J110" s="686"/>
      <c r="K110" s="686"/>
      <c r="L110" s="686"/>
      <c r="M110" s="717" t="s">
        <v>1686</v>
      </c>
      <c r="N110" s="686"/>
      <c r="O110" s="686"/>
      <c r="P110" s="686"/>
      <c r="Q110" s="686"/>
      <c r="R110" s="717" t="s">
        <v>1622</v>
      </c>
      <c r="S110" s="686"/>
      <c r="T110" s="686"/>
      <c r="U110" s="686"/>
      <c r="V110" s="686"/>
      <c r="W110" s="1580" t="s">
        <v>1621</v>
      </c>
      <c r="X110" s="1580"/>
      <c r="Y110" s="1580"/>
      <c r="Z110" s="717"/>
      <c r="AA110" s="686"/>
      <c r="AB110" s="718"/>
      <c r="AC110" s="690"/>
      <c r="AD110" s="691"/>
      <c r="AE110" s="684"/>
      <c r="AF110" s="684"/>
      <c r="AG110" s="684"/>
    </row>
    <row r="111" spans="1:45" ht="41" customHeight="1">
      <c r="A111" s="1561" t="s">
        <v>1518</v>
      </c>
      <c r="B111" s="1551"/>
      <c r="C111" s="1551"/>
      <c r="D111" s="1551"/>
      <c r="E111" s="1551"/>
      <c r="F111" s="1551"/>
      <c r="G111" s="1551"/>
      <c r="H111" s="1551"/>
      <c r="I111" s="1551"/>
      <c r="J111" s="1551"/>
      <c r="K111" s="1551"/>
      <c r="L111" s="1551"/>
      <c r="M111" s="1551"/>
      <c r="N111" s="1551"/>
      <c r="O111" s="1551"/>
      <c r="P111" s="1551"/>
      <c r="Q111" s="1551"/>
      <c r="R111" s="1551"/>
      <c r="S111" s="1551"/>
      <c r="T111" s="1551"/>
      <c r="U111" s="1551"/>
      <c r="V111" s="1551"/>
      <c r="W111" s="1551"/>
      <c r="X111" s="1551"/>
      <c r="Y111" s="1551"/>
      <c r="Z111" s="1551"/>
      <c r="AA111" s="1551"/>
      <c r="AB111" s="1551"/>
      <c r="AC111" s="1551"/>
      <c r="AD111" s="1551"/>
      <c r="AE111" s="1551"/>
      <c r="AF111" s="1551"/>
      <c r="AG111" s="1551"/>
      <c r="AH111" s="1551"/>
      <c r="AI111" s="881"/>
      <c r="AJ111" s="881"/>
      <c r="AK111" s="881"/>
      <c r="AL111" s="881"/>
    </row>
    <row r="112" spans="1:45" ht="67" customHeight="1">
      <c r="A112" s="467"/>
      <c r="B112" s="672" t="s">
        <v>685</v>
      </c>
      <c r="C112" s="671"/>
      <c r="D112" s="672" t="s">
        <v>686</v>
      </c>
      <c r="E112" s="671"/>
      <c r="F112" s="672" t="s">
        <v>687</v>
      </c>
      <c r="G112" s="671"/>
      <c r="H112" s="672" t="s">
        <v>688</v>
      </c>
      <c r="I112" s="671"/>
      <c r="J112" s="672" t="s">
        <v>689</v>
      </c>
      <c r="K112" s="719" t="s">
        <v>1512</v>
      </c>
      <c r="L112" s="1550" t="s">
        <v>690</v>
      </c>
      <c r="M112" s="1550"/>
      <c r="N112" s="672" t="s">
        <v>691</v>
      </c>
      <c r="O112" s="671"/>
      <c r="P112" s="1550" t="s">
        <v>692</v>
      </c>
      <c r="Q112" s="1550"/>
      <c r="R112" s="672" t="s">
        <v>693</v>
      </c>
      <c r="S112" s="671"/>
      <c r="T112" s="672" t="s">
        <v>694</v>
      </c>
      <c r="U112" s="671"/>
      <c r="V112" s="672" t="s">
        <v>695</v>
      </c>
      <c r="W112" s="671"/>
      <c r="X112" s="672" t="s">
        <v>696</v>
      </c>
      <c r="Y112" s="671"/>
      <c r="Z112" s="1550" t="s">
        <v>697</v>
      </c>
      <c r="AA112" s="1550"/>
      <c r="AB112" s="672" t="s">
        <v>698</v>
      </c>
      <c r="AC112" s="690"/>
      <c r="AD112" s="691"/>
      <c r="AE112" s="684"/>
      <c r="AF112" s="684"/>
      <c r="AG112" s="684"/>
    </row>
    <row r="113" spans="1:41" ht="33.5">
      <c r="A113" s="467"/>
      <c r="B113" s="700"/>
      <c r="C113" s="690"/>
      <c r="D113" s="700"/>
      <c r="E113" s="690"/>
      <c r="F113" s="700"/>
      <c r="G113" s="690"/>
      <c r="H113" s="700"/>
      <c r="I113" s="690"/>
      <c r="J113" s="700"/>
      <c r="K113" s="690"/>
      <c r="L113" s="700"/>
      <c r="M113" s="690"/>
      <c r="N113" s="700"/>
      <c r="O113" s="690"/>
      <c r="P113" s="700"/>
      <c r="Q113" s="690"/>
      <c r="R113" s="700"/>
      <c r="S113" s="690"/>
      <c r="T113" s="700"/>
      <c r="U113" s="690"/>
      <c r="V113" s="700"/>
      <c r="W113" s="690"/>
      <c r="X113" s="700"/>
      <c r="Y113" s="690"/>
      <c r="Z113" s="700"/>
      <c r="AA113" s="690"/>
      <c r="AB113" s="700"/>
      <c r="AC113" s="690"/>
      <c r="AD113" s="691"/>
      <c r="AE113" s="684"/>
      <c r="AF113" s="684"/>
      <c r="AG113" s="684"/>
    </row>
    <row r="114" spans="1:41" ht="14" customHeight="1" thickBot="1">
      <c r="A114" s="467"/>
      <c r="B114" s="702"/>
      <c r="C114" s="690"/>
      <c r="D114" s="702"/>
      <c r="E114" s="690"/>
      <c r="F114" s="702"/>
      <c r="G114" s="690"/>
      <c r="H114" s="702"/>
      <c r="I114" s="690"/>
      <c r="J114" s="702"/>
      <c r="K114" s="690"/>
      <c r="L114" s="702"/>
      <c r="M114" s="690"/>
      <c r="N114" s="702"/>
      <c r="O114" s="690"/>
      <c r="P114" s="702"/>
      <c r="Q114" s="690"/>
      <c r="R114" s="702"/>
      <c r="S114" s="690"/>
      <c r="T114" s="702"/>
      <c r="U114" s="690"/>
      <c r="V114" s="702"/>
      <c r="W114" s="690"/>
      <c r="X114" s="702"/>
      <c r="Y114" s="690"/>
      <c r="Z114" s="702"/>
      <c r="AA114" s="690"/>
      <c r="AB114" s="702"/>
      <c r="AC114" s="690"/>
      <c r="AD114" s="691"/>
      <c r="AE114" s="684"/>
      <c r="AF114" s="684"/>
      <c r="AG114" s="684"/>
    </row>
    <row r="115" spans="1:41" ht="100" customHeight="1" thickBot="1">
      <c r="A115" s="467"/>
      <c r="B115" s="679"/>
      <c r="C115" s="695">
        <v>338.15600000000001</v>
      </c>
      <c r="D115" s="679"/>
      <c r="E115" s="695">
        <v>288.303</v>
      </c>
      <c r="F115" s="679"/>
      <c r="G115" s="695">
        <v>297.14999999999998</v>
      </c>
      <c r="H115" s="679"/>
      <c r="I115" s="695">
        <v>195.90299999999999</v>
      </c>
      <c r="J115" s="679"/>
      <c r="K115" s="695">
        <v>249.66</v>
      </c>
      <c r="L115" s="679"/>
      <c r="M115" s="695">
        <v>374.48</v>
      </c>
      <c r="N115" s="679"/>
      <c r="O115" s="695">
        <v>430.3</v>
      </c>
      <c r="P115" s="679"/>
      <c r="Q115" s="695">
        <v>404.38600000000002</v>
      </c>
      <c r="R115" s="679"/>
      <c r="S115" s="695">
        <v>341.423</v>
      </c>
      <c r="T115" s="679"/>
      <c r="U115" s="695">
        <v>305.40100000000001</v>
      </c>
      <c r="V115" s="679"/>
      <c r="W115" s="695">
        <v>319.98099999999999</v>
      </c>
      <c r="X115" s="679"/>
      <c r="Y115" s="695">
        <v>345.62099999999998</v>
      </c>
      <c r="Z115" s="679"/>
      <c r="AA115" s="695">
        <v>223.15100000000001</v>
      </c>
      <c r="AB115" s="679"/>
      <c r="AC115" s="695">
        <v>393.81700000000001</v>
      </c>
      <c r="AD115" s="691"/>
      <c r="AE115" s="684"/>
      <c r="AF115" s="684"/>
      <c r="AG115" s="684"/>
      <c r="AM115" s="871">
        <f>COUNTIF(B115:AB115,"U/P")</f>
        <v>0</v>
      </c>
      <c r="AN115" s="871">
        <f>COUNTIF(C115:AC115,"ROW")</f>
        <v>0</v>
      </c>
      <c r="AO115" s="871">
        <f>COUNTIF(D115:AD115,"C")</f>
        <v>0</v>
      </c>
    </row>
    <row r="116" spans="1:41" ht="34" thickBot="1">
      <c r="A116" s="467"/>
      <c r="B116" s="698"/>
      <c r="C116" s="690"/>
      <c r="D116" s="698"/>
      <c r="E116" s="690"/>
      <c r="F116" s="698"/>
      <c r="G116" s="690"/>
      <c r="H116" s="698"/>
      <c r="I116" s="690"/>
      <c r="J116" s="698"/>
      <c r="K116" s="690"/>
      <c r="L116" s="698"/>
      <c r="M116" s="690"/>
      <c r="N116" s="698"/>
      <c r="O116" s="690"/>
      <c r="P116" s="698"/>
      <c r="Q116" s="690"/>
      <c r="R116" s="698"/>
      <c r="S116" s="690"/>
      <c r="T116" s="698"/>
      <c r="U116" s="690"/>
      <c r="V116" s="698"/>
      <c r="W116" s="690"/>
      <c r="X116" s="698"/>
      <c r="Y116" s="690"/>
      <c r="Z116" s="698"/>
      <c r="AA116" s="690"/>
      <c r="AB116" s="698"/>
      <c r="AC116" s="690"/>
      <c r="AD116" s="691"/>
      <c r="AE116" s="684"/>
      <c r="AF116" s="684"/>
      <c r="AG116" s="684"/>
    </row>
    <row r="117" spans="1:41" ht="33.5">
      <c r="A117" s="467"/>
      <c r="B117" s="686" t="s">
        <v>248</v>
      </c>
      <c r="C117" s="686"/>
      <c r="D117" s="686" t="s">
        <v>182</v>
      </c>
      <c r="E117" s="686"/>
      <c r="F117" s="686" t="s">
        <v>185</v>
      </c>
      <c r="G117" s="686"/>
      <c r="H117" s="686" t="s">
        <v>182</v>
      </c>
      <c r="I117" s="686"/>
      <c r="J117" s="687" t="s">
        <v>128</v>
      </c>
      <c r="K117" s="686"/>
      <c r="L117" s="687" t="s">
        <v>132</v>
      </c>
      <c r="M117" s="686"/>
      <c r="N117" s="686" t="s">
        <v>248</v>
      </c>
      <c r="O117" s="686"/>
      <c r="P117" s="687" t="s">
        <v>147</v>
      </c>
      <c r="Q117" s="686"/>
      <c r="R117" s="686" t="s">
        <v>182</v>
      </c>
      <c r="S117" s="686"/>
      <c r="T117" s="686" t="s">
        <v>185</v>
      </c>
      <c r="U117" s="686"/>
      <c r="V117" s="686" t="s">
        <v>182</v>
      </c>
      <c r="W117" s="686"/>
      <c r="X117" s="686" t="s">
        <v>242</v>
      </c>
      <c r="Y117" s="686"/>
      <c r="Z117" s="687" t="s">
        <v>143</v>
      </c>
      <c r="AA117" s="686"/>
      <c r="AB117" s="687" t="s">
        <v>147</v>
      </c>
      <c r="AC117" s="690"/>
      <c r="AD117" s="691"/>
      <c r="AE117" s="684"/>
      <c r="AF117" s="684"/>
      <c r="AG117" s="684"/>
    </row>
    <row r="118" spans="1:41" ht="37.5" customHeight="1">
      <c r="A118" s="717" t="s">
        <v>1621</v>
      </c>
      <c r="C118" s="690"/>
      <c r="D118" s="717" t="s">
        <v>366</v>
      </c>
      <c r="E118" s="690"/>
      <c r="F118" s="717" t="s">
        <v>1623</v>
      </c>
      <c r="G118" s="690"/>
      <c r="H118" s="717" t="s">
        <v>366</v>
      </c>
      <c r="I118" s="690"/>
      <c r="J118" s="708"/>
      <c r="K118" s="690"/>
      <c r="L118" s="717" t="s">
        <v>1524</v>
      </c>
      <c r="M118" s="690"/>
      <c r="N118" s="717" t="s">
        <v>1524</v>
      </c>
      <c r="O118" s="690"/>
      <c r="P118" s="708"/>
      <c r="Q118" s="690"/>
      <c r="R118" s="708"/>
      <c r="S118" s="690"/>
      <c r="T118" s="708"/>
      <c r="U118" s="690"/>
      <c r="V118" s="708"/>
      <c r="W118" s="690"/>
      <c r="X118" s="708"/>
      <c r="Y118" s="690"/>
      <c r="Z118" s="708"/>
      <c r="AA118" s="690"/>
      <c r="AB118" s="708"/>
      <c r="AC118" s="690"/>
      <c r="AD118" s="691"/>
      <c r="AE118" s="684"/>
      <c r="AF118" s="684"/>
      <c r="AG118" s="684"/>
    </row>
    <row r="119" spans="1:41" ht="35" customHeight="1">
      <c r="A119" s="1561" t="s">
        <v>1518</v>
      </c>
      <c r="B119" s="1551"/>
      <c r="C119" s="1551"/>
      <c r="D119" s="1551"/>
      <c r="E119" s="1551"/>
      <c r="F119" s="1551"/>
      <c r="G119" s="1551"/>
      <c r="H119" s="1551"/>
      <c r="I119" s="1551"/>
      <c r="J119" s="1551"/>
      <c r="K119" s="1551"/>
      <c r="L119" s="1551"/>
      <c r="M119" s="1551"/>
      <c r="N119" s="1551"/>
      <c r="O119" s="1551"/>
      <c r="P119" s="1551"/>
      <c r="Q119" s="1576" t="s">
        <v>1714</v>
      </c>
      <c r="R119" s="1576"/>
      <c r="S119" s="1576"/>
      <c r="T119" s="1576"/>
      <c r="U119" s="1576"/>
      <c r="V119" s="1576"/>
      <c r="W119" s="1576"/>
      <c r="X119" s="1576"/>
      <c r="Y119" s="1576"/>
      <c r="Z119" s="1576"/>
      <c r="AA119" s="1576"/>
      <c r="AB119" s="1576"/>
      <c r="AC119" s="1576"/>
      <c r="AD119" s="1576"/>
      <c r="AE119" s="1576"/>
      <c r="AF119" s="1576"/>
      <c r="AG119" s="1025"/>
      <c r="AH119" s="1025"/>
      <c r="AI119" s="884"/>
      <c r="AJ119" s="884"/>
      <c r="AK119" s="884"/>
      <c r="AL119" s="884"/>
    </row>
    <row r="120" spans="1:41" ht="31" customHeight="1">
      <c r="A120" s="467"/>
      <c r="B120" s="672" t="s">
        <v>699</v>
      </c>
      <c r="C120" s="671"/>
      <c r="D120" s="672" t="s">
        <v>700</v>
      </c>
      <c r="E120" s="671"/>
      <c r="F120" s="672" t="s">
        <v>701</v>
      </c>
      <c r="G120" s="671"/>
      <c r="H120" s="672" t="s">
        <v>702</v>
      </c>
      <c r="I120" s="671"/>
      <c r="J120" s="672" t="s">
        <v>1275</v>
      </c>
      <c r="K120" s="671"/>
      <c r="L120" s="672" t="s">
        <v>310</v>
      </c>
      <c r="M120" s="671"/>
      <c r="N120" s="672" t="s">
        <v>272</v>
      </c>
      <c r="O120" s="671"/>
      <c r="P120" s="672" t="s">
        <v>273</v>
      </c>
      <c r="Q120" s="671"/>
      <c r="R120" s="672" t="s">
        <v>311</v>
      </c>
      <c r="S120" s="671"/>
      <c r="T120" s="672" t="s">
        <v>312</v>
      </c>
      <c r="U120" s="671"/>
      <c r="V120" s="672" t="s">
        <v>313</v>
      </c>
      <c r="W120" s="671"/>
      <c r="X120" s="672" t="s">
        <v>314</v>
      </c>
      <c r="Y120" s="673" t="s">
        <v>1513</v>
      </c>
      <c r="Z120" s="672" t="s">
        <v>315</v>
      </c>
      <c r="AA120" s="671"/>
      <c r="AB120" s="672" t="s">
        <v>316</v>
      </c>
      <c r="AC120" s="690"/>
      <c r="AD120" s="708"/>
      <c r="AE120" s="711"/>
      <c r="AF120" s="711"/>
      <c r="AG120" s="711"/>
      <c r="AH120" s="708"/>
      <c r="AI120" s="708"/>
      <c r="AJ120" s="708"/>
      <c r="AK120" s="708"/>
      <c r="AL120" s="708"/>
    </row>
    <row r="121" spans="1:41" ht="33.5">
      <c r="A121" s="467"/>
      <c r="B121" s="700"/>
      <c r="C121" s="690"/>
      <c r="D121" s="700"/>
      <c r="E121" s="690"/>
      <c r="F121" s="700"/>
      <c r="G121" s="690"/>
      <c r="H121" s="700"/>
      <c r="I121" s="690"/>
      <c r="J121" s="700"/>
      <c r="K121" s="690"/>
      <c r="L121" s="700"/>
      <c r="M121" s="690"/>
      <c r="N121" s="700"/>
      <c r="O121" s="690"/>
      <c r="P121" s="700"/>
      <c r="Q121" s="690"/>
      <c r="R121" s="700"/>
      <c r="S121" s="690"/>
      <c r="T121" s="700"/>
      <c r="U121" s="690"/>
      <c r="V121" s="700"/>
      <c r="W121" s="690"/>
      <c r="X121" s="700"/>
      <c r="Y121" s="701"/>
      <c r="Z121" s="700"/>
      <c r="AA121" s="701"/>
      <c r="AB121" s="700"/>
      <c r="AC121" s="690"/>
      <c r="AD121" s="708"/>
      <c r="AE121" s="711"/>
      <c r="AF121" s="711"/>
      <c r="AG121" s="711"/>
      <c r="AH121" s="708"/>
      <c r="AI121" s="708"/>
      <c r="AJ121" s="708"/>
      <c r="AK121" s="708"/>
      <c r="AL121" s="708"/>
    </row>
    <row r="122" spans="1:41" ht="13" customHeight="1" thickBot="1">
      <c r="A122" s="467"/>
      <c r="B122" s="702"/>
      <c r="C122" s="690"/>
      <c r="D122" s="702"/>
      <c r="E122" s="690"/>
      <c r="F122" s="702"/>
      <c r="G122" s="690"/>
      <c r="H122" s="702"/>
      <c r="I122" s="690"/>
      <c r="J122" s="702"/>
      <c r="K122" s="690"/>
      <c r="L122" s="702"/>
      <c r="M122" s="690"/>
      <c r="N122" s="702"/>
      <c r="O122" s="690"/>
      <c r="P122" s="702"/>
      <c r="Q122" s="690"/>
      <c r="R122" s="702"/>
      <c r="S122" s="690"/>
      <c r="T122" s="702"/>
      <c r="U122" s="690"/>
      <c r="V122" s="702"/>
      <c r="W122" s="690"/>
      <c r="X122" s="702"/>
      <c r="Y122" s="690"/>
      <c r="Z122" s="702"/>
      <c r="AA122" s="690"/>
      <c r="AB122" s="702"/>
      <c r="AC122" s="690"/>
      <c r="AD122" s="708"/>
      <c r="AE122" s="711"/>
      <c r="AF122" s="711"/>
      <c r="AG122" s="711"/>
      <c r="AH122" s="708"/>
      <c r="AI122" s="708"/>
      <c r="AJ122" s="708"/>
      <c r="AK122" s="708"/>
      <c r="AL122" s="708"/>
    </row>
    <row r="123" spans="1:41" ht="100" customHeight="1" thickBot="1">
      <c r="A123" s="467"/>
      <c r="B123" s="679"/>
      <c r="C123" s="695">
        <v>435.13600000000002</v>
      </c>
      <c r="D123" s="679" t="s">
        <v>390</v>
      </c>
      <c r="E123" s="695">
        <v>403.209</v>
      </c>
      <c r="F123" s="721"/>
      <c r="G123" s="695">
        <v>422.55399999999997</v>
      </c>
      <c r="H123" s="679"/>
      <c r="I123" s="695">
        <v>353.48399999999998</v>
      </c>
      <c r="J123" s="679"/>
      <c r="K123" s="695">
        <v>274.89999999999998</v>
      </c>
      <c r="L123" s="679"/>
      <c r="M123" s="695">
        <v>465.03300000000002</v>
      </c>
      <c r="N123" s="720"/>
      <c r="O123" s="695">
        <v>373.98</v>
      </c>
      <c r="P123" s="721"/>
      <c r="Q123" s="695">
        <v>416.86399999999998</v>
      </c>
      <c r="R123" s="721"/>
      <c r="S123" s="695">
        <v>381.01900000000001</v>
      </c>
      <c r="T123" s="679"/>
      <c r="U123" s="695">
        <v>391.52</v>
      </c>
      <c r="V123" s="679"/>
      <c r="W123" s="695">
        <v>374.93</v>
      </c>
      <c r="X123" s="679"/>
      <c r="Y123" s="678">
        <v>248.57</v>
      </c>
      <c r="Z123" s="679"/>
      <c r="AA123" s="695">
        <v>384.17</v>
      </c>
      <c r="AB123" s="679"/>
      <c r="AC123" s="678">
        <v>330.76</v>
      </c>
      <c r="AD123" s="708"/>
      <c r="AE123" s="711"/>
      <c r="AF123" s="711"/>
      <c r="AG123" s="711"/>
      <c r="AH123" s="708"/>
      <c r="AI123" s="708"/>
      <c r="AJ123" s="708"/>
      <c r="AK123" s="708"/>
      <c r="AL123" s="708"/>
      <c r="AM123" s="871">
        <f>COUNTIF(B123:AB123,"U/P")</f>
        <v>1</v>
      </c>
      <c r="AN123" s="871">
        <f>COUNTIF(C123:AC123,"ROW")</f>
        <v>0</v>
      </c>
      <c r="AO123" s="871">
        <f>COUNTIF(D123:AD123,"C")</f>
        <v>0</v>
      </c>
    </row>
    <row r="124" spans="1:41" ht="34" thickBot="1">
      <c r="A124" s="467"/>
      <c r="B124" s="698"/>
      <c r="C124" s="690"/>
      <c r="D124" s="772" t="s">
        <v>228</v>
      </c>
      <c r="E124" s="690"/>
      <c r="F124" s="698"/>
      <c r="G124" s="690"/>
      <c r="H124" s="698"/>
      <c r="I124" s="690"/>
      <c r="J124" s="698"/>
      <c r="K124" s="690"/>
      <c r="L124" s="698"/>
      <c r="M124" s="690"/>
      <c r="N124" s="698"/>
      <c r="O124" s="690"/>
      <c r="P124" s="698"/>
      <c r="Q124" s="690"/>
      <c r="R124" s="698"/>
      <c r="S124" s="690"/>
      <c r="T124" s="698"/>
      <c r="U124" s="690"/>
      <c r="V124" s="698"/>
      <c r="W124" s="690"/>
      <c r="X124" s="698"/>
      <c r="Y124" s="690"/>
      <c r="Z124" s="698"/>
      <c r="AA124" s="690"/>
      <c r="AB124" s="698"/>
      <c r="AC124" s="690"/>
      <c r="AD124" s="708"/>
      <c r="AE124" s="711"/>
      <c r="AF124" s="711"/>
      <c r="AG124" s="711"/>
      <c r="AH124" s="708"/>
      <c r="AI124" s="708"/>
      <c r="AJ124" s="708"/>
      <c r="AK124" s="708"/>
      <c r="AL124" s="708"/>
    </row>
    <row r="125" spans="1:41" ht="33.5">
      <c r="A125" s="467"/>
      <c r="B125" s="703" t="s">
        <v>248</v>
      </c>
      <c r="C125" s="686"/>
      <c r="D125" s="703" t="s">
        <v>248</v>
      </c>
      <c r="E125" s="686"/>
      <c r="F125" s="687" t="s">
        <v>143</v>
      </c>
      <c r="G125" s="686"/>
      <c r="H125" s="687" t="s">
        <v>143</v>
      </c>
      <c r="I125" s="686"/>
      <c r="J125" s="687" t="s">
        <v>147</v>
      </c>
      <c r="K125" s="686"/>
      <c r="L125" s="687" t="s">
        <v>117</v>
      </c>
      <c r="M125" s="686"/>
      <c r="N125" s="703" t="s">
        <v>185</v>
      </c>
      <c r="O125" s="686"/>
      <c r="P125" s="703" t="s">
        <v>182</v>
      </c>
      <c r="Q125" s="686"/>
      <c r="R125" s="703" t="s">
        <v>185</v>
      </c>
      <c r="S125" s="686"/>
      <c r="T125" s="687" t="s">
        <v>119</v>
      </c>
      <c r="U125" s="686"/>
      <c r="V125" s="703" t="s">
        <v>242</v>
      </c>
      <c r="W125" s="686"/>
      <c r="X125" s="687" t="s">
        <v>125</v>
      </c>
      <c r="Y125" s="686"/>
      <c r="Z125" s="687" t="s">
        <v>115</v>
      </c>
      <c r="AA125" s="686"/>
      <c r="AB125" s="703" t="s">
        <v>185</v>
      </c>
      <c r="AC125" s="690"/>
      <c r="AD125" s="708"/>
      <c r="AE125" s="711"/>
      <c r="AF125" s="711"/>
      <c r="AG125" s="711"/>
      <c r="AH125" s="708"/>
      <c r="AI125" s="708"/>
      <c r="AJ125" s="708"/>
      <c r="AK125" s="708"/>
      <c r="AL125" s="708"/>
    </row>
    <row r="126" spans="1:41" ht="33.5">
      <c r="A126" s="467"/>
      <c r="B126" s="703"/>
      <c r="C126" s="686"/>
      <c r="D126" s="703"/>
      <c r="E126" s="686"/>
      <c r="F126" s="703"/>
      <c r="G126" s="686"/>
      <c r="H126" s="703"/>
      <c r="I126" s="686"/>
      <c r="J126" s="717" t="s">
        <v>1524</v>
      </c>
      <c r="K126" s="686"/>
      <c r="L126" s="703"/>
      <c r="M126" s="686"/>
      <c r="N126" s="703"/>
      <c r="O126" s="686"/>
      <c r="P126" s="703"/>
      <c r="Q126" s="686"/>
      <c r="R126" s="703"/>
      <c r="S126" s="686"/>
      <c r="T126" s="722" t="s">
        <v>1687</v>
      </c>
      <c r="U126" s="686"/>
      <c r="V126" s="722" t="s">
        <v>1624</v>
      </c>
      <c r="W126" s="686"/>
      <c r="X126" s="703"/>
      <c r="Y126" s="686"/>
      <c r="Z126" s="703"/>
      <c r="AA126" s="686"/>
      <c r="AB126" s="703"/>
      <c r="AC126" s="690"/>
      <c r="AD126" s="708"/>
      <c r="AE126" s="711"/>
      <c r="AF126" s="711"/>
      <c r="AG126" s="711"/>
      <c r="AH126" s="708"/>
      <c r="AI126" s="708"/>
      <c r="AJ126" s="708"/>
      <c r="AK126" s="708"/>
      <c r="AL126" s="708"/>
    </row>
    <row r="127" spans="1:41" ht="38.5" customHeight="1">
      <c r="A127" s="1577" t="s">
        <v>1715</v>
      </c>
      <c r="B127" s="1578"/>
      <c r="C127" s="1578"/>
      <c r="D127" s="1578"/>
      <c r="E127" s="1578"/>
      <c r="F127" s="1579"/>
      <c r="G127" s="1564" t="s">
        <v>1525</v>
      </c>
      <c r="H127" s="1554"/>
      <c r="I127" s="1554"/>
      <c r="J127" s="1554"/>
      <c r="K127" s="1554"/>
      <c r="L127" s="1554"/>
      <c r="M127" s="1554"/>
      <c r="N127" s="1554"/>
      <c r="O127" s="1555"/>
      <c r="P127" s="723"/>
      <c r="Q127" s="723"/>
      <c r="R127" s="723"/>
      <c r="S127" s="1551" t="s">
        <v>1518</v>
      </c>
      <c r="T127" s="1551"/>
      <c r="U127" s="1551"/>
      <c r="V127" s="1551"/>
      <c r="W127" s="1551"/>
      <c r="X127" s="1551"/>
      <c r="Y127" s="1551"/>
      <c r="Z127" s="1551"/>
      <c r="AA127" s="1551"/>
      <c r="AB127" s="1551"/>
      <c r="AC127" s="1551"/>
      <c r="AD127" s="1551"/>
      <c r="AE127" s="1551"/>
      <c r="AF127" s="1551"/>
      <c r="AG127" s="1551"/>
      <c r="AH127" s="1551"/>
      <c r="AI127" s="881"/>
      <c r="AJ127" s="881"/>
      <c r="AK127" s="881"/>
      <c r="AL127" s="881"/>
    </row>
    <row r="128" spans="1:41" ht="14" customHeight="1">
      <c r="B128" s="724"/>
      <c r="C128" s="693"/>
      <c r="D128" s="724"/>
      <c r="E128" s="693"/>
      <c r="F128" s="724"/>
      <c r="G128" s="693"/>
      <c r="H128" s="724"/>
      <c r="I128" s="693"/>
      <c r="J128" s="724"/>
      <c r="K128" s="693"/>
      <c r="L128" s="724"/>
      <c r="M128" s="693"/>
      <c r="N128" s="724"/>
      <c r="O128" s="693"/>
      <c r="P128" s="724"/>
      <c r="Q128" s="693"/>
      <c r="R128" s="724"/>
      <c r="S128" s="693"/>
      <c r="T128" s="724"/>
      <c r="U128" s="693"/>
      <c r="V128" s="724"/>
      <c r="W128" s="693"/>
      <c r="X128" s="724"/>
      <c r="Y128" s="693"/>
      <c r="Z128" s="724"/>
      <c r="AA128" s="693"/>
      <c r="AB128" s="724"/>
      <c r="AC128" s="693"/>
      <c r="AD128" s="691"/>
      <c r="AE128" s="684"/>
      <c r="AF128" s="684"/>
      <c r="AG128" s="684"/>
    </row>
    <row r="129" spans="1:41" ht="67" customHeight="1">
      <c r="A129" s="467"/>
      <c r="B129" s="672" t="s">
        <v>320</v>
      </c>
      <c r="C129" s="671"/>
      <c r="D129" s="672" t="s">
        <v>321</v>
      </c>
      <c r="E129" s="671"/>
      <c r="F129" s="1550" t="s">
        <v>322</v>
      </c>
      <c r="G129" s="1550"/>
      <c r="H129" s="672" t="s">
        <v>323</v>
      </c>
      <c r="I129" s="672"/>
      <c r="J129" s="672" t="s">
        <v>324</v>
      </c>
      <c r="K129" s="671"/>
      <c r="L129" s="672" t="s">
        <v>325</v>
      </c>
      <c r="M129" s="671"/>
      <c r="N129" s="672" t="s">
        <v>326</v>
      </c>
      <c r="O129" s="671"/>
      <c r="P129" s="672" t="s">
        <v>327</v>
      </c>
      <c r="Q129" s="671"/>
      <c r="R129" s="672" t="s">
        <v>328</v>
      </c>
      <c r="S129" s="671"/>
      <c r="T129" s="1550" t="s">
        <v>329</v>
      </c>
      <c r="U129" s="1550"/>
      <c r="V129" s="1550" t="s">
        <v>333</v>
      </c>
      <c r="W129" s="1550"/>
      <c r="X129" s="672" t="s">
        <v>334</v>
      </c>
      <c r="Y129" s="671"/>
      <c r="Z129" s="672" t="s">
        <v>335</v>
      </c>
      <c r="AA129" s="671"/>
      <c r="AB129" s="672" t="s">
        <v>336</v>
      </c>
      <c r="AC129" s="690"/>
      <c r="AD129" s="691"/>
      <c r="AE129" s="684"/>
      <c r="AF129" s="684"/>
      <c r="AG129" s="684"/>
    </row>
    <row r="130" spans="1:41" ht="33.5">
      <c r="A130" s="467"/>
      <c r="B130" s="700"/>
      <c r="C130" s="701"/>
      <c r="D130" s="700"/>
      <c r="E130" s="701"/>
      <c r="F130" s="700"/>
      <c r="G130" s="701"/>
      <c r="H130" s="700"/>
      <c r="I130" s="725"/>
      <c r="J130" s="700"/>
      <c r="K130" s="726"/>
      <c r="L130" s="700"/>
      <c r="M130" s="686"/>
      <c r="N130" s="700"/>
      <c r="O130" s="690"/>
      <c r="P130" s="700"/>
      <c r="Q130" s="686"/>
      <c r="R130" s="700"/>
      <c r="S130" s="690"/>
      <c r="T130" s="700"/>
      <c r="U130" s="690"/>
      <c r="V130" s="700"/>
      <c r="W130" s="690"/>
      <c r="X130" s="700"/>
      <c r="Y130" s="686"/>
      <c r="Z130" s="700"/>
      <c r="AA130" s="686"/>
      <c r="AB130" s="700"/>
      <c r="AC130" s="690"/>
      <c r="AD130" s="691"/>
      <c r="AE130" s="684"/>
      <c r="AF130" s="684"/>
      <c r="AG130" s="684"/>
    </row>
    <row r="131" spans="1:41" ht="16.5" customHeight="1" thickBot="1">
      <c r="A131" s="467"/>
      <c r="B131" s="702"/>
      <c r="C131" s="690"/>
      <c r="D131" s="702"/>
      <c r="E131" s="690"/>
      <c r="F131" s="702"/>
      <c r="G131" s="690"/>
      <c r="H131" s="702"/>
      <c r="I131" s="690"/>
      <c r="J131" s="702"/>
      <c r="K131" s="690"/>
      <c r="L131" s="702" t="s">
        <v>71</v>
      </c>
      <c r="M131" s="690"/>
      <c r="N131" s="702"/>
      <c r="O131" s="690"/>
      <c r="P131" s="702"/>
      <c r="Q131" s="690"/>
      <c r="R131" s="702"/>
      <c r="S131" s="690"/>
      <c r="T131" s="702"/>
      <c r="U131" s="690"/>
      <c r="V131" s="702"/>
      <c r="W131" s="690"/>
      <c r="X131" s="702"/>
      <c r="Y131" s="690"/>
      <c r="Z131" s="702"/>
      <c r="AA131" s="690"/>
      <c r="AB131" s="702"/>
      <c r="AC131" s="690"/>
      <c r="AD131" s="691"/>
      <c r="AE131" s="684"/>
      <c r="AF131" s="684"/>
      <c r="AG131" s="684"/>
    </row>
    <row r="132" spans="1:41" ht="100" customHeight="1" thickBot="1">
      <c r="A132" s="467"/>
      <c r="B132" s="679" t="s">
        <v>71</v>
      </c>
      <c r="C132" s="695">
        <v>285.32</v>
      </c>
      <c r="D132" s="679"/>
      <c r="E132" s="695">
        <v>354.7</v>
      </c>
      <c r="F132" s="679"/>
      <c r="G132" s="695">
        <v>420.54</v>
      </c>
      <c r="H132" s="679"/>
      <c r="I132" s="695">
        <v>340.56</v>
      </c>
      <c r="J132" s="721"/>
      <c r="K132" s="695">
        <v>336.52</v>
      </c>
      <c r="L132" s="721"/>
      <c r="M132" s="695">
        <v>375.99</v>
      </c>
      <c r="N132" s="679"/>
      <c r="O132" s="678">
        <v>308.41000000000003</v>
      </c>
      <c r="P132" s="721"/>
      <c r="Q132" s="727">
        <v>444.84</v>
      </c>
      <c r="R132" s="721"/>
      <c r="S132" s="695">
        <v>392.02</v>
      </c>
      <c r="T132" s="721"/>
      <c r="U132" s="695">
        <v>407.803</v>
      </c>
      <c r="V132" s="721"/>
      <c r="W132" s="695">
        <v>206.06200000000001</v>
      </c>
      <c r="X132" s="721"/>
      <c r="Y132" s="678">
        <v>417.38400000000001</v>
      </c>
      <c r="Z132" s="679"/>
      <c r="AA132" s="695">
        <v>304.56400000000002</v>
      </c>
      <c r="AB132" s="679"/>
      <c r="AC132" s="678">
        <v>395.51</v>
      </c>
      <c r="AD132" s="691"/>
      <c r="AE132" s="684"/>
      <c r="AF132" s="684"/>
      <c r="AG132" s="684"/>
      <c r="AM132" s="871">
        <f>COUNTIF(B132:AB132,"U/P")</f>
        <v>0</v>
      </c>
      <c r="AN132" s="871">
        <f>COUNTIF(C132:AC132,"ROW")</f>
        <v>0</v>
      </c>
      <c r="AO132" s="871">
        <f>COUNTIF(B132:AD132,"C")</f>
        <v>1</v>
      </c>
    </row>
    <row r="133" spans="1:41" ht="34" thickBot="1">
      <c r="A133" s="467"/>
      <c r="B133" s="698"/>
      <c r="C133" s="690"/>
      <c r="D133" s="698"/>
      <c r="E133" s="690"/>
      <c r="F133" s="698"/>
      <c r="G133" s="690"/>
      <c r="H133" s="698"/>
      <c r="I133" s="690"/>
      <c r="J133" s="698"/>
      <c r="K133" s="690"/>
      <c r="L133" s="698"/>
      <c r="M133" s="690"/>
      <c r="N133" s="698"/>
      <c r="O133" s="690"/>
      <c r="P133" s="698"/>
      <c r="Q133" s="690"/>
      <c r="R133" s="698"/>
      <c r="S133" s="690"/>
      <c r="T133" s="698"/>
      <c r="U133" s="690"/>
      <c r="V133" s="698"/>
      <c r="W133" s="690"/>
      <c r="X133" s="698"/>
      <c r="Y133" s="690"/>
      <c r="Z133" s="698"/>
      <c r="AA133" s="690"/>
      <c r="AB133" s="698"/>
      <c r="AC133" s="690"/>
      <c r="AD133" s="691"/>
      <c r="AE133" s="684"/>
      <c r="AF133" s="684"/>
      <c r="AG133" s="684"/>
    </row>
    <row r="134" spans="1:41" ht="33.5">
      <c r="A134" s="467"/>
      <c r="B134" s="686" t="s">
        <v>242</v>
      </c>
      <c r="C134" s="686"/>
      <c r="D134" s="686" t="s">
        <v>185</v>
      </c>
      <c r="E134" s="686"/>
      <c r="F134" s="687" t="s">
        <v>117</v>
      </c>
      <c r="G134" s="686"/>
      <c r="H134" s="687" t="s">
        <v>132</v>
      </c>
      <c r="I134" s="686"/>
      <c r="J134" s="687" t="s">
        <v>132</v>
      </c>
      <c r="K134" s="686"/>
      <c r="L134" s="686" t="s">
        <v>182</v>
      </c>
      <c r="M134" s="686"/>
      <c r="N134" s="687" t="s">
        <v>132</v>
      </c>
      <c r="O134" s="686"/>
      <c r="P134" s="686" t="s">
        <v>242</v>
      </c>
      <c r="Q134" s="686"/>
      <c r="R134" s="686" t="s">
        <v>242</v>
      </c>
      <c r="S134" s="686"/>
      <c r="T134" s="687" t="s">
        <v>132</v>
      </c>
      <c r="U134" s="686"/>
      <c r="V134" s="687" t="s">
        <v>132</v>
      </c>
      <c r="W134" s="686"/>
      <c r="X134" s="687" t="s">
        <v>123</v>
      </c>
      <c r="Y134" s="686"/>
      <c r="Z134" s="702" t="s">
        <v>182</v>
      </c>
      <c r="AA134" s="686"/>
      <c r="AB134" s="687" t="s">
        <v>125</v>
      </c>
      <c r="AC134" s="690"/>
      <c r="AD134" s="691"/>
      <c r="AE134" s="684"/>
      <c r="AF134" s="684"/>
      <c r="AG134" s="684"/>
    </row>
    <row r="135" spans="1:41" ht="33.5">
      <c r="A135" s="467"/>
      <c r="B135" s="1013"/>
      <c r="C135" s="686"/>
      <c r="D135" s="722" t="s">
        <v>1625</v>
      </c>
      <c r="E135" s="686"/>
      <c r="F135" s="722" t="s">
        <v>1626</v>
      </c>
      <c r="G135" s="686"/>
      <c r="H135" s="722" t="s">
        <v>1688</v>
      </c>
      <c r="I135" s="686"/>
      <c r="J135" s="686"/>
      <c r="K135" s="686"/>
      <c r="L135" s="717" t="s">
        <v>1523</v>
      </c>
      <c r="M135" s="686"/>
      <c r="N135" s="686"/>
      <c r="O135" s="686"/>
      <c r="P135" s="686"/>
      <c r="Q135" s="686"/>
      <c r="R135" s="717" t="s">
        <v>1689</v>
      </c>
      <c r="S135" s="686"/>
      <c r="T135" s="717" t="s">
        <v>1689</v>
      </c>
      <c r="U135" s="717"/>
      <c r="V135" s="717"/>
      <c r="W135" s="686"/>
      <c r="X135" s="686"/>
      <c r="Y135" s="686"/>
      <c r="Z135" s="717" t="s">
        <v>366</v>
      </c>
      <c r="AA135" s="686"/>
      <c r="AB135" s="686"/>
      <c r="AC135" s="690"/>
      <c r="AD135" s="691"/>
      <c r="AE135" s="684"/>
      <c r="AF135" s="684"/>
      <c r="AG135" s="684"/>
    </row>
    <row r="136" spans="1:41" ht="36">
      <c r="A136" s="1561" t="s">
        <v>1518</v>
      </c>
      <c r="B136" s="1551"/>
      <c r="C136" s="1551"/>
      <c r="D136" s="1551"/>
      <c r="E136" s="1551"/>
      <c r="F136" s="1551"/>
      <c r="G136" s="1551"/>
      <c r="H136" s="1551"/>
      <c r="I136" s="1551"/>
      <c r="J136" s="1551"/>
      <c r="K136" s="829"/>
      <c r="L136" s="829"/>
      <c r="M136" s="829"/>
      <c r="N136" s="749" t="s">
        <v>228</v>
      </c>
      <c r="O136" s="829"/>
      <c r="P136" s="829"/>
      <c r="Q136" s="829"/>
      <c r="R136" s="829"/>
      <c r="S136" s="829"/>
      <c r="T136" s="829"/>
      <c r="U136" s="1551" t="s">
        <v>1518</v>
      </c>
      <c r="V136" s="1551"/>
      <c r="W136" s="1551"/>
      <c r="X136" s="1551"/>
      <c r="Y136" s="1551"/>
      <c r="Z136" s="1551"/>
      <c r="AA136" s="1551"/>
      <c r="AB136" s="1551"/>
      <c r="AC136" s="1551"/>
      <c r="AD136" s="1551"/>
      <c r="AE136" s="1551"/>
      <c r="AF136" s="1551"/>
      <c r="AG136" s="749"/>
      <c r="AH136" s="749"/>
      <c r="AI136" s="881"/>
      <c r="AJ136" s="881"/>
      <c r="AK136" s="881"/>
      <c r="AL136" s="881"/>
    </row>
    <row r="137" spans="1:41" ht="25" customHeight="1">
      <c r="A137" s="467"/>
      <c r="B137" s="708"/>
      <c r="C137" s="690"/>
      <c r="D137" s="708"/>
      <c r="E137" s="690"/>
      <c r="F137" s="708"/>
      <c r="G137" s="690"/>
      <c r="H137" s="708"/>
      <c r="I137" s="690"/>
      <c r="J137" s="708"/>
      <c r="K137" s="690"/>
      <c r="L137" s="708"/>
      <c r="M137" s="690"/>
      <c r="N137" s="708"/>
      <c r="O137" s="690"/>
      <c r="P137" s="708"/>
      <c r="Q137" s="690"/>
      <c r="R137" s="708"/>
      <c r="S137" s="690"/>
      <c r="T137" s="708"/>
      <c r="U137" s="690"/>
      <c r="V137" s="708"/>
      <c r="W137" s="690"/>
      <c r="X137" s="708"/>
      <c r="Y137" s="690"/>
      <c r="Z137" s="708"/>
      <c r="AA137" s="690"/>
      <c r="AB137" s="708"/>
      <c r="AC137" s="690"/>
      <c r="AD137" s="708"/>
      <c r="AE137" s="684"/>
      <c r="AF137" s="684"/>
      <c r="AG137" s="684"/>
    </row>
    <row r="138" spans="1:41" ht="33.5" customHeight="1">
      <c r="A138" s="467"/>
      <c r="B138" s="672" t="s">
        <v>337</v>
      </c>
      <c r="C138" s="671"/>
      <c r="D138" s="672" t="s">
        <v>338</v>
      </c>
      <c r="E138" s="671"/>
      <c r="F138" s="672" t="s">
        <v>339</v>
      </c>
      <c r="G138" s="728"/>
      <c r="H138" s="672" t="s">
        <v>340</v>
      </c>
      <c r="I138" s="671"/>
      <c r="J138" s="672" t="s">
        <v>281</v>
      </c>
      <c r="K138" s="671"/>
      <c r="L138" s="672" t="s">
        <v>341</v>
      </c>
      <c r="M138" s="671"/>
      <c r="N138" s="672" t="s">
        <v>346</v>
      </c>
      <c r="O138" s="671"/>
      <c r="P138" s="672" t="s">
        <v>347</v>
      </c>
      <c r="Q138" s="671"/>
      <c r="R138" s="672" t="s">
        <v>348</v>
      </c>
      <c r="S138" s="671"/>
      <c r="T138" s="672" t="s">
        <v>282</v>
      </c>
      <c r="U138" s="671"/>
      <c r="V138" s="672" t="s">
        <v>283</v>
      </c>
      <c r="W138" s="671"/>
      <c r="X138" s="672" t="s">
        <v>349</v>
      </c>
      <c r="Y138" s="671"/>
      <c r="Z138" s="672" t="s">
        <v>350</v>
      </c>
      <c r="AA138" s="671"/>
      <c r="AB138" s="672" t="s">
        <v>351</v>
      </c>
      <c r="AC138" s="690"/>
      <c r="AD138" s="708"/>
      <c r="AE138" s="684"/>
      <c r="AF138" s="684"/>
      <c r="AG138" s="684"/>
    </row>
    <row r="139" spans="1:41" ht="33.5">
      <c r="A139" s="467"/>
      <c r="B139" s="700"/>
      <c r="C139" s="690"/>
      <c r="D139" s="700"/>
      <c r="E139" s="686"/>
      <c r="F139" s="700"/>
      <c r="G139" s="729"/>
      <c r="H139" s="700"/>
      <c r="I139" s="690"/>
      <c r="J139" s="700"/>
      <c r="K139" s="690"/>
      <c r="L139" s="700"/>
      <c r="M139" s="690"/>
      <c r="N139" s="700"/>
      <c r="O139" s="690"/>
      <c r="P139" s="700"/>
      <c r="Q139" s="730"/>
      <c r="R139" s="700"/>
      <c r="S139" s="690"/>
      <c r="T139" s="700"/>
      <c r="U139" s="690"/>
      <c r="V139" s="700"/>
      <c r="W139" s="690"/>
      <c r="X139" s="700"/>
      <c r="Y139" s="690"/>
      <c r="Z139" s="700"/>
      <c r="AA139" s="690"/>
      <c r="AB139" s="700"/>
      <c r="AC139" s="690"/>
      <c r="AD139" s="708"/>
      <c r="AE139" s="684"/>
      <c r="AF139" s="684"/>
      <c r="AG139" s="684"/>
    </row>
    <row r="140" spans="1:41" ht="15.5" customHeight="1" thickBot="1">
      <c r="A140" s="467"/>
      <c r="B140" s="702"/>
      <c r="C140" s="690"/>
      <c r="D140" s="702"/>
      <c r="E140" s="690"/>
      <c r="F140" s="702"/>
      <c r="G140" s="690"/>
      <c r="H140" s="702"/>
      <c r="I140" s="690"/>
      <c r="J140" s="702"/>
      <c r="K140" s="690"/>
      <c r="L140" s="702"/>
      <c r="M140" s="690"/>
      <c r="N140" s="702"/>
      <c r="O140" s="690"/>
      <c r="P140" s="702"/>
      <c r="Q140" s="690"/>
      <c r="R140" s="702"/>
      <c r="S140" s="690"/>
      <c r="T140" s="702"/>
      <c r="U140" s="690"/>
      <c r="V140" s="702" t="s">
        <v>228</v>
      </c>
      <c r="W140" s="690"/>
      <c r="X140" s="702"/>
      <c r="Y140" s="690"/>
      <c r="Z140" s="702"/>
      <c r="AA140" s="690"/>
      <c r="AB140" s="702"/>
      <c r="AC140" s="690"/>
      <c r="AD140" s="708"/>
      <c r="AE140" s="684"/>
      <c r="AF140" s="684"/>
      <c r="AG140" s="684"/>
    </row>
    <row r="141" spans="1:41" ht="100" customHeight="1" thickBot="1">
      <c r="A141" s="467"/>
      <c r="B141" s="679"/>
      <c r="C141" s="695">
        <v>431.02</v>
      </c>
      <c r="D141" s="679"/>
      <c r="E141" s="695">
        <v>403.43</v>
      </c>
      <c r="F141" s="679"/>
      <c r="G141" s="695">
        <v>420.36</v>
      </c>
      <c r="H141" s="679"/>
      <c r="I141" s="695">
        <v>446.37</v>
      </c>
      <c r="J141" s="720"/>
      <c r="K141" s="695">
        <v>297.58</v>
      </c>
      <c r="L141" s="679"/>
      <c r="M141" s="695">
        <v>280.47000000000003</v>
      </c>
      <c r="N141" s="679"/>
      <c r="O141" s="695">
        <v>272.69</v>
      </c>
      <c r="P141" s="679"/>
      <c r="Q141" s="695">
        <v>347.88</v>
      </c>
      <c r="R141" s="679"/>
      <c r="S141" s="695">
        <v>379.25</v>
      </c>
      <c r="T141" s="721"/>
      <c r="U141" s="695">
        <v>398.7</v>
      </c>
      <c r="V141" s="721"/>
      <c r="W141" s="695">
        <v>439.06</v>
      </c>
      <c r="X141" s="679" t="s">
        <v>228</v>
      </c>
      <c r="Y141" s="678">
        <v>360.21</v>
      </c>
      <c r="Z141" s="721"/>
      <c r="AA141" s="695">
        <v>379.58</v>
      </c>
      <c r="AB141" s="721"/>
      <c r="AC141" s="695">
        <v>384</v>
      </c>
      <c r="AD141" s="708"/>
      <c r="AE141" s="684"/>
      <c r="AF141" s="684"/>
      <c r="AG141" s="684"/>
      <c r="AM141" s="871">
        <f>COUNTIF(B141:AB141,"U/P")</f>
        <v>0</v>
      </c>
      <c r="AN141" s="871">
        <f>COUNTIF(C141:AC141,"ROW")</f>
        <v>1</v>
      </c>
      <c r="AO141" s="871">
        <f>COUNTIF(B141:AD141,"C")</f>
        <v>0</v>
      </c>
    </row>
    <row r="142" spans="1:41" ht="14.25" customHeight="1" thickBot="1">
      <c r="A142" s="467"/>
      <c r="B142" s="698"/>
      <c r="C142" s="690"/>
      <c r="D142" s="698"/>
      <c r="E142" s="690"/>
      <c r="F142" s="698"/>
      <c r="G142" s="690"/>
      <c r="H142" s="698"/>
      <c r="I142" s="690"/>
      <c r="J142" s="698"/>
      <c r="K142" s="690"/>
      <c r="L142" s="698"/>
      <c r="M142" s="690"/>
      <c r="N142" s="698"/>
      <c r="O142" s="690"/>
      <c r="P142" s="698"/>
      <c r="Q142" s="690"/>
      <c r="R142" s="698"/>
      <c r="S142" s="690"/>
      <c r="T142" s="698"/>
      <c r="U142" s="690"/>
      <c r="V142" s="731"/>
      <c r="W142" s="690"/>
      <c r="X142" s="698"/>
      <c r="Y142" s="690"/>
      <c r="Z142" s="698"/>
      <c r="AA142" s="690"/>
      <c r="AB142" s="698"/>
      <c r="AC142" s="690"/>
      <c r="AD142" s="708"/>
      <c r="AE142" s="684"/>
      <c r="AF142" s="684"/>
      <c r="AG142" s="684"/>
    </row>
    <row r="143" spans="1:41" ht="33.5">
      <c r="A143" s="467"/>
      <c r="B143" s="732" t="s">
        <v>248</v>
      </c>
      <c r="C143" s="686"/>
      <c r="D143" s="703" t="s">
        <v>185</v>
      </c>
      <c r="E143" s="686"/>
      <c r="F143" s="732" t="s">
        <v>248</v>
      </c>
      <c r="G143" s="686"/>
      <c r="H143" s="687" t="s">
        <v>115</v>
      </c>
      <c r="I143" s="686"/>
      <c r="J143" s="732" t="s">
        <v>248</v>
      </c>
      <c r="K143" s="686"/>
      <c r="L143" s="687" t="s">
        <v>119</v>
      </c>
      <c r="M143" s="686"/>
      <c r="N143" s="732" t="s">
        <v>182</v>
      </c>
      <c r="O143" s="686"/>
      <c r="P143" s="732" t="s">
        <v>182</v>
      </c>
      <c r="Q143" s="686"/>
      <c r="R143" s="732" t="s">
        <v>248</v>
      </c>
      <c r="S143" s="686"/>
      <c r="T143" s="732" t="s">
        <v>242</v>
      </c>
      <c r="U143" s="686"/>
      <c r="V143" s="732" t="s">
        <v>242</v>
      </c>
      <c r="W143" s="686"/>
      <c r="X143" s="687" t="s">
        <v>115</v>
      </c>
      <c r="Y143" s="686"/>
      <c r="Z143" s="732" t="s">
        <v>182</v>
      </c>
      <c r="AA143" s="686"/>
      <c r="AB143" s="687" t="s">
        <v>123</v>
      </c>
      <c r="AC143" s="690"/>
      <c r="AD143" s="708"/>
      <c r="AE143" s="684"/>
      <c r="AF143" s="684"/>
      <c r="AG143" s="684"/>
    </row>
    <row r="144" spans="1:41" ht="28" customHeight="1">
      <c r="A144" s="467"/>
      <c r="B144" s="732"/>
      <c r="C144" s="686"/>
      <c r="D144" s="708"/>
      <c r="E144" s="686"/>
      <c r="F144" s="733" t="s">
        <v>1627</v>
      </c>
      <c r="G144" s="686"/>
      <c r="H144" s="732"/>
      <c r="I144" s="686"/>
      <c r="J144" s="732"/>
      <c r="K144" s="686"/>
      <c r="L144" s="732"/>
      <c r="M144" s="686"/>
      <c r="N144" s="733" t="s">
        <v>1628</v>
      </c>
      <c r="O144" s="686"/>
      <c r="P144" s="732"/>
      <c r="Q144" s="686"/>
      <c r="R144" s="733" t="s">
        <v>1626</v>
      </c>
      <c r="S144" s="686"/>
      <c r="T144" s="732"/>
      <c r="U144" s="686"/>
      <c r="V144" s="732"/>
      <c r="W144" s="686"/>
      <c r="X144" s="732"/>
      <c r="Y144" s="686"/>
      <c r="Z144" s="732"/>
      <c r="AA144" s="686"/>
      <c r="AC144" s="690"/>
      <c r="AD144" s="733" t="s">
        <v>1630</v>
      </c>
      <c r="AE144" s="683"/>
      <c r="AF144" s="684"/>
      <c r="AG144" s="684"/>
    </row>
    <row r="145" spans="1:41" ht="27" customHeight="1">
      <c r="A145" s="1571" t="s">
        <v>1518</v>
      </c>
      <c r="B145" s="1571"/>
      <c r="C145" s="1571"/>
      <c r="D145" s="1571"/>
      <c r="E145" s="1571"/>
      <c r="F145" s="1571"/>
      <c r="G145" s="1571"/>
      <c r="H145" s="1571"/>
      <c r="I145" s="1571"/>
      <c r="J145" s="1571"/>
      <c r="K145" s="1571"/>
      <c r="L145" s="1571"/>
      <c r="M145" s="1571"/>
      <c r="N145" s="1571"/>
      <c r="O145" s="1571"/>
      <c r="P145" s="1571"/>
      <c r="Q145" s="1571"/>
      <c r="R145" s="1571"/>
      <c r="S145" s="1571"/>
      <c r="T145" s="723"/>
      <c r="U145" s="723"/>
      <c r="V145" s="723"/>
      <c r="W145" s="829"/>
      <c r="X145" s="736" t="s">
        <v>228</v>
      </c>
      <c r="Y145" s="829"/>
      <c r="Z145" s="829"/>
      <c r="AA145" s="829"/>
      <c r="AB145" s="1026"/>
      <c r="AC145" s="829"/>
      <c r="AD145" s="829"/>
      <c r="AE145" s="829"/>
      <c r="AF145" s="829"/>
      <c r="AG145" s="749"/>
      <c r="AH145" s="1027"/>
      <c r="AI145" s="749"/>
      <c r="AJ145" s="749"/>
      <c r="AK145" s="749"/>
      <c r="AL145" s="749"/>
    </row>
    <row r="146" spans="1:41" ht="12" customHeight="1">
      <c r="A146" s="467"/>
      <c r="B146" s="734"/>
      <c r="C146" s="693"/>
      <c r="D146" s="734"/>
      <c r="E146" s="693"/>
      <c r="F146" s="734"/>
      <c r="G146" s="693"/>
      <c r="H146" s="734"/>
      <c r="I146" s="693"/>
      <c r="J146" s="734"/>
      <c r="K146" s="693"/>
      <c r="L146" s="734"/>
      <c r="M146" s="693"/>
      <c r="N146" s="734"/>
      <c r="O146" s="693"/>
      <c r="P146" s="734"/>
      <c r="Q146" s="693"/>
      <c r="R146" s="734"/>
      <c r="S146" s="693"/>
      <c r="T146" s="734"/>
      <c r="U146" s="693"/>
      <c r="V146" s="734"/>
      <c r="W146" s="693"/>
      <c r="X146" s="734"/>
      <c r="Y146" s="693"/>
      <c r="Z146" s="734"/>
      <c r="AA146" s="693"/>
      <c r="AB146" s="734"/>
      <c r="AC146" s="693"/>
      <c r="AD146" s="691"/>
      <c r="AE146" s="683"/>
      <c r="AF146" s="684"/>
      <c r="AG146" s="684"/>
    </row>
    <row r="147" spans="1:41" ht="22" customHeight="1">
      <c r="A147" s="467"/>
      <c r="B147" s="672" t="s">
        <v>352</v>
      </c>
      <c r="C147" s="671"/>
      <c r="D147" s="672" t="s">
        <v>353</v>
      </c>
      <c r="E147" s="671"/>
      <c r="F147" s="672" t="s">
        <v>274</v>
      </c>
      <c r="G147" s="671"/>
      <c r="H147" s="672" t="s">
        <v>275</v>
      </c>
      <c r="I147" s="671"/>
      <c r="J147" s="672" t="s">
        <v>355</v>
      </c>
      <c r="K147" s="671"/>
      <c r="L147" s="672" t="s">
        <v>284</v>
      </c>
      <c r="M147" s="671"/>
      <c r="N147" s="672" t="s">
        <v>285</v>
      </c>
      <c r="O147" s="671"/>
      <c r="P147" s="672" t="s">
        <v>705</v>
      </c>
      <c r="Q147" s="671"/>
      <c r="R147" s="672" t="s">
        <v>357</v>
      </c>
      <c r="S147" s="671"/>
      <c r="T147" s="672" t="s">
        <v>706</v>
      </c>
      <c r="U147" s="671"/>
      <c r="V147" s="672" t="s">
        <v>247</v>
      </c>
      <c r="W147" s="671"/>
      <c r="X147" s="672" t="s">
        <v>260</v>
      </c>
      <c r="Y147" s="671"/>
      <c r="Z147" s="672" t="s">
        <v>261</v>
      </c>
      <c r="AA147" s="671"/>
      <c r="AB147" s="672" t="s">
        <v>286</v>
      </c>
      <c r="AC147" s="690"/>
      <c r="AD147" s="691"/>
      <c r="AE147" s="684"/>
      <c r="AF147" s="684"/>
      <c r="AG147" s="684"/>
    </row>
    <row r="148" spans="1:41" ht="33.5">
      <c r="A148" s="467"/>
      <c r="B148" s="700"/>
      <c r="C148" s="690"/>
      <c r="D148" s="700"/>
      <c r="E148" s="690"/>
      <c r="F148" s="700"/>
      <c r="G148" s="690"/>
      <c r="H148" s="700"/>
      <c r="I148" s="701"/>
      <c r="J148" s="700"/>
      <c r="K148" s="686"/>
      <c r="L148" s="700"/>
      <c r="M148" s="690"/>
      <c r="N148" s="700"/>
      <c r="O148" s="690"/>
      <c r="P148" s="700"/>
      <c r="Q148" s="686"/>
      <c r="R148" s="700"/>
      <c r="S148" s="701"/>
      <c r="T148" s="700"/>
      <c r="U148" s="690"/>
      <c r="V148" s="700"/>
      <c r="W148" s="690"/>
      <c r="X148" s="700"/>
      <c r="Y148" s="695"/>
      <c r="Z148" s="700"/>
      <c r="AA148" s="686"/>
      <c r="AB148" s="700"/>
      <c r="AC148" s="690"/>
      <c r="AD148" s="691"/>
      <c r="AE148" s="684"/>
      <c r="AF148" s="684"/>
      <c r="AG148" s="684"/>
    </row>
    <row r="149" spans="1:41" ht="13" customHeight="1" thickBot="1">
      <c r="A149" s="467"/>
      <c r="B149" s="702"/>
      <c r="C149" s="690"/>
      <c r="D149" s="702"/>
      <c r="E149" s="690"/>
      <c r="F149" s="702"/>
      <c r="G149" s="690"/>
      <c r="H149" s="702"/>
      <c r="I149" s="690"/>
      <c r="J149" s="702"/>
      <c r="K149" s="690"/>
      <c r="L149" s="702"/>
      <c r="M149" s="690"/>
      <c r="N149" s="702"/>
      <c r="O149" s="690"/>
      <c r="P149" s="702"/>
      <c r="Q149" s="690"/>
      <c r="R149" s="702"/>
      <c r="S149" s="690"/>
      <c r="T149" s="702"/>
      <c r="U149" s="690"/>
      <c r="V149" s="702"/>
      <c r="W149" s="690"/>
      <c r="X149" s="702"/>
      <c r="Y149" s="690"/>
      <c r="Z149" s="702"/>
      <c r="AA149" s="690"/>
      <c r="AB149" s="702"/>
      <c r="AC149" s="690"/>
      <c r="AD149" s="691"/>
      <c r="AE149" s="684"/>
      <c r="AF149" s="684"/>
      <c r="AG149" s="684"/>
    </row>
    <row r="150" spans="1:41" ht="100" customHeight="1" thickBot="1">
      <c r="A150" s="467"/>
      <c r="B150" s="679" t="s">
        <v>228</v>
      </c>
      <c r="C150" s="695">
        <v>442</v>
      </c>
      <c r="D150" s="679" t="s">
        <v>228</v>
      </c>
      <c r="E150" s="695">
        <v>397</v>
      </c>
      <c r="F150" s="721"/>
      <c r="G150" s="695">
        <v>395</v>
      </c>
      <c r="H150" s="721"/>
      <c r="I150" s="695">
        <v>432</v>
      </c>
      <c r="J150" s="721"/>
      <c r="K150" s="695">
        <v>408</v>
      </c>
      <c r="L150" s="721"/>
      <c r="M150" s="695">
        <v>426</v>
      </c>
      <c r="N150" s="721"/>
      <c r="O150" s="695">
        <v>392.95</v>
      </c>
      <c r="P150" s="679"/>
      <c r="Q150" s="695">
        <v>431.96</v>
      </c>
      <c r="R150" s="679"/>
      <c r="S150" s="695">
        <v>426.02</v>
      </c>
      <c r="T150" s="679"/>
      <c r="U150" s="695">
        <v>401</v>
      </c>
      <c r="V150" s="721"/>
      <c r="W150" s="695">
        <v>437</v>
      </c>
      <c r="X150" s="721"/>
      <c r="Y150" s="678">
        <v>402</v>
      </c>
      <c r="Z150" s="721"/>
      <c r="AA150" s="695">
        <v>436</v>
      </c>
      <c r="AB150" s="679"/>
      <c r="AC150" s="678">
        <v>392.28</v>
      </c>
      <c r="AD150" s="691"/>
      <c r="AE150" s="684"/>
      <c r="AF150" s="684"/>
      <c r="AG150" s="684"/>
      <c r="AM150" s="871">
        <f>COUNTIF(B150:AB150,"U/P")</f>
        <v>0</v>
      </c>
      <c r="AN150" s="871">
        <f>COUNTIF(C150:AC150,"ROW")</f>
        <v>1</v>
      </c>
      <c r="AO150" s="871">
        <f>COUNTIF(D150:AD150,"C")</f>
        <v>0</v>
      </c>
    </row>
    <row r="151" spans="1:41" ht="34" thickBot="1">
      <c r="A151" s="467"/>
      <c r="B151" s="698"/>
      <c r="C151" s="690"/>
      <c r="D151" s="698"/>
      <c r="E151" s="690"/>
      <c r="F151" s="698"/>
      <c r="G151" s="690"/>
      <c r="H151" s="698"/>
      <c r="I151" s="690"/>
      <c r="J151" s="698"/>
      <c r="K151" s="690"/>
      <c r="L151" s="698"/>
      <c r="M151" s="690"/>
      <c r="N151" s="698"/>
      <c r="O151" s="690"/>
      <c r="P151" s="698"/>
      <c r="Q151" s="690"/>
      <c r="R151" s="698"/>
      <c r="S151" s="690"/>
      <c r="T151" s="698"/>
      <c r="U151" s="690"/>
      <c r="V151" s="698"/>
      <c r="W151" s="690"/>
      <c r="X151" s="698"/>
      <c r="Y151" s="690"/>
      <c r="Z151" s="698"/>
      <c r="AA151" s="690"/>
      <c r="AB151" s="698"/>
      <c r="AC151" s="690"/>
      <c r="AD151" s="691"/>
      <c r="AE151" s="684"/>
      <c r="AF151" s="684"/>
      <c r="AG151" s="684"/>
    </row>
    <row r="152" spans="1:41" ht="33.5">
      <c r="A152" s="467"/>
      <c r="B152" s="686" t="s">
        <v>248</v>
      </c>
      <c r="C152" s="686"/>
      <c r="D152" s="686" t="s">
        <v>248</v>
      </c>
      <c r="E152" s="686"/>
      <c r="F152" s="686" t="s">
        <v>248</v>
      </c>
      <c r="G152" s="686"/>
      <c r="H152" s="686" t="s">
        <v>248</v>
      </c>
      <c r="I152" s="686"/>
      <c r="J152" s="686" t="s">
        <v>248</v>
      </c>
      <c r="K152" s="686"/>
      <c r="L152" s="686" t="s">
        <v>185</v>
      </c>
      <c r="M152" s="686"/>
      <c r="N152" s="686" t="s">
        <v>185</v>
      </c>
      <c r="O152" s="686"/>
      <c r="P152" s="687" t="s">
        <v>125</v>
      </c>
      <c r="Q152" s="686"/>
      <c r="R152" s="687" t="s">
        <v>132</v>
      </c>
      <c r="S152" s="686"/>
      <c r="T152" s="687" t="s">
        <v>125</v>
      </c>
      <c r="U152" s="686"/>
      <c r="V152" s="686" t="s">
        <v>248</v>
      </c>
      <c r="W152" s="686"/>
      <c r="X152" s="686" t="s">
        <v>182</v>
      </c>
      <c r="Y152" s="686"/>
      <c r="Z152" s="686" t="s">
        <v>185</v>
      </c>
      <c r="AA152" s="686"/>
      <c r="AB152" s="686" t="s">
        <v>248</v>
      </c>
      <c r="AC152" s="690"/>
      <c r="AD152" s="691"/>
      <c r="AE152" s="684"/>
      <c r="AF152" s="684"/>
      <c r="AG152" s="684"/>
    </row>
    <row r="153" spans="1:41" ht="33.5">
      <c r="A153" s="467"/>
      <c r="B153" s="717" t="s">
        <v>1626</v>
      </c>
      <c r="C153" s="686"/>
      <c r="D153" s="717" t="s">
        <v>1629</v>
      </c>
      <c r="E153" s="686"/>
      <c r="F153" s="686"/>
      <c r="G153" s="686"/>
      <c r="H153" s="686"/>
      <c r="I153" s="686"/>
      <c r="J153" s="686"/>
      <c r="K153" s="686"/>
      <c r="L153" s="686"/>
      <c r="M153" s="686"/>
      <c r="N153" s="686"/>
      <c r="O153" s="686"/>
      <c r="P153" s="686"/>
      <c r="Q153" s="686"/>
      <c r="R153" s="686"/>
      <c r="S153" s="686"/>
      <c r="T153" s="717" t="s">
        <v>1629</v>
      </c>
      <c r="U153" s="686"/>
      <c r="V153" s="686"/>
      <c r="W153" s="686"/>
      <c r="X153" s="686"/>
      <c r="Y153" s="686"/>
      <c r="Z153" s="686"/>
      <c r="AA153" s="686"/>
      <c r="AB153" s="686"/>
      <c r="AC153" s="690"/>
      <c r="AD153" s="691"/>
      <c r="AE153" s="684"/>
      <c r="AF153" s="684"/>
      <c r="AG153" s="684"/>
    </row>
    <row r="154" spans="1:41" ht="46">
      <c r="A154" s="735"/>
      <c r="B154" s="1551" t="s">
        <v>228</v>
      </c>
      <c r="C154" s="1551"/>
      <c r="D154" s="1551"/>
      <c r="E154" s="723"/>
      <c r="F154" s="723"/>
      <c r="G154" s="723"/>
      <c r="H154" s="723"/>
      <c r="I154" s="723"/>
      <c r="J154" s="723"/>
      <c r="K154" s="723"/>
      <c r="L154" s="723"/>
      <c r="M154" s="723"/>
      <c r="N154" s="723"/>
      <c r="O154" s="723"/>
      <c r="P154" s="1575" t="s">
        <v>228</v>
      </c>
      <c r="Q154" s="1575"/>
      <c r="R154" s="1575"/>
      <c r="S154" s="1575"/>
      <c r="T154" s="1575"/>
      <c r="U154" s="723"/>
      <c r="V154" s="723"/>
      <c r="W154" s="723"/>
      <c r="X154" s="723"/>
      <c r="Y154" s="723"/>
      <c r="Z154" s="723"/>
      <c r="AA154" s="723"/>
      <c r="AB154" s="736" t="s">
        <v>228</v>
      </c>
      <c r="AC154" s="723"/>
      <c r="AD154" s="723"/>
      <c r="AE154" s="723"/>
      <c r="AF154" s="723"/>
      <c r="AG154" s="723"/>
      <c r="AH154" s="723"/>
      <c r="AI154" s="723"/>
      <c r="AJ154" s="723"/>
      <c r="AK154" s="723"/>
      <c r="AL154" s="723"/>
    </row>
    <row r="155" spans="1:41" ht="15" customHeight="1">
      <c r="A155" s="467"/>
      <c r="B155" s="708"/>
      <c r="C155" s="690"/>
      <c r="D155" s="708"/>
      <c r="E155" s="690"/>
      <c r="F155" s="708"/>
      <c r="G155" s="690"/>
      <c r="H155" s="708"/>
      <c r="I155" s="690"/>
      <c r="J155" s="708"/>
      <c r="K155" s="690"/>
      <c r="L155" s="708"/>
      <c r="M155" s="690"/>
      <c r="N155" s="672"/>
      <c r="O155" s="690"/>
      <c r="P155" s="708"/>
      <c r="Q155" s="690"/>
      <c r="R155" s="708"/>
      <c r="S155" s="690"/>
      <c r="T155" s="708"/>
      <c r="U155" s="690"/>
      <c r="V155" s="708"/>
      <c r="W155" s="690"/>
      <c r="X155" s="708"/>
      <c r="Y155" s="690"/>
      <c r="Z155" s="708"/>
      <c r="AA155" s="690"/>
      <c r="AB155" s="708"/>
      <c r="AC155" s="693"/>
      <c r="AD155" s="691"/>
      <c r="AE155" s="684"/>
      <c r="AF155" s="684"/>
      <c r="AG155" s="684"/>
    </row>
    <row r="156" spans="1:41" ht="29.5" customHeight="1">
      <c r="A156" s="467"/>
      <c r="B156" s="672" t="s">
        <v>707</v>
      </c>
      <c r="C156" s="671"/>
      <c r="D156" s="672" t="s">
        <v>359</v>
      </c>
      <c r="E156" s="671"/>
      <c r="F156" s="672" t="s">
        <v>360</v>
      </c>
      <c r="G156" s="671"/>
      <c r="H156" s="672" t="s">
        <v>361</v>
      </c>
      <c r="I156" s="671"/>
      <c r="J156" s="672" t="s">
        <v>362</v>
      </c>
      <c r="K156" s="671"/>
      <c r="L156" s="672" t="s">
        <v>363</v>
      </c>
      <c r="M156" s="671"/>
      <c r="N156" s="672" t="s">
        <v>364</v>
      </c>
      <c r="O156" s="671"/>
      <c r="P156" s="672" t="s">
        <v>365</v>
      </c>
      <c r="Q156" s="1560" t="s">
        <v>711</v>
      </c>
      <c r="R156" s="1560"/>
      <c r="S156" s="1560" t="s">
        <v>367</v>
      </c>
      <c r="T156" s="1560"/>
      <c r="U156" s="673" t="s">
        <v>1513</v>
      </c>
      <c r="V156" s="672" t="s">
        <v>287</v>
      </c>
      <c r="W156" s="671"/>
      <c r="X156" s="672" t="s">
        <v>368</v>
      </c>
      <c r="Y156" s="671"/>
      <c r="Z156" s="672" t="s">
        <v>369</v>
      </c>
      <c r="AA156" s="672"/>
      <c r="AB156" s="737" t="s">
        <v>370</v>
      </c>
      <c r="AC156" s="693"/>
      <c r="AD156" s="691"/>
      <c r="AE156" s="684"/>
      <c r="AF156" s="684"/>
      <c r="AG156" s="684"/>
    </row>
    <row r="157" spans="1:41" ht="33.5">
      <c r="A157" s="467"/>
      <c r="B157" s="700"/>
      <c r="C157" s="690"/>
      <c r="D157" s="700"/>
      <c r="E157" s="690"/>
      <c r="F157" s="700"/>
      <c r="G157" s="738"/>
      <c r="H157" s="700"/>
      <c r="I157" s="690"/>
      <c r="J157" s="700"/>
      <c r="K157" s="690"/>
      <c r="L157" s="700"/>
      <c r="M157" s="690"/>
      <c r="N157" s="700"/>
      <c r="O157" s="690"/>
      <c r="P157" s="700"/>
      <c r="Q157" s="690"/>
      <c r="R157" s="700"/>
      <c r="S157" s="690"/>
      <c r="T157" s="700"/>
      <c r="U157" s="673"/>
      <c r="V157" s="700"/>
      <c r="W157" s="690"/>
      <c r="X157" s="700"/>
      <c r="Y157" s="690"/>
      <c r="Z157" s="700"/>
      <c r="AA157" s="690"/>
      <c r="AB157" s="700"/>
      <c r="AC157" s="693"/>
      <c r="AD157" s="691"/>
      <c r="AE157" s="684"/>
      <c r="AF157" s="684"/>
      <c r="AG157" s="684"/>
    </row>
    <row r="158" spans="1:41" ht="16.5" customHeight="1" thickBot="1">
      <c r="A158" s="467"/>
      <c r="B158" s="702"/>
      <c r="C158" s="690"/>
      <c r="D158" s="702"/>
      <c r="E158" s="690"/>
      <c r="F158" s="702"/>
      <c r="G158" s="690"/>
      <c r="H158" s="702"/>
      <c r="I158" s="690"/>
      <c r="J158" s="702"/>
      <c r="K158" s="690"/>
      <c r="L158" s="702"/>
      <c r="M158" s="690"/>
      <c r="N158" s="702"/>
      <c r="O158" s="690"/>
      <c r="P158" s="702"/>
      <c r="Q158" s="690"/>
      <c r="R158" s="702"/>
      <c r="S158" s="690"/>
      <c r="T158" s="702"/>
      <c r="U158" s="690"/>
      <c r="V158" s="702"/>
      <c r="W158" s="690"/>
      <c r="X158" s="702"/>
      <c r="Y158" s="690"/>
      <c r="Z158" s="702"/>
      <c r="AA158" s="690"/>
      <c r="AB158" s="702"/>
      <c r="AC158" s="693"/>
      <c r="AD158" s="691"/>
      <c r="AE158" s="684"/>
      <c r="AF158" s="684"/>
      <c r="AG158" s="684"/>
    </row>
    <row r="159" spans="1:41" ht="100" customHeight="1" thickBot="1">
      <c r="A159" s="467"/>
      <c r="B159" s="679"/>
      <c r="C159" s="695">
        <v>402.5</v>
      </c>
      <c r="D159" s="679"/>
      <c r="E159" s="695">
        <v>411.56</v>
      </c>
      <c r="F159" s="679"/>
      <c r="G159" s="695">
        <v>438.46</v>
      </c>
      <c r="H159" s="679"/>
      <c r="I159" s="695">
        <v>410.36</v>
      </c>
      <c r="J159" s="679"/>
      <c r="K159" s="695">
        <v>379.76</v>
      </c>
      <c r="L159" s="679"/>
      <c r="M159" s="695">
        <v>396.95</v>
      </c>
      <c r="N159" s="679"/>
      <c r="O159" s="695">
        <v>414.59</v>
      </c>
      <c r="P159" s="679"/>
      <c r="Q159" s="695">
        <v>352.99</v>
      </c>
      <c r="R159" s="679"/>
      <c r="S159" s="695">
        <v>389.3</v>
      </c>
      <c r="T159" s="679"/>
      <c r="U159" s="695">
        <v>237.59</v>
      </c>
      <c r="V159" s="721"/>
      <c r="W159" s="695">
        <v>290.88</v>
      </c>
      <c r="X159" s="679"/>
      <c r="Y159" s="678">
        <v>345.61</v>
      </c>
      <c r="Z159" s="679"/>
      <c r="AA159" s="695">
        <v>318.63</v>
      </c>
      <c r="AB159" s="679" t="s">
        <v>390</v>
      </c>
      <c r="AC159" s="696">
        <v>307.02</v>
      </c>
      <c r="AD159" s="691"/>
      <c r="AE159" s="684"/>
      <c r="AF159" s="684"/>
      <c r="AG159" s="684"/>
      <c r="AM159" s="871">
        <f>COUNTIF(B159:AB159,"U/P")</f>
        <v>1</v>
      </c>
      <c r="AN159" s="871">
        <f>COUNTIF(C159:AC159,"ROW")</f>
        <v>0</v>
      </c>
      <c r="AO159" s="871">
        <f>COUNTIF(B159:AD159,"C")</f>
        <v>0</v>
      </c>
    </row>
    <row r="160" spans="1:41" ht="34" thickBot="1">
      <c r="A160" s="467"/>
      <c r="B160" s="698"/>
      <c r="C160" s="739"/>
      <c r="D160" s="698"/>
      <c r="E160" s="739"/>
      <c r="F160" s="698"/>
      <c r="G160" s="690"/>
      <c r="H160" s="698"/>
      <c r="I160" s="690"/>
      <c r="J160" s="698"/>
      <c r="K160" s="690"/>
      <c r="L160" s="698"/>
      <c r="M160" s="739"/>
      <c r="N160" s="698"/>
      <c r="O160" s="739"/>
      <c r="P160" s="698"/>
      <c r="Q160" s="739"/>
      <c r="R160" s="698"/>
      <c r="S160" s="739"/>
      <c r="T160" s="698"/>
      <c r="U160" s="739"/>
      <c r="V160" s="698"/>
      <c r="W160" s="739"/>
      <c r="X160" s="698"/>
      <c r="Y160" s="690"/>
      <c r="Z160" s="698"/>
      <c r="AA160" s="690"/>
      <c r="AB160" s="698"/>
      <c r="AC160" s="693"/>
      <c r="AD160" s="691"/>
      <c r="AE160" s="684"/>
      <c r="AF160" s="684"/>
      <c r="AG160" s="684"/>
    </row>
    <row r="161" spans="1:41" ht="33.5">
      <c r="A161" s="467"/>
      <c r="B161" s="687" t="s">
        <v>128</v>
      </c>
      <c r="C161" s="686"/>
      <c r="D161" s="686" t="s">
        <v>242</v>
      </c>
      <c r="E161" s="686"/>
      <c r="F161" s="687" t="s">
        <v>119</v>
      </c>
      <c r="G161" s="686"/>
      <c r="H161" s="687" t="s">
        <v>132</v>
      </c>
      <c r="I161" s="686"/>
      <c r="J161" s="687" t="s">
        <v>143</v>
      </c>
      <c r="K161" s="686"/>
      <c r="L161" s="686" t="s">
        <v>242</v>
      </c>
      <c r="M161" s="686"/>
      <c r="N161" s="686" t="s">
        <v>182</v>
      </c>
      <c r="O161" s="686"/>
      <c r="P161" s="686" t="s">
        <v>182</v>
      </c>
      <c r="Q161" s="686"/>
      <c r="R161" s="687" t="s">
        <v>125</v>
      </c>
      <c r="S161" s="686"/>
      <c r="T161" s="687" t="s">
        <v>119</v>
      </c>
      <c r="U161" s="686"/>
      <c r="V161" s="686" t="s">
        <v>248</v>
      </c>
      <c r="W161" s="686"/>
      <c r="X161" s="686" t="s">
        <v>182</v>
      </c>
      <c r="Y161" s="686"/>
      <c r="Z161" s="686" t="s">
        <v>182</v>
      </c>
      <c r="AA161" s="686"/>
      <c r="AB161" s="687" t="s">
        <v>125</v>
      </c>
      <c r="AC161" s="693"/>
      <c r="AD161" s="691"/>
      <c r="AE161" s="683"/>
      <c r="AF161" s="684"/>
      <c r="AG161" s="684"/>
    </row>
    <row r="162" spans="1:41" ht="82.25" customHeight="1">
      <c r="A162" s="467"/>
      <c r="B162" s="740" t="s">
        <v>1629</v>
      </c>
      <c r="C162" s="701"/>
      <c r="D162" s="701"/>
      <c r="E162" s="701"/>
      <c r="F162" s="701"/>
      <c r="G162" s="701"/>
      <c r="H162" s="701"/>
      <c r="I162" s="701"/>
      <c r="J162" s="701"/>
      <c r="K162" s="701"/>
      <c r="L162" s="701"/>
      <c r="M162" s="701"/>
      <c r="N162" s="740" t="s">
        <v>1526</v>
      </c>
      <c r="O162" s="701"/>
      <c r="P162" s="740" t="s">
        <v>1629</v>
      </c>
      <c r="Q162" s="701"/>
      <c r="R162" s="701"/>
      <c r="S162" s="701"/>
      <c r="T162" s="701"/>
      <c r="U162" s="701"/>
      <c r="V162" s="701"/>
      <c r="W162" s="701"/>
      <c r="X162" s="701"/>
      <c r="Y162" s="701"/>
      <c r="Z162" s="740" t="s">
        <v>1691</v>
      </c>
      <c r="AA162" s="741"/>
      <c r="AB162" s="1570" t="s">
        <v>1631</v>
      </c>
      <c r="AC162" s="1570"/>
      <c r="AD162" s="1570"/>
      <c r="AE162" s="1570"/>
      <c r="AF162" s="1570"/>
      <c r="AG162" s="1570"/>
      <c r="AH162" s="1570"/>
      <c r="AI162" s="883"/>
      <c r="AJ162" s="883"/>
      <c r="AK162" s="883"/>
      <c r="AL162" s="883"/>
    </row>
    <row r="163" spans="1:41" ht="37.5" customHeight="1">
      <c r="A163" s="1571" t="s">
        <v>1518</v>
      </c>
      <c r="B163" s="1571"/>
      <c r="C163" s="1571"/>
      <c r="D163" s="1571"/>
      <c r="E163" s="1571"/>
      <c r="F163" s="1571"/>
      <c r="G163" s="1571"/>
      <c r="H163" s="1571"/>
      <c r="I163" s="1571"/>
      <c r="J163" s="1571"/>
      <c r="K163" s="1571"/>
      <c r="L163" s="1571"/>
      <c r="M163" s="1571"/>
      <c r="N163" s="1571"/>
      <c r="O163" s="1571"/>
      <c r="P163" s="1571"/>
      <c r="Q163" s="1571"/>
      <c r="R163" s="1571"/>
      <c r="S163" s="1571"/>
      <c r="T163" s="1571"/>
      <c r="U163" s="723"/>
      <c r="V163" s="723"/>
      <c r="W163" s="1571" t="s">
        <v>1518</v>
      </c>
      <c r="X163" s="1571"/>
      <c r="Y163" s="1571"/>
      <c r="Z163" s="1571"/>
      <c r="AA163" s="1571"/>
      <c r="AB163" s="1571"/>
      <c r="AC163" s="1571"/>
      <c r="AD163" s="1571"/>
      <c r="AE163" s="1571"/>
      <c r="AF163" s="1571"/>
      <c r="AG163" s="1571"/>
      <c r="AH163" s="1564"/>
      <c r="AI163" s="881"/>
      <c r="AJ163" s="881"/>
      <c r="AK163" s="881"/>
      <c r="AL163" s="881"/>
    </row>
    <row r="164" spans="1:41" ht="9.5" hidden="1" customHeight="1">
      <c r="A164" s="467"/>
      <c r="B164" s="742"/>
      <c r="C164" s="742"/>
      <c r="D164" s="742"/>
      <c r="E164" s="742"/>
      <c r="F164" s="742"/>
      <c r="G164" s="742"/>
      <c r="H164" s="742"/>
      <c r="I164" s="742"/>
      <c r="J164" s="742"/>
      <c r="K164" s="742"/>
      <c r="L164" s="742"/>
      <c r="M164" s="742"/>
      <c r="N164" s="742"/>
      <c r="O164" s="742"/>
      <c r="P164" s="742"/>
      <c r="Q164" s="742"/>
      <c r="R164" s="742"/>
      <c r="S164" s="742"/>
      <c r="T164" s="742"/>
      <c r="U164" s="742"/>
      <c r="V164" s="742"/>
      <c r="W164" s="742"/>
      <c r="X164" s="742"/>
      <c r="Y164" s="742"/>
      <c r="Z164" s="742"/>
      <c r="AA164" s="742"/>
      <c r="AB164" s="742"/>
      <c r="AC164" s="743"/>
      <c r="AD164" s="744"/>
      <c r="AE164" s="683"/>
      <c r="AF164" s="684"/>
      <c r="AG164" s="684"/>
      <c r="AH164" s="745"/>
      <c r="AI164" s="745"/>
      <c r="AJ164" s="745"/>
      <c r="AK164" s="745"/>
      <c r="AL164" s="745"/>
    </row>
    <row r="165" spans="1:41" ht="24.5" customHeight="1">
      <c r="A165" s="467"/>
      <c r="B165" s="672" t="s">
        <v>371</v>
      </c>
      <c r="C165" s="671"/>
      <c r="D165" s="672" t="s">
        <v>372</v>
      </c>
      <c r="E165" s="671"/>
      <c r="F165" s="672" t="s">
        <v>373</v>
      </c>
      <c r="G165" s="671"/>
      <c r="H165" s="672" t="s">
        <v>288</v>
      </c>
      <c r="I165" s="671"/>
      <c r="J165" s="672" t="s">
        <v>259</v>
      </c>
      <c r="K165" s="671"/>
      <c r="L165" s="672" t="s">
        <v>251</v>
      </c>
      <c r="M165" s="671"/>
      <c r="N165" s="672" t="s">
        <v>377</v>
      </c>
      <c r="O165" s="671"/>
      <c r="P165" s="672" t="s">
        <v>297</v>
      </c>
      <c r="Q165" s="671"/>
      <c r="R165" s="672" t="s">
        <v>378</v>
      </c>
      <c r="S165" s="671"/>
      <c r="T165" s="672" t="s">
        <v>236</v>
      </c>
      <c r="U165" s="671"/>
      <c r="V165" s="672" t="s">
        <v>237</v>
      </c>
      <c r="W165" s="671"/>
      <c r="X165" s="672" t="s">
        <v>214</v>
      </c>
      <c r="Y165" s="671"/>
      <c r="Z165" s="672" t="s">
        <v>213</v>
      </c>
      <c r="AA165" s="671"/>
      <c r="AB165" s="672" t="s">
        <v>212</v>
      </c>
      <c r="AC165" s="690"/>
      <c r="AD165" s="708"/>
      <c r="AE165" s="684"/>
      <c r="AF165" s="684"/>
      <c r="AG165" s="684"/>
    </row>
    <row r="166" spans="1:41" ht="33.5">
      <c r="A166" s="467"/>
      <c r="B166" s="700"/>
      <c r="C166" s="690"/>
      <c r="D166" s="700"/>
      <c r="E166" s="690"/>
      <c r="F166" s="700"/>
      <c r="G166" s="690"/>
      <c r="H166" s="700"/>
      <c r="I166" s="690"/>
      <c r="J166" s="700"/>
      <c r="K166" s="690"/>
      <c r="L166" s="700"/>
      <c r="M166" s="690"/>
      <c r="N166" s="700"/>
      <c r="O166" s="690"/>
      <c r="P166" s="700"/>
      <c r="Q166" s="690"/>
      <c r="R166" s="700"/>
      <c r="S166" s="690"/>
      <c r="T166" s="700"/>
      <c r="U166" s="690"/>
      <c r="V166" s="700"/>
      <c r="W166" s="690"/>
      <c r="X166" s="700"/>
      <c r="Y166" s="690"/>
      <c r="Z166" s="700"/>
      <c r="AA166" s="725"/>
      <c r="AB166" s="700"/>
      <c r="AC166" s="690"/>
      <c r="AD166" s="708"/>
      <c r="AE166" s="684"/>
      <c r="AF166" s="684"/>
      <c r="AG166" s="684"/>
    </row>
    <row r="167" spans="1:41" ht="15.5" customHeight="1" thickBot="1">
      <c r="A167" s="467"/>
      <c r="B167" s="702"/>
      <c r="C167" s="690"/>
      <c r="D167" s="702"/>
      <c r="E167" s="690"/>
      <c r="F167" s="702"/>
      <c r="G167" s="690"/>
      <c r="H167" s="702"/>
      <c r="I167" s="690"/>
      <c r="J167" s="702"/>
      <c r="K167" s="690"/>
      <c r="L167" s="702"/>
      <c r="M167" s="690"/>
      <c r="N167" s="702"/>
      <c r="O167" s="690"/>
      <c r="P167" s="702"/>
      <c r="Q167" s="690"/>
      <c r="R167" s="702"/>
      <c r="S167" s="690"/>
      <c r="T167" s="702"/>
      <c r="U167" s="690"/>
      <c r="V167" s="702"/>
      <c r="W167" s="690"/>
      <c r="X167" s="702"/>
      <c r="Y167" s="690"/>
      <c r="Z167" s="702"/>
      <c r="AA167" s="690"/>
      <c r="AB167" s="702"/>
      <c r="AC167" s="690"/>
      <c r="AD167" s="708"/>
      <c r="AE167" s="684"/>
      <c r="AF167" s="684"/>
      <c r="AG167" s="684"/>
    </row>
    <row r="168" spans="1:41" ht="100" customHeight="1" thickBot="1">
      <c r="A168" s="467"/>
      <c r="B168" s="721"/>
      <c r="C168" s="695">
        <v>346.85</v>
      </c>
      <c r="D168" s="721"/>
      <c r="E168" s="695">
        <v>300.19</v>
      </c>
      <c r="F168" s="721"/>
      <c r="G168" s="695">
        <v>317</v>
      </c>
      <c r="H168" s="720" t="s">
        <v>390</v>
      </c>
      <c r="I168" s="695">
        <v>454</v>
      </c>
      <c r="J168" s="721"/>
      <c r="K168" s="695">
        <v>385</v>
      </c>
      <c r="L168" s="721"/>
      <c r="M168" s="695">
        <v>417.69</v>
      </c>
      <c r="N168" s="721"/>
      <c r="O168" s="695">
        <v>409.51</v>
      </c>
      <c r="P168" s="721"/>
      <c r="Q168" s="695">
        <v>385.17</v>
      </c>
      <c r="R168" s="721"/>
      <c r="S168" s="695">
        <v>345.19</v>
      </c>
      <c r="T168" s="721"/>
      <c r="U168" s="695">
        <v>332.38</v>
      </c>
      <c r="V168" s="721"/>
      <c r="W168" s="695">
        <v>393.62</v>
      </c>
      <c r="X168" s="721"/>
      <c r="Y168" s="695">
        <v>387.95</v>
      </c>
      <c r="Z168" s="721"/>
      <c r="AA168" s="695">
        <v>340.35</v>
      </c>
      <c r="AB168" s="721"/>
      <c r="AC168" s="695">
        <v>393.12</v>
      </c>
      <c r="AD168" s="708"/>
      <c r="AE168" s="684"/>
      <c r="AF168" s="684"/>
      <c r="AG168" s="684"/>
      <c r="AM168" s="871">
        <f>COUNTIF(B168:AB168,"U/P")</f>
        <v>1</v>
      </c>
      <c r="AN168" s="871">
        <f>COUNTIF(C168:AC168,"ROW")</f>
        <v>0</v>
      </c>
      <c r="AO168" s="871">
        <f>COUNTIF(D168:AD168,"C")</f>
        <v>0</v>
      </c>
    </row>
    <row r="169" spans="1:41" ht="34" thickBot="1">
      <c r="A169" s="467"/>
      <c r="B169" s="698"/>
      <c r="C169" s="690"/>
      <c r="D169" s="698"/>
      <c r="E169" s="690"/>
      <c r="F169" s="698"/>
      <c r="G169" s="690"/>
      <c r="H169" s="698"/>
      <c r="I169" s="690"/>
      <c r="J169" s="698"/>
      <c r="K169" s="690"/>
      <c r="L169" s="698"/>
      <c r="M169" s="690"/>
      <c r="N169" s="698"/>
      <c r="O169" s="690"/>
      <c r="P169" s="698"/>
      <c r="Q169" s="690"/>
      <c r="R169" s="698"/>
      <c r="S169" s="690"/>
      <c r="T169" s="698"/>
      <c r="U169" s="690"/>
      <c r="V169" s="698"/>
      <c r="W169" s="690"/>
      <c r="X169" s="698"/>
      <c r="Y169" s="690"/>
      <c r="Z169" s="698"/>
      <c r="AA169" s="690"/>
      <c r="AB169" s="698"/>
      <c r="AC169" s="690"/>
      <c r="AD169" s="708"/>
      <c r="AE169" s="684"/>
      <c r="AF169" s="684"/>
      <c r="AG169" s="684"/>
    </row>
    <row r="170" spans="1:41" ht="33.5">
      <c r="A170" s="467"/>
      <c r="B170" s="686" t="s">
        <v>185</v>
      </c>
      <c r="C170" s="686"/>
      <c r="D170" s="686" t="s">
        <v>185</v>
      </c>
      <c r="E170" s="686"/>
      <c r="F170" s="687" t="s">
        <v>119</v>
      </c>
      <c r="G170" s="686"/>
      <c r="H170" s="686" t="s">
        <v>182</v>
      </c>
      <c r="I170" s="686"/>
      <c r="J170" s="686" t="s">
        <v>248</v>
      </c>
      <c r="K170" s="686"/>
      <c r="L170" s="686" t="s">
        <v>248</v>
      </c>
      <c r="M170" s="686"/>
      <c r="N170" s="687" t="s">
        <v>132</v>
      </c>
      <c r="O170" s="686"/>
      <c r="P170" s="686" t="s">
        <v>182</v>
      </c>
      <c r="Q170" s="686"/>
      <c r="R170" s="687" t="s">
        <v>115</v>
      </c>
      <c r="S170" s="686"/>
      <c r="T170" s="686" t="s">
        <v>182</v>
      </c>
      <c r="U170" s="686"/>
      <c r="V170" s="686" t="s">
        <v>182</v>
      </c>
      <c r="W170" s="686"/>
      <c r="X170" s="686" t="s">
        <v>185</v>
      </c>
      <c r="Y170" s="686"/>
      <c r="Z170" s="686" t="s">
        <v>182</v>
      </c>
      <c r="AA170" s="686"/>
      <c r="AB170" s="686" t="s">
        <v>182</v>
      </c>
      <c r="AC170" s="690"/>
      <c r="AD170" s="708"/>
      <c r="AE170" s="684"/>
      <c r="AF170" s="684"/>
      <c r="AG170" s="684"/>
    </row>
    <row r="171" spans="1:41" ht="85" customHeight="1">
      <c r="A171" s="1572" t="s">
        <v>1690</v>
      </c>
      <c r="B171" s="1572"/>
      <c r="C171" s="1572"/>
      <c r="D171" s="746"/>
      <c r="E171" s="746"/>
      <c r="F171" s="746"/>
      <c r="G171" s="746"/>
      <c r="H171" s="830" t="s">
        <v>1569</v>
      </c>
      <c r="I171" s="746"/>
      <c r="J171" s="746"/>
      <c r="K171" s="746"/>
      <c r="L171" s="704"/>
      <c r="M171" s="704"/>
      <c r="N171" s="704"/>
      <c r="O171" s="704"/>
      <c r="P171" s="704"/>
      <c r="Q171" s="704"/>
      <c r="R171" s="704"/>
      <c r="S171" s="704"/>
      <c r="T171" s="747" t="s">
        <v>1526</v>
      </c>
      <c r="U171" s="704"/>
      <c r="V171" s="704"/>
      <c r="W171" s="704"/>
      <c r="X171" s="704"/>
      <c r="Y171" s="704"/>
      <c r="Z171" s="704"/>
      <c r="AA171" s="704"/>
      <c r="AB171" s="704"/>
      <c r="AC171" s="693"/>
      <c r="AD171" s="691"/>
      <c r="AE171" s="684"/>
      <c r="AF171" s="684"/>
      <c r="AG171" s="684"/>
    </row>
    <row r="172" spans="1:41" ht="15" customHeight="1">
      <c r="A172" s="467"/>
      <c r="B172" s="691"/>
      <c r="C172" s="693"/>
      <c r="D172" s="691"/>
      <c r="E172" s="693"/>
      <c r="F172" s="691"/>
      <c r="G172" s="693"/>
      <c r="H172" s="691"/>
      <c r="I172" s="693"/>
      <c r="J172" s="691"/>
      <c r="K172" s="693"/>
      <c r="L172" s="691"/>
      <c r="M172" s="693"/>
      <c r="N172" s="691"/>
      <c r="O172" s="693"/>
      <c r="P172" s="691"/>
      <c r="Q172" s="693"/>
      <c r="R172" s="691"/>
      <c r="S172" s="693"/>
      <c r="T172" s="691"/>
      <c r="U172" s="693"/>
      <c r="V172" s="691"/>
      <c r="W172" s="693"/>
      <c r="X172" s="691"/>
      <c r="Y172" s="693"/>
      <c r="Z172" s="691"/>
      <c r="AA172" s="693"/>
      <c r="AB172" s="691"/>
      <c r="AC172" s="693"/>
      <c r="AD172" s="691"/>
      <c r="AE172" s="684"/>
      <c r="AF172" s="684"/>
      <c r="AG172" s="684"/>
    </row>
    <row r="173" spans="1:41" ht="33.5" customHeight="1">
      <c r="A173" s="467"/>
      <c r="B173" s="672" t="s">
        <v>209</v>
      </c>
      <c r="C173" s="671"/>
      <c r="D173" s="672" t="s">
        <v>231</v>
      </c>
      <c r="E173" s="671"/>
      <c r="F173" s="672" t="s">
        <v>379</v>
      </c>
      <c r="G173" s="671"/>
      <c r="H173" s="672" t="s">
        <v>263</v>
      </c>
      <c r="I173" s="671"/>
      <c r="J173" s="672" t="s">
        <v>1279</v>
      </c>
      <c r="K173" s="671"/>
      <c r="L173" s="672" t="s">
        <v>215</v>
      </c>
      <c r="M173" s="671"/>
      <c r="N173" s="672" t="s">
        <v>216</v>
      </c>
      <c r="O173" s="671"/>
      <c r="P173" s="672" t="s">
        <v>239</v>
      </c>
      <c r="Q173" s="671"/>
      <c r="R173" s="672" t="s">
        <v>240</v>
      </c>
      <c r="S173" s="671"/>
      <c r="T173" s="672" t="s">
        <v>241</v>
      </c>
      <c r="U173" s="671"/>
      <c r="V173" s="672" t="s">
        <v>381</v>
      </c>
      <c r="W173" s="672"/>
      <c r="X173" s="672" t="s">
        <v>383</v>
      </c>
      <c r="Y173" s="671"/>
      <c r="Z173" s="672" t="s">
        <v>384</v>
      </c>
      <c r="AA173" s="671"/>
      <c r="AB173" s="672" t="s">
        <v>253</v>
      </c>
      <c r="AC173" s="690"/>
      <c r="AD173" s="708"/>
      <c r="AE173" s="684"/>
      <c r="AF173" s="684"/>
      <c r="AG173" s="684"/>
    </row>
    <row r="174" spans="1:41" ht="33.5">
      <c r="A174" s="467"/>
      <c r="B174" s="700"/>
      <c r="C174" s="686"/>
      <c r="D174" s="700"/>
      <c r="E174" s="690"/>
      <c r="F174" s="700"/>
      <c r="G174" s="695"/>
      <c r="H174" s="700"/>
      <c r="I174" s="695"/>
      <c r="J174" s="700"/>
      <c r="K174" s="695"/>
      <c r="L174" s="700"/>
      <c r="M174" s="690"/>
      <c r="N174" s="700"/>
      <c r="O174" s="690"/>
      <c r="P174" s="700"/>
      <c r="Q174" s="690"/>
      <c r="R174" s="700"/>
      <c r="S174" s="690"/>
      <c r="T174" s="700"/>
      <c r="U174" s="690"/>
      <c r="V174" s="700"/>
      <c r="W174" s="701"/>
      <c r="X174" s="700"/>
      <c r="Y174" s="701"/>
      <c r="Z174" s="700"/>
      <c r="AA174" s="690"/>
      <c r="AB174" s="700"/>
      <c r="AC174" s="690"/>
      <c r="AD174" s="708"/>
      <c r="AE174" s="684"/>
      <c r="AF174" s="684"/>
      <c r="AG174" s="684"/>
    </row>
    <row r="175" spans="1:41" ht="13" customHeight="1" thickBot="1">
      <c r="A175" s="467"/>
      <c r="B175" s="702"/>
      <c r="C175" s="690"/>
      <c r="D175" s="702"/>
      <c r="E175" s="690"/>
      <c r="F175" s="702"/>
      <c r="G175" s="690"/>
      <c r="H175" s="702"/>
      <c r="I175" s="690"/>
      <c r="J175" s="702"/>
      <c r="K175" s="690"/>
      <c r="L175" s="702"/>
      <c r="M175" s="690"/>
      <c r="N175" s="702"/>
      <c r="O175" s="690"/>
      <c r="P175" s="702"/>
      <c r="Q175" s="690"/>
      <c r="R175" s="702"/>
      <c r="S175" s="690"/>
      <c r="T175" s="702"/>
      <c r="U175" s="690"/>
      <c r="V175" s="702"/>
      <c r="W175" s="690"/>
      <c r="X175" s="702"/>
      <c r="Y175" s="690"/>
      <c r="Z175" s="702"/>
      <c r="AA175" s="690"/>
      <c r="AB175" s="702"/>
      <c r="AC175" s="690"/>
      <c r="AD175" s="708"/>
      <c r="AE175" s="684"/>
      <c r="AF175" s="684"/>
      <c r="AG175" s="684"/>
    </row>
    <row r="176" spans="1:41" ht="100" customHeight="1" thickBot="1">
      <c r="A176" s="467"/>
      <c r="B176" s="721"/>
      <c r="C176" s="695">
        <v>328.54</v>
      </c>
      <c r="D176" s="721"/>
      <c r="E176" s="695">
        <v>398.52</v>
      </c>
      <c r="F176" s="721"/>
      <c r="G176" s="695">
        <v>425.85</v>
      </c>
      <c r="H176" s="721"/>
      <c r="I176" s="695">
        <v>409.37</v>
      </c>
      <c r="J176" s="721"/>
      <c r="K176" s="695">
        <v>388.46</v>
      </c>
      <c r="L176" s="721"/>
      <c r="M176" s="695">
        <v>380.96</v>
      </c>
      <c r="N176" s="721"/>
      <c r="O176" s="695">
        <v>381.39</v>
      </c>
      <c r="P176" s="721"/>
      <c r="Q176" s="695">
        <v>344.6</v>
      </c>
      <c r="R176" s="721"/>
      <c r="S176" s="695">
        <v>395.64</v>
      </c>
      <c r="T176" s="721"/>
      <c r="U176" s="695">
        <v>414.76</v>
      </c>
      <c r="V176" s="721"/>
      <c r="W176" s="695">
        <v>401.93</v>
      </c>
      <c r="X176" s="679" t="s">
        <v>228</v>
      </c>
      <c r="Y176" s="695">
        <v>354.95</v>
      </c>
      <c r="Z176" s="751"/>
      <c r="AA176" s="695">
        <v>425</v>
      </c>
      <c r="AB176" s="751"/>
      <c r="AC176" s="678">
        <v>414</v>
      </c>
      <c r="AD176" s="708"/>
      <c r="AE176" s="684"/>
      <c r="AF176" s="684"/>
      <c r="AG176" s="684"/>
      <c r="AM176" s="871">
        <f>COUNTIF(B176:AB176,"U/P")</f>
        <v>0</v>
      </c>
      <c r="AN176" s="871">
        <f>COUNTIF(C176:AC176,"ROW")</f>
        <v>1</v>
      </c>
      <c r="AO176" s="871">
        <f>COUNTIF(D176:AD176,"C")</f>
        <v>0</v>
      </c>
    </row>
    <row r="177" spans="1:41" ht="34" thickBot="1">
      <c r="A177" s="467"/>
      <c r="B177" s="698"/>
      <c r="C177" s="690"/>
      <c r="D177" s="698"/>
      <c r="E177" s="690"/>
      <c r="F177" s="698"/>
      <c r="G177" s="690"/>
      <c r="H177" s="698"/>
      <c r="I177" s="690"/>
      <c r="J177" s="698"/>
      <c r="K177" s="690"/>
      <c r="L177" s="698"/>
      <c r="M177" s="690"/>
      <c r="N177" s="698"/>
      <c r="O177" s="690"/>
      <c r="P177" s="698"/>
      <c r="Q177" s="690"/>
      <c r="R177" s="698"/>
      <c r="S177" s="690"/>
      <c r="T177" s="698"/>
      <c r="U177" s="690"/>
      <c r="V177" s="698"/>
      <c r="W177" s="690"/>
      <c r="X177" s="698"/>
      <c r="Y177" s="690"/>
      <c r="Z177" s="698"/>
      <c r="AA177" s="690"/>
      <c r="AB177" s="698"/>
      <c r="AC177" s="690"/>
      <c r="AD177" s="708"/>
      <c r="AE177" s="684"/>
      <c r="AF177" s="684"/>
      <c r="AG177" s="684"/>
    </row>
    <row r="178" spans="1:41" ht="33.5">
      <c r="A178" s="467"/>
      <c r="B178" s="686" t="s">
        <v>182</v>
      </c>
      <c r="C178" s="686"/>
      <c r="D178" s="686" t="s">
        <v>182</v>
      </c>
      <c r="E178" s="686"/>
      <c r="F178" s="687" t="s">
        <v>115</v>
      </c>
      <c r="G178" s="686"/>
      <c r="H178" s="686" t="s">
        <v>242</v>
      </c>
      <c r="I178" s="686"/>
      <c r="J178" s="687" t="s">
        <v>119</v>
      </c>
      <c r="K178" s="686"/>
      <c r="L178" s="686" t="s">
        <v>182</v>
      </c>
      <c r="M178" s="686"/>
      <c r="N178" s="686" t="s">
        <v>185</v>
      </c>
      <c r="O178" s="686"/>
      <c r="P178" s="686" t="s">
        <v>182</v>
      </c>
      <c r="Q178" s="686"/>
      <c r="R178" s="686" t="s">
        <v>185</v>
      </c>
      <c r="S178" s="686"/>
      <c r="T178" s="686" t="s">
        <v>242</v>
      </c>
      <c r="U178" s="686"/>
      <c r="V178" s="687" t="s">
        <v>115</v>
      </c>
      <c r="W178" s="686"/>
      <c r="X178" s="686" t="s">
        <v>185</v>
      </c>
      <c r="Y178" s="686"/>
      <c r="Z178" s="687" t="s">
        <v>125</v>
      </c>
      <c r="AA178" s="686"/>
      <c r="AB178" s="686" t="s">
        <v>248</v>
      </c>
      <c r="AC178" s="690"/>
      <c r="AD178" s="708"/>
      <c r="AE178" s="684"/>
      <c r="AF178" s="684"/>
      <c r="AG178" s="684"/>
    </row>
    <row r="179" spans="1:41" ht="26">
      <c r="A179" s="467"/>
      <c r="B179" s="704"/>
      <c r="C179" s="704"/>
      <c r="D179" s="704"/>
      <c r="E179" s="704"/>
      <c r="F179" s="752"/>
      <c r="G179" s="704"/>
      <c r="H179" s="704"/>
      <c r="I179" s="704"/>
      <c r="J179" s="752"/>
      <c r="K179" s="704"/>
      <c r="L179" s="704"/>
      <c r="M179" s="704"/>
      <c r="N179" s="704"/>
      <c r="O179" s="704"/>
      <c r="P179" s="704"/>
      <c r="Q179" s="704"/>
      <c r="R179" s="704"/>
      <c r="S179" s="704"/>
      <c r="T179" s="704"/>
      <c r="U179" s="704"/>
      <c r="V179" s="752"/>
      <c r="W179" s="704"/>
      <c r="X179" s="704"/>
      <c r="Y179" s="704"/>
      <c r="Z179" s="752"/>
      <c r="AA179" s="704"/>
      <c r="AB179" s="704"/>
      <c r="AC179" s="693"/>
      <c r="AD179" s="691"/>
      <c r="AE179" s="684"/>
      <c r="AF179" s="684"/>
      <c r="AG179" s="684"/>
    </row>
    <row r="180" spans="1:41" ht="33.5">
      <c r="A180" s="467"/>
      <c r="B180" s="704"/>
      <c r="C180" s="704"/>
      <c r="D180" s="704"/>
      <c r="E180" s="704"/>
      <c r="F180" s="704"/>
      <c r="G180" s="704"/>
      <c r="H180" s="704"/>
      <c r="I180" s="704"/>
      <c r="J180" s="704"/>
      <c r="K180" s="704"/>
      <c r="L180" s="704"/>
      <c r="M180" s="704"/>
      <c r="N180" s="753" t="s">
        <v>1526</v>
      </c>
      <c r="O180" s="704"/>
      <c r="P180" s="704"/>
      <c r="Q180" s="704"/>
      <c r="R180" s="704"/>
      <c r="S180" s="704"/>
      <c r="T180" s="704"/>
      <c r="U180" s="704"/>
      <c r="V180" s="704"/>
      <c r="W180" s="704"/>
      <c r="X180" s="770" t="s">
        <v>454</v>
      </c>
      <c r="Y180" s="704"/>
      <c r="Z180" s="704"/>
      <c r="AA180" s="704"/>
      <c r="AB180" s="704"/>
      <c r="AC180" s="693"/>
      <c r="AD180" s="691"/>
      <c r="AE180" s="684"/>
      <c r="AF180" s="684"/>
      <c r="AG180" s="684"/>
    </row>
    <row r="181" spans="1:41" ht="36" customHeight="1">
      <c r="A181" s="735"/>
      <c r="B181" s="723"/>
      <c r="C181" s="723"/>
      <c r="D181" s="723"/>
      <c r="E181" s="723"/>
      <c r="F181" s="749"/>
      <c r="G181" s="723"/>
      <c r="H181" s="723"/>
      <c r="I181" s="723"/>
      <c r="J181" s="723"/>
      <c r="K181" s="723"/>
      <c r="L181" s="723"/>
      <c r="M181" s="723"/>
      <c r="N181" s="723"/>
      <c r="O181" s="723"/>
      <c r="P181" s="723"/>
      <c r="Q181" s="723"/>
      <c r="R181" s="723"/>
      <c r="S181" s="723"/>
      <c r="T181" s="723"/>
      <c r="U181" s="723"/>
      <c r="V181" s="723"/>
      <c r="W181" s="723"/>
      <c r="X181" s="881" t="s">
        <v>228</v>
      </c>
      <c r="Y181" s="723"/>
      <c r="Z181" s="723"/>
      <c r="AA181" s="723"/>
      <c r="AB181" s="723"/>
      <c r="AC181" s="723"/>
      <c r="AD181" s="723"/>
      <c r="AE181" s="723"/>
      <c r="AF181" s="723"/>
      <c r="AG181" s="723"/>
      <c r="AH181" s="723"/>
      <c r="AI181" s="723"/>
      <c r="AJ181" s="723"/>
      <c r="AK181" s="723"/>
      <c r="AL181" s="723"/>
    </row>
    <row r="182" spans="1:41" ht="21.75" customHeight="1">
      <c r="A182" s="685"/>
      <c r="B182" s="672" t="s">
        <v>385</v>
      </c>
      <c r="C182" s="671"/>
      <c r="D182" s="672" t="s">
        <v>386</v>
      </c>
      <c r="E182" s="671"/>
      <c r="F182" s="672" t="s">
        <v>257</v>
      </c>
      <c r="G182" s="671"/>
      <c r="H182" s="672" t="s">
        <v>387</v>
      </c>
      <c r="I182" s="671"/>
      <c r="J182" s="672" t="s">
        <v>267</v>
      </c>
      <c r="K182" s="671"/>
      <c r="L182" s="672" t="s">
        <v>268</v>
      </c>
      <c r="M182" s="671"/>
      <c r="N182" s="672" t="s">
        <v>269</v>
      </c>
      <c r="O182" s="671"/>
      <c r="P182" s="672" t="s">
        <v>227</v>
      </c>
      <c r="Q182" s="671"/>
      <c r="R182" s="672" t="s">
        <v>271</v>
      </c>
      <c r="S182" s="671"/>
      <c r="T182" s="672" t="s">
        <v>391</v>
      </c>
      <c r="U182" s="671"/>
      <c r="V182" s="672" t="s">
        <v>392</v>
      </c>
      <c r="W182" s="671"/>
      <c r="X182" s="672" t="s">
        <v>393</v>
      </c>
      <c r="Y182" s="671"/>
      <c r="Z182" s="672" t="s">
        <v>394</v>
      </c>
      <c r="AA182" s="671"/>
      <c r="AB182" s="672" t="s">
        <v>225</v>
      </c>
      <c r="AC182" s="690"/>
      <c r="AD182" s="708"/>
      <c r="AE182" s="684"/>
      <c r="AF182" s="684"/>
      <c r="AG182" s="684"/>
    </row>
    <row r="183" spans="1:41" ht="33.5">
      <c r="A183" s="685"/>
      <c r="B183" s="700"/>
      <c r="C183" s="686"/>
      <c r="D183" s="700"/>
      <c r="E183" s="690"/>
      <c r="F183" s="700"/>
      <c r="G183" s="690"/>
      <c r="H183" s="700"/>
      <c r="I183" s="690"/>
      <c r="J183" s="700"/>
      <c r="K183" s="690"/>
      <c r="L183" s="700"/>
      <c r="M183" s="690"/>
      <c r="N183" s="700"/>
      <c r="O183" s="690"/>
      <c r="P183" s="700"/>
      <c r="Q183" s="690"/>
      <c r="R183" s="700"/>
      <c r="S183" s="690"/>
      <c r="T183" s="700"/>
      <c r="U183" s="690"/>
      <c r="V183" s="700"/>
      <c r="W183" s="690"/>
      <c r="X183" s="700"/>
      <c r="Y183" s="690"/>
      <c r="Z183" s="700"/>
      <c r="AA183" s="690"/>
      <c r="AB183" s="700"/>
      <c r="AC183" s="690"/>
      <c r="AD183" s="708"/>
      <c r="AE183" s="684"/>
      <c r="AF183" s="684"/>
      <c r="AG183" s="684"/>
    </row>
    <row r="184" spans="1:41" ht="16" customHeight="1" thickBot="1">
      <c r="A184" s="685"/>
      <c r="B184" s="702"/>
      <c r="C184" s="690"/>
      <c r="D184" s="702"/>
      <c r="E184" s="690"/>
      <c r="F184" s="702"/>
      <c r="G184" s="690"/>
      <c r="H184" s="702"/>
      <c r="I184" s="690"/>
      <c r="J184" s="702"/>
      <c r="K184" s="690"/>
      <c r="L184" s="702"/>
      <c r="M184" s="690"/>
      <c r="N184" s="702"/>
      <c r="O184" s="690"/>
      <c r="P184" s="702"/>
      <c r="Q184" s="690"/>
      <c r="R184" s="702"/>
      <c r="S184" s="690"/>
      <c r="T184" s="702"/>
      <c r="U184" s="690"/>
      <c r="V184" s="702"/>
      <c r="W184" s="690"/>
      <c r="X184" s="702"/>
      <c r="Y184" s="690"/>
      <c r="Z184" s="702"/>
      <c r="AA184" s="690"/>
      <c r="AB184" s="702"/>
      <c r="AC184" s="690"/>
      <c r="AD184" s="708"/>
      <c r="AE184" s="684"/>
      <c r="AF184" s="684"/>
      <c r="AG184" s="684"/>
    </row>
    <row r="185" spans="1:41" ht="100" customHeight="1" thickBot="1">
      <c r="A185" s="685"/>
      <c r="B185" s="721"/>
      <c r="C185" s="695">
        <v>353.05</v>
      </c>
      <c r="D185" s="721"/>
      <c r="E185" s="695">
        <v>441.06</v>
      </c>
      <c r="F185" s="721"/>
      <c r="G185" s="695">
        <v>387.5</v>
      </c>
      <c r="H185" s="721"/>
      <c r="I185" s="695">
        <v>372.63</v>
      </c>
      <c r="J185" s="720"/>
      <c r="K185" s="695">
        <v>415.3</v>
      </c>
      <c r="L185" s="721"/>
      <c r="M185" s="695">
        <v>424.58</v>
      </c>
      <c r="N185" s="721"/>
      <c r="O185" s="695">
        <v>391.7</v>
      </c>
      <c r="P185" s="721"/>
      <c r="Q185" s="695">
        <v>410.47</v>
      </c>
      <c r="R185" s="721"/>
      <c r="S185" s="695">
        <v>385.54</v>
      </c>
      <c r="T185" s="721"/>
      <c r="U185" s="695">
        <v>418.31</v>
      </c>
      <c r="V185" s="721"/>
      <c r="W185" s="695">
        <v>421.47</v>
      </c>
      <c r="X185" s="721"/>
      <c r="Y185" s="695">
        <v>401.98</v>
      </c>
      <c r="Z185" s="721"/>
      <c r="AA185" s="695">
        <v>429.38</v>
      </c>
      <c r="AB185" s="721"/>
      <c r="AC185" s="695">
        <v>403.83</v>
      </c>
      <c r="AD185" s="708"/>
      <c r="AE185" s="684"/>
      <c r="AF185" s="684"/>
      <c r="AG185" s="684"/>
      <c r="AM185" s="871">
        <f>COUNTIF(B185:AB185,"U/P")</f>
        <v>0</v>
      </c>
      <c r="AN185" s="871">
        <f>COUNTIF(C185:AC185,"ROW")</f>
        <v>0</v>
      </c>
      <c r="AO185" s="871">
        <f>COUNTIF(D185:AD185,"C")</f>
        <v>0</v>
      </c>
    </row>
    <row r="186" spans="1:41" ht="34" thickBot="1">
      <c r="A186" s="685"/>
      <c r="B186" s="698"/>
      <c r="C186" s="690"/>
      <c r="D186" s="698"/>
      <c r="E186" s="690"/>
      <c r="F186" s="698"/>
      <c r="G186" s="690"/>
      <c r="H186" s="731"/>
      <c r="I186" s="690"/>
      <c r="J186" s="698"/>
      <c r="K186" s="690"/>
      <c r="L186" s="698"/>
      <c r="M186" s="690"/>
      <c r="N186" s="698"/>
      <c r="O186" s="690"/>
      <c r="P186" s="698"/>
      <c r="Q186" s="690"/>
      <c r="R186" s="698"/>
      <c r="S186" s="690"/>
      <c r="T186" s="698"/>
      <c r="U186" s="690"/>
      <c r="V186" s="698"/>
      <c r="W186" s="690"/>
      <c r="X186" s="698"/>
      <c r="Y186" s="690"/>
      <c r="Z186" s="698"/>
      <c r="AA186" s="690"/>
      <c r="AB186" s="698"/>
      <c r="AC186" s="690"/>
      <c r="AD186" s="708"/>
      <c r="AE186" s="684"/>
      <c r="AF186" s="684"/>
      <c r="AG186" s="684"/>
    </row>
    <row r="187" spans="1:41" ht="33.5">
      <c r="A187" s="685"/>
      <c r="B187" s="686" t="s">
        <v>182</v>
      </c>
      <c r="C187" s="686"/>
      <c r="D187" s="687" t="s">
        <v>188</v>
      </c>
      <c r="E187" s="686"/>
      <c r="F187" s="686" t="s">
        <v>248</v>
      </c>
      <c r="G187" s="686"/>
      <c r="H187" s="687" t="s">
        <v>132</v>
      </c>
      <c r="I187" s="686"/>
      <c r="J187" s="686" t="s">
        <v>182</v>
      </c>
      <c r="K187" s="686"/>
      <c r="L187" s="686" t="s">
        <v>185</v>
      </c>
      <c r="M187" s="686"/>
      <c r="N187" s="686" t="s">
        <v>182</v>
      </c>
      <c r="O187" s="686"/>
      <c r="P187" s="686" t="s">
        <v>182</v>
      </c>
      <c r="Q187" s="686"/>
      <c r="R187" s="686" t="s">
        <v>242</v>
      </c>
      <c r="S187" s="686"/>
      <c r="T187" s="687" t="s">
        <v>188</v>
      </c>
      <c r="U187" s="686"/>
      <c r="V187" s="686" t="s">
        <v>242</v>
      </c>
      <c r="W187" s="686"/>
      <c r="X187" s="686" t="s">
        <v>185</v>
      </c>
      <c r="Y187" s="686"/>
      <c r="Z187" s="687" t="s">
        <v>115</v>
      </c>
      <c r="AA187" s="686"/>
      <c r="AB187" s="686" t="s">
        <v>185</v>
      </c>
      <c r="AC187" s="690"/>
      <c r="AD187" s="708"/>
      <c r="AE187" s="684"/>
      <c r="AF187" s="684"/>
      <c r="AG187" s="684"/>
    </row>
    <row r="188" spans="1:41" ht="58.5" customHeight="1">
      <c r="A188" s="1573" t="s">
        <v>1527</v>
      </c>
      <c r="B188" s="1574"/>
      <c r="C188" s="686"/>
      <c r="D188" s="756" t="s">
        <v>454</v>
      </c>
      <c r="E188" s="701"/>
      <c r="F188" s="756" t="s">
        <v>1526</v>
      </c>
      <c r="G188" s="701"/>
      <c r="H188" s="756" t="s">
        <v>1526</v>
      </c>
      <c r="I188" s="701"/>
      <c r="J188" s="756" t="s">
        <v>1526</v>
      </c>
      <c r="K188" s="686"/>
      <c r="L188" s="686"/>
      <c r="M188" s="686"/>
      <c r="N188" s="686"/>
      <c r="O188" s="686"/>
      <c r="P188" s="686"/>
      <c r="Q188" s="686"/>
      <c r="R188" s="686"/>
      <c r="S188" s="686"/>
      <c r="T188" s="686"/>
      <c r="U188" s="686"/>
      <c r="V188" s="740"/>
      <c r="W188" s="686"/>
      <c r="X188" s="686"/>
      <c r="Y188" s="686"/>
      <c r="Z188" s="686"/>
      <c r="AA188" s="686"/>
      <c r="AB188" s="686"/>
      <c r="AC188" s="690"/>
      <c r="AD188" s="708"/>
      <c r="AE188" s="684"/>
      <c r="AF188" s="684"/>
      <c r="AG188" s="684"/>
    </row>
    <row r="189" spans="1:41" ht="36">
      <c r="A189" s="750"/>
      <c r="B189" s="750"/>
      <c r="C189" s="750"/>
      <c r="D189" s="750"/>
      <c r="E189" s="750"/>
      <c r="F189" s="750"/>
      <c r="G189" s="750"/>
      <c r="H189" s="749" t="s">
        <v>228</v>
      </c>
      <c r="I189" s="750"/>
      <c r="J189" s="750"/>
      <c r="K189" s="750"/>
      <c r="L189" s="750"/>
      <c r="M189" s="750"/>
      <c r="N189" s="750"/>
      <c r="O189" s="750"/>
      <c r="P189" s="750"/>
      <c r="Q189" s="750"/>
      <c r="R189" s="750"/>
      <c r="S189" s="750"/>
      <c r="T189" s="829"/>
      <c r="U189" s="750"/>
      <c r="V189" s="750"/>
      <c r="W189" s="750"/>
      <c r="X189" s="750"/>
      <c r="Y189" s="750"/>
      <c r="Z189" s="749" t="s">
        <v>228</v>
      </c>
      <c r="AA189" s="750"/>
      <c r="AB189" s="750"/>
      <c r="AC189" s="750"/>
      <c r="AD189" s="750"/>
      <c r="AE189" s="750"/>
      <c r="AF189" s="750"/>
      <c r="AG189" s="750"/>
      <c r="AH189" s="750"/>
      <c r="AI189" s="750"/>
      <c r="AJ189" s="750"/>
      <c r="AK189" s="750"/>
      <c r="AL189" s="750"/>
    </row>
    <row r="190" spans="1:41" ht="15" customHeight="1">
      <c r="B190" s="691"/>
      <c r="C190" s="693"/>
      <c r="D190" s="691"/>
      <c r="E190" s="693"/>
      <c r="F190" s="691"/>
      <c r="G190" s="693"/>
      <c r="H190" s="691"/>
      <c r="I190" s="693"/>
      <c r="J190" s="691"/>
      <c r="K190" s="693"/>
      <c r="L190" s="691"/>
      <c r="M190" s="693"/>
      <c r="N190" s="691"/>
      <c r="O190" s="693"/>
      <c r="P190" s="691"/>
      <c r="Q190" s="693"/>
      <c r="R190" s="691"/>
      <c r="S190" s="693"/>
      <c r="T190" s="691"/>
      <c r="U190" s="693"/>
      <c r="V190" s="691"/>
      <c r="W190" s="693"/>
      <c r="X190" s="691"/>
      <c r="Y190" s="693"/>
      <c r="Z190" s="691"/>
      <c r="AA190" s="693"/>
      <c r="AB190" s="691"/>
      <c r="AC190" s="693"/>
      <c r="AD190" s="691"/>
      <c r="AE190" s="684"/>
      <c r="AF190" s="684"/>
      <c r="AG190" s="684"/>
    </row>
    <row r="191" spans="1:41" ht="31" customHeight="1">
      <c r="B191" s="672" t="s">
        <v>395</v>
      </c>
      <c r="C191" s="671"/>
      <c r="D191" s="672" t="s">
        <v>396</v>
      </c>
      <c r="E191" s="671"/>
      <c r="F191" s="672" t="s">
        <v>258</v>
      </c>
      <c r="G191" s="671"/>
      <c r="H191" s="672" t="s">
        <v>398</v>
      </c>
      <c r="I191" s="671"/>
      <c r="J191" s="672" t="s">
        <v>262</v>
      </c>
      <c r="K191" s="671"/>
      <c r="L191" s="672" t="s">
        <v>244</v>
      </c>
      <c r="M191" s="671"/>
      <c r="N191" s="672" t="s">
        <v>399</v>
      </c>
      <c r="O191" s="671"/>
      <c r="P191" s="672" t="s">
        <v>277</v>
      </c>
      <c r="Q191" s="671"/>
      <c r="R191" s="672" t="s">
        <v>280</v>
      </c>
      <c r="S191" s="671"/>
      <c r="T191" s="672" t="s">
        <v>400</v>
      </c>
      <c r="U191" s="671"/>
      <c r="V191" s="672" t="s">
        <v>401</v>
      </c>
      <c r="W191" s="671"/>
      <c r="X191" s="672" t="s">
        <v>402</v>
      </c>
      <c r="Y191" s="671"/>
      <c r="Z191" s="672" t="s">
        <v>403</v>
      </c>
      <c r="AA191" s="671"/>
      <c r="AB191" s="672" t="s">
        <v>404</v>
      </c>
      <c r="AC191" s="690"/>
      <c r="AD191" s="691"/>
      <c r="AE191" s="684"/>
      <c r="AF191" s="684"/>
      <c r="AG191" s="684"/>
    </row>
    <row r="192" spans="1:41" ht="33.5">
      <c r="B192" s="700"/>
      <c r="C192" s="690"/>
      <c r="D192" s="700"/>
      <c r="E192" s="690"/>
      <c r="F192" s="700"/>
      <c r="G192" s="690"/>
      <c r="H192" s="700"/>
      <c r="I192" s="690"/>
      <c r="J192" s="700"/>
      <c r="K192" s="686"/>
      <c r="L192" s="700"/>
      <c r="M192" s="690"/>
      <c r="N192" s="700"/>
      <c r="O192" s="690"/>
      <c r="P192" s="700"/>
      <c r="Q192" s="686"/>
      <c r="R192" s="700"/>
      <c r="S192" s="686"/>
      <c r="T192" s="700"/>
      <c r="U192" s="690"/>
      <c r="V192" s="700"/>
      <c r="W192" s="690"/>
      <c r="X192" s="700"/>
      <c r="Y192" s="690"/>
      <c r="Z192" s="700"/>
      <c r="AA192" s="690"/>
      <c r="AB192" s="700"/>
      <c r="AC192" s="690"/>
      <c r="AD192" s="691"/>
      <c r="AE192" s="684"/>
      <c r="AF192" s="684"/>
      <c r="AG192" s="684"/>
    </row>
    <row r="193" spans="1:41" ht="15.5" customHeight="1" thickBot="1">
      <c r="B193" s="702"/>
      <c r="C193" s="690"/>
      <c r="D193" s="702"/>
      <c r="E193" s="690"/>
      <c r="F193" s="702"/>
      <c r="G193" s="690"/>
      <c r="H193" s="702"/>
      <c r="I193" s="690"/>
      <c r="J193" s="702"/>
      <c r="K193" s="690"/>
      <c r="L193" s="702"/>
      <c r="M193" s="690"/>
      <c r="N193" s="702"/>
      <c r="O193" s="690"/>
      <c r="P193" s="702"/>
      <c r="Q193" s="690"/>
      <c r="R193" s="702"/>
      <c r="S193" s="690"/>
      <c r="T193" s="702"/>
      <c r="U193" s="690"/>
      <c r="V193" s="702"/>
      <c r="W193" s="690"/>
      <c r="X193" s="702"/>
      <c r="Y193" s="690"/>
      <c r="Z193" s="702"/>
      <c r="AA193" s="690"/>
      <c r="AB193" s="702"/>
      <c r="AC193" s="690"/>
      <c r="AD193" s="691"/>
      <c r="AE193" s="684"/>
      <c r="AF193" s="684"/>
      <c r="AG193" s="684"/>
    </row>
    <row r="194" spans="1:41" ht="100" customHeight="1" thickBot="1">
      <c r="B194" s="1023" t="s">
        <v>390</v>
      </c>
      <c r="C194" s="695">
        <v>384.63</v>
      </c>
      <c r="D194" s="721"/>
      <c r="E194" s="695">
        <v>380.68200000000002</v>
      </c>
      <c r="F194" s="721"/>
      <c r="G194" s="695">
        <v>354.52600000000001</v>
      </c>
      <c r="H194" s="721"/>
      <c r="I194" s="695">
        <v>405.57400000000001</v>
      </c>
      <c r="J194" s="721"/>
      <c r="K194" s="695">
        <v>416.87400000000002</v>
      </c>
      <c r="L194" s="721"/>
      <c r="M194" s="695">
        <v>380.76600000000002</v>
      </c>
      <c r="N194" s="721"/>
      <c r="O194" s="695">
        <v>411.81</v>
      </c>
      <c r="P194" s="721"/>
      <c r="Q194" s="757">
        <v>392.08</v>
      </c>
      <c r="R194" s="721"/>
      <c r="S194" s="758">
        <v>296.87</v>
      </c>
      <c r="T194" s="679" t="s">
        <v>228</v>
      </c>
      <c r="U194" s="695">
        <v>412.4</v>
      </c>
      <c r="V194" s="679" t="s">
        <v>228</v>
      </c>
      <c r="W194" s="695">
        <v>382.17</v>
      </c>
      <c r="X194" s="679" t="s">
        <v>228</v>
      </c>
      <c r="Y194" s="695">
        <v>452.74</v>
      </c>
      <c r="Z194" s="679" t="s">
        <v>228</v>
      </c>
      <c r="AA194" s="695">
        <v>420.21</v>
      </c>
      <c r="AB194" s="679" t="s">
        <v>228</v>
      </c>
      <c r="AC194" s="695">
        <v>395.01</v>
      </c>
      <c r="AD194" s="691"/>
      <c r="AE194" s="684"/>
      <c r="AF194" s="684"/>
      <c r="AG194" s="684"/>
      <c r="AM194" s="871">
        <f>COUNTIF(B194:AB194,"U/P")</f>
        <v>1</v>
      </c>
      <c r="AN194" s="871">
        <f>COUNTIF(C194:AC194,"ROW")</f>
        <v>5</v>
      </c>
      <c r="AO194" s="871">
        <f>COUNTIF(B194:AD194,"C")</f>
        <v>0</v>
      </c>
    </row>
    <row r="195" spans="1:41" ht="34" thickBot="1">
      <c r="B195" s="1024"/>
      <c r="C195" s="690"/>
      <c r="D195" s="698"/>
      <c r="E195" s="690"/>
      <c r="F195" s="698"/>
      <c r="G195" s="690"/>
      <c r="H195" s="698"/>
      <c r="I195" s="690"/>
      <c r="J195" s="698"/>
      <c r="K195" s="690"/>
      <c r="L195" s="698"/>
      <c r="M195" s="690"/>
      <c r="N195" s="698"/>
      <c r="O195" s="690"/>
      <c r="P195" s="698"/>
      <c r="Q195" s="690"/>
      <c r="R195" s="698"/>
      <c r="S195" s="690"/>
      <c r="T195" s="698"/>
      <c r="U195" s="690"/>
      <c r="V195" s="698"/>
      <c r="W195" s="690"/>
      <c r="X195" s="698"/>
      <c r="Y195" s="690"/>
      <c r="Z195" s="698"/>
      <c r="AA195" s="690"/>
      <c r="AB195" s="698"/>
      <c r="AC195" s="708"/>
      <c r="AD195" s="691"/>
      <c r="AE195" s="684"/>
      <c r="AF195" s="684"/>
      <c r="AG195" s="684"/>
    </row>
    <row r="196" spans="1:41" ht="33.5">
      <c r="B196" s="687" t="s">
        <v>128</v>
      </c>
      <c r="C196" s="686"/>
      <c r="D196" s="687" t="s">
        <v>115</v>
      </c>
      <c r="E196" s="686"/>
      <c r="F196" s="686" t="s">
        <v>182</v>
      </c>
      <c r="G196" s="686"/>
      <c r="H196" s="687" t="s">
        <v>125</v>
      </c>
      <c r="I196" s="686"/>
      <c r="J196" s="686" t="s">
        <v>242</v>
      </c>
      <c r="K196" s="686"/>
      <c r="L196" s="686" t="s">
        <v>182</v>
      </c>
      <c r="M196" s="686"/>
      <c r="N196" s="687" t="s">
        <v>115</v>
      </c>
      <c r="O196" s="686"/>
      <c r="P196" s="686" t="s">
        <v>185</v>
      </c>
      <c r="Q196" s="686"/>
      <c r="R196" s="686" t="s">
        <v>248</v>
      </c>
      <c r="S196" s="686"/>
      <c r="T196" s="687" t="s">
        <v>128</v>
      </c>
      <c r="U196" s="686"/>
      <c r="V196" s="687" t="s">
        <v>115</v>
      </c>
      <c r="W196" s="686"/>
      <c r="X196" s="686" t="s">
        <v>248</v>
      </c>
      <c r="Y196" s="686"/>
      <c r="Z196" s="687" t="s">
        <v>115</v>
      </c>
      <c r="AA196" s="686"/>
      <c r="AB196" s="686" t="s">
        <v>248</v>
      </c>
      <c r="AC196" s="708"/>
      <c r="AD196" s="691"/>
      <c r="AE196" s="684"/>
      <c r="AF196" s="684"/>
      <c r="AG196" s="684"/>
    </row>
    <row r="197" spans="1:41" ht="27" customHeight="1">
      <c r="A197" s="723"/>
      <c r="B197" s="1022"/>
      <c r="C197" s="829"/>
      <c r="D197" s="829"/>
      <c r="E197" s="723"/>
      <c r="F197" s="723"/>
      <c r="G197" s="723"/>
      <c r="H197" s="723"/>
      <c r="I197" s="723"/>
      <c r="J197" s="723"/>
      <c r="K197" s="723"/>
      <c r="L197" s="723"/>
      <c r="M197" s="723"/>
      <c r="N197" s="829"/>
      <c r="O197" s="723"/>
      <c r="P197" s="723"/>
      <c r="Q197" s="723"/>
      <c r="R197" s="723"/>
      <c r="S197" s="723"/>
      <c r="T197" s="1571" t="s">
        <v>1518</v>
      </c>
      <c r="U197" s="1571"/>
      <c r="V197" s="1571"/>
      <c r="W197" s="1571"/>
      <c r="X197" s="1571"/>
      <c r="Y197" s="1571"/>
      <c r="Z197" s="1571"/>
      <c r="AA197" s="1571"/>
      <c r="AB197" s="1571"/>
      <c r="AC197" s="723"/>
      <c r="AD197" s="723"/>
      <c r="AE197" s="723"/>
      <c r="AF197" s="723"/>
      <c r="AG197" s="723"/>
      <c r="AH197" s="723"/>
      <c r="AI197" s="723"/>
      <c r="AJ197" s="723"/>
      <c r="AK197" s="723"/>
      <c r="AL197" s="723"/>
    </row>
    <row r="198" spans="1:41" ht="26">
      <c r="B198" s="693"/>
      <c r="C198" s="693"/>
      <c r="D198" s="691"/>
      <c r="E198" s="693"/>
      <c r="F198" s="691"/>
      <c r="G198" s="693"/>
      <c r="H198" s="691"/>
      <c r="I198" s="693"/>
      <c r="J198" s="691"/>
      <c r="K198" s="693"/>
      <c r="L198" s="691"/>
      <c r="M198" s="693"/>
      <c r="N198" s="691"/>
      <c r="O198" s="693"/>
      <c r="P198" s="691"/>
      <c r="Q198" s="693"/>
      <c r="R198" s="691"/>
      <c r="S198" s="693"/>
      <c r="T198" s="691"/>
      <c r="U198" s="693"/>
      <c r="V198" s="691"/>
      <c r="W198" s="693"/>
      <c r="X198" s="691"/>
      <c r="Y198" s="693"/>
      <c r="Z198" s="691"/>
      <c r="AA198" s="693"/>
      <c r="AB198" s="691"/>
      <c r="AC198" s="691"/>
      <c r="AD198" s="691"/>
      <c r="AE198" s="684"/>
      <c r="AF198" s="684"/>
      <c r="AG198" s="684"/>
    </row>
    <row r="199" spans="1:41" ht="28" customHeight="1">
      <c r="B199" s="672" t="s">
        <v>405</v>
      </c>
      <c r="C199" s="671"/>
      <c r="D199" s="672" t="s">
        <v>406</v>
      </c>
      <c r="E199" s="671"/>
      <c r="F199" s="672" t="s">
        <v>290</v>
      </c>
      <c r="G199" s="671"/>
      <c r="H199" s="672" t="s">
        <v>407</v>
      </c>
      <c r="I199" s="671"/>
      <c r="J199" s="672" t="s">
        <v>408</v>
      </c>
      <c r="K199" s="673" t="s">
        <v>1513</v>
      </c>
      <c r="L199" s="1550" t="s">
        <v>409</v>
      </c>
      <c r="M199" s="1550"/>
      <c r="N199" s="1550" t="s">
        <v>410</v>
      </c>
      <c r="O199" s="1550"/>
      <c r="P199" s="1550" t="s">
        <v>411</v>
      </c>
      <c r="Q199" s="1550"/>
      <c r="R199" s="672" t="s">
        <v>412</v>
      </c>
      <c r="S199" s="671"/>
      <c r="T199" s="672" t="s">
        <v>414</v>
      </c>
      <c r="U199" s="671"/>
      <c r="V199" s="729" t="s">
        <v>1280</v>
      </c>
      <c r="W199" s="671"/>
      <c r="X199" s="1550" t="s">
        <v>217</v>
      </c>
      <c r="Y199" s="1550"/>
      <c r="Z199" s="1550" t="s">
        <v>416</v>
      </c>
      <c r="AA199" s="1550"/>
      <c r="AB199" s="672" t="s">
        <v>294</v>
      </c>
      <c r="AC199" s="708"/>
      <c r="AD199" s="691"/>
      <c r="AE199" s="684"/>
      <c r="AF199" s="684"/>
      <c r="AG199" s="684"/>
    </row>
    <row r="200" spans="1:41" ht="33.5">
      <c r="A200" s="467"/>
      <c r="B200" s="700"/>
      <c r="C200" s="690"/>
      <c r="D200" s="700"/>
      <c r="E200" s="690"/>
      <c r="F200" s="700"/>
      <c r="G200" s="690"/>
      <c r="H200" s="700"/>
      <c r="I200" s="690"/>
      <c r="J200" s="700"/>
      <c r="K200" s="690"/>
      <c r="L200" s="700"/>
      <c r="M200" s="690"/>
      <c r="N200" s="700"/>
      <c r="O200" s="690"/>
      <c r="P200" s="700"/>
      <c r="Q200" s="690"/>
      <c r="R200" s="700"/>
      <c r="S200" s="690"/>
      <c r="T200" s="700"/>
      <c r="U200" s="690"/>
      <c r="V200" s="700"/>
      <c r="W200" s="690"/>
      <c r="X200" s="700"/>
      <c r="Y200" s="690"/>
      <c r="Z200" s="700"/>
      <c r="AA200" s="690"/>
      <c r="AB200" s="700"/>
      <c r="AC200" s="708"/>
      <c r="AD200" s="691"/>
      <c r="AE200" s="684"/>
      <c r="AF200" s="684"/>
      <c r="AG200" s="684"/>
    </row>
    <row r="201" spans="1:41" ht="15" customHeight="1" thickBot="1">
      <c r="A201" s="467"/>
      <c r="B201" s="702"/>
      <c r="C201" s="690"/>
      <c r="D201" s="702"/>
      <c r="E201" s="690"/>
      <c r="F201" s="702"/>
      <c r="G201" s="690"/>
      <c r="H201" s="702"/>
      <c r="I201" s="690"/>
      <c r="J201" s="702"/>
      <c r="K201" s="690"/>
      <c r="L201" s="702"/>
      <c r="M201" s="690"/>
      <c r="N201" s="702"/>
      <c r="O201" s="690"/>
      <c r="P201" s="702"/>
      <c r="Q201" s="690"/>
      <c r="R201" s="702"/>
      <c r="S201" s="690"/>
      <c r="T201" s="702"/>
      <c r="U201" s="690"/>
      <c r="V201" s="702"/>
      <c r="W201" s="690"/>
      <c r="X201" s="702"/>
      <c r="Y201" s="690"/>
      <c r="Z201" s="702"/>
      <c r="AA201" s="690"/>
      <c r="AB201" s="702"/>
      <c r="AC201" s="708"/>
      <c r="AD201" s="691"/>
      <c r="AE201" s="684"/>
      <c r="AF201" s="684"/>
      <c r="AG201" s="684"/>
      <c r="AH201" s="759"/>
      <c r="AI201" s="759"/>
      <c r="AJ201" s="759"/>
      <c r="AK201" s="759"/>
      <c r="AL201" s="759"/>
      <c r="AM201" s="759"/>
      <c r="AN201" s="759"/>
    </row>
    <row r="202" spans="1:41" ht="100" customHeight="1" thickBot="1">
      <c r="A202" s="467"/>
      <c r="B202" s="679" t="s">
        <v>228</v>
      </c>
      <c r="C202" s="695">
        <v>386.74</v>
      </c>
      <c r="D202" s="721"/>
      <c r="E202" s="758">
        <v>378.62</v>
      </c>
      <c r="F202" s="721"/>
      <c r="G202" s="695">
        <v>350.21499999999997</v>
      </c>
      <c r="H202" s="679" t="s">
        <v>228</v>
      </c>
      <c r="I202" s="695">
        <v>357.91</v>
      </c>
      <c r="J202" s="679" t="s">
        <v>228</v>
      </c>
      <c r="K202" s="695">
        <v>237.48</v>
      </c>
      <c r="L202" s="679" t="s">
        <v>228</v>
      </c>
      <c r="M202" s="695">
        <v>440.03</v>
      </c>
      <c r="N202" s="721"/>
      <c r="O202" s="695">
        <v>503.74</v>
      </c>
      <c r="P202" s="721"/>
      <c r="Q202" s="695">
        <v>437</v>
      </c>
      <c r="R202" s="721"/>
      <c r="S202" s="695">
        <v>430</v>
      </c>
      <c r="T202" s="721"/>
      <c r="U202" s="758">
        <v>409.27</v>
      </c>
      <c r="V202" s="721"/>
      <c r="W202" s="695">
        <v>312.45</v>
      </c>
      <c r="X202" s="721"/>
      <c r="Y202" s="695">
        <v>314.25</v>
      </c>
      <c r="Z202" s="721"/>
      <c r="AA202" s="695">
        <v>361.96</v>
      </c>
      <c r="AB202" s="721"/>
      <c r="AC202" s="703">
        <v>329.49</v>
      </c>
      <c r="AD202" s="691"/>
      <c r="AE202" s="684"/>
      <c r="AF202" s="684"/>
      <c r="AG202" s="684"/>
      <c r="AM202" s="871">
        <f>COUNTIF(B202:AB202,"U/P")</f>
        <v>0</v>
      </c>
      <c r="AN202" s="871">
        <f>COUNTIF(C202:AC202,"ROW")</f>
        <v>3</v>
      </c>
      <c r="AO202" s="871">
        <f>COUNTIF(D202:AD202,"C")</f>
        <v>0</v>
      </c>
    </row>
    <row r="203" spans="1:41" ht="34" thickBot="1">
      <c r="A203" s="467"/>
      <c r="B203" s="698"/>
      <c r="C203" s="690"/>
      <c r="D203" s="698"/>
      <c r="E203" s="690"/>
      <c r="F203" s="698"/>
      <c r="G203" s="690"/>
      <c r="H203" s="698"/>
      <c r="I203" s="690"/>
      <c r="J203" s="698"/>
      <c r="K203" s="690"/>
      <c r="L203" s="698" t="s">
        <v>228</v>
      </c>
      <c r="M203" s="690"/>
      <c r="N203" s="698"/>
      <c r="O203" s="690"/>
      <c r="P203" s="698"/>
      <c r="Q203" s="690"/>
      <c r="R203" s="698"/>
      <c r="S203" s="690"/>
      <c r="T203" s="698"/>
      <c r="U203" s="690"/>
      <c r="V203" s="698"/>
      <c r="W203" s="690"/>
      <c r="X203" s="698"/>
      <c r="Y203" s="690"/>
      <c r="Z203" s="698"/>
      <c r="AA203" s="690"/>
      <c r="AB203" s="698"/>
      <c r="AC203" s="708"/>
      <c r="AD203" s="691"/>
      <c r="AE203" s="684"/>
      <c r="AF203" s="684"/>
      <c r="AG203" s="684"/>
    </row>
    <row r="204" spans="1:41" ht="33.5">
      <c r="A204" s="760"/>
      <c r="B204" s="761" t="s">
        <v>125</v>
      </c>
      <c r="C204" s="686"/>
      <c r="D204" s="686" t="s">
        <v>182</v>
      </c>
      <c r="E204" s="686"/>
      <c r="F204" s="686" t="s">
        <v>182</v>
      </c>
      <c r="G204" s="686"/>
      <c r="H204" s="686" t="s">
        <v>182</v>
      </c>
      <c r="I204" s="686"/>
      <c r="J204" s="687" t="s">
        <v>115</v>
      </c>
      <c r="K204" s="686"/>
      <c r="L204" s="687" t="s">
        <v>115</v>
      </c>
      <c r="M204" s="686"/>
      <c r="N204" s="687" t="s">
        <v>167</v>
      </c>
      <c r="O204" s="686"/>
      <c r="P204" s="687" t="s">
        <v>132</v>
      </c>
      <c r="Q204" s="686"/>
      <c r="R204" s="687" t="s">
        <v>119</v>
      </c>
      <c r="S204" s="686"/>
      <c r="T204" s="686" t="s">
        <v>248</v>
      </c>
      <c r="U204" s="686"/>
      <c r="V204" s="687" t="s">
        <v>119</v>
      </c>
      <c r="W204" s="686"/>
      <c r="X204" s="686" t="s">
        <v>182</v>
      </c>
      <c r="Y204" s="686"/>
      <c r="Z204" s="687" t="s">
        <v>115</v>
      </c>
      <c r="AA204" s="686"/>
      <c r="AB204" s="686" t="s">
        <v>182</v>
      </c>
      <c r="AC204" s="708"/>
      <c r="AD204" s="691"/>
      <c r="AE204" s="684"/>
      <c r="AF204" s="684"/>
      <c r="AG204" s="684"/>
    </row>
    <row r="205" spans="1:41" ht="33.5" customHeight="1">
      <c r="A205" s="735"/>
      <c r="B205" s="749" t="s">
        <v>228</v>
      </c>
      <c r="C205" s="750"/>
      <c r="D205" s="750"/>
      <c r="E205" s="750"/>
      <c r="F205" s="750"/>
      <c r="G205" s="750"/>
      <c r="H205" s="1551" t="s">
        <v>228</v>
      </c>
      <c r="I205" s="1551"/>
      <c r="J205" s="1551"/>
      <c r="K205" s="1551"/>
      <c r="L205" s="1551"/>
      <c r="M205" s="750"/>
      <c r="N205" s="829"/>
      <c r="O205" s="723"/>
      <c r="P205" s="723"/>
      <c r="Q205" s="723"/>
      <c r="R205" s="723"/>
      <c r="S205" s="723"/>
      <c r="T205" s="723"/>
      <c r="U205" s="723"/>
      <c r="V205" s="723"/>
      <c r="W205" s="723"/>
      <c r="X205" s="723"/>
      <c r="Y205" s="723"/>
      <c r="Z205" s="723"/>
      <c r="AA205" s="723"/>
      <c r="AB205" s="723"/>
      <c r="AC205" s="723"/>
      <c r="AD205" s="723"/>
      <c r="AE205" s="723"/>
      <c r="AF205" s="723"/>
      <c r="AG205" s="723"/>
      <c r="AH205" s="723"/>
      <c r="AI205" s="723"/>
      <c r="AJ205" s="723"/>
      <c r="AK205" s="723"/>
      <c r="AL205" s="723"/>
    </row>
    <row r="206" spans="1:41" ht="23" customHeight="1">
      <c r="A206" s="467"/>
      <c r="B206" s="704"/>
      <c r="C206" s="704"/>
      <c r="D206" s="704"/>
      <c r="E206" s="704"/>
      <c r="F206" s="704"/>
      <c r="G206" s="704"/>
      <c r="H206" s="704"/>
      <c r="I206" s="704"/>
      <c r="J206" s="704"/>
      <c r="K206" s="704"/>
      <c r="L206" s="704"/>
      <c r="M206" s="704"/>
      <c r="N206" s="704"/>
      <c r="O206" s="704"/>
      <c r="P206" s="704"/>
      <c r="Q206" s="704"/>
      <c r="R206" s="704"/>
      <c r="S206" s="704"/>
      <c r="T206" s="704"/>
      <c r="U206" s="704"/>
      <c r="V206" s="704"/>
      <c r="W206" s="704"/>
      <c r="X206" s="704"/>
      <c r="Y206" s="704"/>
      <c r="Z206" s="704"/>
      <c r="AA206" s="704"/>
      <c r="AB206" s="704"/>
      <c r="AC206" s="691"/>
      <c r="AD206" s="691"/>
      <c r="AE206" s="684"/>
      <c r="AF206" s="684"/>
      <c r="AG206" s="684"/>
    </row>
    <row r="207" spans="1:41" ht="27" customHeight="1">
      <c r="A207" s="467"/>
      <c r="B207" s="672" t="s">
        <v>276</v>
      </c>
      <c r="C207" s="671"/>
      <c r="D207" s="672" t="s">
        <v>417</v>
      </c>
      <c r="E207" s="671"/>
      <c r="F207" s="672" t="s">
        <v>418</v>
      </c>
      <c r="G207" s="671"/>
      <c r="H207" s="672" t="s">
        <v>419</v>
      </c>
      <c r="I207" s="671"/>
      <c r="J207" s="672" t="s">
        <v>169</v>
      </c>
      <c r="K207" s="671"/>
      <c r="L207" s="762" t="s">
        <v>1281</v>
      </c>
      <c r="M207" s="671"/>
      <c r="N207" s="672" t="s">
        <v>289</v>
      </c>
      <c r="O207" s="671"/>
      <c r="P207" s="1550" t="s">
        <v>1282</v>
      </c>
      <c r="Q207" s="1550"/>
      <c r="R207" s="672" t="s">
        <v>423</v>
      </c>
      <c r="S207" s="671"/>
      <c r="T207" s="1550" t="s">
        <v>424</v>
      </c>
      <c r="U207" s="1550"/>
      <c r="V207" s="1550" t="s">
        <v>718</v>
      </c>
      <c r="W207" s="1550"/>
      <c r="X207" s="672" t="s">
        <v>279</v>
      </c>
      <c r="Y207" s="671"/>
      <c r="Z207" s="672" t="s">
        <v>426</v>
      </c>
      <c r="AA207" s="671"/>
      <c r="AB207" s="672" t="s">
        <v>427</v>
      </c>
      <c r="AC207" s="708"/>
      <c r="AD207" s="691"/>
      <c r="AE207" s="684"/>
      <c r="AF207" s="684"/>
      <c r="AG207" s="684"/>
    </row>
    <row r="208" spans="1:41" ht="33.5">
      <c r="A208" s="467"/>
      <c r="B208" s="700"/>
      <c r="C208" s="690"/>
      <c r="D208" s="700"/>
      <c r="E208" s="690"/>
      <c r="F208" s="700"/>
      <c r="G208" s="690"/>
      <c r="H208" s="700"/>
      <c r="I208" s="690"/>
      <c r="J208" s="700"/>
      <c r="K208" s="690"/>
      <c r="L208" s="700"/>
      <c r="M208" s="690"/>
      <c r="N208" s="700"/>
      <c r="O208" s="690"/>
      <c r="P208" s="700"/>
      <c r="Q208" s="690"/>
      <c r="R208" s="700"/>
      <c r="S208" s="690"/>
      <c r="T208" s="700"/>
      <c r="U208" s="690"/>
      <c r="V208" s="700"/>
      <c r="W208" s="690"/>
      <c r="X208" s="700"/>
      <c r="Y208" s="690"/>
      <c r="Z208" s="700"/>
      <c r="AA208" s="690"/>
      <c r="AB208" s="700"/>
      <c r="AC208" s="708"/>
      <c r="AD208" s="691"/>
      <c r="AE208" s="684"/>
      <c r="AF208" s="684"/>
      <c r="AG208" s="684"/>
    </row>
    <row r="209" spans="1:41" ht="15" customHeight="1" thickBot="1">
      <c r="A209" s="467"/>
      <c r="B209" s="702"/>
      <c r="C209" s="690"/>
      <c r="D209" s="702"/>
      <c r="E209" s="690"/>
      <c r="F209" s="702"/>
      <c r="G209" s="690"/>
      <c r="H209" s="702"/>
      <c r="I209" s="690"/>
      <c r="J209" s="702"/>
      <c r="K209" s="690"/>
      <c r="L209" s="702"/>
      <c r="M209" s="690"/>
      <c r="N209" s="702"/>
      <c r="O209" s="690"/>
      <c r="P209" s="702"/>
      <c r="Q209" s="690"/>
      <c r="R209" s="702"/>
      <c r="S209" s="690"/>
      <c r="T209" s="702"/>
      <c r="U209" s="690"/>
      <c r="V209" s="702"/>
      <c r="W209" s="690"/>
      <c r="X209" s="702"/>
      <c r="Y209" s="690"/>
      <c r="Z209" s="702"/>
      <c r="AA209" s="690"/>
      <c r="AB209" s="702"/>
      <c r="AC209" s="708"/>
      <c r="AD209" s="691"/>
      <c r="AE209" s="684"/>
      <c r="AF209" s="684"/>
      <c r="AG209" s="684"/>
    </row>
    <row r="210" spans="1:41" ht="100" customHeight="1" thickBot="1">
      <c r="A210" s="467"/>
      <c r="B210" s="721"/>
      <c r="C210" s="695">
        <v>371.33</v>
      </c>
      <c r="D210" s="721"/>
      <c r="E210" s="695">
        <v>417.92</v>
      </c>
      <c r="F210" s="721"/>
      <c r="G210" s="695">
        <v>376.99</v>
      </c>
      <c r="H210" s="721"/>
      <c r="I210" s="695">
        <v>343.8</v>
      </c>
      <c r="J210" s="721"/>
      <c r="K210" s="695">
        <v>318.7</v>
      </c>
      <c r="L210" s="721"/>
      <c r="M210" s="695">
        <v>308</v>
      </c>
      <c r="N210" s="721"/>
      <c r="O210" s="758">
        <v>324.87</v>
      </c>
      <c r="P210" s="721"/>
      <c r="Q210" s="695">
        <v>365.39</v>
      </c>
      <c r="R210" s="679" t="s">
        <v>228</v>
      </c>
      <c r="S210" s="695">
        <v>269.52999999999997</v>
      </c>
      <c r="T210" s="679" t="s">
        <v>228</v>
      </c>
      <c r="U210" s="695">
        <v>360.33</v>
      </c>
      <c r="V210" s="721"/>
      <c r="W210" s="695">
        <v>414</v>
      </c>
      <c r="X210" s="721"/>
      <c r="Y210" s="695">
        <v>424</v>
      </c>
      <c r="Z210" s="721"/>
      <c r="AA210" s="695">
        <v>405</v>
      </c>
      <c r="AB210" s="721"/>
      <c r="AC210" s="695">
        <v>426</v>
      </c>
      <c r="AD210" s="691"/>
      <c r="AE210" s="684"/>
      <c r="AF210" s="684"/>
      <c r="AG210" s="684"/>
      <c r="AM210" s="871">
        <f>COUNTIF(B210:AB210,"U/P")</f>
        <v>0</v>
      </c>
      <c r="AN210" s="871">
        <f>COUNTIF(C210:AC210,"ROW")</f>
        <v>2</v>
      </c>
      <c r="AO210" s="871">
        <f>COUNTIF(D210:AD210,"C")</f>
        <v>0</v>
      </c>
    </row>
    <row r="211" spans="1:41" ht="21.5" customHeight="1" thickBot="1">
      <c r="A211" s="467"/>
      <c r="B211" s="698"/>
      <c r="C211" s="690"/>
      <c r="D211" s="698"/>
      <c r="E211" s="690"/>
      <c r="F211" s="698"/>
      <c r="G211" s="690"/>
      <c r="H211" s="763"/>
      <c r="I211" s="690"/>
      <c r="J211" s="698"/>
      <c r="K211" s="690"/>
      <c r="L211" s="698"/>
      <c r="M211" s="690"/>
      <c r="N211" s="698"/>
      <c r="O211" s="690"/>
      <c r="P211" s="763"/>
      <c r="Q211" s="708"/>
      <c r="R211" s="698"/>
      <c r="S211" s="708"/>
      <c r="T211" s="698"/>
      <c r="U211" s="708"/>
      <c r="V211" s="698"/>
      <c r="W211" s="708"/>
      <c r="X211" s="698"/>
      <c r="Y211" s="708"/>
      <c r="Z211" s="698"/>
      <c r="AA211" s="708"/>
      <c r="AB211" s="878"/>
      <c r="AC211" s="708"/>
      <c r="AD211" s="691"/>
      <c r="AE211" s="684"/>
      <c r="AF211" s="684"/>
      <c r="AG211" s="684"/>
    </row>
    <row r="212" spans="1:41" ht="24.5" customHeight="1" thickBot="1">
      <c r="A212" s="467"/>
      <c r="B212" s="686" t="s">
        <v>182</v>
      </c>
      <c r="C212" s="686"/>
      <c r="D212" s="687" t="s">
        <v>115</v>
      </c>
      <c r="E212" s="686"/>
      <c r="F212" s="686" t="s">
        <v>185</v>
      </c>
      <c r="G212" s="686"/>
      <c r="H212" s="687" t="s">
        <v>115</v>
      </c>
      <c r="I212" s="686"/>
      <c r="J212" s="686" t="s">
        <v>182</v>
      </c>
      <c r="K212" s="686"/>
      <c r="L212" s="687" t="s">
        <v>115</v>
      </c>
      <c r="M212" s="686"/>
      <c r="N212" s="686" t="s">
        <v>182</v>
      </c>
      <c r="O212" s="686"/>
      <c r="P212" s="687" t="s">
        <v>125</v>
      </c>
      <c r="Q212" s="686"/>
      <c r="R212" s="726" t="s">
        <v>182</v>
      </c>
      <c r="S212" s="686"/>
      <c r="T212" s="716" t="s">
        <v>170</v>
      </c>
      <c r="U212" s="686"/>
      <c r="V212" s="687" t="s">
        <v>115</v>
      </c>
      <c r="W212" s="686"/>
      <c r="X212" s="686" t="s">
        <v>242</v>
      </c>
      <c r="Y212" s="686"/>
      <c r="Z212" s="686" t="s">
        <v>182</v>
      </c>
      <c r="AA212" s="686"/>
      <c r="AB212" s="686" t="s">
        <v>185</v>
      </c>
      <c r="AC212" s="708"/>
      <c r="AD212" s="691"/>
      <c r="AE212" s="684"/>
      <c r="AF212" s="684"/>
      <c r="AG212" s="684"/>
    </row>
    <row r="213" spans="1:41" ht="30.5" customHeight="1" thickBot="1">
      <c r="A213" s="467"/>
      <c r="B213" s="704"/>
      <c r="C213" s="704"/>
      <c r="D213" s="704"/>
      <c r="E213" s="704"/>
      <c r="F213" s="754" t="s">
        <v>1629</v>
      </c>
      <c r="G213" s="693"/>
      <c r="H213" s="750"/>
      <c r="I213" s="693"/>
      <c r="J213" s="693"/>
      <c r="K213" s="693"/>
      <c r="L213" s="693"/>
      <c r="M213" s="679" t="s">
        <v>228</v>
      </c>
      <c r="N213" s="693"/>
      <c r="O213" s="693"/>
      <c r="P213" s="829"/>
      <c r="Q213" s="693"/>
      <c r="R213" s="764" t="s">
        <v>1625</v>
      </c>
      <c r="S213" s="693"/>
      <c r="T213" s="693"/>
      <c r="U213" s="693"/>
      <c r="V213" s="693"/>
      <c r="W213" s="693"/>
      <c r="X213" s="693"/>
      <c r="Y213" s="679"/>
      <c r="Z213" s="693"/>
      <c r="AA213" s="693"/>
      <c r="AB213" s="829"/>
      <c r="AC213" s="691"/>
      <c r="AD213" s="691"/>
      <c r="AE213" s="684"/>
      <c r="AF213" s="684"/>
      <c r="AG213" s="684"/>
    </row>
    <row r="214" spans="1:41" ht="35.5" customHeight="1">
      <c r="A214" s="735"/>
      <c r="B214" s="723"/>
      <c r="C214" s="723"/>
      <c r="D214" s="723"/>
      <c r="E214" s="723"/>
      <c r="F214" s="1568"/>
      <c r="G214" s="1568"/>
      <c r="H214" s="1568"/>
      <c r="I214" s="723"/>
      <c r="J214" s="723"/>
      <c r="K214" s="723"/>
      <c r="L214" s="723"/>
      <c r="M214" s="723"/>
      <c r="N214" s="723"/>
      <c r="O214" s="723"/>
      <c r="P214" s="829"/>
      <c r="Q214" s="829"/>
      <c r="R214" s="1551" t="s">
        <v>228</v>
      </c>
      <c r="S214" s="1551"/>
      <c r="T214" s="1551"/>
      <c r="U214" s="829"/>
      <c r="V214" s="829"/>
      <c r="W214" s="723"/>
      <c r="X214" s="723"/>
      <c r="Y214" s="723"/>
      <c r="Z214" s="723"/>
      <c r="AA214" s="723"/>
      <c r="AB214" s="723"/>
      <c r="AC214" s="723"/>
      <c r="AD214" s="723"/>
      <c r="AE214" s="723"/>
      <c r="AF214" s="723"/>
      <c r="AG214" s="723"/>
      <c r="AH214" s="723"/>
      <c r="AI214" s="723"/>
      <c r="AJ214" s="723"/>
      <c r="AK214" s="723"/>
      <c r="AL214" s="723"/>
    </row>
    <row r="215" spans="1:41" ht="67" customHeight="1">
      <c r="A215" s="467"/>
      <c r="B215" s="672" t="s">
        <v>428</v>
      </c>
      <c r="C215" s="671"/>
      <c r="D215" s="1569" t="s">
        <v>171</v>
      </c>
      <c r="E215" s="1569"/>
      <c r="F215" s="1550" t="s">
        <v>1328</v>
      </c>
      <c r="G215" s="1550"/>
      <c r="H215" s="1550" t="s">
        <v>1528</v>
      </c>
      <c r="I215" s="1550"/>
      <c r="J215" s="672" t="s">
        <v>1330</v>
      </c>
      <c r="K215" s="671"/>
      <c r="L215" s="1550" t="s">
        <v>1331</v>
      </c>
      <c r="M215" s="1550"/>
      <c r="N215" s="1550" t="s">
        <v>434</v>
      </c>
      <c r="O215" s="1550"/>
      <c r="P215" s="1550" t="s">
        <v>435</v>
      </c>
      <c r="Q215" s="1550"/>
      <c r="R215" s="1550" t="s">
        <v>436</v>
      </c>
      <c r="S215" s="1550"/>
      <c r="T215" s="1550" t="s">
        <v>437</v>
      </c>
      <c r="U215" s="1550"/>
      <c r="V215" s="1550" t="s">
        <v>438</v>
      </c>
      <c r="W215" s="1550"/>
      <c r="X215" s="1550" t="s">
        <v>439</v>
      </c>
      <c r="Y215" s="1550"/>
      <c r="Z215" s="1550" t="s">
        <v>440</v>
      </c>
      <c r="AA215" s="1550"/>
      <c r="AB215" s="1550" t="s">
        <v>441</v>
      </c>
      <c r="AC215" s="1550"/>
      <c r="AD215" s="691"/>
      <c r="AE215" s="684"/>
      <c r="AF215" s="684"/>
      <c r="AG215" s="684"/>
    </row>
    <row r="216" spans="1:41" ht="33.5">
      <c r="A216" s="467"/>
      <c r="B216" s="700"/>
      <c r="C216" s="690"/>
      <c r="D216" s="700"/>
      <c r="E216" s="690"/>
      <c r="F216" s="700"/>
      <c r="G216" s="690"/>
      <c r="H216" s="700"/>
      <c r="I216" s="690"/>
      <c r="J216" s="700"/>
      <c r="K216" s="690"/>
      <c r="L216" s="700"/>
      <c r="M216" s="690"/>
      <c r="N216" s="700"/>
      <c r="O216" s="690"/>
      <c r="P216" s="700"/>
      <c r="Q216" s="708"/>
      <c r="R216" s="700"/>
      <c r="S216" s="690"/>
      <c r="T216" s="700"/>
      <c r="U216" s="690"/>
      <c r="V216" s="700"/>
      <c r="W216" s="690"/>
      <c r="X216" s="700"/>
      <c r="Y216" s="690"/>
      <c r="Z216" s="700"/>
      <c r="AA216" s="690"/>
      <c r="AB216" s="700"/>
      <c r="AC216" s="708"/>
      <c r="AD216" s="691"/>
      <c r="AE216" s="684"/>
      <c r="AF216" s="684"/>
      <c r="AG216" s="684"/>
    </row>
    <row r="217" spans="1:41" ht="16.5" customHeight="1" thickBot="1">
      <c r="A217" s="467"/>
      <c r="B217" s="702"/>
      <c r="C217" s="690"/>
      <c r="D217" s="702"/>
      <c r="E217" s="690"/>
      <c r="F217" s="702"/>
      <c r="G217" s="690"/>
      <c r="H217" s="702"/>
      <c r="I217" s="690"/>
      <c r="J217" s="702"/>
      <c r="K217" s="690"/>
      <c r="L217" s="702"/>
      <c r="M217" s="690"/>
      <c r="N217" s="702"/>
      <c r="O217" s="690"/>
      <c r="P217" s="702"/>
      <c r="Q217" s="708"/>
      <c r="R217" s="702"/>
      <c r="S217" s="690"/>
      <c r="T217" s="702"/>
      <c r="U217" s="690"/>
      <c r="V217" s="702"/>
      <c r="W217" s="690"/>
      <c r="X217" s="702"/>
      <c r="Y217" s="690"/>
      <c r="Z217" s="702"/>
      <c r="AA217" s="690"/>
      <c r="AB217" s="702"/>
      <c r="AC217" s="708"/>
      <c r="AD217" s="691"/>
      <c r="AE217" s="684"/>
      <c r="AF217" s="684"/>
      <c r="AG217" s="684"/>
    </row>
    <row r="218" spans="1:41" ht="100" customHeight="1" thickBot="1">
      <c r="A218" s="467"/>
      <c r="B218" s="721"/>
      <c r="C218" s="725">
        <v>410</v>
      </c>
      <c r="D218" s="721"/>
      <c r="E218" s="725">
        <v>421</v>
      </c>
      <c r="F218" s="755" t="s">
        <v>228</v>
      </c>
      <c r="G218" s="725">
        <v>407.61</v>
      </c>
      <c r="H218" s="679" t="s">
        <v>228</v>
      </c>
      <c r="I218" s="725">
        <v>364.36</v>
      </c>
      <c r="J218" s="679" t="s">
        <v>228</v>
      </c>
      <c r="K218" s="725">
        <v>332.44799999999998</v>
      </c>
      <c r="L218" s="721"/>
      <c r="M218" s="725">
        <v>348.85</v>
      </c>
      <c r="N218" s="679" t="s">
        <v>228</v>
      </c>
      <c r="O218" s="725">
        <v>387.35</v>
      </c>
      <c r="P218" s="721"/>
      <c r="Q218" s="695">
        <v>452.64</v>
      </c>
      <c r="R218" s="679" t="s">
        <v>228</v>
      </c>
      <c r="S218" s="711">
        <v>386.96</v>
      </c>
      <c r="T218" s="679" t="s">
        <v>228</v>
      </c>
      <c r="U218" s="711">
        <v>382.14</v>
      </c>
      <c r="V218" s="721"/>
      <c r="W218" s="711">
        <v>336.47</v>
      </c>
      <c r="X218" s="721"/>
      <c r="Y218" s="711">
        <v>389.14</v>
      </c>
      <c r="Z218" s="1014" t="s">
        <v>1692</v>
      </c>
      <c r="AA218" s="711">
        <v>334.55</v>
      </c>
      <c r="AB218" s="1014" t="s">
        <v>1692</v>
      </c>
      <c r="AC218" s="695">
        <v>396.2</v>
      </c>
      <c r="AD218" s="691"/>
      <c r="AE218" s="684"/>
      <c r="AF218" s="684"/>
      <c r="AG218" s="684"/>
      <c r="AM218" s="871">
        <f>COUNTIF(B218:AB218,"U/P")</f>
        <v>0</v>
      </c>
      <c r="AN218" s="871">
        <f>COUNTIF(C218:AC218,"ROW")</f>
        <v>6</v>
      </c>
      <c r="AO218" s="871">
        <f>COUNTIF(D218:AD218,"C")</f>
        <v>0</v>
      </c>
    </row>
    <row r="219" spans="1:41" ht="16.5" customHeight="1" thickBot="1">
      <c r="A219" s="467"/>
      <c r="B219" s="698"/>
      <c r="C219" s="766"/>
      <c r="D219" s="698"/>
      <c r="E219" s="766"/>
      <c r="F219" s="698"/>
      <c r="G219" s="766"/>
      <c r="H219" s="698"/>
      <c r="I219" s="766"/>
      <c r="J219" s="698"/>
      <c r="K219" s="766"/>
      <c r="L219" s="698"/>
      <c r="M219" s="766"/>
      <c r="N219" s="698"/>
      <c r="O219" s="766"/>
      <c r="P219" s="698"/>
      <c r="Q219" s="708"/>
      <c r="R219" s="698"/>
      <c r="S219" s="708"/>
      <c r="T219" s="698"/>
      <c r="U219" s="708"/>
      <c r="V219" s="698"/>
      <c r="W219" s="708"/>
      <c r="X219" s="698"/>
      <c r="Y219" s="708"/>
      <c r="Z219" s="698"/>
      <c r="AA219" s="708"/>
      <c r="AB219" s="698"/>
      <c r="AC219" s="708"/>
      <c r="AD219" s="691"/>
      <c r="AE219" s="684"/>
      <c r="AF219" s="684"/>
      <c r="AG219" s="684"/>
    </row>
    <row r="220" spans="1:41" ht="33.5">
      <c r="A220" s="467"/>
      <c r="B220" s="686" t="s">
        <v>185</v>
      </c>
      <c r="C220" s="686"/>
      <c r="D220" s="686" t="s">
        <v>167</v>
      </c>
      <c r="E220" s="686"/>
      <c r="F220" s="686" t="s">
        <v>125</v>
      </c>
      <c r="G220" s="686"/>
      <c r="H220" s="687" t="s">
        <v>125</v>
      </c>
      <c r="I220" s="686"/>
      <c r="J220" s="686" t="s">
        <v>242</v>
      </c>
      <c r="K220" s="686"/>
      <c r="L220" s="686" t="s">
        <v>185</v>
      </c>
      <c r="M220" s="686"/>
      <c r="N220" s="687" t="s">
        <v>115</v>
      </c>
      <c r="O220" s="690"/>
      <c r="P220" s="686" t="s">
        <v>242</v>
      </c>
      <c r="Q220" s="708"/>
      <c r="R220" s="687" t="s">
        <v>125</v>
      </c>
      <c r="S220" s="708"/>
      <c r="T220" s="687" t="s">
        <v>143</v>
      </c>
      <c r="U220" s="708"/>
      <c r="V220" s="686" t="s">
        <v>182</v>
      </c>
      <c r="W220" s="708"/>
      <c r="X220" s="686" t="s">
        <v>182</v>
      </c>
      <c r="Y220" s="708"/>
      <c r="Z220" s="687" t="s">
        <v>115</v>
      </c>
      <c r="AA220" s="708"/>
      <c r="AB220" s="686" t="s">
        <v>242</v>
      </c>
      <c r="AC220" s="708"/>
      <c r="AD220" s="691"/>
      <c r="AE220" s="684"/>
      <c r="AF220" s="684"/>
      <c r="AG220" s="684"/>
    </row>
    <row r="221" spans="1:41" ht="27" customHeight="1">
      <c r="A221" s="467"/>
      <c r="B221" s="691"/>
      <c r="C221" s="691"/>
      <c r="D221" s="691"/>
      <c r="E221" s="691"/>
      <c r="F221" s="691"/>
      <c r="G221" s="691"/>
      <c r="H221" s="691"/>
      <c r="I221" s="691"/>
      <c r="J221" s="691"/>
      <c r="K221" s="691"/>
      <c r="L221" s="691"/>
      <c r="M221" s="691"/>
      <c r="N221" s="691"/>
      <c r="O221" s="691"/>
      <c r="P221" s="691"/>
      <c r="Q221" s="691"/>
      <c r="R221" s="1565" t="s">
        <v>1529</v>
      </c>
      <c r="S221" s="1565"/>
      <c r="T221" s="691"/>
      <c r="U221" s="691"/>
      <c r="V221" s="691"/>
      <c r="W221" s="691"/>
      <c r="X221" s="691"/>
      <c r="Y221" s="691"/>
      <c r="Z221" s="691"/>
      <c r="AA221" s="691"/>
      <c r="AB221" s="691"/>
      <c r="AC221" s="691"/>
      <c r="AD221" s="691"/>
      <c r="AE221" s="684"/>
      <c r="AF221" s="684"/>
      <c r="AG221" s="684"/>
    </row>
    <row r="222" spans="1:41" ht="27" customHeight="1">
      <c r="A222" s="1028"/>
      <c r="B222" s="829"/>
      <c r="C222" s="829"/>
      <c r="D222" s="829"/>
      <c r="E222" s="829"/>
      <c r="F222" s="1551" t="s">
        <v>228</v>
      </c>
      <c r="G222" s="1551"/>
      <c r="H222" s="1551"/>
      <c r="I222" s="1551"/>
      <c r="J222" s="1551"/>
      <c r="K222" s="829"/>
      <c r="L222" s="723"/>
      <c r="M222" s="723"/>
      <c r="N222" s="749" t="s">
        <v>228</v>
      </c>
      <c r="O222" s="723"/>
      <c r="P222" s="723"/>
      <c r="Q222" s="723"/>
      <c r="R222" s="1551" t="s">
        <v>228</v>
      </c>
      <c r="S222" s="1551"/>
      <c r="T222" s="1551"/>
      <c r="U222" s="750"/>
      <c r="V222" s="750"/>
      <c r="W222" s="750"/>
      <c r="X222" s="750"/>
      <c r="Y222" s="750"/>
      <c r="Z222" s="1551" t="s">
        <v>228</v>
      </c>
      <c r="AA222" s="1551"/>
      <c r="AB222" s="1551"/>
      <c r="AC222" s="1551"/>
      <c r="AD222" s="750"/>
      <c r="AE222" s="750"/>
      <c r="AF222" s="750"/>
      <c r="AG222" s="749"/>
      <c r="AH222" s="749"/>
      <c r="AI222" s="881"/>
      <c r="AJ222" s="881"/>
      <c r="AK222" s="881"/>
      <c r="AL222" s="881"/>
    </row>
    <row r="223" spans="1:41" ht="54.5" customHeight="1">
      <c r="A223" s="1566" t="s">
        <v>443</v>
      </c>
      <c r="B223" s="1560"/>
      <c r="C223" s="1560" t="s">
        <v>1530</v>
      </c>
      <c r="D223" s="1560"/>
      <c r="E223" s="671"/>
      <c r="F223" s="1550" t="s">
        <v>1531</v>
      </c>
      <c r="G223" s="1550"/>
      <c r="H223" s="1567" t="s">
        <v>446</v>
      </c>
      <c r="I223" s="1567"/>
      <c r="J223" s="1550" t="s">
        <v>447</v>
      </c>
      <c r="K223" s="1550"/>
      <c r="L223" s="1550" t="s">
        <v>448</v>
      </c>
      <c r="M223" s="1550"/>
      <c r="N223" s="1550" t="s">
        <v>449</v>
      </c>
      <c r="O223" s="1550"/>
      <c r="P223" s="1550" t="s">
        <v>450</v>
      </c>
      <c r="Q223" s="1550"/>
      <c r="R223" s="1550" t="s">
        <v>451</v>
      </c>
      <c r="S223" s="1550"/>
      <c r="T223" s="1550" t="s">
        <v>452</v>
      </c>
      <c r="U223" s="1550"/>
      <c r="V223" s="1550" t="s">
        <v>728</v>
      </c>
      <c r="W223" s="1550"/>
      <c r="X223" s="767" t="s">
        <v>1532</v>
      </c>
      <c r="Y223" s="1560" t="s">
        <v>1533</v>
      </c>
      <c r="Z223" s="1560"/>
      <c r="AA223" s="708"/>
      <c r="AB223" s="1550" t="s">
        <v>457</v>
      </c>
      <c r="AC223" s="1550"/>
      <c r="AD223" s="708"/>
      <c r="AE223" s="711"/>
      <c r="AF223" s="711"/>
      <c r="AG223" s="711"/>
      <c r="AH223" s="708"/>
      <c r="AI223" s="708"/>
      <c r="AJ223" s="708"/>
      <c r="AK223" s="708"/>
      <c r="AL223" s="708"/>
    </row>
    <row r="224" spans="1:41" ht="33.5">
      <c r="A224" s="467"/>
      <c r="B224" s="700"/>
      <c r="C224" s="690"/>
      <c r="D224" s="700"/>
      <c r="E224" s="690"/>
      <c r="F224" s="700"/>
      <c r="G224" s="690"/>
      <c r="H224" s="700"/>
      <c r="I224" s="690"/>
      <c r="J224" s="700"/>
      <c r="K224" s="690"/>
      <c r="L224" s="700"/>
      <c r="M224" s="690"/>
      <c r="N224" s="700"/>
      <c r="O224" s="690"/>
      <c r="P224" s="700"/>
      <c r="Q224" s="708"/>
      <c r="R224" s="700"/>
      <c r="S224" s="690"/>
      <c r="T224" s="700"/>
      <c r="U224" s="690"/>
      <c r="V224" s="700"/>
      <c r="W224" s="690"/>
      <c r="X224" s="700"/>
      <c r="Y224" s="690"/>
      <c r="Z224" s="700"/>
      <c r="AA224" s="690"/>
      <c r="AB224" s="700"/>
      <c r="AC224" s="708"/>
      <c r="AD224" s="708"/>
      <c r="AE224" s="711"/>
      <c r="AF224" s="711"/>
      <c r="AG224" s="711"/>
      <c r="AH224" s="708"/>
      <c r="AI224" s="708"/>
      <c r="AJ224" s="708"/>
      <c r="AK224" s="708"/>
      <c r="AL224" s="708"/>
    </row>
    <row r="225" spans="1:41" ht="16.5" customHeight="1" thickBot="1">
      <c r="A225" s="467"/>
      <c r="B225" s="702"/>
      <c r="C225" s="690"/>
      <c r="D225" s="702"/>
      <c r="E225" s="690"/>
      <c r="F225" s="702"/>
      <c r="G225" s="690"/>
      <c r="H225" s="702"/>
      <c r="I225" s="690"/>
      <c r="J225" s="702"/>
      <c r="K225" s="690"/>
      <c r="L225" s="702"/>
      <c r="M225" s="690"/>
      <c r="N225" s="702"/>
      <c r="O225" s="690"/>
      <c r="P225" s="702"/>
      <c r="Q225" s="708"/>
      <c r="R225" s="702"/>
      <c r="S225" s="690"/>
      <c r="T225" s="702"/>
      <c r="U225" s="690"/>
      <c r="V225" s="702"/>
      <c r="W225" s="690"/>
      <c r="X225" s="702"/>
      <c r="Y225" s="690"/>
      <c r="Z225" s="702"/>
      <c r="AA225" s="690"/>
      <c r="AB225" s="702"/>
      <c r="AC225" s="708"/>
      <c r="AD225" s="708"/>
      <c r="AE225" s="711"/>
      <c r="AF225" s="711"/>
      <c r="AG225" s="711"/>
      <c r="AH225" s="708"/>
      <c r="AI225" s="708"/>
      <c r="AJ225" s="708"/>
      <c r="AK225" s="708"/>
      <c r="AL225" s="708"/>
    </row>
    <row r="226" spans="1:41" ht="100" customHeight="1" thickBot="1">
      <c r="A226" s="467"/>
      <c r="B226" s="679"/>
      <c r="C226" s="695">
        <v>233.29</v>
      </c>
      <c r="D226" s="679"/>
      <c r="E226" s="695">
        <v>467.19</v>
      </c>
      <c r="F226" s="1014" t="s">
        <v>1692</v>
      </c>
      <c r="G226" s="695">
        <v>423.02</v>
      </c>
      <c r="H226" s="721"/>
      <c r="I226" s="695">
        <v>248.69</v>
      </c>
      <c r="J226" s="721"/>
      <c r="K226" s="695">
        <v>282.02999999999997</v>
      </c>
      <c r="L226" s="721"/>
      <c r="M226" s="695">
        <v>398</v>
      </c>
      <c r="N226" s="721"/>
      <c r="O226" s="695">
        <v>370.48</v>
      </c>
      <c r="P226" s="721"/>
      <c r="Q226" s="695">
        <v>437.33</v>
      </c>
      <c r="R226" s="755"/>
      <c r="S226" s="732">
        <v>435</v>
      </c>
      <c r="T226" s="1015" t="s">
        <v>1692</v>
      </c>
      <c r="U226" s="732">
        <v>406.62</v>
      </c>
      <c r="V226" s="765"/>
      <c r="W226" s="732"/>
      <c r="X226" s="1015" t="s">
        <v>1693</v>
      </c>
      <c r="Y226" s="732">
        <v>440.63</v>
      </c>
      <c r="Z226" s="721"/>
      <c r="AA226" s="695">
        <v>410.34</v>
      </c>
      <c r="AB226" s="721"/>
      <c r="AC226" s="695">
        <v>444.33</v>
      </c>
      <c r="AD226" s="708"/>
      <c r="AE226" s="711"/>
      <c r="AF226" s="711"/>
      <c r="AG226" s="711"/>
      <c r="AH226" s="708"/>
      <c r="AI226" s="708"/>
      <c r="AJ226" s="708"/>
      <c r="AK226" s="708"/>
      <c r="AL226" s="708"/>
      <c r="AM226" s="871">
        <f>COUNTIF(B226:AB226,"U/P")</f>
        <v>0</v>
      </c>
      <c r="AN226" s="871">
        <f>COUNTIF(C226:AC226,"ROW")</f>
        <v>0</v>
      </c>
      <c r="AO226" s="871">
        <f>COUNTIF(D226:AD226,"C")</f>
        <v>0</v>
      </c>
    </row>
    <row r="227" spans="1:41" ht="16.5" customHeight="1" thickBot="1">
      <c r="A227" s="467"/>
      <c r="B227" s="698"/>
      <c r="C227" s="708"/>
      <c r="D227" s="698"/>
      <c r="E227" s="708"/>
      <c r="F227" s="698"/>
      <c r="G227" s="708"/>
      <c r="H227" s="698"/>
      <c r="I227" s="708"/>
      <c r="J227" s="698"/>
      <c r="K227" s="708"/>
      <c r="L227" s="698"/>
      <c r="M227" s="708"/>
      <c r="N227" s="698"/>
      <c r="O227" s="708"/>
      <c r="P227" s="698"/>
      <c r="Q227" s="708"/>
      <c r="R227" s="698"/>
      <c r="S227" s="708"/>
      <c r="T227" s="698"/>
      <c r="U227" s="708"/>
      <c r="V227" s="698"/>
      <c r="W227" s="708"/>
      <c r="X227" s="698"/>
      <c r="Y227" s="708"/>
      <c r="Z227" s="698"/>
      <c r="AA227" s="708"/>
      <c r="AB227" s="698"/>
      <c r="AC227" s="708"/>
      <c r="AD227" s="708"/>
      <c r="AE227" s="711"/>
      <c r="AF227" s="711"/>
      <c r="AG227" s="711"/>
      <c r="AH227" s="708"/>
      <c r="AI227" s="708"/>
      <c r="AJ227" s="708"/>
      <c r="AK227" s="708"/>
      <c r="AL227" s="708"/>
    </row>
    <row r="228" spans="1:41" ht="33.5">
      <c r="A228" s="467"/>
      <c r="B228" s="687" t="s">
        <v>125</v>
      </c>
      <c r="C228" s="686"/>
      <c r="D228" s="687" t="s">
        <v>123</v>
      </c>
      <c r="E228" s="686"/>
      <c r="F228" s="687" t="s">
        <v>132</v>
      </c>
      <c r="G228" s="686"/>
      <c r="H228" s="686" t="s">
        <v>182</v>
      </c>
      <c r="I228" s="686"/>
      <c r="J228" s="686" t="s">
        <v>182</v>
      </c>
      <c r="K228" s="686"/>
      <c r="L228" s="687" t="s">
        <v>125</v>
      </c>
      <c r="M228" s="686"/>
      <c r="N228" s="686" t="s">
        <v>185</v>
      </c>
      <c r="O228" s="690"/>
      <c r="P228" s="687" t="s">
        <v>128</v>
      </c>
      <c r="Q228" s="708"/>
      <c r="R228" s="687" t="s">
        <v>143</v>
      </c>
      <c r="S228" s="708"/>
      <c r="T228" s="686" t="s">
        <v>248</v>
      </c>
      <c r="U228" s="708"/>
      <c r="V228" s="687" t="s">
        <v>115</v>
      </c>
      <c r="W228" s="708"/>
      <c r="X228" s="687" t="s">
        <v>137</v>
      </c>
      <c r="Y228" s="708"/>
      <c r="Z228" s="687" t="s">
        <v>167</v>
      </c>
      <c r="AA228" s="708"/>
      <c r="AB228" s="687" t="s">
        <v>115</v>
      </c>
      <c r="AC228" s="708"/>
      <c r="AD228" s="708"/>
      <c r="AE228" s="711"/>
      <c r="AF228" s="711"/>
      <c r="AG228" s="711"/>
      <c r="AH228" s="708"/>
      <c r="AI228" s="708"/>
      <c r="AJ228" s="708"/>
      <c r="AK228" s="708"/>
      <c r="AL228" s="708"/>
    </row>
    <row r="229" spans="1:41" ht="33.5">
      <c r="B229" s="686"/>
      <c r="C229" s="686"/>
      <c r="D229" s="768" t="s">
        <v>1632</v>
      </c>
      <c r="E229" s="686"/>
      <c r="F229" s="768" t="s">
        <v>1632</v>
      </c>
      <c r="G229" s="686"/>
      <c r="H229" s="686"/>
      <c r="I229" s="686"/>
      <c r="J229" s="686"/>
      <c r="K229" s="686"/>
      <c r="L229" s="686"/>
      <c r="M229" s="686"/>
      <c r="N229" s="686"/>
      <c r="O229" s="690"/>
      <c r="P229" s="686"/>
      <c r="Q229" s="708"/>
      <c r="R229" s="686"/>
      <c r="S229" s="708"/>
      <c r="T229" s="686"/>
      <c r="U229" s="708"/>
      <c r="V229" s="768" t="s">
        <v>1625</v>
      </c>
      <c r="W229" s="708"/>
      <c r="X229" s="686"/>
      <c r="Y229" s="708"/>
      <c r="Z229" s="686"/>
      <c r="AA229" s="708"/>
      <c r="AB229" s="686"/>
      <c r="AC229" s="708"/>
      <c r="AD229" s="708"/>
      <c r="AE229" s="711"/>
      <c r="AF229" s="711"/>
      <c r="AG229" s="711"/>
      <c r="AH229" s="708"/>
      <c r="AI229" s="708"/>
      <c r="AJ229" s="708"/>
      <c r="AK229" s="708"/>
      <c r="AL229" s="708"/>
    </row>
    <row r="230" spans="1:41" ht="31" customHeight="1">
      <c r="A230" s="1561" t="s">
        <v>1518</v>
      </c>
      <c r="B230" s="1551"/>
      <c r="C230" s="1551"/>
      <c r="D230" s="1551"/>
      <c r="E230" s="1551"/>
      <c r="F230" s="1551"/>
      <c r="G230" s="1551"/>
      <c r="H230" s="1562"/>
      <c r="I230" s="1562"/>
      <c r="J230" s="1562"/>
      <c r="K230" s="1562"/>
      <c r="L230" s="1562"/>
      <c r="M230" s="1562"/>
      <c r="N230" s="1562"/>
      <c r="O230" s="1562"/>
      <c r="P230" s="1563"/>
      <c r="Q230" s="1564" t="s">
        <v>1518</v>
      </c>
      <c r="R230" s="1554"/>
      <c r="S230" s="1554"/>
      <c r="T230" s="1554"/>
      <c r="U230" s="1554"/>
      <c r="V230" s="1554"/>
      <c r="W230" s="1554"/>
      <c r="X230" s="1554"/>
      <c r="Y230" s="1553"/>
      <c r="Z230" s="1553"/>
      <c r="AA230" s="1553"/>
      <c r="AB230" s="1553"/>
      <c r="AC230" s="1553"/>
      <c r="AD230" s="1553"/>
      <c r="AE230" s="1031"/>
      <c r="AF230" s="1030"/>
      <c r="AG230" s="1029"/>
      <c r="AH230" s="870"/>
      <c r="AI230" s="881"/>
      <c r="AJ230" s="881"/>
      <c r="AK230" s="881"/>
      <c r="AL230" s="881"/>
    </row>
    <row r="231" spans="1:41" ht="22.5" customHeight="1">
      <c r="B231" s="691"/>
      <c r="C231" s="691"/>
      <c r="D231" s="691"/>
      <c r="E231" s="691"/>
      <c r="F231" s="691"/>
      <c r="G231" s="691"/>
      <c r="H231" s="691"/>
      <c r="I231" s="691"/>
      <c r="J231" s="691"/>
      <c r="K231" s="691"/>
      <c r="L231" s="691"/>
      <c r="M231" s="691"/>
      <c r="N231" s="691"/>
      <c r="O231" s="691"/>
      <c r="P231" s="691"/>
      <c r="Q231" s="691"/>
      <c r="R231" s="691"/>
      <c r="S231" s="691"/>
      <c r="T231" s="691"/>
      <c r="U231" s="691"/>
      <c r="V231" s="691"/>
      <c r="W231" s="691"/>
      <c r="X231" s="691"/>
      <c r="Y231" s="691"/>
      <c r="Z231" s="691"/>
      <c r="AA231" s="691"/>
      <c r="AB231" s="691"/>
      <c r="AC231" s="691"/>
      <c r="AD231" s="691"/>
      <c r="AE231" s="674"/>
      <c r="AF231" s="674"/>
      <c r="AG231" s="674"/>
    </row>
    <row r="232" spans="1:41" ht="36.5" customHeight="1">
      <c r="A232" s="1560" t="s">
        <v>458</v>
      </c>
      <c r="B232" s="1560"/>
      <c r="C232" s="708"/>
      <c r="D232" s="1550" t="s">
        <v>459</v>
      </c>
      <c r="E232" s="1550"/>
      <c r="F232" s="1550" t="s">
        <v>460</v>
      </c>
      <c r="G232" s="1550"/>
      <c r="H232" s="1550" t="s">
        <v>1534</v>
      </c>
      <c r="I232" s="1550"/>
      <c r="J232" s="1550" t="s">
        <v>462</v>
      </c>
      <c r="K232" s="1550"/>
      <c r="L232" s="1550" t="s">
        <v>463</v>
      </c>
      <c r="M232" s="1550"/>
      <c r="N232" s="1550" t="s">
        <v>464</v>
      </c>
      <c r="O232" s="1550"/>
      <c r="P232" s="1550" t="s">
        <v>465</v>
      </c>
      <c r="Q232" s="1550"/>
      <c r="R232" s="1550" t="s">
        <v>467</v>
      </c>
      <c r="S232" s="1550"/>
      <c r="T232" s="1550" t="s">
        <v>468</v>
      </c>
      <c r="U232" s="1550"/>
      <c r="V232" s="1550" t="s">
        <v>469</v>
      </c>
      <c r="W232" s="1550"/>
      <c r="X232" s="1550" t="s">
        <v>470</v>
      </c>
      <c r="Y232" s="1550"/>
      <c r="Z232" s="1550" t="s">
        <v>471</v>
      </c>
      <c r="AA232" s="1550"/>
      <c r="AB232" s="1550" t="s">
        <v>472</v>
      </c>
      <c r="AC232" s="1550"/>
      <c r="AD232" s="708"/>
      <c r="AE232" s="674"/>
      <c r="AF232" s="674"/>
      <c r="AG232" s="674"/>
    </row>
    <row r="233" spans="1:41" ht="33.5">
      <c r="A233" s="467"/>
      <c r="B233" s="700"/>
      <c r="C233" s="690"/>
      <c r="D233" s="700"/>
      <c r="E233" s="690"/>
      <c r="F233" s="700"/>
      <c r="G233" s="690"/>
      <c r="H233" s="700"/>
      <c r="I233" s="690"/>
      <c r="J233" s="700"/>
      <c r="K233" s="690"/>
      <c r="L233" s="700"/>
      <c r="M233" s="690"/>
      <c r="N233" s="700"/>
      <c r="O233" s="690"/>
      <c r="P233" s="700"/>
      <c r="Q233" s="708"/>
      <c r="R233" s="700"/>
      <c r="S233" s="690"/>
      <c r="T233" s="700"/>
      <c r="U233" s="690"/>
      <c r="V233" s="700"/>
      <c r="W233" s="690"/>
      <c r="X233" s="700"/>
      <c r="Y233" s="690"/>
      <c r="Z233" s="700"/>
      <c r="AA233" s="690"/>
      <c r="AB233" s="700"/>
      <c r="AC233" s="708"/>
      <c r="AD233" s="708"/>
      <c r="AE233" s="684"/>
      <c r="AF233" s="684"/>
      <c r="AG233" s="684"/>
    </row>
    <row r="234" spans="1:41" ht="16.5" customHeight="1" thickBot="1">
      <c r="A234" s="467"/>
      <c r="B234" s="702"/>
      <c r="C234" s="690"/>
      <c r="D234" s="702"/>
      <c r="E234" s="690"/>
      <c r="F234" s="702"/>
      <c r="G234" s="690"/>
      <c r="H234" s="702"/>
      <c r="I234" s="690"/>
      <c r="J234" s="702"/>
      <c r="K234" s="690"/>
      <c r="L234" s="702"/>
      <c r="M234" s="690"/>
      <c r="N234" s="702"/>
      <c r="O234" s="690"/>
      <c r="P234" s="702"/>
      <c r="Q234" s="708"/>
      <c r="R234" s="702"/>
      <c r="S234" s="690"/>
      <c r="T234" s="702"/>
      <c r="U234" s="690"/>
      <c r="V234" s="702"/>
      <c r="W234" s="690"/>
      <c r="X234" s="702"/>
      <c r="Y234" s="690"/>
      <c r="Z234" s="702"/>
      <c r="AA234" s="690"/>
      <c r="AB234" s="702"/>
      <c r="AC234" s="708"/>
      <c r="AD234" s="708"/>
      <c r="AE234" s="684"/>
      <c r="AF234" s="684"/>
      <c r="AG234" s="684"/>
    </row>
    <row r="235" spans="1:41" ht="100" customHeight="1" thickBot="1">
      <c r="A235" s="467"/>
      <c r="B235" s="751"/>
      <c r="C235" s="695">
        <v>189.81</v>
      </c>
      <c r="D235" s="721"/>
      <c r="E235" s="695">
        <v>157.88</v>
      </c>
      <c r="F235" s="1014" t="s">
        <v>1694</v>
      </c>
      <c r="G235" s="695">
        <v>200.69</v>
      </c>
      <c r="H235" s="721"/>
      <c r="I235" s="695">
        <v>165.49</v>
      </c>
      <c r="J235" s="721"/>
      <c r="K235" s="695">
        <v>403.86</v>
      </c>
      <c r="L235" s="721"/>
      <c r="M235" s="695">
        <v>434.79</v>
      </c>
      <c r="N235" s="721"/>
      <c r="O235" s="732">
        <v>425.38</v>
      </c>
      <c r="P235" s="721"/>
      <c r="Q235" s="732">
        <v>441.35</v>
      </c>
      <c r="R235" s="721"/>
      <c r="S235" s="732">
        <v>357.54</v>
      </c>
      <c r="T235" s="721"/>
      <c r="U235" s="732">
        <v>438.29</v>
      </c>
      <c r="V235" s="1015" t="s">
        <v>1693</v>
      </c>
      <c r="W235" s="732">
        <v>430</v>
      </c>
      <c r="X235" s="765"/>
      <c r="Y235" s="732">
        <v>410</v>
      </c>
      <c r="Z235" s="765"/>
      <c r="AA235" s="732">
        <v>439.98</v>
      </c>
      <c r="AB235" s="1015" t="s">
        <v>1693</v>
      </c>
      <c r="AC235" s="695">
        <v>424.44</v>
      </c>
      <c r="AD235" s="708"/>
      <c r="AE235" s="684"/>
      <c r="AF235" s="684"/>
      <c r="AG235" s="684"/>
      <c r="AM235" s="871">
        <f>COUNTIF(B235:AB235,"U/P")</f>
        <v>0</v>
      </c>
      <c r="AN235" s="871">
        <f>COUNTIF(C235:AC235,"ROW")</f>
        <v>0</v>
      </c>
      <c r="AO235" s="871">
        <f>COUNTIF(D235:AD235,"C")</f>
        <v>0</v>
      </c>
    </row>
    <row r="236" spans="1:41" ht="16.5" customHeight="1" thickBot="1">
      <c r="A236" s="467"/>
      <c r="B236" s="698"/>
      <c r="C236" s="708"/>
      <c r="D236" s="698"/>
      <c r="E236" s="708"/>
      <c r="F236" s="698"/>
      <c r="G236" s="708"/>
      <c r="H236" s="698"/>
      <c r="I236" s="708"/>
      <c r="J236" s="698"/>
      <c r="K236" s="708"/>
      <c r="L236" s="698"/>
      <c r="M236" s="708"/>
      <c r="N236" s="698"/>
      <c r="O236" s="708"/>
      <c r="P236" s="698"/>
      <c r="Q236" s="708"/>
      <c r="R236" s="698"/>
      <c r="S236" s="708"/>
      <c r="T236" s="698"/>
      <c r="U236" s="708"/>
      <c r="V236" s="698"/>
      <c r="W236" s="708"/>
      <c r="X236" s="698"/>
      <c r="Y236" s="708"/>
      <c r="Z236" s="698"/>
      <c r="AA236" s="708"/>
      <c r="AB236" s="698"/>
      <c r="AC236" s="708"/>
      <c r="AD236" s="708"/>
      <c r="AE236" s="684"/>
      <c r="AF236" s="684"/>
      <c r="AG236" s="684"/>
    </row>
    <row r="237" spans="1:41" ht="33.5">
      <c r="A237" s="467"/>
      <c r="B237" s="687" t="s">
        <v>132</v>
      </c>
      <c r="C237" s="686"/>
      <c r="D237" s="687" t="s">
        <v>123</v>
      </c>
      <c r="E237" s="686"/>
      <c r="F237" s="687" t="s">
        <v>125</v>
      </c>
      <c r="G237" s="686"/>
      <c r="H237" s="687" t="s">
        <v>115</v>
      </c>
      <c r="I237" s="686"/>
      <c r="J237" s="687" t="s">
        <v>115</v>
      </c>
      <c r="K237" s="686"/>
      <c r="L237" s="686" t="s">
        <v>248</v>
      </c>
      <c r="M237" s="686"/>
      <c r="N237" s="687" t="s">
        <v>115</v>
      </c>
      <c r="O237" s="690"/>
      <c r="P237" s="687" t="s">
        <v>132</v>
      </c>
      <c r="Q237" s="708"/>
      <c r="R237" s="687" t="s">
        <v>125</v>
      </c>
      <c r="S237" s="708"/>
      <c r="T237" s="686" t="s">
        <v>182</v>
      </c>
      <c r="U237" s="708"/>
      <c r="V237" s="687" t="s">
        <v>125</v>
      </c>
      <c r="W237" s="708"/>
      <c r="X237" s="686" t="s">
        <v>185</v>
      </c>
      <c r="Y237" s="708"/>
      <c r="Z237" s="687" t="s">
        <v>132</v>
      </c>
      <c r="AA237" s="708"/>
      <c r="AB237" s="687" t="s">
        <v>137</v>
      </c>
      <c r="AC237" s="708"/>
      <c r="AD237" s="708"/>
      <c r="AE237" s="684"/>
      <c r="AF237" s="684"/>
      <c r="AG237" s="684"/>
    </row>
    <row r="238" spans="1:41" ht="33.5">
      <c r="B238" s="770" t="s">
        <v>1524</v>
      </c>
      <c r="C238" s="725"/>
      <c r="D238" s="673"/>
      <c r="E238" s="725"/>
      <c r="F238" s="725"/>
      <c r="G238" s="725"/>
      <c r="H238" s="725"/>
      <c r="I238" s="725"/>
      <c r="J238" s="725"/>
      <c r="K238" s="725"/>
      <c r="L238" s="725"/>
      <c r="M238" s="725"/>
      <c r="N238" s="770" t="s">
        <v>1629</v>
      </c>
      <c r="O238" s="690"/>
      <c r="P238" s="686"/>
      <c r="Q238" s="708"/>
      <c r="R238" s="686"/>
      <c r="S238" s="768" t="s">
        <v>1619</v>
      </c>
      <c r="T238" s="768"/>
      <c r="U238" s="708"/>
      <c r="V238" s="686"/>
      <c r="W238" s="708"/>
      <c r="X238" s="686"/>
      <c r="Y238" s="708"/>
      <c r="Z238" s="686"/>
      <c r="AA238" s="708"/>
      <c r="AB238" s="686"/>
      <c r="AC238" s="708"/>
      <c r="AD238" s="708"/>
      <c r="AE238" s="684"/>
      <c r="AF238" s="684"/>
      <c r="AG238" s="684"/>
    </row>
    <row r="239" spans="1:41" ht="41" customHeight="1">
      <c r="A239" s="750"/>
      <c r="B239" s="750"/>
      <c r="C239" s="750"/>
      <c r="D239" s="750"/>
      <c r="E239" s="750"/>
      <c r="F239" s="749" t="s">
        <v>228</v>
      </c>
      <c r="G239" s="750"/>
      <c r="H239" s="723"/>
      <c r="I239" s="723"/>
      <c r="J239" s="723"/>
      <c r="K239" s="723"/>
      <c r="L239" s="723"/>
      <c r="M239" s="723"/>
      <c r="N239" s="750"/>
      <c r="O239" s="750"/>
      <c r="P239" s="750"/>
      <c r="Q239" s="750"/>
      <c r="R239" s="750"/>
      <c r="S239" s="750"/>
      <c r="T239" s="750"/>
      <c r="U239" s="750"/>
      <c r="V239" s="1554" t="s">
        <v>228</v>
      </c>
      <c r="W239" s="1554"/>
      <c r="X239" s="1554"/>
      <c r="Y239" s="1554"/>
      <c r="Z239" s="1554"/>
      <c r="AA239" s="1554"/>
      <c r="AB239" s="1554"/>
      <c r="AC239" s="1553"/>
      <c r="AD239" s="1553"/>
      <c r="AE239" s="1553"/>
      <c r="AF239" s="1553"/>
      <c r="AG239" s="1032"/>
      <c r="AH239" s="870"/>
      <c r="AI239" s="881"/>
      <c r="AJ239" s="881"/>
      <c r="AK239" s="881"/>
      <c r="AL239" s="881"/>
    </row>
    <row r="240" spans="1:41" ht="23" customHeight="1">
      <c r="B240" s="691"/>
      <c r="C240" s="691"/>
      <c r="D240" s="691"/>
      <c r="E240" s="691"/>
      <c r="F240" s="691"/>
      <c r="G240" s="691"/>
      <c r="H240" s="691"/>
      <c r="I240" s="691"/>
      <c r="J240" s="691"/>
      <c r="K240" s="691"/>
      <c r="L240" s="691"/>
      <c r="M240" s="691"/>
      <c r="N240" s="691"/>
      <c r="O240" s="691"/>
      <c r="P240" s="691"/>
      <c r="Q240" s="691"/>
      <c r="R240" s="691"/>
      <c r="S240" s="691"/>
      <c r="T240" s="691"/>
      <c r="U240" s="691"/>
      <c r="V240" s="691"/>
      <c r="W240" s="691"/>
      <c r="X240" s="691"/>
      <c r="Y240" s="691"/>
      <c r="Z240" s="691"/>
      <c r="AA240" s="691"/>
      <c r="AB240" s="691"/>
      <c r="AC240" s="691"/>
      <c r="AD240" s="691"/>
      <c r="AE240" s="674"/>
      <c r="AF240" s="674"/>
      <c r="AG240" s="674"/>
    </row>
    <row r="241" spans="1:41" ht="30.5" customHeight="1">
      <c r="A241" s="1560" t="s">
        <v>473</v>
      </c>
      <c r="B241" s="1560"/>
      <c r="C241" s="771"/>
      <c r="D241" s="1550" t="s">
        <v>474</v>
      </c>
      <c r="E241" s="1550"/>
      <c r="F241" s="1550" t="s">
        <v>475</v>
      </c>
      <c r="G241" s="1550"/>
      <c r="H241" s="1550" t="s">
        <v>476</v>
      </c>
      <c r="I241" s="1550"/>
      <c r="J241" s="672" t="s">
        <v>477</v>
      </c>
      <c r="K241" s="1560" t="s">
        <v>478</v>
      </c>
      <c r="L241" s="1560"/>
      <c r="M241" s="673" t="s">
        <v>1512</v>
      </c>
      <c r="N241" s="1550" t="s">
        <v>733</v>
      </c>
      <c r="O241" s="1550"/>
      <c r="P241" s="1550" t="s">
        <v>734</v>
      </c>
      <c r="Q241" s="1550"/>
      <c r="R241" s="1550" t="s">
        <v>735</v>
      </c>
      <c r="S241" s="1550"/>
      <c r="T241" s="1550" t="s">
        <v>736</v>
      </c>
      <c r="U241" s="1550"/>
      <c r="V241" s="1550" t="s">
        <v>737</v>
      </c>
      <c r="W241" s="1550"/>
      <c r="X241" s="1550" t="s">
        <v>738</v>
      </c>
      <c r="Y241" s="1550"/>
      <c r="Z241" s="1550" t="s">
        <v>739</v>
      </c>
      <c r="AA241" s="1550"/>
      <c r="AB241" s="1550" t="s">
        <v>740</v>
      </c>
      <c r="AC241" s="1550"/>
      <c r="AD241" s="691"/>
      <c r="AE241" s="674"/>
      <c r="AF241" s="674"/>
      <c r="AG241" s="674"/>
    </row>
    <row r="242" spans="1:41" ht="33.5">
      <c r="A242" s="467"/>
      <c r="B242" s="700"/>
      <c r="C242" s="690"/>
      <c r="D242" s="700"/>
      <c r="E242" s="690"/>
      <c r="F242" s="700"/>
      <c r="G242" s="690"/>
      <c r="H242" s="700"/>
      <c r="I242" s="690"/>
      <c r="J242" s="700"/>
      <c r="K242" s="690"/>
      <c r="L242" s="700"/>
      <c r="M242" s="690"/>
      <c r="N242" s="700"/>
      <c r="O242" s="690"/>
      <c r="P242" s="700"/>
      <c r="Q242" s="708"/>
      <c r="R242" s="700"/>
      <c r="S242" s="690"/>
      <c r="T242" s="700"/>
      <c r="U242" s="690"/>
      <c r="V242" s="700"/>
      <c r="W242" s="690"/>
      <c r="X242" s="700"/>
      <c r="Y242" s="690"/>
      <c r="Z242" s="700"/>
      <c r="AA242" s="690"/>
      <c r="AB242" s="700"/>
      <c r="AC242" s="691"/>
      <c r="AD242" s="691"/>
      <c r="AE242" s="684"/>
      <c r="AF242" s="684"/>
      <c r="AG242" s="684"/>
    </row>
    <row r="243" spans="1:41" ht="16.5" customHeight="1" thickBot="1">
      <c r="A243" s="467"/>
      <c r="B243" s="702"/>
      <c r="C243" s="690"/>
      <c r="D243" s="702"/>
      <c r="E243" s="690"/>
      <c r="F243" s="702"/>
      <c r="G243" s="690"/>
      <c r="H243" s="702"/>
      <c r="I243" s="690"/>
      <c r="J243" s="702"/>
      <c r="K243" s="690"/>
      <c r="L243" s="702"/>
      <c r="M243" s="690"/>
      <c r="N243" s="702"/>
      <c r="O243" s="690"/>
      <c r="P243" s="702"/>
      <c r="Q243" s="708"/>
      <c r="R243" s="702"/>
      <c r="S243" s="690"/>
      <c r="T243" s="702"/>
      <c r="U243" s="690"/>
      <c r="V243" s="702"/>
      <c r="W243" s="690"/>
      <c r="X243" s="702"/>
      <c r="Y243" s="690"/>
      <c r="Z243" s="702"/>
      <c r="AA243" s="690"/>
      <c r="AB243" s="702"/>
      <c r="AC243" s="691"/>
      <c r="AD243" s="691"/>
      <c r="AE243" s="684"/>
      <c r="AF243" s="684"/>
      <c r="AG243" s="684"/>
    </row>
    <row r="244" spans="1:41" ht="100" customHeight="1" thickBot="1">
      <c r="A244" s="467"/>
      <c r="B244" s="721"/>
      <c r="C244" s="695">
        <v>439</v>
      </c>
      <c r="D244" s="721"/>
      <c r="E244" s="758">
        <v>395</v>
      </c>
      <c r="F244" s="721"/>
      <c r="G244" s="758">
        <v>401.11</v>
      </c>
      <c r="H244" s="679" t="s">
        <v>228</v>
      </c>
      <c r="I244" s="695">
        <v>413</v>
      </c>
      <c r="J244" s="721"/>
      <c r="K244" s="695">
        <v>402.25</v>
      </c>
      <c r="L244" s="679"/>
      <c r="M244" s="695">
        <v>250.69</v>
      </c>
      <c r="N244" s="755"/>
      <c r="O244" s="732">
        <v>425.61</v>
      </c>
      <c r="P244" s="1015" t="s">
        <v>1693</v>
      </c>
      <c r="Q244" s="732">
        <v>381.68</v>
      </c>
      <c r="R244" s="1015" t="s">
        <v>1693</v>
      </c>
      <c r="S244" s="732">
        <v>351.87</v>
      </c>
      <c r="T244" s="721"/>
      <c r="U244" s="732">
        <v>419.36</v>
      </c>
      <c r="V244" s="1015" t="s">
        <v>1693</v>
      </c>
      <c r="W244" s="695">
        <v>421.74</v>
      </c>
      <c r="X244" s="721"/>
      <c r="Y244" s="695">
        <v>403</v>
      </c>
      <c r="Z244" s="721"/>
      <c r="AA244" s="695">
        <v>355</v>
      </c>
      <c r="AB244" s="721"/>
      <c r="AC244" s="696">
        <v>355</v>
      </c>
      <c r="AD244" s="691"/>
      <c r="AE244" s="684"/>
      <c r="AF244" s="684"/>
      <c r="AG244" s="684"/>
      <c r="AM244" s="871">
        <f>COUNTIF(B244:AB244,"U/P")</f>
        <v>0</v>
      </c>
      <c r="AN244" s="871">
        <f>COUNTIF(C244:AC244,"ROW")</f>
        <v>1</v>
      </c>
      <c r="AO244" s="871">
        <f>COUNTIF(D244:AD244,"C")</f>
        <v>0</v>
      </c>
    </row>
    <row r="245" spans="1:41" ht="16.5" customHeight="1" thickBot="1">
      <c r="A245" s="467"/>
      <c r="B245" s="772"/>
      <c r="C245" s="708"/>
      <c r="D245" s="698"/>
      <c r="E245" s="708"/>
      <c r="F245" s="698"/>
      <c r="G245" s="708"/>
      <c r="H245" s="698"/>
      <c r="I245" s="708"/>
      <c r="J245" s="698"/>
      <c r="K245" s="708"/>
      <c r="L245" s="698"/>
      <c r="M245" s="708"/>
      <c r="N245" s="698"/>
      <c r="O245" s="708"/>
      <c r="P245" s="773"/>
      <c r="Q245" s="708"/>
      <c r="R245" s="773"/>
      <c r="S245" s="708"/>
      <c r="T245" s="773"/>
      <c r="U245" s="708"/>
      <c r="V245" s="698"/>
      <c r="W245" s="708"/>
      <c r="X245" s="698"/>
      <c r="Y245" s="708"/>
      <c r="Z245" s="698"/>
      <c r="AA245" s="708"/>
      <c r="AB245" s="698"/>
      <c r="AC245" s="691"/>
      <c r="AD245" s="691"/>
      <c r="AE245" s="684"/>
      <c r="AF245" s="684"/>
      <c r="AG245" s="684"/>
    </row>
    <row r="246" spans="1:41" ht="32" customHeight="1">
      <c r="A246" s="467"/>
      <c r="B246" s="687" t="s">
        <v>143</v>
      </c>
      <c r="C246" s="686"/>
      <c r="D246" s="686" t="s">
        <v>185</v>
      </c>
      <c r="E246" s="686"/>
      <c r="F246" s="686" t="s">
        <v>185</v>
      </c>
      <c r="G246" s="686"/>
      <c r="H246" s="687" t="s">
        <v>115</v>
      </c>
      <c r="I246" s="686"/>
      <c r="J246" s="686" t="s">
        <v>242</v>
      </c>
      <c r="K246" s="686"/>
      <c r="L246" s="687" t="s">
        <v>125</v>
      </c>
      <c r="M246" s="686"/>
      <c r="N246" s="687" t="s">
        <v>128</v>
      </c>
      <c r="O246" s="690"/>
      <c r="P246" s="686" t="s">
        <v>185</v>
      </c>
      <c r="Q246" s="708"/>
      <c r="R246" s="686" t="s">
        <v>185</v>
      </c>
      <c r="S246" s="708"/>
      <c r="T246" s="687" t="s">
        <v>115</v>
      </c>
      <c r="U246" s="708"/>
      <c r="V246" s="687" t="s">
        <v>137</v>
      </c>
      <c r="W246" s="708"/>
      <c r="X246" s="687" t="s">
        <v>137</v>
      </c>
      <c r="Y246" s="708"/>
      <c r="Z246" s="686" t="s">
        <v>182</v>
      </c>
      <c r="AA246" s="708"/>
      <c r="AB246" s="686" t="s">
        <v>182</v>
      </c>
      <c r="AC246" s="691"/>
      <c r="AD246" s="691"/>
      <c r="AE246" s="684"/>
      <c r="AF246" s="684"/>
      <c r="AG246" s="684"/>
    </row>
    <row r="247" spans="1:41" ht="62.5" customHeight="1">
      <c r="A247" s="723"/>
      <c r="B247" s="723"/>
      <c r="C247" s="723"/>
      <c r="D247" s="723"/>
      <c r="E247" s="723"/>
      <c r="F247" s="723"/>
      <c r="G247" s="723"/>
      <c r="H247" s="881" t="s">
        <v>228</v>
      </c>
      <c r="I247" s="723"/>
      <c r="J247" s="723"/>
      <c r="K247" s="723"/>
      <c r="M247" s="829"/>
      <c r="N247" s="829"/>
      <c r="O247" s="1554" t="s">
        <v>1518</v>
      </c>
      <c r="P247" s="1554"/>
      <c r="Q247" s="1554"/>
      <c r="R247" s="1554"/>
      <c r="S247" s="1555"/>
      <c r="T247" s="1043"/>
      <c r="U247" s="1556" t="s">
        <v>1518</v>
      </c>
      <c r="V247" s="1557"/>
      <c r="W247" s="1558"/>
      <c r="X247" s="1559"/>
      <c r="Y247" s="1553"/>
      <c r="Z247" s="1553"/>
      <c r="AA247" s="1553"/>
      <c r="AB247" s="1553"/>
      <c r="AC247" s="1553"/>
      <c r="AD247" s="1553"/>
      <c r="AE247" s="1553"/>
      <c r="AF247" s="1553"/>
      <c r="AG247" s="1553"/>
      <c r="AH247" s="1553"/>
      <c r="AI247" s="882"/>
      <c r="AJ247" s="882"/>
      <c r="AK247" s="882"/>
      <c r="AL247" s="882"/>
    </row>
    <row r="248" spans="1:41" ht="28.5" customHeight="1">
      <c r="B248" s="704"/>
      <c r="C248" s="704"/>
      <c r="D248" s="704"/>
      <c r="E248" s="704"/>
      <c r="F248" s="704"/>
      <c r="G248" s="704"/>
      <c r="H248" s="704"/>
      <c r="I248" s="704"/>
      <c r="J248" s="704"/>
      <c r="K248" s="704"/>
      <c r="L248" s="704"/>
      <c r="M248" s="704"/>
      <c r="N248" s="704"/>
      <c r="O248" s="693"/>
      <c r="P248" s="704"/>
      <c r="Q248" s="691"/>
      <c r="R248" s="704"/>
      <c r="S248" s="691"/>
      <c r="T248" s="704"/>
      <c r="U248" s="691"/>
      <c r="V248" s="704"/>
      <c r="W248" s="691"/>
      <c r="X248" s="704"/>
      <c r="Y248" s="691"/>
      <c r="Z248" s="704"/>
      <c r="AA248" s="691"/>
      <c r="AB248" s="704"/>
      <c r="AC248" s="691"/>
      <c r="AD248" s="691"/>
      <c r="AE248" s="684"/>
      <c r="AF248" s="684"/>
      <c r="AG248" s="684"/>
    </row>
    <row r="249" spans="1:41" ht="67" customHeight="1">
      <c r="A249" s="708"/>
      <c r="B249" s="672" t="s">
        <v>741</v>
      </c>
      <c r="C249" s="672"/>
      <c r="D249" s="1550" t="s">
        <v>742</v>
      </c>
      <c r="E249" s="1550"/>
      <c r="F249" s="1550" t="s">
        <v>743</v>
      </c>
      <c r="G249" s="1550"/>
      <c r="H249" s="1550" t="s">
        <v>744</v>
      </c>
      <c r="I249" s="1550"/>
      <c r="J249" s="672" t="s">
        <v>745</v>
      </c>
      <c r="K249" s="672"/>
      <c r="L249" s="1550" t="s">
        <v>746</v>
      </c>
      <c r="M249" s="1550"/>
      <c r="N249" s="1550" t="s">
        <v>747</v>
      </c>
      <c r="O249" s="1550"/>
      <c r="P249" s="1550" t="s">
        <v>748</v>
      </c>
      <c r="Q249" s="1550"/>
      <c r="R249" s="1550" t="s">
        <v>749</v>
      </c>
      <c r="S249" s="1550"/>
      <c r="T249" s="1550" t="s">
        <v>750</v>
      </c>
      <c r="U249" s="1550"/>
      <c r="V249" s="1550" t="s">
        <v>751</v>
      </c>
      <c r="W249" s="1550"/>
      <c r="X249" s="774" t="s">
        <v>752</v>
      </c>
      <c r="Y249" s="708"/>
      <c r="Z249" s="774" t="s">
        <v>753</v>
      </c>
      <c r="AA249" s="766"/>
      <c r="AB249" s="774" t="s">
        <v>754</v>
      </c>
      <c r="AC249" s="673" t="s">
        <v>1513</v>
      </c>
      <c r="AD249" s="708"/>
      <c r="AE249" s="708"/>
      <c r="AF249" s="708"/>
      <c r="AG249" s="708"/>
      <c r="AH249" s="708"/>
      <c r="AI249" s="708"/>
      <c r="AJ249" s="708"/>
      <c r="AK249" s="708"/>
      <c r="AL249" s="708"/>
    </row>
    <row r="250" spans="1:41" ht="33.5">
      <c r="A250" s="708"/>
      <c r="B250" s="700"/>
      <c r="C250" s="690"/>
      <c r="D250" s="700"/>
      <c r="E250" s="690"/>
      <c r="F250" s="700"/>
      <c r="G250" s="690"/>
      <c r="H250" s="700"/>
      <c r="I250" s="690"/>
      <c r="J250" s="700"/>
      <c r="K250" s="690"/>
      <c r="L250" s="700"/>
      <c r="M250" s="690"/>
      <c r="N250" s="700"/>
      <c r="O250" s="690"/>
      <c r="P250" s="700"/>
      <c r="Q250" s="708"/>
      <c r="R250" s="700"/>
      <c r="S250" s="690"/>
      <c r="T250" s="700"/>
      <c r="U250" s="690"/>
      <c r="V250" s="700"/>
      <c r="W250" s="690"/>
      <c r="X250" s="700"/>
      <c r="Y250" s="690"/>
      <c r="Z250" s="700"/>
      <c r="AA250" s="690"/>
      <c r="AB250" s="700"/>
      <c r="AC250" s="708"/>
      <c r="AD250" s="708"/>
      <c r="AE250" s="711"/>
      <c r="AF250" s="711"/>
      <c r="AG250" s="711"/>
      <c r="AH250" s="708"/>
      <c r="AI250" s="708"/>
      <c r="AJ250" s="708"/>
      <c r="AK250" s="708"/>
      <c r="AL250" s="708"/>
    </row>
    <row r="251" spans="1:41" ht="16.5" customHeight="1" thickBot="1">
      <c r="A251" s="708"/>
      <c r="B251" s="702"/>
      <c r="C251" s="690"/>
      <c r="D251" s="702"/>
      <c r="E251" s="690"/>
      <c r="F251" s="702"/>
      <c r="G251" s="690"/>
      <c r="H251" s="702"/>
      <c r="I251" s="690"/>
      <c r="J251" s="702"/>
      <c r="K251" s="690"/>
      <c r="L251" s="702"/>
      <c r="M251" s="690"/>
      <c r="N251" s="702"/>
      <c r="O251" s="690"/>
      <c r="P251" s="702"/>
      <c r="Q251" s="708"/>
      <c r="R251" s="702"/>
      <c r="S251" s="690"/>
      <c r="T251" s="702"/>
      <c r="U251" s="690"/>
      <c r="V251" s="702"/>
      <c r="W251" s="690"/>
      <c r="X251" s="702"/>
      <c r="Y251" s="690"/>
      <c r="Z251" s="702"/>
      <c r="AA251" s="690"/>
      <c r="AB251" s="702"/>
      <c r="AC251" s="708"/>
      <c r="AD251" s="708"/>
      <c r="AE251" s="711"/>
      <c r="AF251" s="711"/>
      <c r="AG251" s="711"/>
      <c r="AH251" s="708"/>
      <c r="AI251" s="708"/>
      <c r="AJ251" s="708"/>
      <c r="AK251" s="708"/>
      <c r="AL251" s="708"/>
    </row>
    <row r="252" spans="1:41" ht="100" customHeight="1" thickBot="1">
      <c r="A252" s="708"/>
      <c r="B252" s="721"/>
      <c r="C252" s="695">
        <v>373.77100000000002</v>
      </c>
      <c r="D252" s="721"/>
      <c r="E252" s="695">
        <v>364</v>
      </c>
      <c r="F252" s="751"/>
      <c r="G252" s="695">
        <v>421</v>
      </c>
      <c r="H252" s="751"/>
      <c r="I252" s="695">
        <v>334</v>
      </c>
      <c r="J252" s="679" t="s">
        <v>1703</v>
      </c>
      <c r="K252" s="695">
        <v>388.22</v>
      </c>
      <c r="L252" s="679" t="s">
        <v>1703</v>
      </c>
      <c r="M252" s="695">
        <v>398</v>
      </c>
      <c r="N252" s="1015" t="s">
        <v>1694</v>
      </c>
      <c r="O252" s="695">
        <v>442.51499999999999</v>
      </c>
      <c r="P252" s="721"/>
      <c r="Q252" s="695">
        <v>415</v>
      </c>
      <c r="R252" s="1015" t="s">
        <v>1693</v>
      </c>
      <c r="S252" s="695">
        <v>417.97</v>
      </c>
      <c r="T252" s="751"/>
      <c r="U252" s="695">
        <v>424</v>
      </c>
      <c r="V252" s="751"/>
      <c r="W252" s="695">
        <v>415</v>
      </c>
      <c r="X252" s="751"/>
      <c r="Y252" s="695">
        <v>412.21</v>
      </c>
      <c r="Z252" s="751"/>
      <c r="AA252" s="695">
        <v>268</v>
      </c>
      <c r="AB252" s="1015" t="s">
        <v>1693</v>
      </c>
      <c r="AC252" s="732">
        <v>259.27</v>
      </c>
      <c r="AD252" s="708"/>
      <c r="AE252" s="711"/>
      <c r="AF252" s="711"/>
      <c r="AG252" s="711"/>
      <c r="AH252" s="708"/>
      <c r="AI252" s="708"/>
      <c r="AJ252" s="708"/>
      <c r="AK252" s="708"/>
      <c r="AL252" s="708"/>
      <c r="AM252" s="871">
        <f>COUNTIF(B252:AB252,"U/P")</f>
        <v>0</v>
      </c>
      <c r="AN252" s="871">
        <f>COUNTIF(C252:AC252,"ROW")</f>
        <v>0</v>
      </c>
      <c r="AO252" s="871">
        <f>COUNTIF(B252:AD252,"C")</f>
        <v>0</v>
      </c>
    </row>
    <row r="253" spans="1:41" ht="16.5" customHeight="1" thickBot="1">
      <c r="A253" s="708"/>
      <c r="B253" s="698"/>
      <c r="C253" s="708"/>
      <c r="D253" s="698"/>
      <c r="E253" s="708"/>
      <c r="F253" s="698"/>
      <c r="G253" s="708"/>
      <c r="H253" s="698"/>
      <c r="I253" s="708"/>
      <c r="J253" s="698"/>
      <c r="K253" s="708"/>
      <c r="L253" s="698"/>
      <c r="M253" s="708"/>
      <c r="N253" s="698"/>
      <c r="O253" s="708"/>
      <c r="P253" s="698"/>
      <c r="Q253" s="708"/>
      <c r="R253" s="698"/>
      <c r="S253" s="708"/>
      <c r="T253" s="698"/>
      <c r="U253" s="708"/>
      <c r="V253" s="698"/>
      <c r="W253" s="708"/>
      <c r="X253" s="698"/>
      <c r="Y253" s="708"/>
      <c r="Z253" s="698"/>
      <c r="AA253" s="708"/>
      <c r="AB253" s="698"/>
      <c r="AC253" s="708"/>
      <c r="AD253" s="708"/>
      <c r="AE253" s="711"/>
      <c r="AF253" s="711"/>
      <c r="AG253" s="711"/>
      <c r="AH253" s="708"/>
      <c r="AI253" s="708"/>
      <c r="AJ253" s="708"/>
      <c r="AK253" s="708"/>
      <c r="AL253" s="708"/>
    </row>
    <row r="254" spans="1:41" ht="33.5">
      <c r="A254" s="708"/>
      <c r="B254" s="686" t="s">
        <v>182</v>
      </c>
      <c r="C254" s="686"/>
      <c r="D254" s="687" t="s">
        <v>128</v>
      </c>
      <c r="E254" s="686"/>
      <c r="F254" s="686" t="s">
        <v>242</v>
      </c>
      <c r="G254" s="686"/>
      <c r="H254" s="686" t="s">
        <v>185</v>
      </c>
      <c r="I254" s="686"/>
      <c r="J254" s="686" t="s">
        <v>242</v>
      </c>
      <c r="K254" s="686"/>
      <c r="L254" s="687" t="s">
        <v>192</v>
      </c>
      <c r="M254" s="686"/>
      <c r="N254" s="686" t="s">
        <v>248</v>
      </c>
      <c r="O254" s="690"/>
      <c r="P254" s="687" t="s">
        <v>137</v>
      </c>
      <c r="Q254" s="686"/>
      <c r="R254" s="686" t="s">
        <v>242</v>
      </c>
      <c r="S254" s="708"/>
      <c r="T254" s="687" t="s">
        <v>115</v>
      </c>
      <c r="U254" s="708"/>
      <c r="V254" s="686" t="s">
        <v>185</v>
      </c>
      <c r="W254" s="708"/>
      <c r="X254" s="703" t="s">
        <v>248</v>
      </c>
      <c r="Y254" s="708"/>
      <c r="Z254" s="687" t="s">
        <v>128</v>
      </c>
      <c r="AA254" s="708"/>
      <c r="AB254" s="703" t="s">
        <v>182</v>
      </c>
      <c r="AC254" s="708"/>
      <c r="AD254" s="708"/>
      <c r="AE254" s="711"/>
      <c r="AF254" s="711"/>
      <c r="AG254" s="711"/>
      <c r="AH254" s="708"/>
      <c r="AI254" s="708"/>
      <c r="AJ254" s="708"/>
      <c r="AK254" s="708"/>
      <c r="AL254" s="708"/>
    </row>
    <row r="255" spans="1:41" ht="31.5" customHeight="1">
      <c r="A255" s="1033"/>
      <c r="B255" s="749"/>
      <c r="C255" s="750"/>
      <c r="D255" s="750"/>
      <c r="E255" s="750"/>
      <c r="F255" s="750"/>
      <c r="G255" s="750"/>
      <c r="H255" s="750"/>
      <c r="I255" s="750"/>
      <c r="J255" s="1551" t="s">
        <v>228</v>
      </c>
      <c r="K255" s="1551"/>
      <c r="L255" s="1551"/>
      <c r="M255" s="1551"/>
      <c r="N255" s="1551"/>
      <c r="O255" s="750"/>
      <c r="P255" s="750"/>
      <c r="Q255" s="750"/>
      <c r="R255" s="749" t="s">
        <v>228</v>
      </c>
      <c r="S255" s="750"/>
      <c r="T255" s="750"/>
      <c r="U255" s="750"/>
      <c r="V255" s="750"/>
      <c r="W255" s="750" t="s">
        <v>1626</v>
      </c>
      <c r="X255" s="750"/>
      <c r="Y255" s="750"/>
      <c r="Z255" s="750"/>
      <c r="AA255" s="750"/>
      <c r="AB255" s="750"/>
      <c r="AC255" s="750"/>
      <c r="AD255" s="750"/>
      <c r="AE255" s="750"/>
      <c r="AF255" s="750"/>
      <c r="AG255" s="749"/>
      <c r="AH255" s="749"/>
      <c r="AI255" s="881"/>
      <c r="AJ255" s="881"/>
      <c r="AK255" s="881"/>
      <c r="AL255" s="881"/>
    </row>
    <row r="256" spans="1:41" ht="13.5" customHeight="1">
      <c r="B256" s="691"/>
      <c r="C256" s="691"/>
      <c r="D256" s="691"/>
      <c r="E256" s="691"/>
      <c r="F256" s="691"/>
      <c r="G256" s="691"/>
      <c r="H256" s="691"/>
      <c r="I256" s="691"/>
      <c r="J256" s="691"/>
      <c r="K256" s="691"/>
      <c r="L256" s="691"/>
      <c r="M256" s="691"/>
      <c r="N256" s="691"/>
      <c r="O256" s="691"/>
      <c r="P256" s="691"/>
      <c r="Q256" s="691"/>
      <c r="R256" s="691"/>
      <c r="S256" s="691"/>
      <c r="T256" s="691"/>
      <c r="U256" s="691"/>
      <c r="V256" s="691"/>
      <c r="W256" s="691"/>
      <c r="X256" s="691"/>
      <c r="Y256" s="691"/>
      <c r="Z256" s="691"/>
      <c r="AA256" s="691"/>
      <c r="AB256" s="691"/>
      <c r="AC256" s="691"/>
      <c r="AD256" s="691"/>
      <c r="AE256" s="769"/>
      <c r="AF256" s="674"/>
      <c r="AG256" s="674"/>
    </row>
    <row r="257" spans="1:41" ht="33.5">
      <c r="B257" s="703" t="s">
        <v>1283</v>
      </c>
      <c r="C257" s="703"/>
      <c r="D257" s="703" t="s">
        <v>755</v>
      </c>
      <c r="E257" s="708"/>
      <c r="F257" s="703" t="s">
        <v>756</v>
      </c>
      <c r="G257" s="708"/>
      <c r="H257" s="703" t="s">
        <v>1284</v>
      </c>
      <c r="I257" s="708"/>
      <c r="J257" s="703" t="s">
        <v>758</v>
      </c>
      <c r="K257" s="708"/>
      <c r="L257" s="703" t="s">
        <v>759</v>
      </c>
      <c r="M257" s="708"/>
      <c r="N257" s="703" t="s">
        <v>760</v>
      </c>
      <c r="O257" s="708"/>
      <c r="P257" s="703" t="s">
        <v>761</v>
      </c>
      <c r="Q257" s="708"/>
      <c r="R257" s="703" t="s">
        <v>762</v>
      </c>
      <c r="S257" s="708"/>
      <c r="T257" s="703" t="s">
        <v>180</v>
      </c>
      <c r="U257" s="703"/>
      <c r="V257" s="703" t="s">
        <v>181</v>
      </c>
      <c r="W257" s="703"/>
      <c r="X257" s="703" t="s">
        <v>183</v>
      </c>
      <c r="Y257" s="703"/>
      <c r="Z257" s="703" t="s">
        <v>763</v>
      </c>
      <c r="AA257" s="703"/>
      <c r="AB257" s="703" t="s">
        <v>764</v>
      </c>
      <c r="AC257" s="708"/>
      <c r="AD257" s="708"/>
      <c r="AE257" s="674"/>
      <c r="AF257" s="674"/>
      <c r="AG257" s="674"/>
    </row>
    <row r="258" spans="1:41" ht="33.5">
      <c r="B258" s="700"/>
      <c r="C258" s="690"/>
      <c r="D258" s="700"/>
      <c r="E258" s="690"/>
      <c r="F258" s="700"/>
      <c r="G258" s="690"/>
      <c r="H258" s="700"/>
      <c r="I258" s="690"/>
      <c r="J258" s="700"/>
      <c r="K258" s="690"/>
      <c r="L258" s="700"/>
      <c r="M258" s="690"/>
      <c r="N258" s="700"/>
      <c r="O258" s="690"/>
      <c r="P258" s="700"/>
      <c r="Q258" s="708"/>
      <c r="R258" s="700"/>
      <c r="S258" s="690"/>
      <c r="T258" s="700"/>
      <c r="U258" s="690"/>
      <c r="V258" s="700"/>
      <c r="W258" s="690"/>
      <c r="X258" s="700"/>
      <c r="Y258" s="690"/>
      <c r="Z258" s="700"/>
      <c r="AA258" s="690"/>
      <c r="AB258" s="700"/>
      <c r="AC258" s="708"/>
      <c r="AD258" s="708"/>
      <c r="AE258" s="684"/>
      <c r="AF258" s="684"/>
      <c r="AG258" s="684"/>
    </row>
    <row r="259" spans="1:41" ht="16.5" customHeight="1" thickBot="1">
      <c r="A259" s="467"/>
      <c r="B259" s="702"/>
      <c r="C259" s="690"/>
      <c r="D259" s="702"/>
      <c r="E259" s="690"/>
      <c r="F259" s="702"/>
      <c r="G259" s="690"/>
      <c r="H259" s="702"/>
      <c r="I259" s="690"/>
      <c r="J259" s="702"/>
      <c r="K259" s="690"/>
      <c r="L259" s="702"/>
      <c r="M259" s="690"/>
      <c r="N259" s="702"/>
      <c r="O259" s="690"/>
      <c r="P259" s="702"/>
      <c r="Q259" s="708"/>
      <c r="R259" s="702"/>
      <c r="S259" s="690"/>
      <c r="T259" s="702"/>
      <c r="U259" s="690"/>
      <c r="V259" s="702"/>
      <c r="W259" s="690"/>
      <c r="X259" s="702"/>
      <c r="Y259" s="690"/>
      <c r="Z259" s="702"/>
      <c r="AA259" s="690"/>
      <c r="AB259" s="702"/>
      <c r="AC259" s="708"/>
      <c r="AD259" s="708"/>
      <c r="AE259" s="684"/>
      <c r="AF259" s="684"/>
      <c r="AG259" s="684"/>
    </row>
    <row r="260" spans="1:41" ht="100" customHeight="1" thickBot="1">
      <c r="A260" s="467"/>
      <c r="B260" s="721"/>
      <c r="C260" s="695">
        <v>395</v>
      </c>
      <c r="D260" s="721"/>
      <c r="E260" s="695">
        <v>408</v>
      </c>
      <c r="F260" s="721"/>
      <c r="G260" s="695">
        <v>356</v>
      </c>
      <c r="H260" s="679"/>
      <c r="I260" s="695">
        <v>379</v>
      </c>
      <c r="J260" s="721"/>
      <c r="K260" s="695">
        <v>367</v>
      </c>
      <c r="L260" s="679"/>
      <c r="M260" s="695">
        <v>384</v>
      </c>
      <c r="N260" s="721"/>
      <c r="O260" s="695">
        <v>385</v>
      </c>
      <c r="P260" s="721"/>
      <c r="Q260" s="732">
        <v>419.37</v>
      </c>
      <c r="R260" s="721"/>
      <c r="S260" s="695">
        <v>343.49</v>
      </c>
      <c r="T260" s="721"/>
      <c r="U260" s="695">
        <v>392.09</v>
      </c>
      <c r="V260" s="721"/>
      <c r="W260" s="695">
        <v>390.92</v>
      </c>
      <c r="X260" s="721"/>
      <c r="Y260" s="695">
        <v>372.24</v>
      </c>
      <c r="Z260" s="721"/>
      <c r="AA260" s="695">
        <v>388.01</v>
      </c>
      <c r="AB260" s="721"/>
      <c r="AC260" s="732">
        <v>414.07</v>
      </c>
      <c r="AD260" s="708"/>
      <c r="AE260" s="684"/>
      <c r="AF260" s="684"/>
      <c r="AG260" s="684"/>
      <c r="AM260" s="871">
        <f>COUNTIF(B260:AB260,"U/P")</f>
        <v>0</v>
      </c>
      <c r="AN260" s="871">
        <f>COUNTIF(C260:AC260,"ROW")</f>
        <v>0</v>
      </c>
      <c r="AO260" s="871">
        <f>COUNTIF(D260:AD260,"C")</f>
        <v>0</v>
      </c>
    </row>
    <row r="261" spans="1:41" ht="16.5" customHeight="1" thickBot="1">
      <c r="A261" s="467"/>
      <c r="B261" s="698"/>
      <c r="C261" s="708"/>
      <c r="D261" s="698"/>
      <c r="E261" s="708"/>
      <c r="F261" s="698"/>
      <c r="G261" s="708"/>
      <c r="H261" s="698"/>
      <c r="I261" s="708"/>
      <c r="J261" s="698"/>
      <c r="K261" s="708"/>
      <c r="L261" s="698"/>
      <c r="M261" s="708"/>
      <c r="N261" s="698"/>
      <c r="O261" s="708"/>
      <c r="P261" s="698"/>
      <c r="Q261" s="708"/>
      <c r="R261" s="698"/>
      <c r="S261" s="708"/>
      <c r="T261" s="698"/>
      <c r="U261" s="708"/>
      <c r="V261" s="698"/>
      <c r="W261" s="708"/>
      <c r="X261" s="698"/>
      <c r="Y261" s="708"/>
      <c r="Z261" s="698"/>
      <c r="AA261" s="708"/>
      <c r="AB261" s="698"/>
      <c r="AC261" s="708"/>
      <c r="AD261" s="708"/>
      <c r="AE261" s="684"/>
      <c r="AF261" s="684"/>
      <c r="AG261" s="684"/>
    </row>
    <row r="262" spans="1:41" ht="33.5">
      <c r="A262" s="467"/>
      <c r="B262" s="687" t="s">
        <v>125</v>
      </c>
      <c r="C262" s="686"/>
      <c r="D262" s="686" t="s">
        <v>185</v>
      </c>
      <c r="E262" s="686"/>
      <c r="F262" s="686" t="s">
        <v>185</v>
      </c>
      <c r="G262" s="686"/>
      <c r="H262" s="687" t="s">
        <v>125</v>
      </c>
      <c r="I262" s="686"/>
      <c r="J262" s="686" t="s">
        <v>182</v>
      </c>
      <c r="K262" s="686"/>
      <c r="L262" s="686" t="s">
        <v>182</v>
      </c>
      <c r="M262" s="686"/>
      <c r="N262" s="686" t="s">
        <v>182</v>
      </c>
      <c r="O262" s="690"/>
      <c r="P262" s="686" t="s">
        <v>182</v>
      </c>
      <c r="Q262" s="708"/>
      <c r="R262" s="687" t="s">
        <v>115</v>
      </c>
      <c r="S262" s="708"/>
      <c r="T262" s="703" t="s">
        <v>182</v>
      </c>
      <c r="U262" s="708"/>
      <c r="V262" s="703" t="s">
        <v>182</v>
      </c>
      <c r="W262" s="708"/>
      <c r="X262" s="703" t="s">
        <v>182</v>
      </c>
      <c r="Y262" s="708"/>
      <c r="Z262" s="703" t="s">
        <v>182</v>
      </c>
      <c r="AA262" s="708"/>
      <c r="AB262" s="703" t="s">
        <v>182</v>
      </c>
      <c r="AC262" s="708"/>
      <c r="AD262" s="708"/>
      <c r="AE262" s="684"/>
      <c r="AF262" s="684"/>
      <c r="AG262" s="684"/>
    </row>
    <row r="263" spans="1:41" ht="33.5">
      <c r="A263" s="467"/>
      <c r="B263" s="687"/>
      <c r="C263" s="686"/>
      <c r="D263" s="686"/>
      <c r="E263" s="686"/>
      <c r="F263" s="686"/>
      <c r="G263" s="686"/>
      <c r="H263" s="687"/>
      <c r="I263" s="686"/>
      <c r="J263" s="686"/>
      <c r="K263" s="686"/>
      <c r="L263" s="686"/>
      <c r="M263" s="686"/>
      <c r="N263" s="686"/>
      <c r="O263" s="690"/>
      <c r="P263" s="686"/>
      <c r="Q263" s="708"/>
      <c r="R263" s="687" t="s">
        <v>1681</v>
      </c>
      <c r="S263" s="708"/>
      <c r="T263" s="703"/>
      <c r="U263" s="708"/>
      <c r="V263" s="770" t="s">
        <v>1629</v>
      </c>
      <c r="W263" s="708"/>
      <c r="X263" s="703"/>
      <c r="Y263" s="708"/>
      <c r="Z263" s="703"/>
      <c r="AA263" s="708"/>
      <c r="AB263" s="703"/>
      <c r="AC263" s="708"/>
      <c r="AD263" s="708"/>
      <c r="AE263" s="684"/>
      <c r="AF263" s="684"/>
      <c r="AG263" s="684"/>
    </row>
    <row r="264" spans="1:41" ht="32" customHeight="1">
      <c r="A264" s="748"/>
      <c r="B264" s="750"/>
      <c r="C264" s="750"/>
      <c r="D264" s="750"/>
      <c r="E264" s="750"/>
      <c r="F264" s="750"/>
      <c r="G264" s="750"/>
      <c r="H264" s="749" t="s">
        <v>228</v>
      </c>
      <c r="I264" s="750"/>
      <c r="J264" s="750"/>
      <c r="K264" s="750"/>
      <c r="L264" s="749" t="s">
        <v>228</v>
      </c>
      <c r="M264" s="750"/>
      <c r="N264" s="750"/>
      <c r="O264" s="750"/>
      <c r="P264" s="749"/>
      <c r="Q264" s="750"/>
      <c r="R264" s="750"/>
      <c r="S264" s="750"/>
      <c r="T264" s="750"/>
      <c r="U264" s="750"/>
      <c r="V264" s="750"/>
      <c r="W264" s="750"/>
      <c r="X264" s="750"/>
      <c r="Y264" s="750"/>
      <c r="Z264" s="750"/>
      <c r="AA264" s="750"/>
      <c r="AB264" s="750"/>
      <c r="AC264" s="750"/>
      <c r="AD264" s="750"/>
      <c r="AE264" s="750"/>
      <c r="AF264" s="750"/>
      <c r="AG264" s="750"/>
      <c r="AH264" s="750"/>
      <c r="AI264" s="881"/>
      <c r="AJ264" s="881"/>
      <c r="AK264" s="881"/>
      <c r="AL264" s="881"/>
    </row>
    <row r="265" spans="1:41" ht="33.5">
      <c r="B265" s="703" t="s">
        <v>765</v>
      </c>
      <c r="C265" s="708"/>
      <c r="D265" s="703" t="s">
        <v>766</v>
      </c>
      <c r="E265" s="708"/>
      <c r="F265" s="703" t="s">
        <v>767</v>
      </c>
      <c r="G265" s="708"/>
      <c r="H265" s="703" t="s">
        <v>769</v>
      </c>
      <c r="I265" s="708"/>
      <c r="J265" s="703" t="s">
        <v>1361</v>
      </c>
      <c r="K265" s="708"/>
      <c r="L265" s="703" t="s">
        <v>1357</v>
      </c>
      <c r="M265" s="708"/>
      <c r="N265" s="703" t="s">
        <v>1358</v>
      </c>
      <c r="O265" s="708"/>
      <c r="P265" s="703" t="s">
        <v>1359</v>
      </c>
      <c r="Q265" s="708"/>
      <c r="R265" s="703" t="s">
        <v>1362</v>
      </c>
      <c r="S265" s="708"/>
      <c r="T265" s="703" t="s">
        <v>773</v>
      </c>
      <c r="U265" s="708"/>
      <c r="V265" s="703" t="s">
        <v>774</v>
      </c>
      <c r="W265" s="708"/>
      <c r="X265" s="703" t="s">
        <v>775</v>
      </c>
      <c r="Y265" s="708"/>
      <c r="Z265" s="703" t="s">
        <v>776</v>
      </c>
      <c r="AA265" s="708"/>
      <c r="AB265" s="732" t="s">
        <v>777</v>
      </c>
      <c r="AC265" s="708"/>
      <c r="AD265" s="703" t="s">
        <v>778</v>
      </c>
      <c r="AE265" s="708"/>
      <c r="AF265" s="708"/>
      <c r="AG265" s="708"/>
      <c r="AH265" s="708"/>
      <c r="AI265" s="708"/>
      <c r="AJ265" s="708"/>
      <c r="AK265" s="708"/>
      <c r="AL265" s="708"/>
    </row>
    <row r="266" spans="1:41" ht="33.5">
      <c r="A266" s="467"/>
      <c r="B266" s="700"/>
      <c r="C266" s="690"/>
      <c r="D266" s="700"/>
      <c r="E266" s="690"/>
      <c r="F266" s="700"/>
      <c r="G266" s="690"/>
      <c r="H266" s="700"/>
      <c r="I266" s="690"/>
      <c r="J266" s="700"/>
      <c r="K266" s="690"/>
      <c r="L266" s="700"/>
      <c r="M266" s="690"/>
      <c r="N266" s="700"/>
      <c r="O266" s="690"/>
      <c r="P266" s="700"/>
      <c r="Q266" s="708"/>
      <c r="R266" s="700"/>
      <c r="S266" s="708"/>
      <c r="T266" s="700"/>
      <c r="U266" s="690"/>
      <c r="V266" s="700"/>
      <c r="W266" s="690"/>
      <c r="X266" s="700"/>
      <c r="Y266" s="690"/>
      <c r="Z266" s="700"/>
      <c r="AA266" s="690"/>
      <c r="AB266" s="700"/>
      <c r="AC266" s="690"/>
      <c r="AD266" s="700"/>
      <c r="AE266" s="708"/>
      <c r="AF266" s="711"/>
      <c r="AG266" s="711"/>
      <c r="AH266" s="708"/>
      <c r="AI266" s="708"/>
      <c r="AJ266" s="708"/>
      <c r="AK266" s="708"/>
      <c r="AL266" s="708"/>
    </row>
    <row r="267" spans="1:41" ht="16.5" customHeight="1" thickBot="1">
      <c r="A267" s="467"/>
      <c r="B267" s="702"/>
      <c r="C267" s="690"/>
      <c r="D267" s="702"/>
      <c r="E267" s="690"/>
      <c r="F267" s="702"/>
      <c r="G267" s="690"/>
      <c r="H267" s="702"/>
      <c r="I267" s="690"/>
      <c r="J267" s="702"/>
      <c r="K267" s="690"/>
      <c r="L267" s="702"/>
      <c r="M267" s="690"/>
      <c r="N267" s="702"/>
      <c r="O267" s="690"/>
      <c r="P267" s="702"/>
      <c r="Q267" s="708"/>
      <c r="R267" s="702"/>
      <c r="S267" s="708"/>
      <c r="T267" s="702"/>
      <c r="U267" s="690"/>
      <c r="V267" s="702"/>
      <c r="W267" s="690"/>
      <c r="X267" s="702"/>
      <c r="Y267" s="690"/>
      <c r="Z267" s="702"/>
      <c r="AA267" s="690"/>
      <c r="AB267" s="702"/>
      <c r="AC267" s="690"/>
      <c r="AD267" s="702"/>
      <c r="AE267" s="708"/>
      <c r="AF267" s="711"/>
      <c r="AG267" s="711"/>
      <c r="AH267" s="708"/>
      <c r="AI267" s="708"/>
      <c r="AJ267" s="708"/>
      <c r="AK267" s="708"/>
      <c r="AL267" s="708"/>
    </row>
    <row r="268" spans="1:41" ht="100" customHeight="1" thickBot="1">
      <c r="A268" s="467"/>
      <c r="B268" s="721"/>
      <c r="C268" s="695">
        <v>410.11</v>
      </c>
      <c r="D268" s="721"/>
      <c r="E268" s="695">
        <v>414.83</v>
      </c>
      <c r="F268" s="721"/>
      <c r="G268" s="695">
        <v>360.43</v>
      </c>
      <c r="H268" s="721"/>
      <c r="I268" s="695">
        <v>226.21</v>
      </c>
      <c r="J268" s="721"/>
      <c r="K268" s="695">
        <v>438.04</v>
      </c>
      <c r="L268" s="721"/>
      <c r="M268" s="695">
        <v>402.74</v>
      </c>
      <c r="N268" s="721"/>
      <c r="O268" s="695">
        <v>433.49</v>
      </c>
      <c r="P268" s="679" t="s">
        <v>390</v>
      </c>
      <c r="Q268" s="732">
        <v>409.21</v>
      </c>
      <c r="R268" s="721"/>
      <c r="S268" s="732">
        <v>436.61</v>
      </c>
      <c r="T268" s="721"/>
      <c r="U268" s="695">
        <v>394.61</v>
      </c>
      <c r="V268" s="721"/>
      <c r="W268" s="695">
        <v>383.9</v>
      </c>
      <c r="X268" s="751"/>
      <c r="Y268" s="695">
        <v>356.32</v>
      </c>
      <c r="Z268" s="1061" t="s">
        <v>390</v>
      </c>
      <c r="AA268" s="695">
        <v>378.3</v>
      </c>
      <c r="AB268" s="751"/>
      <c r="AC268" s="695">
        <v>356.03</v>
      </c>
      <c r="AD268" s="751"/>
      <c r="AE268" s="732">
        <v>426.81700000000001</v>
      </c>
      <c r="AF268" s="711"/>
      <c r="AG268" s="711"/>
      <c r="AH268" s="695"/>
      <c r="AI268" s="695"/>
      <c r="AJ268" s="695"/>
      <c r="AK268" s="695"/>
      <c r="AL268" s="695"/>
      <c r="AM268" s="871">
        <f>COUNTIF(B268:AE268,"U/P")</f>
        <v>2</v>
      </c>
      <c r="AN268" s="871">
        <f>COUNTIF(C268:AC268,"ROW")</f>
        <v>0</v>
      </c>
      <c r="AO268" s="871">
        <f>COUNTIF(D268:AD268,"C")</f>
        <v>0</v>
      </c>
    </row>
    <row r="269" spans="1:41" ht="16.5" customHeight="1" thickBot="1">
      <c r="A269" s="467"/>
      <c r="B269" s="698"/>
      <c r="C269" s="708"/>
      <c r="D269" s="698"/>
      <c r="E269" s="708"/>
      <c r="F269" s="698"/>
      <c r="G269" s="708"/>
      <c r="H269" s="698"/>
      <c r="I269" s="708"/>
      <c r="J269" s="698"/>
      <c r="K269" s="708"/>
      <c r="L269" s="698"/>
      <c r="M269" s="708"/>
      <c r="N269" s="698"/>
      <c r="O269" s="708"/>
      <c r="P269" s="698"/>
      <c r="Q269" s="708"/>
      <c r="R269" s="698"/>
      <c r="S269" s="708"/>
      <c r="T269" s="698"/>
      <c r="U269" s="708"/>
      <c r="V269" s="698"/>
      <c r="W269" s="708"/>
      <c r="X269" s="698"/>
      <c r="Y269" s="708"/>
      <c r="Z269" s="698"/>
      <c r="AA269" s="708"/>
      <c r="AB269" s="698"/>
      <c r="AC269" s="708"/>
      <c r="AD269" s="698"/>
      <c r="AE269" s="708"/>
      <c r="AF269" s="711"/>
      <c r="AG269" s="711"/>
      <c r="AH269" s="708"/>
      <c r="AI269" s="708"/>
      <c r="AJ269" s="708"/>
      <c r="AK269" s="708"/>
      <c r="AL269" s="708"/>
    </row>
    <row r="270" spans="1:41" ht="33.5">
      <c r="A270" s="467"/>
      <c r="B270" s="686" t="s">
        <v>185</v>
      </c>
      <c r="C270" s="686"/>
      <c r="D270" s="686" t="s">
        <v>182</v>
      </c>
      <c r="E270" s="686"/>
      <c r="F270" s="686" t="s">
        <v>242</v>
      </c>
      <c r="G270" s="686"/>
      <c r="H270" s="687" t="s">
        <v>125</v>
      </c>
      <c r="I270" s="686"/>
      <c r="J270" s="687" t="s">
        <v>125</v>
      </c>
      <c r="K270" s="686"/>
      <c r="L270" s="686" t="s">
        <v>248</v>
      </c>
      <c r="M270" s="686"/>
      <c r="N270" s="686" t="s">
        <v>185</v>
      </c>
      <c r="O270" s="690"/>
      <c r="P270" s="686" t="s">
        <v>242</v>
      </c>
      <c r="Q270" s="708"/>
      <c r="R270" s="686" t="s">
        <v>248</v>
      </c>
      <c r="S270" s="708"/>
      <c r="T270" s="687" t="s">
        <v>115</v>
      </c>
      <c r="U270" s="708"/>
      <c r="V270" s="703" t="s">
        <v>182</v>
      </c>
      <c r="W270" s="708"/>
      <c r="X270" s="703" t="s">
        <v>182</v>
      </c>
      <c r="Y270" s="708"/>
      <c r="Z270" s="703" t="s">
        <v>185</v>
      </c>
      <c r="AA270" s="708"/>
      <c r="AB270" s="687" t="s">
        <v>125</v>
      </c>
      <c r="AC270" s="708"/>
      <c r="AD270" s="687" t="s">
        <v>188</v>
      </c>
      <c r="AE270" s="708"/>
      <c r="AF270" s="711"/>
      <c r="AG270" s="711"/>
      <c r="AH270" s="708"/>
      <c r="AI270" s="708"/>
      <c r="AJ270" s="708"/>
      <c r="AK270" s="708"/>
      <c r="AL270" s="708"/>
    </row>
    <row r="271" spans="1:41" ht="32" customHeight="1">
      <c r="A271" s="748"/>
      <c r="B271" s="750"/>
      <c r="C271" s="750"/>
      <c r="D271" s="750"/>
      <c r="E271" s="750"/>
      <c r="F271" s="750"/>
      <c r="G271" s="750"/>
      <c r="H271" s="750"/>
      <c r="I271" s="750"/>
      <c r="J271" s="750"/>
      <c r="K271" s="750"/>
      <c r="L271" s="750"/>
      <c r="M271" s="750"/>
      <c r="N271" s="750"/>
      <c r="O271" s="750"/>
      <c r="P271" s="750"/>
      <c r="Q271" s="750"/>
      <c r="R271" s="750"/>
      <c r="S271" s="750"/>
      <c r="T271" s="750"/>
      <c r="U271" s="750"/>
      <c r="V271" s="750"/>
      <c r="W271" s="750"/>
      <c r="X271" s="750"/>
      <c r="Y271" s="750"/>
      <c r="Z271" s="881" t="s">
        <v>228</v>
      </c>
      <c r="AA271" s="750"/>
      <c r="AB271" s="750"/>
      <c r="AC271" s="750"/>
      <c r="AD271" s="750"/>
      <c r="AE271" s="750"/>
      <c r="AF271" s="750"/>
      <c r="AG271" s="750"/>
      <c r="AH271" s="750"/>
      <c r="AI271" s="881"/>
      <c r="AJ271" s="881"/>
      <c r="AK271" s="881"/>
      <c r="AL271" s="881"/>
    </row>
    <row r="272" spans="1:41" ht="15" customHeight="1">
      <c r="B272" s="704"/>
      <c r="C272" s="704"/>
      <c r="D272" s="704"/>
      <c r="E272" s="704"/>
      <c r="F272" s="704"/>
      <c r="G272" s="704"/>
      <c r="H272" s="704"/>
      <c r="I272" s="704"/>
      <c r="J272" s="704"/>
      <c r="K272" s="704"/>
      <c r="L272" s="704"/>
      <c r="M272" s="704"/>
      <c r="N272" s="704"/>
      <c r="O272" s="693"/>
      <c r="P272" s="704"/>
      <c r="Q272" s="691"/>
      <c r="R272" s="724"/>
      <c r="S272" s="691"/>
      <c r="T272" s="724"/>
      <c r="U272" s="691"/>
      <c r="V272" s="724"/>
      <c r="W272" s="691"/>
      <c r="X272" s="724"/>
      <c r="Y272" s="691"/>
      <c r="Z272" s="724"/>
      <c r="AA272" s="691"/>
      <c r="AB272" s="724"/>
      <c r="AC272" s="691"/>
      <c r="AD272" s="691"/>
      <c r="AE272" s="683"/>
      <c r="AF272" s="684"/>
      <c r="AG272" s="684"/>
    </row>
    <row r="273" spans="1:41" ht="33.5">
      <c r="B273" s="703" t="s">
        <v>779</v>
      </c>
      <c r="C273" s="708"/>
      <c r="D273" s="732" t="s">
        <v>780</v>
      </c>
      <c r="E273" s="708"/>
      <c r="F273" s="732" t="s">
        <v>781</v>
      </c>
      <c r="G273" s="708"/>
      <c r="H273" s="732" t="s">
        <v>782</v>
      </c>
      <c r="I273" s="708"/>
      <c r="J273" s="703" t="s">
        <v>783</v>
      </c>
      <c r="K273" s="708"/>
      <c r="L273" s="703" t="s">
        <v>784</v>
      </c>
      <c r="M273" s="708"/>
      <c r="N273" s="703" t="s">
        <v>785</v>
      </c>
      <c r="O273" s="708"/>
      <c r="P273" s="703" t="s">
        <v>786</v>
      </c>
      <c r="Q273" s="708"/>
      <c r="R273" s="703" t="s">
        <v>787</v>
      </c>
      <c r="S273" s="708"/>
      <c r="T273" s="703" t="s">
        <v>788</v>
      </c>
      <c r="U273" s="708"/>
      <c r="V273" s="703" t="s">
        <v>789</v>
      </c>
      <c r="W273" s="708"/>
      <c r="X273" s="703" t="s">
        <v>790</v>
      </c>
      <c r="Y273" s="708"/>
      <c r="Z273" s="732" t="s">
        <v>791</v>
      </c>
      <c r="AA273" s="708"/>
      <c r="AB273" s="703" t="s">
        <v>792</v>
      </c>
      <c r="AC273" s="708"/>
      <c r="AD273" s="708"/>
      <c r="AE273" s="708"/>
      <c r="AF273" s="708"/>
      <c r="AG273" s="708"/>
      <c r="AH273" s="708"/>
      <c r="AI273" s="708"/>
      <c r="AJ273" s="708"/>
      <c r="AK273" s="708"/>
      <c r="AL273" s="708"/>
    </row>
    <row r="274" spans="1:41" ht="33.5">
      <c r="A274" s="467"/>
      <c r="B274" s="700"/>
      <c r="C274" s="690"/>
      <c r="D274" s="700"/>
      <c r="E274" s="690"/>
      <c r="F274" s="700"/>
      <c r="G274" s="690"/>
      <c r="H274" s="700"/>
      <c r="I274" s="690"/>
      <c r="J274" s="700"/>
      <c r="K274" s="690"/>
      <c r="L274" s="700"/>
      <c r="M274" s="690"/>
      <c r="N274" s="700"/>
      <c r="O274" s="690"/>
      <c r="P274" s="700"/>
      <c r="Q274" s="708"/>
      <c r="R274" s="700"/>
      <c r="S274" s="690"/>
      <c r="T274" s="700"/>
      <c r="U274" s="690"/>
      <c r="V274" s="700"/>
      <c r="W274" s="690"/>
      <c r="X274" s="700"/>
      <c r="Y274" s="690"/>
      <c r="Z274" s="700"/>
      <c r="AA274" s="690"/>
      <c r="AB274" s="700"/>
      <c r="AC274" s="708"/>
      <c r="AD274" s="708"/>
      <c r="AE274" s="711"/>
      <c r="AF274" s="711"/>
      <c r="AG274" s="711"/>
      <c r="AH274" s="708"/>
      <c r="AI274" s="708"/>
      <c r="AJ274" s="708"/>
      <c r="AK274" s="708"/>
      <c r="AL274" s="708"/>
    </row>
    <row r="275" spans="1:41" ht="16.5" customHeight="1" thickBot="1">
      <c r="A275" s="467"/>
      <c r="B275" s="702"/>
      <c r="C275" s="690"/>
      <c r="D275" s="702"/>
      <c r="E275" s="690"/>
      <c r="F275" s="702"/>
      <c r="G275" s="690"/>
      <c r="H275" s="702"/>
      <c r="I275" s="690"/>
      <c r="J275" s="702"/>
      <c r="K275" s="690"/>
      <c r="L275" s="702"/>
      <c r="M275" s="690"/>
      <c r="N275" s="702"/>
      <c r="O275" s="690"/>
      <c r="P275" s="702"/>
      <c r="Q275" s="708"/>
      <c r="R275" s="702"/>
      <c r="S275" s="690"/>
      <c r="T275" s="702"/>
      <c r="U275" s="690"/>
      <c r="V275" s="702"/>
      <c r="W275" s="690"/>
      <c r="X275" s="702"/>
      <c r="Y275" s="690"/>
      <c r="Z275" s="702"/>
      <c r="AA275" s="690"/>
      <c r="AB275" s="702"/>
      <c r="AC275" s="708"/>
      <c r="AD275" s="708"/>
      <c r="AE275" s="711"/>
      <c r="AF275" s="711"/>
      <c r="AG275" s="711"/>
      <c r="AH275" s="708"/>
      <c r="AI275" s="708"/>
      <c r="AJ275" s="708"/>
      <c r="AK275" s="708"/>
      <c r="AL275" s="708"/>
    </row>
    <row r="276" spans="1:41" ht="100" customHeight="1" thickBot="1">
      <c r="A276" s="467"/>
      <c r="B276" s="721"/>
      <c r="C276" s="695">
        <v>381</v>
      </c>
      <c r="D276" s="721"/>
      <c r="E276" s="695">
        <v>334</v>
      </c>
      <c r="F276" s="751"/>
      <c r="G276" s="695">
        <v>347</v>
      </c>
      <c r="H276" s="751"/>
      <c r="I276" s="695">
        <v>375.55</v>
      </c>
      <c r="J276" s="751"/>
      <c r="K276" s="695">
        <v>392</v>
      </c>
      <c r="L276" s="679" t="s">
        <v>1703</v>
      </c>
      <c r="M276" s="695">
        <v>407.97</v>
      </c>
      <c r="N276" s="1015" t="s">
        <v>1693</v>
      </c>
      <c r="O276" s="695">
        <v>392</v>
      </c>
      <c r="P276" s="679" t="s">
        <v>1703</v>
      </c>
      <c r="Q276" s="732">
        <v>405</v>
      </c>
      <c r="R276" s="721"/>
      <c r="S276" s="695">
        <v>435</v>
      </c>
      <c r="T276" s="721"/>
      <c r="U276" s="695">
        <v>378.33</v>
      </c>
      <c r="V276" s="721"/>
      <c r="W276" s="695">
        <v>386</v>
      </c>
      <c r="X276" s="721"/>
      <c r="Y276" s="695">
        <v>391</v>
      </c>
      <c r="Z276" s="751"/>
      <c r="AA276" s="695">
        <v>399.83</v>
      </c>
      <c r="AB276" s="751"/>
      <c r="AC276" s="775">
        <v>437.01</v>
      </c>
      <c r="AD276" s="708"/>
      <c r="AE276" s="711"/>
      <c r="AF276" s="711"/>
      <c r="AG276" s="711"/>
      <c r="AH276" s="708"/>
      <c r="AI276" s="708"/>
      <c r="AJ276" s="708"/>
      <c r="AK276" s="708"/>
      <c r="AL276" s="708"/>
      <c r="AM276" s="871">
        <f>COUNTIF(B276:AB276,"U/P")</f>
        <v>0</v>
      </c>
      <c r="AN276" s="871">
        <f>COUNTIF(C276:AC276,"ROW")</f>
        <v>0</v>
      </c>
      <c r="AO276" s="871">
        <f>COUNTIF(D276:AD276,"C")</f>
        <v>0</v>
      </c>
    </row>
    <row r="277" spans="1:41" ht="16.5" customHeight="1" thickBot="1">
      <c r="A277" s="467"/>
      <c r="B277" s="698"/>
      <c r="C277" s="708"/>
      <c r="D277" s="698"/>
      <c r="E277" s="708"/>
      <c r="F277" s="698"/>
      <c r="G277" s="708"/>
      <c r="H277" s="698"/>
      <c r="I277" s="708"/>
      <c r="J277" s="698"/>
      <c r="K277" s="708"/>
      <c r="L277" s="698"/>
      <c r="M277" s="708"/>
      <c r="N277" s="698"/>
      <c r="O277" s="708"/>
      <c r="P277" s="698"/>
      <c r="Q277" s="708"/>
      <c r="R277" s="698"/>
      <c r="S277" s="708"/>
      <c r="T277" s="698"/>
      <c r="U277" s="708"/>
      <c r="V277" s="698"/>
      <c r="W277" s="708"/>
      <c r="X277" s="698"/>
      <c r="Y277" s="708"/>
      <c r="Z277" s="698"/>
      <c r="AA277" s="708"/>
      <c r="AB277" s="698"/>
      <c r="AC277" s="708"/>
      <c r="AD277" s="708"/>
      <c r="AE277" s="711"/>
      <c r="AF277" s="711"/>
      <c r="AG277" s="711"/>
      <c r="AH277" s="708"/>
      <c r="AI277" s="708"/>
      <c r="AJ277" s="708"/>
      <c r="AK277" s="708"/>
      <c r="AL277" s="708"/>
    </row>
    <row r="278" spans="1:41" ht="33.5">
      <c r="A278" s="467"/>
      <c r="B278" s="687" t="s">
        <v>188</v>
      </c>
      <c r="C278" s="686"/>
      <c r="D278" s="686" t="s">
        <v>182</v>
      </c>
      <c r="E278" s="686"/>
      <c r="F278" s="686" t="s">
        <v>182</v>
      </c>
      <c r="G278" s="686"/>
      <c r="H278" s="686" t="s">
        <v>182</v>
      </c>
      <c r="I278" s="686"/>
      <c r="J278" s="687" t="s">
        <v>137</v>
      </c>
      <c r="K278" s="686"/>
      <c r="L278" s="686" t="s">
        <v>248</v>
      </c>
      <c r="M278" s="686"/>
      <c r="N278" s="687" t="s">
        <v>119</v>
      </c>
      <c r="O278" s="690"/>
      <c r="P278" s="686" t="s">
        <v>185</v>
      </c>
      <c r="Q278" s="708"/>
      <c r="R278" s="703" t="s">
        <v>185</v>
      </c>
      <c r="S278" s="708"/>
      <c r="T278" s="703" t="s">
        <v>185</v>
      </c>
      <c r="U278" s="708"/>
      <c r="V278" s="687" t="s">
        <v>115</v>
      </c>
      <c r="W278" s="708"/>
      <c r="X278" s="703" t="s">
        <v>182</v>
      </c>
      <c r="Y278" s="708"/>
      <c r="Z278" s="775" t="s">
        <v>242</v>
      </c>
      <c r="AA278" s="708"/>
      <c r="AB278" s="687" t="s">
        <v>137</v>
      </c>
      <c r="AC278" s="708"/>
      <c r="AD278" s="708"/>
      <c r="AE278" s="711"/>
      <c r="AF278" s="711"/>
      <c r="AG278" s="711"/>
      <c r="AH278" s="708"/>
      <c r="AI278" s="708"/>
      <c r="AJ278" s="708"/>
      <c r="AK278" s="708"/>
      <c r="AL278" s="708"/>
    </row>
    <row r="279" spans="1:41" ht="31" customHeight="1">
      <c r="B279" s="686"/>
      <c r="C279" s="686"/>
      <c r="D279" s="686"/>
      <c r="E279" s="686"/>
      <c r="F279" s="686"/>
      <c r="G279" s="686"/>
      <c r="H279" s="686"/>
      <c r="I279" s="686"/>
      <c r="J279" s="768" t="s">
        <v>1629</v>
      </c>
      <c r="K279" s="686"/>
      <c r="L279" s="1552" t="s">
        <v>228</v>
      </c>
      <c r="M279" s="1552"/>
      <c r="N279" s="1552"/>
      <c r="O279" s="1552"/>
      <c r="P279" s="1552"/>
      <c r="Q279" s="708"/>
      <c r="R279" s="703"/>
      <c r="S279" s="708"/>
      <c r="T279" s="703"/>
      <c r="U279" s="708"/>
      <c r="V279" s="703"/>
      <c r="W279" s="708"/>
      <c r="X279" s="703"/>
      <c r="Y279" s="708"/>
      <c r="Z279" s="775"/>
      <c r="AA279" s="708"/>
      <c r="AB279" s="717" t="s">
        <v>228</v>
      </c>
      <c r="AC279" s="708"/>
      <c r="AD279" s="708"/>
      <c r="AE279" s="710"/>
      <c r="AF279" s="711"/>
      <c r="AG279" s="711"/>
      <c r="AH279" s="708"/>
      <c r="AI279" s="708"/>
      <c r="AJ279" s="708"/>
      <c r="AK279" s="708"/>
      <c r="AL279" s="708"/>
    </row>
    <row r="280" spans="1:41" ht="39" customHeight="1">
      <c r="A280" s="748"/>
      <c r="B280" s="750"/>
      <c r="C280" s="750"/>
      <c r="D280" s="750"/>
      <c r="E280" s="750"/>
      <c r="F280" s="750"/>
      <c r="G280" s="750"/>
      <c r="H280" s="750"/>
      <c r="I280" s="750"/>
      <c r="J280" s="750"/>
      <c r="K280" s="750"/>
      <c r="L280" s="750"/>
      <c r="M280" s="750"/>
      <c r="N280" s="750"/>
      <c r="O280" s="750"/>
      <c r="P280" s="750"/>
      <c r="Q280" s="750"/>
      <c r="R280" s="750"/>
      <c r="S280" s="750"/>
      <c r="T280" s="750"/>
      <c r="U280" s="750"/>
      <c r="V280" s="750"/>
      <c r="W280" s="750"/>
      <c r="X280" s="750"/>
      <c r="Y280" s="750"/>
      <c r="Z280" s="750"/>
      <c r="AA280" s="750"/>
      <c r="AB280" s="750"/>
      <c r="AC280" s="750"/>
      <c r="AD280" s="750"/>
      <c r="AE280" s="750"/>
      <c r="AF280" s="750"/>
      <c r="AG280" s="750"/>
      <c r="AH280" s="750"/>
      <c r="AI280" s="881"/>
      <c r="AJ280" s="881"/>
      <c r="AK280" s="881"/>
      <c r="AL280" s="881"/>
    </row>
    <row r="281" spans="1:41" ht="33.5">
      <c r="B281" s="703" t="s">
        <v>793</v>
      </c>
      <c r="C281" s="708"/>
      <c r="D281" s="732" t="s">
        <v>794</v>
      </c>
      <c r="E281" s="708"/>
      <c r="F281" s="732" t="s">
        <v>795</v>
      </c>
      <c r="G281" s="732"/>
      <c r="H281" s="732" t="s">
        <v>796</v>
      </c>
      <c r="I281" s="732"/>
      <c r="J281" s="732" t="s">
        <v>797</v>
      </c>
      <c r="K281" s="732"/>
      <c r="L281" s="732" t="s">
        <v>798</v>
      </c>
      <c r="M281" s="732"/>
      <c r="N281" s="732" t="s">
        <v>799</v>
      </c>
      <c r="O281" s="732"/>
      <c r="P281" s="732" t="s">
        <v>800</v>
      </c>
      <c r="Q281" s="732"/>
      <c r="R281" s="732" t="s">
        <v>801</v>
      </c>
      <c r="S281" s="732"/>
      <c r="T281" s="732" t="s">
        <v>802</v>
      </c>
      <c r="U281" s="732"/>
      <c r="V281" s="732" t="s">
        <v>803</v>
      </c>
      <c r="W281" s="732"/>
      <c r="X281" s="732" t="s">
        <v>804</v>
      </c>
      <c r="Y281" s="732"/>
      <c r="Z281" s="732" t="s">
        <v>805</v>
      </c>
      <c r="AA281" s="732"/>
      <c r="AB281" s="732" t="s">
        <v>806</v>
      </c>
      <c r="AC281" s="708"/>
      <c r="AD281" s="708"/>
      <c r="AE281" s="708"/>
      <c r="AF281" s="708"/>
      <c r="AG281" s="708"/>
      <c r="AH281" s="708"/>
      <c r="AI281" s="708"/>
      <c r="AJ281" s="708"/>
      <c r="AK281" s="708"/>
      <c r="AL281" s="708"/>
    </row>
    <row r="282" spans="1:41" ht="33.5">
      <c r="A282" s="467"/>
      <c r="B282" s="700"/>
      <c r="C282" s="690"/>
      <c r="D282" s="700"/>
      <c r="E282" s="690"/>
      <c r="F282" s="700"/>
      <c r="G282" s="690"/>
      <c r="H282" s="700"/>
      <c r="I282" s="690"/>
      <c r="J282" s="700"/>
      <c r="K282" s="690"/>
      <c r="L282" s="700"/>
      <c r="M282" s="690"/>
      <c r="N282" s="700"/>
      <c r="O282" s="690"/>
      <c r="P282" s="700"/>
      <c r="Q282" s="708"/>
      <c r="R282" s="700"/>
      <c r="S282" s="690"/>
      <c r="T282" s="700"/>
      <c r="U282" s="690"/>
      <c r="V282" s="700"/>
      <c r="W282" s="690"/>
      <c r="X282" s="700"/>
      <c r="Y282" s="690"/>
      <c r="Z282" s="700"/>
      <c r="AA282" s="690"/>
      <c r="AB282" s="700"/>
      <c r="AC282" s="708"/>
      <c r="AD282" s="708"/>
      <c r="AE282" s="711"/>
      <c r="AF282" s="711"/>
      <c r="AG282" s="711"/>
      <c r="AH282" s="708"/>
      <c r="AI282" s="708"/>
      <c r="AJ282" s="708"/>
      <c r="AK282" s="708"/>
      <c r="AL282" s="708"/>
    </row>
    <row r="283" spans="1:41" ht="16.5" customHeight="1" thickBot="1">
      <c r="A283" s="467"/>
      <c r="B283" s="702"/>
      <c r="C283" s="690"/>
      <c r="D283" s="702"/>
      <c r="E283" s="690"/>
      <c r="F283" s="702"/>
      <c r="G283" s="690"/>
      <c r="H283" s="702"/>
      <c r="I283" s="690"/>
      <c r="J283" s="702"/>
      <c r="K283" s="690"/>
      <c r="L283" s="702"/>
      <c r="M283" s="690"/>
      <c r="N283" s="702"/>
      <c r="O283" s="690"/>
      <c r="P283" s="702"/>
      <c r="Q283" s="708"/>
      <c r="R283" s="702"/>
      <c r="S283" s="690"/>
      <c r="T283" s="702"/>
      <c r="U283" s="690"/>
      <c r="V283" s="702"/>
      <c r="W283" s="690"/>
      <c r="X283" s="702"/>
      <c r="Y283" s="690"/>
      <c r="Z283" s="702"/>
      <c r="AA283" s="690"/>
      <c r="AB283" s="702"/>
      <c r="AC283" s="708"/>
      <c r="AD283" s="708"/>
      <c r="AE283" s="711"/>
      <c r="AF283" s="711"/>
      <c r="AG283" s="711"/>
      <c r="AH283" s="708"/>
      <c r="AI283" s="708"/>
      <c r="AJ283" s="708"/>
      <c r="AK283" s="708"/>
      <c r="AL283" s="708"/>
    </row>
    <row r="284" spans="1:41" ht="100" customHeight="1" thickBot="1">
      <c r="A284" s="467"/>
      <c r="B284" s="721"/>
      <c r="C284" s="695">
        <v>401.76</v>
      </c>
      <c r="D284" s="751"/>
      <c r="E284" s="695">
        <v>416.24</v>
      </c>
      <c r="F284" s="751"/>
      <c r="G284" s="695">
        <v>417</v>
      </c>
      <c r="H284" s="751"/>
      <c r="I284" s="695">
        <v>399</v>
      </c>
      <c r="J284" s="751"/>
      <c r="K284" s="695">
        <v>420</v>
      </c>
      <c r="L284" s="751"/>
      <c r="M284" s="695">
        <v>409</v>
      </c>
      <c r="N284" s="751"/>
      <c r="O284" s="695">
        <v>412</v>
      </c>
      <c r="P284" s="751"/>
      <c r="Q284" s="732">
        <v>400.41</v>
      </c>
      <c r="R284" s="751"/>
      <c r="S284" s="695">
        <v>232.12</v>
      </c>
      <c r="T284" s="721"/>
      <c r="U284" s="695">
        <v>442</v>
      </c>
      <c r="V284" s="721"/>
      <c r="W284" s="695">
        <v>385</v>
      </c>
      <c r="X284" s="876"/>
      <c r="Y284" s="695">
        <v>362</v>
      </c>
      <c r="Z284" s="876"/>
      <c r="AA284" s="695">
        <v>399</v>
      </c>
      <c r="AB284" s="876"/>
      <c r="AC284" s="732">
        <v>382.07</v>
      </c>
      <c r="AD284" s="708"/>
      <c r="AE284" s="711"/>
      <c r="AF284" s="711"/>
      <c r="AG284" s="711"/>
      <c r="AH284" s="708"/>
      <c r="AI284" s="708"/>
      <c r="AJ284" s="708"/>
      <c r="AK284" s="708"/>
      <c r="AL284" s="708"/>
      <c r="AM284" s="871">
        <f>COUNTIF(B284:AB284,"U/P")</f>
        <v>0</v>
      </c>
      <c r="AN284" s="871">
        <f>COUNTIF(C284:AC284,"ROW")</f>
        <v>0</v>
      </c>
      <c r="AO284" s="871">
        <f>COUNTIF(D284:AD284,"C")</f>
        <v>0</v>
      </c>
    </row>
    <row r="285" spans="1:41" ht="16.5" customHeight="1" thickBot="1">
      <c r="A285" s="467"/>
      <c r="B285" s="698"/>
      <c r="C285" s="708"/>
      <c r="D285" s="698"/>
      <c r="E285" s="708"/>
      <c r="F285" s="698"/>
      <c r="G285" s="708"/>
      <c r="H285" s="698"/>
      <c r="I285" s="708"/>
      <c r="J285" s="698"/>
      <c r="K285" s="708"/>
      <c r="L285" s="698"/>
      <c r="M285" s="708"/>
      <c r="N285" s="698"/>
      <c r="O285" s="708"/>
      <c r="P285" s="698"/>
      <c r="Q285" s="708"/>
      <c r="R285" s="698"/>
      <c r="S285" s="708"/>
      <c r="T285" s="698"/>
      <c r="U285" s="708"/>
      <c r="V285" s="698"/>
      <c r="W285" s="708"/>
      <c r="X285" s="698"/>
      <c r="Y285" s="708"/>
      <c r="Z285" s="698"/>
      <c r="AA285" s="708"/>
      <c r="AB285" s="698"/>
      <c r="AC285" s="708"/>
      <c r="AD285" s="708"/>
      <c r="AE285" s="711"/>
      <c r="AF285" s="711"/>
      <c r="AG285" s="711"/>
      <c r="AH285" s="708"/>
      <c r="AI285" s="708"/>
      <c r="AJ285" s="708"/>
      <c r="AK285" s="708"/>
      <c r="AL285" s="708"/>
    </row>
    <row r="286" spans="1:41" ht="33.5">
      <c r="A286" s="467"/>
      <c r="B286" s="687" t="s">
        <v>137</v>
      </c>
      <c r="C286" s="686"/>
      <c r="D286" s="686" t="s">
        <v>242</v>
      </c>
      <c r="E286" s="686"/>
      <c r="F286" s="686" t="s">
        <v>182</v>
      </c>
      <c r="G286" s="686"/>
      <c r="H286" s="686" t="s">
        <v>185</v>
      </c>
      <c r="I286" s="686"/>
      <c r="J286" s="686" t="s">
        <v>185</v>
      </c>
      <c r="K286" s="686"/>
      <c r="L286" s="686" t="s">
        <v>185</v>
      </c>
      <c r="M286" s="686"/>
      <c r="N286" s="686" t="s">
        <v>182</v>
      </c>
      <c r="O286" s="690"/>
      <c r="P286" s="686" t="s">
        <v>185</v>
      </c>
      <c r="Q286" s="708"/>
      <c r="R286" s="687" t="s">
        <v>192</v>
      </c>
      <c r="S286" s="708"/>
      <c r="T286" s="687" t="s">
        <v>192</v>
      </c>
      <c r="U286" s="703"/>
      <c r="V286" s="703" t="s">
        <v>185</v>
      </c>
      <c r="W286" s="708"/>
      <c r="X286" s="703" t="s">
        <v>182</v>
      </c>
      <c r="Y286" s="708"/>
      <c r="Z286" s="703" t="s">
        <v>182</v>
      </c>
      <c r="AA286" s="708"/>
      <c r="AB286" s="703" t="s">
        <v>185</v>
      </c>
      <c r="AC286" s="708"/>
      <c r="AD286" s="708"/>
      <c r="AE286" s="711"/>
      <c r="AF286" s="711"/>
      <c r="AG286" s="711"/>
      <c r="AH286" s="708"/>
      <c r="AI286" s="708"/>
      <c r="AJ286" s="708"/>
      <c r="AK286" s="708"/>
      <c r="AL286" s="708"/>
    </row>
    <row r="287" spans="1:41" ht="36">
      <c r="A287" s="750"/>
      <c r="B287" s="750"/>
      <c r="C287" s="750"/>
      <c r="D287" s="750"/>
      <c r="E287" s="750"/>
      <c r="F287" s="750"/>
      <c r="G287" s="750"/>
      <c r="H287" s="750"/>
      <c r="I287" s="750"/>
      <c r="J287" s="750"/>
      <c r="K287" s="750"/>
      <c r="L287" s="750"/>
      <c r="M287" s="750"/>
      <c r="N287" s="750"/>
      <c r="O287" s="750"/>
      <c r="P287" s="750"/>
      <c r="Q287" s="750"/>
      <c r="R287" s="750"/>
      <c r="S287" s="750"/>
      <c r="T287" s="750"/>
      <c r="U287" s="750"/>
      <c r="V287" s="750"/>
      <c r="W287" s="750"/>
      <c r="X287" s="750"/>
      <c r="Y287" s="750"/>
      <c r="Z287" s="750"/>
      <c r="AA287" s="750"/>
      <c r="AB287" s="750"/>
      <c r="AC287" s="750"/>
      <c r="AD287" s="750"/>
      <c r="AE287" s="750"/>
      <c r="AF287" s="750"/>
      <c r="AG287" s="750"/>
      <c r="AH287" s="750"/>
      <c r="AI287" s="881"/>
      <c r="AJ287" s="881"/>
      <c r="AK287" s="881"/>
      <c r="AL287" s="881"/>
    </row>
    <row r="288" spans="1:41" ht="17.5" customHeight="1">
      <c r="B288" s="704"/>
      <c r="C288" s="704"/>
      <c r="D288" s="704"/>
      <c r="E288" s="704"/>
      <c r="F288" s="704"/>
      <c r="G288" s="704"/>
      <c r="H288" s="704"/>
      <c r="I288" s="704"/>
      <c r="J288" s="704"/>
      <c r="K288" s="704"/>
      <c r="L288" s="704"/>
      <c r="M288" s="704"/>
      <c r="N288" s="704"/>
      <c r="O288" s="693"/>
      <c r="P288" s="704"/>
      <c r="Q288" s="691"/>
      <c r="R288" s="724"/>
      <c r="S288" s="691"/>
      <c r="T288" s="724"/>
      <c r="U288" s="724"/>
      <c r="V288" s="724"/>
      <c r="W288" s="691"/>
      <c r="X288" s="724"/>
      <c r="Y288" s="691"/>
      <c r="Z288" s="724"/>
      <c r="AA288" s="691"/>
      <c r="AB288" s="724"/>
      <c r="AC288" s="691"/>
      <c r="AD288" s="691"/>
      <c r="AE288" s="683"/>
      <c r="AF288" s="684"/>
      <c r="AG288" s="684"/>
    </row>
    <row r="289" spans="1:41" ht="33.5">
      <c r="B289" s="703" t="s">
        <v>807</v>
      </c>
      <c r="C289" s="708"/>
      <c r="D289" s="703" t="s">
        <v>808</v>
      </c>
      <c r="E289" s="708"/>
      <c r="F289" s="732" t="s">
        <v>809</v>
      </c>
      <c r="G289" s="708"/>
      <c r="H289" s="732" t="s">
        <v>1285</v>
      </c>
      <c r="I289" s="708"/>
      <c r="J289" s="732" t="s">
        <v>810</v>
      </c>
      <c r="K289" s="708"/>
      <c r="L289" s="732" t="s">
        <v>811</v>
      </c>
      <c r="M289" s="708"/>
      <c r="N289" s="732" t="s">
        <v>812</v>
      </c>
      <c r="O289" s="708"/>
      <c r="P289" s="732" t="s">
        <v>813</v>
      </c>
      <c r="Q289" s="708"/>
      <c r="R289" s="732" t="s">
        <v>814</v>
      </c>
      <c r="S289" s="708"/>
      <c r="T289" s="732" t="s">
        <v>815</v>
      </c>
      <c r="U289" s="732"/>
      <c r="V289" s="732" t="s">
        <v>816</v>
      </c>
      <c r="W289" s="732"/>
      <c r="X289" s="732" t="s">
        <v>817</v>
      </c>
      <c r="Y289" s="732"/>
      <c r="Z289" s="732" t="s">
        <v>1286</v>
      </c>
      <c r="AA289" s="673" t="s">
        <v>1513</v>
      </c>
      <c r="AB289" s="732" t="s">
        <v>1287</v>
      </c>
      <c r="AC289" s="708"/>
      <c r="AD289" s="708"/>
      <c r="AE289" s="708"/>
      <c r="AF289" s="708"/>
      <c r="AG289" s="708"/>
      <c r="AH289" s="708"/>
      <c r="AI289" s="708"/>
      <c r="AJ289" s="708"/>
      <c r="AK289" s="708"/>
      <c r="AL289" s="708"/>
    </row>
    <row r="290" spans="1:41" ht="33.5">
      <c r="B290" s="700"/>
      <c r="C290" s="690"/>
      <c r="D290" s="700"/>
      <c r="E290" s="690"/>
      <c r="F290" s="700"/>
      <c r="G290" s="690"/>
      <c r="H290" s="700"/>
      <c r="I290" s="690"/>
      <c r="J290" s="700"/>
      <c r="K290" s="690"/>
      <c r="L290" s="700"/>
      <c r="M290" s="690"/>
      <c r="N290" s="700"/>
      <c r="O290" s="690"/>
      <c r="P290" s="700"/>
      <c r="Q290" s="708"/>
      <c r="R290" s="700"/>
      <c r="S290" s="690"/>
      <c r="T290" s="700"/>
      <c r="U290" s="690"/>
      <c r="V290" s="700"/>
      <c r="W290" s="690"/>
      <c r="X290" s="700"/>
      <c r="Y290" s="690"/>
      <c r="Z290" s="700"/>
      <c r="AA290" s="690"/>
      <c r="AB290" s="700"/>
      <c r="AC290" s="708"/>
      <c r="AD290" s="708"/>
      <c r="AE290" s="711"/>
      <c r="AF290" s="711"/>
      <c r="AG290" s="711"/>
      <c r="AH290" s="708"/>
      <c r="AI290" s="708"/>
      <c r="AJ290" s="708"/>
      <c r="AK290" s="708"/>
      <c r="AL290" s="708"/>
    </row>
    <row r="291" spans="1:41" ht="16.5" customHeight="1" thickBot="1">
      <c r="B291" s="702"/>
      <c r="C291" s="690"/>
      <c r="D291" s="702"/>
      <c r="E291" s="690"/>
      <c r="F291" s="702"/>
      <c r="G291" s="690"/>
      <c r="H291" s="702"/>
      <c r="I291" s="690"/>
      <c r="J291" s="702"/>
      <c r="K291" s="690"/>
      <c r="L291" s="702"/>
      <c r="M291" s="690"/>
      <c r="N291" s="702"/>
      <c r="O291" s="690"/>
      <c r="P291" s="702"/>
      <c r="Q291" s="708"/>
      <c r="R291" s="702"/>
      <c r="S291" s="690"/>
      <c r="T291" s="702"/>
      <c r="U291" s="690"/>
      <c r="V291" s="702"/>
      <c r="W291" s="690"/>
      <c r="X291" s="702"/>
      <c r="Y291" s="690"/>
      <c r="Z291" s="702"/>
      <c r="AA291" s="690"/>
      <c r="AB291" s="702"/>
      <c r="AC291" s="708"/>
      <c r="AD291" s="708"/>
      <c r="AE291" s="711"/>
      <c r="AF291" s="711"/>
      <c r="AG291" s="711"/>
      <c r="AH291" s="708"/>
      <c r="AI291" s="708"/>
      <c r="AJ291" s="708"/>
      <c r="AK291" s="708"/>
      <c r="AL291" s="708"/>
    </row>
    <row r="292" spans="1:41" ht="100" customHeight="1" thickBot="1">
      <c r="B292" s="721"/>
      <c r="C292" s="695">
        <v>392</v>
      </c>
      <c r="D292" s="721"/>
      <c r="E292" s="695">
        <v>422</v>
      </c>
      <c r="F292" s="721"/>
      <c r="G292" s="695">
        <v>409.46</v>
      </c>
      <c r="H292" s="721"/>
      <c r="I292" s="695">
        <v>373.69</v>
      </c>
      <c r="J292" s="721"/>
      <c r="K292" s="695">
        <v>381.62</v>
      </c>
      <c r="L292" s="721"/>
      <c r="M292" s="695">
        <v>381.82</v>
      </c>
      <c r="N292" s="721"/>
      <c r="O292" s="695">
        <v>391.44</v>
      </c>
      <c r="P292" s="721"/>
      <c r="Q292" s="732">
        <v>385.78</v>
      </c>
      <c r="R292" s="721"/>
      <c r="S292" s="695">
        <v>367.45</v>
      </c>
      <c r="T292" s="721"/>
      <c r="U292" s="695">
        <v>379.63</v>
      </c>
      <c r="V292" s="721"/>
      <c r="W292" s="695">
        <v>380.46</v>
      </c>
      <c r="X292" s="721"/>
      <c r="Y292" s="695">
        <v>382.98</v>
      </c>
      <c r="Z292" s="721"/>
      <c r="AA292" s="695">
        <v>241.5</v>
      </c>
      <c r="AB292" s="679" t="s">
        <v>228</v>
      </c>
      <c r="AC292" s="775">
        <v>363.92</v>
      </c>
      <c r="AD292" s="708"/>
      <c r="AE292" s="711"/>
      <c r="AF292" s="711"/>
      <c r="AG292" s="711"/>
      <c r="AH292" s="708"/>
      <c r="AI292" s="708"/>
      <c r="AJ292" s="708"/>
      <c r="AK292" s="708"/>
      <c r="AL292" s="708"/>
      <c r="AM292" s="871">
        <f>COUNTIF(B292:AB292,"U/P")</f>
        <v>0</v>
      </c>
      <c r="AN292" s="871">
        <f>COUNTIF(C292:AC292,"ROW")</f>
        <v>1</v>
      </c>
      <c r="AO292" s="871">
        <f>COUNTIF(D292:AD292,"C")</f>
        <v>0</v>
      </c>
    </row>
    <row r="293" spans="1:41" ht="16.5" customHeight="1" thickBot="1">
      <c r="B293" s="698"/>
      <c r="C293" s="708"/>
      <c r="D293" s="698"/>
      <c r="E293" s="708"/>
      <c r="F293" s="698"/>
      <c r="G293" s="708"/>
      <c r="H293" s="698"/>
      <c r="I293" s="708"/>
      <c r="J293" s="698"/>
      <c r="K293" s="708"/>
      <c r="L293" s="698"/>
      <c r="M293" s="708"/>
      <c r="N293" s="698"/>
      <c r="O293" s="708"/>
      <c r="P293" s="698"/>
      <c r="Q293" s="708"/>
      <c r="R293" s="698"/>
      <c r="S293" s="708"/>
      <c r="T293" s="698"/>
      <c r="U293" s="708"/>
      <c r="V293" s="698"/>
      <c r="W293" s="708"/>
      <c r="X293" s="698"/>
      <c r="Y293" s="708"/>
      <c r="Z293" s="698"/>
      <c r="AA293" s="708"/>
      <c r="AB293" s="698"/>
      <c r="AC293" s="708"/>
      <c r="AD293" s="708"/>
      <c r="AE293" s="711"/>
      <c r="AF293" s="711"/>
      <c r="AG293" s="711"/>
      <c r="AH293" s="708"/>
      <c r="AI293" s="708"/>
      <c r="AJ293" s="708"/>
      <c r="AK293" s="708"/>
      <c r="AL293" s="708"/>
    </row>
    <row r="294" spans="1:41" ht="33.5">
      <c r="B294" s="687" t="s">
        <v>115</v>
      </c>
      <c r="C294" s="686"/>
      <c r="D294" s="686" t="s">
        <v>185</v>
      </c>
      <c r="E294" s="686"/>
      <c r="F294" s="686" t="s">
        <v>182</v>
      </c>
      <c r="G294" s="686"/>
      <c r="H294" s="687" t="s">
        <v>115</v>
      </c>
      <c r="I294" s="686"/>
      <c r="J294" s="686" t="s">
        <v>182</v>
      </c>
      <c r="K294" s="686"/>
      <c r="L294" s="686" t="s">
        <v>182</v>
      </c>
      <c r="M294" s="686"/>
      <c r="N294" s="686" t="s">
        <v>182</v>
      </c>
      <c r="O294" s="690"/>
      <c r="P294" s="686" t="s">
        <v>182</v>
      </c>
      <c r="Q294" s="708"/>
      <c r="R294" s="703" t="s">
        <v>182</v>
      </c>
      <c r="S294" s="708"/>
      <c r="T294" s="703" t="s">
        <v>182</v>
      </c>
      <c r="U294" s="703"/>
      <c r="V294" s="703" t="s">
        <v>182</v>
      </c>
      <c r="W294" s="703"/>
      <c r="X294" s="703" t="s">
        <v>182</v>
      </c>
      <c r="Y294" s="703"/>
      <c r="Z294" s="703" t="s">
        <v>182</v>
      </c>
      <c r="AA294" s="703"/>
      <c r="AB294" s="687" t="s">
        <v>119</v>
      </c>
      <c r="AC294" s="708"/>
      <c r="AD294" s="708"/>
      <c r="AE294" s="711"/>
      <c r="AF294" s="711"/>
      <c r="AG294" s="711"/>
      <c r="AH294" s="708"/>
      <c r="AI294" s="708"/>
      <c r="AJ294" s="708"/>
      <c r="AK294" s="708"/>
      <c r="AL294" s="708"/>
      <c r="AM294" s="873"/>
    </row>
    <row r="295" spans="1:41" ht="46">
      <c r="A295" s="723"/>
      <c r="B295" s="750"/>
      <c r="C295" s="723"/>
      <c r="D295" s="723"/>
      <c r="E295" s="723"/>
      <c r="F295" s="723"/>
      <c r="G295" s="723"/>
      <c r="H295" s="723"/>
      <c r="I295" s="723"/>
      <c r="J295" s="723"/>
      <c r="K295" s="723"/>
      <c r="L295" s="723"/>
      <c r="M295" s="723"/>
      <c r="N295" s="723"/>
      <c r="O295" s="723"/>
      <c r="P295" s="723"/>
      <c r="Q295" s="723"/>
      <c r="R295" s="723"/>
      <c r="S295" s="723"/>
      <c r="T295" s="750"/>
      <c r="U295" s="723"/>
      <c r="V295" s="723"/>
      <c r="W295" s="723"/>
      <c r="X295" s="723"/>
      <c r="Y295" s="723"/>
      <c r="Z295" s="750"/>
      <c r="AA295" s="750"/>
      <c r="AB295" s="881" t="s">
        <v>228</v>
      </c>
      <c r="AC295" s="723"/>
      <c r="AD295" s="723"/>
      <c r="AE295" s="723"/>
      <c r="AF295" s="723"/>
      <c r="AG295" s="723"/>
      <c r="AH295" s="723"/>
      <c r="AI295" s="723"/>
      <c r="AJ295" s="723"/>
      <c r="AK295" s="723"/>
      <c r="AL295" s="723"/>
    </row>
    <row r="296" spans="1:41" ht="15" customHeight="1">
      <c r="B296" s="704"/>
      <c r="C296" s="704"/>
      <c r="D296" s="704"/>
      <c r="E296" s="704"/>
      <c r="F296" s="704"/>
      <c r="G296" s="704"/>
      <c r="H296" s="704"/>
      <c r="I296" s="704"/>
      <c r="J296" s="704"/>
      <c r="K296" s="704"/>
      <c r="L296" s="704"/>
      <c r="M296" s="704"/>
      <c r="N296" s="704"/>
      <c r="O296" s="693"/>
      <c r="P296" s="704"/>
      <c r="Q296" s="691"/>
      <c r="R296" s="724"/>
      <c r="S296" s="691"/>
      <c r="T296" s="724"/>
      <c r="U296" s="724"/>
      <c r="V296" s="724"/>
      <c r="W296" s="724"/>
      <c r="X296" s="724"/>
      <c r="Y296" s="724"/>
      <c r="Z296" s="724"/>
      <c r="AA296" s="724"/>
      <c r="AB296" s="724"/>
      <c r="AC296" s="691"/>
      <c r="AD296" s="691"/>
      <c r="AE296" s="683"/>
      <c r="AF296" s="684"/>
      <c r="AG296" s="684"/>
    </row>
    <row r="297" spans="1:41" ht="33.5">
      <c r="A297" s="503"/>
      <c r="B297" s="732" t="s">
        <v>818</v>
      </c>
      <c r="C297" s="732"/>
      <c r="D297" s="732" t="s">
        <v>819</v>
      </c>
      <c r="E297" s="732"/>
      <c r="F297" s="732" t="s">
        <v>820</v>
      </c>
      <c r="G297" s="732"/>
      <c r="H297" s="732" t="s">
        <v>821</v>
      </c>
      <c r="I297" s="732"/>
      <c r="J297" s="732" t="s">
        <v>822</v>
      </c>
      <c r="K297" s="732"/>
      <c r="L297" s="732" t="s">
        <v>823</v>
      </c>
      <c r="M297" s="732"/>
      <c r="N297" s="732" t="s">
        <v>824</v>
      </c>
      <c r="O297" s="732"/>
      <c r="P297" s="732" t="s">
        <v>827</v>
      </c>
      <c r="Q297" s="732"/>
      <c r="R297" s="732" t="s">
        <v>1363</v>
      </c>
      <c r="S297" s="732"/>
      <c r="T297" s="732" t="s">
        <v>1364</v>
      </c>
      <c r="U297" s="732"/>
      <c r="V297" s="732" t="s">
        <v>1365</v>
      </c>
      <c r="W297" s="732"/>
      <c r="X297" s="732" t="s">
        <v>1366</v>
      </c>
      <c r="Y297" s="732"/>
      <c r="Z297" s="732" t="s">
        <v>1367</v>
      </c>
      <c r="AA297" s="708"/>
      <c r="AB297" s="732" t="s">
        <v>830</v>
      </c>
      <c r="AC297" s="732"/>
      <c r="AD297" s="732" t="s">
        <v>831</v>
      </c>
      <c r="AE297" s="708"/>
      <c r="AF297" s="708"/>
      <c r="AG297" s="708"/>
      <c r="AH297" s="708"/>
      <c r="AI297" s="708"/>
      <c r="AJ297" s="708"/>
      <c r="AK297" s="708"/>
      <c r="AL297" s="708"/>
    </row>
    <row r="298" spans="1:41" ht="33.5">
      <c r="B298" s="700"/>
      <c r="C298" s="690"/>
      <c r="D298" s="700"/>
      <c r="E298" s="690"/>
      <c r="F298" s="700"/>
      <c r="G298" s="690"/>
      <c r="H298" s="700"/>
      <c r="I298" s="690"/>
      <c r="J298" s="700"/>
      <c r="K298" s="690"/>
      <c r="L298" s="700"/>
      <c r="M298" s="690"/>
      <c r="N298" s="700"/>
      <c r="O298" s="690"/>
      <c r="P298" s="700"/>
      <c r="Q298" s="708"/>
      <c r="R298" s="700"/>
      <c r="S298" s="690"/>
      <c r="T298" s="700"/>
      <c r="U298" s="690"/>
      <c r="V298" s="700"/>
      <c r="W298" s="690"/>
      <c r="X298" s="700"/>
      <c r="Y298" s="690"/>
      <c r="Z298" s="700"/>
      <c r="AA298" s="708"/>
      <c r="AB298" s="700"/>
      <c r="AC298" s="690"/>
      <c r="AD298" s="700"/>
      <c r="AE298" s="708"/>
      <c r="AF298" s="711"/>
      <c r="AG298" s="711"/>
      <c r="AH298" s="708"/>
      <c r="AI298" s="708"/>
      <c r="AJ298" s="708"/>
      <c r="AK298" s="708"/>
      <c r="AL298" s="708"/>
    </row>
    <row r="299" spans="1:41" ht="16.5" customHeight="1" thickBot="1">
      <c r="B299" s="702"/>
      <c r="C299" s="690"/>
      <c r="D299" s="702"/>
      <c r="E299" s="690"/>
      <c r="F299" s="702"/>
      <c r="G299" s="690"/>
      <c r="H299" s="702"/>
      <c r="I299" s="690"/>
      <c r="J299" s="702"/>
      <c r="K299" s="690"/>
      <c r="L299" s="702"/>
      <c r="M299" s="690"/>
      <c r="N299" s="702"/>
      <c r="O299" s="690"/>
      <c r="P299" s="702"/>
      <c r="Q299" s="708"/>
      <c r="R299" s="702"/>
      <c r="S299" s="690"/>
      <c r="T299" s="702"/>
      <c r="U299" s="690"/>
      <c r="V299" s="702"/>
      <c r="W299" s="690"/>
      <c r="X299" s="702"/>
      <c r="Y299" s="690"/>
      <c r="Z299" s="702"/>
      <c r="AA299" s="708"/>
      <c r="AB299" s="702"/>
      <c r="AC299" s="690"/>
      <c r="AD299" s="702"/>
      <c r="AE299" s="708"/>
      <c r="AF299" s="711"/>
      <c r="AG299" s="711"/>
      <c r="AH299" s="708"/>
      <c r="AI299" s="708"/>
      <c r="AJ299" s="708"/>
      <c r="AK299" s="708"/>
      <c r="AL299" s="708"/>
    </row>
    <row r="300" spans="1:41" ht="100" customHeight="1" thickBot="1">
      <c r="B300" s="721"/>
      <c r="C300" s="695">
        <v>359.14</v>
      </c>
      <c r="D300" s="721"/>
      <c r="E300" s="695">
        <v>384.88</v>
      </c>
      <c r="F300" s="721"/>
      <c r="G300" s="695">
        <v>381.91</v>
      </c>
      <c r="H300" s="721"/>
      <c r="I300" s="695">
        <v>397.15</v>
      </c>
      <c r="J300" s="721"/>
      <c r="K300" s="695">
        <v>387.13</v>
      </c>
      <c r="L300" s="721"/>
      <c r="M300" s="695">
        <v>392.12</v>
      </c>
      <c r="N300" s="721"/>
      <c r="O300" s="695">
        <v>364.62</v>
      </c>
      <c r="P300" s="721"/>
      <c r="Q300" s="732">
        <v>188.37</v>
      </c>
      <c r="R300" s="751"/>
      <c r="S300" s="695">
        <v>395.54</v>
      </c>
      <c r="T300" s="721"/>
      <c r="U300" s="695">
        <v>425</v>
      </c>
      <c r="V300" s="721"/>
      <c r="W300" s="695">
        <v>407</v>
      </c>
      <c r="X300" s="721"/>
      <c r="Y300" s="695">
        <v>433</v>
      </c>
      <c r="Z300" s="679" t="s">
        <v>390</v>
      </c>
      <c r="AA300" s="695">
        <v>489.23</v>
      </c>
      <c r="AB300" s="679" t="s">
        <v>71</v>
      </c>
      <c r="AC300" s="695">
        <v>290</v>
      </c>
      <c r="AD300" s="679"/>
      <c r="AE300" s="775">
        <v>419.40300000000002</v>
      </c>
      <c r="AF300" s="711"/>
      <c r="AG300" s="711"/>
      <c r="AH300" s="708"/>
      <c r="AI300" s="708"/>
      <c r="AJ300" s="708"/>
      <c r="AK300" s="708"/>
      <c r="AL300" s="708"/>
      <c r="AM300" s="871">
        <f>COUNTIF(B300:AB300,"U/P")</f>
        <v>1</v>
      </c>
      <c r="AN300" s="871">
        <f>COUNTIF(C300:AC300,"ROW")</f>
        <v>0</v>
      </c>
      <c r="AO300" s="871">
        <f>COUNTIF(B300:AD300,"C")</f>
        <v>1</v>
      </c>
    </row>
    <row r="301" spans="1:41" ht="16.5" customHeight="1" thickBot="1">
      <c r="B301" s="698"/>
      <c r="C301" s="708"/>
      <c r="D301" s="698"/>
      <c r="E301" s="708"/>
      <c r="F301" s="698"/>
      <c r="G301" s="708"/>
      <c r="H301" s="698"/>
      <c r="I301" s="708"/>
      <c r="J301" s="698"/>
      <c r="K301" s="708"/>
      <c r="L301" s="698"/>
      <c r="M301" s="708"/>
      <c r="N301" s="698"/>
      <c r="O301" s="708"/>
      <c r="P301" s="698"/>
      <c r="Q301" s="708"/>
      <c r="R301" s="698"/>
      <c r="S301" s="708"/>
      <c r="T301" s="698"/>
      <c r="U301" s="708"/>
      <c r="V301" s="698"/>
      <c r="W301" s="708"/>
      <c r="X301" s="698"/>
      <c r="Y301" s="708"/>
      <c r="Z301" s="698"/>
      <c r="AA301" s="708"/>
      <c r="AB301" s="698"/>
      <c r="AC301" s="708"/>
      <c r="AD301" s="776"/>
      <c r="AE301" s="708"/>
      <c r="AF301" s="711"/>
      <c r="AG301" s="711"/>
      <c r="AH301" s="708"/>
      <c r="AI301" s="708"/>
      <c r="AJ301" s="708"/>
      <c r="AK301" s="708"/>
      <c r="AL301" s="708"/>
    </row>
    <row r="302" spans="1:41" ht="33.5">
      <c r="B302" s="686" t="s">
        <v>182</v>
      </c>
      <c r="C302" s="686"/>
      <c r="D302" s="686" t="s">
        <v>182</v>
      </c>
      <c r="E302" s="686"/>
      <c r="F302" s="686" t="s">
        <v>182</v>
      </c>
      <c r="G302" s="686"/>
      <c r="H302" s="686" t="s">
        <v>182</v>
      </c>
      <c r="I302" s="686"/>
      <c r="J302" s="686" t="s">
        <v>182</v>
      </c>
      <c r="K302" s="686"/>
      <c r="L302" s="686" t="s">
        <v>182</v>
      </c>
      <c r="M302" s="686"/>
      <c r="N302" s="686" t="s">
        <v>182</v>
      </c>
      <c r="O302" s="690"/>
      <c r="P302" s="686" t="s">
        <v>125</v>
      </c>
      <c r="Q302" s="708"/>
      <c r="R302" s="777" t="s">
        <v>125</v>
      </c>
      <c r="S302" s="708"/>
      <c r="T302" s="687" t="s">
        <v>188</v>
      </c>
      <c r="U302" s="708"/>
      <c r="V302" s="708" t="s">
        <v>185</v>
      </c>
      <c r="W302" s="708"/>
      <c r="X302" s="778" t="s">
        <v>182</v>
      </c>
      <c r="Y302" s="708"/>
      <c r="Z302" s="687" t="s">
        <v>132</v>
      </c>
      <c r="AA302" s="708"/>
      <c r="AB302" s="687" t="s">
        <v>147</v>
      </c>
      <c r="AC302" s="708"/>
      <c r="AD302" s="687" t="s">
        <v>147</v>
      </c>
      <c r="AE302" s="708"/>
      <c r="AF302" s="711"/>
      <c r="AG302" s="711"/>
      <c r="AH302" s="708"/>
      <c r="AI302" s="708"/>
      <c r="AJ302" s="708"/>
      <c r="AK302" s="708"/>
      <c r="AL302" s="708"/>
    </row>
    <row r="303" spans="1:41" ht="4.5" customHeight="1">
      <c r="B303" s="691"/>
      <c r="C303" s="691"/>
      <c r="D303" s="691"/>
      <c r="E303" s="691"/>
      <c r="F303" s="691"/>
      <c r="G303" s="691"/>
      <c r="H303" s="691"/>
      <c r="I303" s="691"/>
      <c r="J303" s="691"/>
      <c r="K303" s="691"/>
      <c r="L303" s="691"/>
      <c r="M303" s="691"/>
      <c r="N303" s="691"/>
      <c r="O303" s="691"/>
      <c r="P303" s="691"/>
      <c r="Q303" s="691"/>
      <c r="R303" s="691"/>
      <c r="S303" s="691"/>
      <c r="T303" s="691"/>
      <c r="U303" s="691"/>
      <c r="V303" s="691"/>
      <c r="W303" s="691"/>
      <c r="X303" s="691"/>
      <c r="Y303" s="691"/>
      <c r="Z303" s="691"/>
      <c r="AA303" s="691"/>
      <c r="AB303" s="691"/>
      <c r="AC303" s="691"/>
      <c r="AD303" s="691"/>
      <c r="AE303" s="769"/>
      <c r="AF303" s="674"/>
      <c r="AG303" s="674"/>
    </row>
    <row r="304" spans="1:41" ht="30" customHeight="1">
      <c r="A304" s="723"/>
      <c r="B304" s="723"/>
      <c r="C304" s="723"/>
      <c r="D304" s="750"/>
      <c r="E304" s="723"/>
      <c r="F304" s="723"/>
      <c r="G304" s="723"/>
      <c r="H304" s="723"/>
      <c r="I304" s="723"/>
      <c r="J304" s="1553"/>
      <c r="K304" s="1553"/>
      <c r="L304" s="1553"/>
      <c r="M304" s="1553"/>
      <c r="N304" s="1553"/>
      <c r="O304" s="1553"/>
      <c r="P304" s="1553"/>
      <c r="Q304" s="1553"/>
      <c r="R304" s="1553"/>
      <c r="S304" s="1553"/>
      <c r="T304" s="1553"/>
      <c r="U304" s="1553"/>
      <c r="V304" s="1553"/>
      <c r="W304" s="1553"/>
      <c r="X304" s="1553"/>
      <c r="Y304" s="1553"/>
      <c r="Z304" s="1554" t="s">
        <v>1541</v>
      </c>
      <c r="AA304" s="1554"/>
      <c r="AB304" s="1554"/>
      <c r="AC304" s="1554"/>
      <c r="AD304" s="1554"/>
      <c r="AE304" s="1554"/>
      <c r="AF304" s="1555"/>
      <c r="AG304" s="828"/>
      <c r="AH304" s="870"/>
      <c r="AI304" s="881"/>
      <c r="AJ304" s="881"/>
      <c r="AK304" s="881"/>
      <c r="AL304" s="881"/>
    </row>
    <row r="305" spans="1:41" ht="33.5">
      <c r="A305" s="503"/>
      <c r="B305" s="732" t="s">
        <v>832</v>
      </c>
      <c r="C305" s="732"/>
      <c r="D305" s="732" t="s">
        <v>833</v>
      </c>
      <c r="E305" s="732"/>
      <c r="F305" s="732" t="s">
        <v>1288</v>
      </c>
      <c r="G305" s="732"/>
      <c r="H305" s="732" t="s">
        <v>835</v>
      </c>
      <c r="I305" s="732"/>
      <c r="J305" s="732" t="s">
        <v>836</v>
      </c>
      <c r="K305" s="732"/>
      <c r="L305" s="732" t="s">
        <v>837</v>
      </c>
      <c r="M305" s="732"/>
      <c r="N305" s="732" t="s">
        <v>838</v>
      </c>
      <c r="O305" s="732"/>
      <c r="P305" s="1540" t="s">
        <v>1515</v>
      </c>
      <c r="Q305" s="1540"/>
      <c r="R305" s="708"/>
      <c r="S305" s="691"/>
      <c r="T305" s="1034">
        <v>1</v>
      </c>
      <c r="U305" s="1541" t="s">
        <v>1535</v>
      </c>
      <c r="V305" s="1541"/>
      <c r="W305" s="1541"/>
      <c r="X305" s="1541"/>
      <c r="Y305" s="1541"/>
      <c r="Z305" s="1534"/>
      <c r="AA305" s="1534"/>
      <c r="AB305" s="1537"/>
      <c r="AC305" s="1537"/>
      <c r="AD305" s="1542"/>
      <c r="AE305" s="1543"/>
      <c r="AF305" s="1543"/>
      <c r="AG305" s="1543"/>
      <c r="AH305" s="1543"/>
      <c r="AI305" s="888"/>
      <c r="AJ305" s="888"/>
      <c r="AK305" s="888"/>
      <c r="AL305" s="888"/>
    </row>
    <row r="306" spans="1:41" ht="33.5" customHeight="1">
      <c r="B306" s="700"/>
      <c r="C306" s="690"/>
      <c r="D306" s="700"/>
      <c r="E306" s="690"/>
      <c r="F306" s="700"/>
      <c r="G306" s="690"/>
      <c r="H306" s="700"/>
      <c r="I306" s="690"/>
      <c r="J306" s="700"/>
      <c r="K306" s="690"/>
      <c r="L306" s="700"/>
      <c r="M306" s="690"/>
      <c r="N306" s="700"/>
      <c r="O306" s="690"/>
      <c r="P306" s="708"/>
      <c r="Q306" s="708"/>
      <c r="R306" s="700"/>
      <c r="S306" s="693"/>
      <c r="T306" s="780">
        <v>2</v>
      </c>
      <c r="U306" s="1534" t="s">
        <v>1536</v>
      </c>
      <c r="V306" s="1534"/>
      <c r="W306" s="1534"/>
      <c r="X306" s="1534"/>
      <c r="Y306" s="1534"/>
      <c r="Z306" s="1534"/>
      <c r="AA306" s="1534"/>
      <c r="AB306" s="1535"/>
      <c r="AC306" s="1535"/>
      <c r="AD306" s="1544">
        <f>AB306+AB307+AB308</f>
        <v>0</v>
      </c>
      <c r="AE306" s="1544"/>
      <c r="AF306" s="1544"/>
      <c r="AG306" s="1544"/>
      <c r="AH306" s="1544"/>
      <c r="AI306" s="880"/>
      <c r="AJ306" s="880"/>
      <c r="AK306" s="880"/>
      <c r="AL306" s="880"/>
    </row>
    <row r="307" spans="1:41" ht="32.5" customHeight="1" thickBot="1">
      <c r="A307" s="467"/>
      <c r="B307" s="702"/>
      <c r="C307" s="690"/>
      <c r="D307" s="702"/>
      <c r="E307" s="690"/>
      <c r="F307" s="702"/>
      <c r="G307" s="690"/>
      <c r="H307" s="702"/>
      <c r="I307" s="690"/>
      <c r="J307" s="702"/>
      <c r="K307" s="690"/>
      <c r="L307" s="702"/>
      <c r="M307" s="690"/>
      <c r="N307" s="702"/>
      <c r="O307" s="690"/>
      <c r="P307" s="702"/>
      <c r="Q307" s="708"/>
      <c r="R307" s="702"/>
      <c r="S307" s="693"/>
      <c r="T307" s="781">
        <v>3</v>
      </c>
      <c r="U307" s="1545" t="s">
        <v>1537</v>
      </c>
      <c r="V307" s="1546"/>
      <c r="W307" s="1546"/>
      <c r="X307" s="1546"/>
      <c r="Y307" s="1546"/>
      <c r="Z307" s="1546"/>
      <c r="AA307" s="1547"/>
      <c r="AB307" s="1535"/>
      <c r="AC307" s="1535"/>
      <c r="AD307" s="1544"/>
      <c r="AE307" s="1544"/>
      <c r="AF307" s="1544"/>
      <c r="AG307" s="1544"/>
      <c r="AH307" s="1544"/>
      <c r="AI307" s="880"/>
      <c r="AJ307" s="880"/>
      <c r="AK307" s="880"/>
      <c r="AL307" s="880"/>
    </row>
    <row r="308" spans="1:41" ht="100" customHeight="1" thickBot="1">
      <c r="A308" s="467"/>
      <c r="B308" s="751"/>
      <c r="C308" s="695">
        <v>242.63</v>
      </c>
      <c r="D308" s="679" t="s">
        <v>390</v>
      </c>
      <c r="E308" s="695">
        <v>342.72699999999998</v>
      </c>
      <c r="F308" s="721"/>
      <c r="G308" s="695">
        <v>389.221</v>
      </c>
      <c r="H308" s="679"/>
      <c r="I308" s="695">
        <v>220.25299999999999</v>
      </c>
      <c r="J308" s="679"/>
      <c r="K308" s="695">
        <v>241.31200000000001</v>
      </c>
      <c r="L308" s="679"/>
      <c r="M308" s="695">
        <v>214.90199999999999</v>
      </c>
      <c r="N308" s="679"/>
      <c r="O308" s="686">
        <v>113.742</v>
      </c>
      <c r="P308" s="782"/>
      <c r="Q308" s="708"/>
      <c r="R308" s="783"/>
      <c r="S308" s="696"/>
      <c r="T308" s="780">
        <v>4</v>
      </c>
      <c r="U308" s="1534" t="s">
        <v>1538</v>
      </c>
      <c r="V308" s="1534"/>
      <c r="W308" s="1534"/>
      <c r="X308" s="1534"/>
      <c r="Y308" s="1534"/>
      <c r="Z308" s="1534"/>
      <c r="AA308" s="1534"/>
      <c r="AB308" s="1548"/>
      <c r="AC308" s="1549"/>
      <c r="AD308" s="1544"/>
      <c r="AE308" s="1544"/>
      <c r="AF308" s="1544"/>
      <c r="AG308" s="1544"/>
      <c r="AH308" s="1544"/>
      <c r="AI308" s="880"/>
      <c r="AJ308" s="880"/>
      <c r="AK308" s="880"/>
      <c r="AL308" s="880"/>
      <c r="AM308" s="871">
        <f>COUNTIF(B308:AB308,"U/P")</f>
        <v>1</v>
      </c>
      <c r="AN308" s="871">
        <f>COUNTIF(C308:AC308,"ROW")</f>
        <v>0</v>
      </c>
      <c r="AO308" s="871">
        <f>COUNTIF(D308:AD308,"C")</f>
        <v>0</v>
      </c>
    </row>
    <row r="309" spans="1:41" ht="26.5" customHeight="1" thickBot="1">
      <c r="A309" s="467"/>
      <c r="B309" s="698"/>
      <c r="C309" s="708"/>
      <c r="D309" s="698"/>
      <c r="E309" s="708"/>
      <c r="F309" s="698"/>
      <c r="G309" s="708"/>
      <c r="H309" s="698"/>
      <c r="I309" s="708"/>
      <c r="J309" s="698"/>
      <c r="K309" s="708"/>
      <c r="L309" s="698"/>
      <c r="M309" s="708"/>
      <c r="N309" s="698"/>
      <c r="O309" s="708"/>
      <c r="P309" s="784"/>
      <c r="Q309" s="708"/>
      <c r="R309" s="700"/>
      <c r="S309" s="691"/>
      <c r="T309" s="712">
        <v>5</v>
      </c>
      <c r="U309" s="1534" t="s">
        <v>1539</v>
      </c>
      <c r="V309" s="1534"/>
      <c r="W309" s="1534"/>
      <c r="X309" s="1534"/>
      <c r="Y309" s="1534"/>
      <c r="Z309" s="1534"/>
      <c r="AA309" s="1534"/>
      <c r="AB309" s="1535"/>
      <c r="AC309" s="1535"/>
      <c r="AD309" s="1536">
        <f>AB309+AB310</f>
        <v>0</v>
      </c>
      <c r="AE309" s="1536"/>
      <c r="AF309" s="1536"/>
      <c r="AG309" s="1536"/>
      <c r="AH309" s="1536"/>
      <c r="AI309" s="879"/>
      <c r="AJ309" s="879"/>
      <c r="AK309" s="879"/>
      <c r="AL309" s="879"/>
      <c r="AM309" s="686">
        <f>SUM(AM19:AM308)</f>
        <v>9</v>
      </c>
      <c r="AN309" s="686">
        <f>SUM(AN20:AN308)</f>
        <v>21</v>
      </c>
      <c r="AO309" s="686">
        <f>SUM(AO20:AO308)</f>
        <v>2</v>
      </c>
    </row>
    <row r="310" spans="1:41" ht="35" customHeight="1">
      <c r="A310" s="467"/>
      <c r="B310" s="687" t="s">
        <v>117</v>
      </c>
      <c r="C310" s="686"/>
      <c r="D310" s="687" t="s">
        <v>117</v>
      </c>
      <c r="E310" s="686"/>
      <c r="F310" s="687" t="s">
        <v>119</v>
      </c>
      <c r="G310" s="686"/>
      <c r="H310" s="687" t="s">
        <v>125</v>
      </c>
      <c r="I310" s="686"/>
      <c r="J310" s="687" t="s">
        <v>125</v>
      </c>
      <c r="K310" s="686"/>
      <c r="L310" s="687" t="s">
        <v>147</v>
      </c>
      <c r="M310" s="686"/>
      <c r="N310" s="687" t="s">
        <v>125</v>
      </c>
      <c r="O310" s="690"/>
      <c r="P310" s="690"/>
      <c r="Q310" s="708"/>
      <c r="R310" s="708"/>
      <c r="S310" s="691"/>
      <c r="T310" s="785">
        <v>6</v>
      </c>
      <c r="U310" s="1534" t="s">
        <v>1540</v>
      </c>
      <c r="V310" s="1534"/>
      <c r="W310" s="1534"/>
      <c r="X310" s="1534"/>
      <c r="Y310" s="1534"/>
      <c r="Z310" s="1534"/>
      <c r="AA310" s="1534"/>
      <c r="AB310" s="1537"/>
      <c r="AC310" s="1537"/>
      <c r="AD310" s="1536"/>
      <c r="AE310" s="1536"/>
      <c r="AF310" s="1536"/>
      <c r="AG310" s="1536"/>
      <c r="AH310" s="1536"/>
      <c r="AI310" s="879"/>
      <c r="AJ310" s="879"/>
      <c r="AK310" s="879"/>
      <c r="AL310" s="879"/>
      <c r="AM310" s="726" t="s">
        <v>390</v>
      </c>
      <c r="AN310" s="726" t="s">
        <v>228</v>
      </c>
      <c r="AO310" s="726" t="s">
        <v>375</v>
      </c>
    </row>
    <row r="311" spans="1:41" ht="39.5" customHeight="1">
      <c r="A311" s="1043"/>
      <c r="B311" s="1043"/>
      <c r="C311" s="1043"/>
      <c r="D311" s="1043" t="s">
        <v>228</v>
      </c>
      <c r="E311" s="1043"/>
      <c r="F311" s="1043"/>
      <c r="G311" s="1043"/>
      <c r="J311" s="870" t="s">
        <v>1541</v>
      </c>
      <c r="K311" s="1027"/>
      <c r="L311" s="1027"/>
      <c r="M311" s="1027"/>
      <c r="N311" s="1027"/>
      <c r="O311" s="1027"/>
      <c r="P311" s="1027"/>
      <c r="Q311" s="1027"/>
      <c r="R311" s="1056"/>
      <c r="S311" s="723"/>
      <c r="T311" s="860">
        <v>7</v>
      </c>
      <c r="U311" s="1538" t="s">
        <v>1542</v>
      </c>
      <c r="V311" s="1538"/>
      <c r="W311" s="1538"/>
      <c r="X311" s="1538"/>
      <c r="Y311" s="1538"/>
      <c r="Z311" s="1538"/>
      <c r="AA311" s="1538"/>
      <c r="AB311" s="1539"/>
      <c r="AC311" s="1539"/>
      <c r="AD311" s="1536"/>
      <c r="AE311" s="1536"/>
      <c r="AF311" s="1536"/>
      <c r="AG311" s="1536"/>
      <c r="AH311" s="1536"/>
      <c r="AI311" s="879"/>
      <c r="AJ311" s="879"/>
      <c r="AK311" s="879"/>
      <c r="AL311" s="879"/>
    </row>
    <row r="312" spans="1:41" ht="14.5">
      <c r="AE312" s="674"/>
      <c r="AF312" s="674"/>
      <c r="AG312" s="674"/>
    </row>
    <row r="313" spans="1:41" ht="14.5">
      <c r="A313" s="467"/>
      <c r="B313" s="472"/>
      <c r="C313" s="473"/>
      <c r="D313" s="472"/>
      <c r="E313" s="473"/>
      <c r="F313" s="472"/>
      <c r="G313" s="473"/>
      <c r="H313" s="472"/>
      <c r="I313" s="473"/>
      <c r="J313" s="472"/>
      <c r="K313" s="473"/>
      <c r="L313" s="472"/>
      <c r="M313" s="473"/>
      <c r="N313" s="472"/>
      <c r="O313" s="473"/>
      <c r="P313" s="472"/>
      <c r="R313" s="472"/>
      <c r="S313" s="473"/>
      <c r="T313" s="472"/>
      <c r="U313" s="473"/>
      <c r="V313" s="472"/>
      <c r="W313" s="473"/>
      <c r="X313" s="472"/>
      <c r="Y313" s="473"/>
      <c r="Z313" s="472"/>
      <c r="AA313" s="473"/>
      <c r="AB313" s="472"/>
      <c r="AE313" s="684"/>
      <c r="AF313" s="684"/>
      <c r="AG313" s="684"/>
    </row>
    <row r="314" spans="1:41" ht="16.5" customHeight="1">
      <c r="A314" s="467"/>
      <c r="B314" s="444"/>
      <c r="C314" s="473"/>
      <c r="D314" s="444"/>
      <c r="E314" s="473"/>
      <c r="F314" s="444"/>
      <c r="G314" s="473"/>
      <c r="H314" s="444"/>
      <c r="I314" s="473"/>
      <c r="J314" s="444"/>
      <c r="K314" s="473"/>
      <c r="L314" s="444"/>
      <c r="M314" s="473"/>
      <c r="N314" s="444"/>
      <c r="O314" s="473"/>
      <c r="P314" s="444"/>
      <c r="R314" s="444"/>
      <c r="S314" s="473"/>
      <c r="T314" s="444"/>
      <c r="U314" s="473"/>
      <c r="V314" s="444"/>
      <c r="W314" s="473"/>
      <c r="X314" s="444"/>
      <c r="Y314" s="473"/>
      <c r="Z314" s="444"/>
      <c r="AA314" s="473"/>
      <c r="AB314" s="444"/>
      <c r="AE314" s="475"/>
      <c r="AF314" s="475"/>
      <c r="AG314" s="475"/>
    </row>
    <row r="315" spans="1:41" ht="42.75" customHeight="1">
      <c r="A315" s="467"/>
      <c r="B315" s="452"/>
      <c r="C315" s="477"/>
      <c r="D315" s="452"/>
      <c r="E315" s="477"/>
      <c r="F315" s="452"/>
      <c r="G315" s="477"/>
      <c r="H315" s="452"/>
      <c r="I315" s="477"/>
      <c r="J315" s="452"/>
      <c r="K315" s="477"/>
      <c r="L315" s="452"/>
      <c r="M315" s="477"/>
      <c r="N315" s="452"/>
      <c r="O315" s="473"/>
      <c r="P315" s="452"/>
      <c r="R315" s="452"/>
      <c r="S315" s="477"/>
      <c r="T315" s="452"/>
      <c r="U315" s="477"/>
      <c r="V315" s="452"/>
      <c r="W315" s="477"/>
      <c r="X315" s="452"/>
      <c r="Y315" s="477"/>
      <c r="Z315" s="452"/>
      <c r="AA315" s="477"/>
      <c r="AB315" s="452"/>
      <c r="AE315" s="475"/>
      <c r="AF315" s="475"/>
      <c r="AG315" s="475"/>
    </row>
    <row r="316" spans="1:41" ht="16.5" customHeight="1">
      <c r="A316" s="467"/>
      <c r="B316" s="472"/>
      <c r="D316" s="472"/>
      <c r="F316" s="472"/>
      <c r="H316" s="472"/>
      <c r="J316" s="472"/>
      <c r="L316" s="472"/>
      <c r="N316" s="472"/>
      <c r="P316" s="472"/>
      <c r="R316" s="472"/>
      <c r="T316" s="472"/>
      <c r="V316" s="472"/>
      <c r="X316" s="472"/>
      <c r="Z316" s="472"/>
      <c r="AB316" s="472"/>
      <c r="AE316" s="475"/>
      <c r="AF316" s="475"/>
      <c r="AG316" s="475"/>
    </row>
    <row r="317" spans="1:41">
      <c r="A317" s="467"/>
      <c r="B317" s="450"/>
      <c r="C317" s="450"/>
      <c r="D317" s="450"/>
      <c r="E317" s="450"/>
      <c r="F317" s="450"/>
      <c r="G317" s="450"/>
      <c r="H317" s="450"/>
      <c r="I317" s="450"/>
      <c r="J317" s="450"/>
      <c r="K317" s="450"/>
      <c r="L317" s="450"/>
      <c r="M317" s="450"/>
      <c r="N317" s="450"/>
      <c r="O317" s="473"/>
      <c r="P317" s="473"/>
      <c r="AE317" s="475"/>
      <c r="AF317" s="475"/>
      <c r="AG317" s="475"/>
    </row>
    <row r="319" spans="1:41">
      <c r="AE319" s="475"/>
      <c r="AF319" s="475"/>
      <c r="AG319" s="475"/>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3166" priority="459" operator="equal">
      <formula>0</formula>
    </cfRule>
  </conditionalFormatting>
  <conditionalFormatting sqref="A171">
    <cfRule type="cellIs" dxfId="3165" priority="409" operator="equal">
      <formula>0</formula>
    </cfRule>
  </conditionalFormatting>
  <conditionalFormatting sqref="A188 D188 F188 H188 J188 L188 N188 P188 R188 T188 V188 X188 Z188 AB188">
    <cfRule type="cellIs" dxfId="3164" priority="1453" operator="equal">
      <formula>0</formula>
    </cfRule>
  </conditionalFormatting>
  <conditionalFormatting sqref="B20">
    <cfRule type="cellIs" dxfId="3163" priority="1517" operator="equal">
      <formula>"U/P"</formula>
    </cfRule>
    <cfRule type="cellIs" dxfId="3162" priority="1518" operator="equal">
      <formula>"F"</formula>
    </cfRule>
    <cfRule type="cellIs" dxfId="3161" priority="1519" operator="equal">
      <formula>"F"</formula>
    </cfRule>
  </conditionalFormatting>
  <conditionalFormatting sqref="B27">
    <cfRule type="cellIs" dxfId="3160" priority="1413" operator="equal">
      <formula>"U/P"</formula>
    </cfRule>
    <cfRule type="cellIs" dxfId="3159" priority="1414" operator="equal">
      <formula>"F"</formula>
    </cfRule>
    <cfRule type="cellIs" dxfId="3158" priority="1415" operator="equal">
      <formula>"F"</formula>
    </cfRule>
  </conditionalFormatting>
  <conditionalFormatting sqref="B34">
    <cfRule type="cellIs" dxfId="3157" priority="1371" operator="equal">
      <formula>"U/P"</formula>
    </cfRule>
    <cfRule type="cellIs" dxfId="3156" priority="1372" operator="equal">
      <formula>"F"</formula>
    </cfRule>
    <cfRule type="cellIs" dxfId="3155" priority="1373" operator="equal">
      <formula>"F"</formula>
    </cfRule>
  </conditionalFormatting>
  <conditionalFormatting sqref="B41">
    <cfRule type="cellIs" dxfId="3154" priority="1332" operator="equal">
      <formula>"U/P"</formula>
    </cfRule>
    <cfRule type="cellIs" dxfId="3153" priority="1333" operator="equal">
      <formula>"F"</formula>
    </cfRule>
    <cfRule type="cellIs" dxfId="3152" priority="1334" operator="equal">
      <formula>"F"</formula>
    </cfRule>
  </conditionalFormatting>
  <conditionalFormatting sqref="B48">
    <cfRule type="cellIs" dxfId="3151" priority="1290" operator="equal">
      <formula>"U/P"</formula>
    </cfRule>
    <cfRule type="cellIs" dxfId="3150" priority="1291" operator="equal">
      <formula>"F"</formula>
    </cfRule>
    <cfRule type="cellIs" dxfId="3149" priority="1292" operator="equal">
      <formula>"F"</formula>
    </cfRule>
  </conditionalFormatting>
  <conditionalFormatting sqref="B51 D51 F51 H51 J51 L51 N51 P51 R51 T51 V51 X51 Z51 AB51">
    <cfRule type="cellIs" dxfId="3148" priority="1513" operator="equal">
      <formula>0</formula>
    </cfRule>
  </conditionalFormatting>
  <conditionalFormatting sqref="B57">
    <cfRule type="cellIs" dxfId="3147" priority="1248" operator="equal">
      <formula>"U/P"</formula>
    </cfRule>
    <cfRule type="cellIs" dxfId="3146" priority="1249" operator="equal">
      <formula>"F"</formula>
    </cfRule>
    <cfRule type="cellIs" dxfId="3145" priority="1250" operator="equal">
      <formula>"F"</formula>
    </cfRule>
  </conditionalFormatting>
  <conditionalFormatting sqref="B60 D60 F60 N60 P60 R60 T60 V60 X60 Z60 AB60">
    <cfRule type="cellIs" dxfId="3144" priority="1512" operator="equal">
      <formula>0</formula>
    </cfRule>
  </conditionalFormatting>
  <conditionalFormatting sqref="B65">
    <cfRule type="cellIs" dxfId="3143" priority="1206" operator="equal">
      <formula>"U/P"</formula>
    </cfRule>
    <cfRule type="cellIs" dxfId="3142" priority="1207" operator="equal">
      <formula>"F"</formula>
    </cfRule>
    <cfRule type="cellIs" dxfId="3141" priority="1208" operator="equal">
      <formula>"F"</formula>
    </cfRule>
  </conditionalFormatting>
  <conditionalFormatting sqref="B68 D68 F68 H68 J68 L68:M68 P68 R68 T68 V68 X68 Z68 AB68">
    <cfRule type="cellIs" dxfId="3140" priority="1511" operator="equal">
      <formula>0</formula>
    </cfRule>
  </conditionalFormatting>
  <conditionalFormatting sqref="B73">
    <cfRule type="cellIs" dxfId="3139" priority="1164" operator="equal">
      <formula>"U/P"</formula>
    </cfRule>
    <cfRule type="cellIs" dxfId="3138" priority="1165" operator="equal">
      <formula>"F"</formula>
    </cfRule>
    <cfRule type="cellIs" dxfId="3137" priority="1166" operator="equal">
      <formula>"F"</formula>
    </cfRule>
  </conditionalFormatting>
  <conditionalFormatting sqref="B82">
    <cfRule type="cellIs" dxfId="3136" priority="1122" operator="equal">
      <formula>"U/P"</formula>
    </cfRule>
    <cfRule type="cellIs" dxfId="3135" priority="1123" operator="equal">
      <formula>"F"</formula>
    </cfRule>
    <cfRule type="cellIs" dxfId="3134" priority="1124" operator="equal">
      <formula>"F"</formula>
    </cfRule>
  </conditionalFormatting>
  <conditionalFormatting sqref="B86 D86 F86 H86 J86 L86 N86 P86 R86 T86 V86 X86 Z86 AB86">
    <cfRule type="cellIs" dxfId="3133" priority="1501" operator="equal">
      <formula>0</formula>
    </cfRule>
  </conditionalFormatting>
  <conditionalFormatting sqref="B90">
    <cfRule type="cellIs" dxfId="3132" priority="1086" operator="equal">
      <formula>"U/P"</formula>
    </cfRule>
    <cfRule type="cellIs" dxfId="3131" priority="1087" operator="equal">
      <formula>"F"</formula>
    </cfRule>
    <cfRule type="cellIs" dxfId="3130" priority="1088" operator="equal">
      <formula>"F"</formula>
    </cfRule>
  </conditionalFormatting>
  <conditionalFormatting sqref="B94 D94 F94 H94 J94 L94 N94 P94 R94 T94 V94 X94 Z94 AB94">
    <cfRule type="cellIs" dxfId="3129" priority="1500" operator="equal">
      <formula>0</formula>
    </cfRule>
  </conditionalFormatting>
  <conditionalFormatting sqref="B99">
    <cfRule type="cellIs" dxfId="3128" priority="1044" operator="equal">
      <formula>"U/P"</formula>
    </cfRule>
    <cfRule type="cellIs" dxfId="3127" priority="1045" operator="equal">
      <formula>"F"</formula>
    </cfRule>
    <cfRule type="cellIs" dxfId="3126" priority="1046" operator="equal">
      <formula>"F"</formula>
    </cfRule>
  </conditionalFormatting>
  <conditionalFormatting sqref="B103 D103 F103 H103 J103 L103 N103 P103 R103 T103 V103 X103 Z103 AB103">
    <cfRule type="cellIs" dxfId="3125" priority="1499" operator="equal">
      <formula>0</formula>
    </cfRule>
  </conditionalFormatting>
  <conditionalFormatting sqref="B107">
    <cfRule type="cellIs" dxfId="3124" priority="1005" operator="equal">
      <formula>"U/P"</formula>
    </cfRule>
    <cfRule type="cellIs" dxfId="3123" priority="1006" operator="equal">
      <formula>"F"</formula>
    </cfRule>
    <cfRule type="cellIs" dxfId="3122" priority="1007" operator="equal">
      <formula>"F"</formula>
    </cfRule>
  </conditionalFormatting>
  <conditionalFormatting sqref="B110 D110 F110 H110 J110 L110 N110 P110 T110 AB110">
    <cfRule type="cellIs" dxfId="3121" priority="1498" operator="equal">
      <formula>0</formula>
    </cfRule>
  </conditionalFormatting>
  <conditionalFormatting sqref="B115">
    <cfRule type="cellIs" dxfId="3120" priority="978" operator="equal">
      <formula>"U/P"</formula>
    </cfRule>
    <cfRule type="cellIs" dxfId="3119" priority="979" operator="equal">
      <formula>"F"</formula>
    </cfRule>
    <cfRule type="cellIs" dxfId="3118" priority="980" operator="equal">
      <formula>"F"</formula>
    </cfRule>
  </conditionalFormatting>
  <conditionalFormatting sqref="B123">
    <cfRule type="cellIs" dxfId="3117" priority="936" operator="equal">
      <formula>"U/P"</formula>
    </cfRule>
    <cfRule type="cellIs" dxfId="3116" priority="937" operator="equal">
      <formula>"F"</formula>
    </cfRule>
    <cfRule type="cellIs" dxfId="3115" priority="938" operator="equal">
      <formula>"F"</formula>
    </cfRule>
  </conditionalFormatting>
  <conditionalFormatting sqref="B132">
    <cfRule type="cellIs" dxfId="3114" priority="909" operator="equal">
      <formula>"U/P"</formula>
    </cfRule>
    <cfRule type="cellIs" dxfId="3113" priority="910" operator="equal">
      <formula>"F"</formula>
    </cfRule>
    <cfRule type="cellIs" dxfId="3112" priority="911" operator="equal">
      <formula>"F"</formula>
    </cfRule>
  </conditionalFormatting>
  <conditionalFormatting sqref="B135 D135 F135 H135 J135 L135 N135 P135 R135 T135 V135 X135 Z135 AB135">
    <cfRule type="cellIs" dxfId="3111" priority="1476" operator="equal">
      <formula>0</formula>
    </cfRule>
  </conditionalFormatting>
  <conditionalFormatting sqref="B141">
    <cfRule type="cellIs" dxfId="3110" priority="1486" operator="equal">
      <formula>"U/P"</formula>
    </cfRule>
    <cfRule type="cellIs" dxfId="3109" priority="1487" operator="equal">
      <formula>"F"</formula>
    </cfRule>
    <cfRule type="cellIs" dxfId="3108" priority="1488" operator="equal">
      <formula>"F"</formula>
    </cfRule>
  </conditionalFormatting>
  <conditionalFormatting sqref="B150">
    <cfRule type="cellIs" dxfId="3107" priority="885" operator="equal">
      <formula>"U/P"</formula>
    </cfRule>
    <cfRule type="cellIs" dxfId="3106" priority="886" operator="equal">
      <formula>"F"</formula>
    </cfRule>
    <cfRule type="cellIs" dxfId="3105" priority="887" operator="equal">
      <formula>"F"</formula>
    </cfRule>
  </conditionalFormatting>
  <conditionalFormatting sqref="B153 D153 F153 H153 J153 L153 N153 P153 R153 T153 V153 X153 Z153 AB153">
    <cfRule type="cellIs" dxfId="3104" priority="1475" operator="equal">
      <formula>0</formula>
    </cfRule>
  </conditionalFormatting>
  <conditionalFormatting sqref="B159">
    <cfRule type="cellIs" dxfId="3103" priority="852" operator="equal">
      <formula>"U/P"</formula>
    </cfRule>
    <cfRule type="cellIs" dxfId="3102" priority="853" operator="equal">
      <formula>"F"</formula>
    </cfRule>
    <cfRule type="cellIs" dxfId="3101" priority="854" operator="equal">
      <formula>"F"</formula>
    </cfRule>
  </conditionalFormatting>
  <conditionalFormatting sqref="B162 D162 F162 H162 J162 L162 N162 P162 R162 T162 V162 X162 Z162 AB162 B164 D164 F164 H164 J164 L164 N164 P164 R164 T164 V164 X164 Z164 AB164">
    <cfRule type="cellIs" dxfId="3100" priority="1474" operator="equal">
      <formula>0</formula>
    </cfRule>
  </conditionalFormatting>
  <conditionalFormatting sqref="B168">
    <cfRule type="cellIs" dxfId="3099" priority="28" operator="equal">
      <formula>"U/P"</formula>
    </cfRule>
    <cfRule type="cellIs" dxfId="3098" priority="29" operator="equal">
      <formula>"F"</formula>
    </cfRule>
    <cfRule type="cellIs" dxfId="3097" priority="30" operator="equal">
      <formula>"F"</formula>
    </cfRule>
  </conditionalFormatting>
  <conditionalFormatting sqref="B176">
    <cfRule type="cellIs" dxfId="3096" priority="789" operator="equal">
      <formula>"U/P"</formula>
    </cfRule>
    <cfRule type="cellIs" dxfId="3095" priority="790" operator="equal">
      <formula>"F"</formula>
    </cfRule>
    <cfRule type="cellIs" dxfId="3094" priority="791" operator="equal">
      <formula>"F"</formula>
    </cfRule>
  </conditionalFormatting>
  <conditionalFormatting sqref="B180 D180 F180 H180 J180 L180 N180 P180 R180 T180 V180 X180 Z180 AB180">
    <cfRule type="cellIs" dxfId="3093" priority="1472" operator="equal">
      <formula>0</formula>
    </cfRule>
  </conditionalFormatting>
  <conditionalFormatting sqref="B185">
    <cfRule type="cellIs" dxfId="3092" priority="274" operator="equal">
      <formula>"U/P"</formula>
    </cfRule>
    <cfRule type="cellIs" dxfId="3091" priority="275" operator="equal">
      <formula>"F"</formula>
    </cfRule>
    <cfRule type="cellIs" dxfId="3090" priority="276" operator="equal">
      <formula>"F"</formula>
    </cfRule>
  </conditionalFormatting>
  <conditionalFormatting sqref="B194">
    <cfRule type="cellIs" dxfId="3089" priority="157" operator="equal">
      <formula>"U/P"</formula>
    </cfRule>
    <cfRule type="cellIs" dxfId="3088" priority="158" operator="equal">
      <formula>"F"</formula>
    </cfRule>
    <cfRule type="cellIs" dxfId="3087" priority="159" operator="equal">
      <formula>"F"</formula>
    </cfRule>
  </conditionalFormatting>
  <conditionalFormatting sqref="B206 D206 F206 H206 J206 L206 N206 P206 R206 T206 V206 X206 Z206 AB206">
    <cfRule type="cellIs" dxfId="3086" priority="1452" operator="equal">
      <formula>0</formula>
    </cfRule>
  </conditionalFormatting>
  <conditionalFormatting sqref="B210">
    <cfRule type="cellIs" dxfId="3085" priority="1457" operator="equal">
      <formula>"U/P"</formula>
    </cfRule>
    <cfRule type="cellIs" dxfId="3084" priority="1458" operator="equal">
      <formula>"F"</formula>
    </cfRule>
    <cfRule type="cellIs" dxfId="3083" priority="1459" operator="equal">
      <formula>"F"</formula>
    </cfRule>
  </conditionalFormatting>
  <conditionalFormatting sqref="B218">
    <cfRule type="cellIs" dxfId="3082" priority="151" operator="equal">
      <formula>"U/P"</formula>
    </cfRule>
    <cfRule type="cellIs" dxfId="3081" priority="152" operator="equal">
      <formula>"F"</formula>
    </cfRule>
    <cfRule type="cellIs" dxfId="3080" priority="153" operator="equal">
      <formula>"F"</formula>
    </cfRule>
  </conditionalFormatting>
  <conditionalFormatting sqref="B226">
    <cfRule type="cellIs" dxfId="3079" priority="723" operator="equal">
      <formula>"U/P"</formula>
    </cfRule>
    <cfRule type="cellIs" dxfId="3078" priority="724" operator="equal">
      <formula>"F"</formula>
    </cfRule>
    <cfRule type="cellIs" dxfId="3077" priority="725" operator="equal">
      <formula>"F"</formula>
    </cfRule>
  </conditionalFormatting>
  <conditionalFormatting sqref="B235">
    <cfRule type="cellIs" dxfId="3076" priority="702" operator="equal">
      <formula>"U/P"</formula>
    </cfRule>
    <cfRule type="cellIs" dxfId="3075" priority="703" operator="equal">
      <formula>"F"</formula>
    </cfRule>
    <cfRule type="cellIs" dxfId="3074" priority="704" operator="equal">
      <formula>"F"</formula>
    </cfRule>
  </conditionalFormatting>
  <conditionalFormatting sqref="B244">
    <cfRule type="cellIs" dxfId="3073" priority="465" operator="equal">
      <formula>"U/P"</formula>
    </cfRule>
    <cfRule type="cellIs" dxfId="3072" priority="466" operator="equal">
      <formula>"F"</formula>
    </cfRule>
    <cfRule type="cellIs" dxfId="3071" priority="467" operator="equal">
      <formula>"F"</formula>
    </cfRule>
  </conditionalFormatting>
  <conditionalFormatting sqref="B252">
    <cfRule type="cellIs" dxfId="3070" priority="49" operator="equal">
      <formula>"U/P"</formula>
    </cfRule>
    <cfRule type="cellIs" dxfId="3069" priority="50" operator="equal">
      <formula>"F"</formula>
    </cfRule>
    <cfRule type="cellIs" dxfId="3068" priority="51" operator="equal">
      <formula>"F"</formula>
    </cfRule>
  </conditionalFormatting>
  <conditionalFormatting sqref="B260">
    <cfRule type="cellIs" dxfId="3067" priority="61" operator="equal">
      <formula>"U/P"</formula>
    </cfRule>
    <cfRule type="cellIs" dxfId="3066" priority="62" operator="equal">
      <formula>"F"</formula>
    </cfRule>
    <cfRule type="cellIs" dxfId="3065" priority="63" operator="equal">
      <formula>"F"</formula>
    </cfRule>
  </conditionalFormatting>
  <conditionalFormatting sqref="B268">
    <cfRule type="cellIs" dxfId="3064" priority="337" operator="equal">
      <formula>"U/P"</formula>
    </cfRule>
    <cfRule type="cellIs" dxfId="3063" priority="338" operator="equal">
      <formula>"F"</formula>
    </cfRule>
    <cfRule type="cellIs" dxfId="3062" priority="339" operator="equal">
      <formula>"F"</formula>
    </cfRule>
  </conditionalFormatting>
  <conditionalFormatting sqref="B276">
    <cfRule type="cellIs" dxfId="3061" priority="94" operator="equal">
      <formula>"U/P"</formula>
    </cfRule>
    <cfRule type="cellIs" dxfId="3060" priority="95" operator="equal">
      <formula>"F"</formula>
    </cfRule>
    <cfRule type="cellIs" dxfId="3059" priority="96" operator="equal">
      <formula>"F"</formula>
    </cfRule>
  </conditionalFormatting>
  <conditionalFormatting sqref="B284">
    <cfRule type="cellIs" dxfId="3058" priority="292" operator="equal">
      <formula>"U/P"</formula>
    </cfRule>
    <cfRule type="cellIs" dxfId="3057" priority="293" operator="equal">
      <formula>"F"</formula>
    </cfRule>
    <cfRule type="cellIs" dxfId="3056" priority="294" operator="equal">
      <formula>"F"</formula>
    </cfRule>
  </conditionalFormatting>
  <conditionalFormatting sqref="B292">
    <cfRule type="cellIs" dxfId="3055" priority="382" operator="equal">
      <formula>"U/P"</formula>
    </cfRule>
    <cfRule type="cellIs" dxfId="3054" priority="383" operator="equal">
      <formula>"F"</formula>
    </cfRule>
    <cfRule type="cellIs" dxfId="3053" priority="384" operator="equal">
      <formula>"F"</formula>
    </cfRule>
  </conditionalFormatting>
  <conditionalFormatting sqref="B300">
    <cfRule type="cellIs" dxfId="3052" priority="385" operator="equal">
      <formula>"U/P"</formula>
    </cfRule>
    <cfRule type="cellIs" dxfId="3051" priority="386" operator="equal">
      <formula>"F"</formula>
    </cfRule>
    <cfRule type="cellIs" dxfId="3050" priority="387" operator="equal">
      <formula>"F"</formula>
    </cfRule>
  </conditionalFormatting>
  <conditionalFormatting sqref="B308">
    <cfRule type="cellIs" dxfId="3049" priority="10" operator="equal">
      <formula>"U/P"</formula>
    </cfRule>
    <cfRule type="cellIs" dxfId="3048" priority="11" operator="equal">
      <formula>"F"</formula>
    </cfRule>
    <cfRule type="cellIs" dxfId="3047" priority="12" operator="equal">
      <formula>"F"</formula>
    </cfRule>
  </conditionalFormatting>
  <conditionalFormatting sqref="B315">
    <cfRule type="cellIs" dxfId="3046" priority="603" operator="equal">
      <formula>"U/P"</formula>
    </cfRule>
    <cfRule type="cellIs" dxfId="3045" priority="604" operator="equal">
      <formula>"F"</formula>
    </cfRule>
    <cfRule type="cellIs" dxfId="3044" priority="605" operator="equal">
      <formula>"F"</formula>
    </cfRule>
  </conditionalFormatting>
  <conditionalFormatting sqref="D20">
    <cfRule type="cellIs" dxfId="3043" priority="1514" operator="equal">
      <formula>"U/P"</formula>
    </cfRule>
    <cfRule type="cellIs" dxfId="3042" priority="1515" operator="equal">
      <formula>"F"</formula>
    </cfRule>
    <cfRule type="cellIs" dxfId="3041" priority="1516" operator="equal">
      <formula>"F"</formula>
    </cfRule>
  </conditionalFormatting>
  <conditionalFormatting sqref="D27">
    <cfRule type="cellIs" dxfId="3040" priority="1410" operator="equal">
      <formula>"U/P"</formula>
    </cfRule>
    <cfRule type="cellIs" dxfId="3039" priority="1411" operator="equal">
      <formula>"F"</formula>
    </cfRule>
    <cfRule type="cellIs" dxfId="3038" priority="1412" operator="equal">
      <formula>"F"</formula>
    </cfRule>
  </conditionalFormatting>
  <conditionalFormatting sqref="D41">
    <cfRule type="cellIs" dxfId="3037" priority="1329" operator="equal">
      <formula>"U/P"</formula>
    </cfRule>
    <cfRule type="cellIs" dxfId="3036" priority="1330" operator="equal">
      <formula>"F"</formula>
    </cfRule>
    <cfRule type="cellIs" dxfId="3035" priority="1331" operator="equal">
      <formula>"F"</formula>
    </cfRule>
  </conditionalFormatting>
  <conditionalFormatting sqref="D48">
    <cfRule type="cellIs" dxfId="3034" priority="1287" operator="equal">
      <formula>"U/P"</formula>
    </cfRule>
    <cfRule type="cellIs" dxfId="3033" priority="1288" operator="equal">
      <formula>"F"</formula>
    </cfRule>
    <cfRule type="cellIs" dxfId="3032" priority="1289" operator="equal">
      <formula>"F"</formula>
    </cfRule>
  </conditionalFormatting>
  <conditionalFormatting sqref="D57">
    <cfRule type="cellIs" dxfId="3031" priority="1245" operator="equal">
      <formula>"U/P"</formula>
    </cfRule>
    <cfRule type="cellIs" dxfId="3030" priority="1246" operator="equal">
      <formula>"F"</formula>
    </cfRule>
    <cfRule type="cellIs" dxfId="3029" priority="1247" operator="equal">
      <formula>"F"</formula>
    </cfRule>
  </conditionalFormatting>
  <conditionalFormatting sqref="D65">
    <cfRule type="cellIs" dxfId="3028" priority="1203" operator="equal">
      <formula>"U/P"</formula>
    </cfRule>
    <cfRule type="cellIs" dxfId="3027" priority="1204" operator="equal">
      <formula>"F"</formula>
    </cfRule>
    <cfRule type="cellIs" dxfId="3026" priority="1205" operator="equal">
      <formula>"F"</formula>
    </cfRule>
  </conditionalFormatting>
  <conditionalFormatting sqref="D73">
    <cfRule type="cellIs" dxfId="3025" priority="1161" operator="equal">
      <formula>"U/P"</formula>
    </cfRule>
    <cfRule type="cellIs" dxfId="3024" priority="1162" operator="equal">
      <formula>"F"</formula>
    </cfRule>
    <cfRule type="cellIs" dxfId="3023" priority="1163" operator="equal">
      <formula>"F"</formula>
    </cfRule>
  </conditionalFormatting>
  <conditionalFormatting sqref="D82">
    <cfRule type="cellIs" dxfId="3022" priority="1119" operator="equal">
      <formula>"U/P"</formula>
    </cfRule>
    <cfRule type="cellIs" dxfId="3021" priority="1120" operator="equal">
      <formula>"F"</formula>
    </cfRule>
    <cfRule type="cellIs" dxfId="3020" priority="1121" operator="equal">
      <formula>"F"</formula>
    </cfRule>
  </conditionalFormatting>
  <conditionalFormatting sqref="D90">
    <cfRule type="cellIs" dxfId="3019" priority="1083" operator="equal">
      <formula>"U/P"</formula>
    </cfRule>
    <cfRule type="cellIs" dxfId="3018" priority="1084" operator="equal">
      <formula>"F"</formula>
    </cfRule>
    <cfRule type="cellIs" dxfId="3017" priority="1085" operator="equal">
      <formula>"F"</formula>
    </cfRule>
  </conditionalFormatting>
  <conditionalFormatting sqref="D99">
    <cfRule type="cellIs" dxfId="3016" priority="1041" operator="equal">
      <formula>"U/P"</formula>
    </cfRule>
    <cfRule type="cellIs" dxfId="3015" priority="1042" operator="equal">
      <formula>"F"</formula>
    </cfRule>
    <cfRule type="cellIs" dxfId="3014" priority="1043" operator="equal">
      <formula>"F"</formula>
    </cfRule>
  </conditionalFormatting>
  <conditionalFormatting sqref="D107">
    <cfRule type="cellIs" dxfId="3013" priority="1002" operator="equal">
      <formula>"U/P"</formula>
    </cfRule>
    <cfRule type="cellIs" dxfId="3012" priority="1003" operator="equal">
      <formula>"F"</formula>
    </cfRule>
    <cfRule type="cellIs" dxfId="3011" priority="1004" operator="equal">
      <formula>"F"</formula>
    </cfRule>
  </conditionalFormatting>
  <conditionalFormatting sqref="D115">
    <cfRule type="cellIs" dxfId="3010" priority="975" operator="equal">
      <formula>"U/P"</formula>
    </cfRule>
    <cfRule type="cellIs" dxfId="3009" priority="976" operator="equal">
      <formula>"F"</formula>
    </cfRule>
    <cfRule type="cellIs" dxfId="3008" priority="977" operator="equal">
      <formula>"F"</formula>
    </cfRule>
  </conditionalFormatting>
  <conditionalFormatting sqref="D118">
    <cfRule type="cellIs" dxfId="3007" priority="458" operator="equal">
      <formula>0</formula>
    </cfRule>
  </conditionalFormatting>
  <conditionalFormatting sqref="D123">
    <cfRule type="cellIs" dxfId="3006" priority="1502" operator="equal">
      <formula>"U/P"</formula>
    </cfRule>
    <cfRule type="cellIs" dxfId="3005" priority="1503" operator="equal">
      <formula>"F"</formula>
    </cfRule>
    <cfRule type="cellIs" dxfId="3004" priority="1504" operator="equal">
      <formula>"F"</formula>
    </cfRule>
  </conditionalFormatting>
  <conditionalFormatting sqref="D132">
    <cfRule type="cellIs" dxfId="3003" priority="906" operator="equal">
      <formula>"U/P"</formula>
    </cfRule>
    <cfRule type="cellIs" dxfId="3002" priority="907" operator="equal">
      <formula>"F"</formula>
    </cfRule>
    <cfRule type="cellIs" dxfId="3001" priority="908" operator="equal">
      <formula>"F"</formula>
    </cfRule>
  </conditionalFormatting>
  <conditionalFormatting sqref="D141">
    <cfRule type="cellIs" dxfId="3000" priority="726" operator="equal">
      <formula>"U/P"</formula>
    </cfRule>
    <cfRule type="cellIs" dxfId="2999" priority="727" operator="equal">
      <formula>"F"</formula>
    </cfRule>
    <cfRule type="cellIs" dxfId="2998" priority="728" operator="equal">
      <formula>"F"</formula>
    </cfRule>
  </conditionalFormatting>
  <conditionalFormatting sqref="D150">
    <cfRule type="cellIs" dxfId="2997" priority="91" operator="equal">
      <formula>"U/P"</formula>
    </cfRule>
    <cfRule type="cellIs" dxfId="2996" priority="92" operator="equal">
      <formula>"F"</formula>
    </cfRule>
    <cfRule type="cellIs" dxfId="2995" priority="93" operator="equal">
      <formula>"F"</formula>
    </cfRule>
  </conditionalFormatting>
  <conditionalFormatting sqref="D159">
    <cfRule type="cellIs" dxfId="2994" priority="849" operator="equal">
      <formula>"U/P"</formula>
    </cfRule>
    <cfRule type="cellIs" dxfId="2993" priority="850" operator="equal">
      <formula>"F"</formula>
    </cfRule>
    <cfRule type="cellIs" dxfId="2992" priority="851" operator="equal">
      <formula>"F"</formula>
    </cfRule>
  </conditionalFormatting>
  <conditionalFormatting sqref="D168">
    <cfRule type="cellIs" dxfId="2991" priority="406" operator="equal">
      <formula>"U/P"</formula>
    </cfRule>
    <cfRule type="cellIs" dxfId="2990" priority="407" operator="equal">
      <formula>"F"</formula>
    </cfRule>
    <cfRule type="cellIs" dxfId="2989" priority="408" operator="equal">
      <formula>"F"</formula>
    </cfRule>
  </conditionalFormatting>
  <conditionalFormatting sqref="D176">
    <cfRule type="cellIs" dxfId="2988" priority="786" operator="equal">
      <formula>"U/P"</formula>
    </cfRule>
    <cfRule type="cellIs" dxfId="2987" priority="787" operator="equal">
      <formula>"F"</formula>
    </cfRule>
    <cfRule type="cellIs" dxfId="2986" priority="788" operator="equal">
      <formula>"F"</formula>
    </cfRule>
  </conditionalFormatting>
  <conditionalFormatting sqref="D185">
    <cfRule type="cellIs" dxfId="2985" priority="379" operator="equal">
      <formula>"U/P"</formula>
    </cfRule>
    <cfRule type="cellIs" dxfId="2984" priority="380" operator="equal">
      <formula>"F"</formula>
    </cfRule>
    <cfRule type="cellIs" dxfId="2983" priority="381" operator="equal">
      <formula>"F"</formula>
    </cfRule>
  </conditionalFormatting>
  <conditionalFormatting sqref="D194">
    <cfRule type="cellIs" dxfId="2982" priority="70" operator="equal">
      <formula>"U/P"</formula>
    </cfRule>
    <cfRule type="cellIs" dxfId="2981" priority="71" operator="equal">
      <formula>"F"</formula>
    </cfRule>
    <cfRule type="cellIs" dxfId="2980" priority="72" operator="equal">
      <formula>"F"</formula>
    </cfRule>
  </conditionalFormatting>
  <conditionalFormatting sqref="D202">
    <cfRule type="cellIs" dxfId="2979" priority="558" operator="equal">
      <formula>"U/P"</formula>
    </cfRule>
    <cfRule type="cellIs" dxfId="2978" priority="559" operator="equal">
      <formula>"F"</formula>
    </cfRule>
    <cfRule type="cellIs" dxfId="2977" priority="560" operator="equal">
      <formula>"F"</formula>
    </cfRule>
  </conditionalFormatting>
  <conditionalFormatting sqref="D210">
    <cfRule type="cellIs" dxfId="2976" priority="513" operator="equal">
      <formula>"U/P"</formula>
    </cfRule>
    <cfRule type="cellIs" dxfId="2975" priority="514" operator="equal">
      <formula>"F"</formula>
    </cfRule>
    <cfRule type="cellIs" dxfId="2974" priority="515" operator="equal">
      <formula>"F"</formula>
    </cfRule>
  </conditionalFormatting>
  <conditionalFormatting sqref="D218">
    <cfRule type="cellIs" dxfId="2973" priority="76" operator="equal">
      <formula>"U/P"</formula>
    </cfRule>
    <cfRule type="cellIs" dxfId="2972" priority="77" operator="equal">
      <formula>"F"</formula>
    </cfRule>
    <cfRule type="cellIs" dxfId="2971" priority="78" operator="equal">
      <formula>"F"</formula>
    </cfRule>
  </conditionalFormatting>
  <conditionalFormatting sqref="D226">
    <cfRule type="cellIs" dxfId="2970" priority="720" operator="equal">
      <formula>"U/P"</formula>
    </cfRule>
    <cfRule type="cellIs" dxfId="2969" priority="721" operator="equal">
      <formula>"F"</formula>
    </cfRule>
    <cfRule type="cellIs" dxfId="2968" priority="722" operator="equal">
      <formula>"F"</formula>
    </cfRule>
  </conditionalFormatting>
  <conditionalFormatting sqref="D235">
    <cfRule type="cellIs" dxfId="2967" priority="196" operator="equal">
      <formula>"U/P"</formula>
    </cfRule>
    <cfRule type="cellIs" dxfId="2966" priority="197" operator="equal">
      <formula>"F"</formula>
    </cfRule>
    <cfRule type="cellIs" dxfId="2965" priority="198" operator="equal">
      <formula>"F"</formula>
    </cfRule>
  </conditionalFormatting>
  <conditionalFormatting sqref="D244">
    <cfRule type="cellIs" dxfId="2964" priority="549" operator="equal">
      <formula>"U/P"</formula>
    </cfRule>
    <cfRule type="cellIs" dxfId="2963" priority="550" operator="equal">
      <formula>"F"</formula>
    </cfRule>
    <cfRule type="cellIs" dxfId="2962" priority="551" operator="equal">
      <formula>"F"</formula>
    </cfRule>
  </conditionalFormatting>
  <conditionalFormatting sqref="D252">
    <cfRule type="cellIs" dxfId="2961" priority="169" operator="equal">
      <formula>"U/P"</formula>
    </cfRule>
    <cfRule type="cellIs" dxfId="2960" priority="170" operator="equal">
      <formula>"F"</formula>
    </cfRule>
    <cfRule type="cellIs" dxfId="2959" priority="171" operator="equal">
      <formula>"F"</formula>
    </cfRule>
  </conditionalFormatting>
  <conditionalFormatting sqref="D268">
    <cfRule type="cellIs" dxfId="2958" priority="244" operator="equal">
      <formula>"U/P"</formula>
    </cfRule>
    <cfRule type="cellIs" dxfId="2957" priority="245" operator="equal">
      <formula>"F"</formula>
    </cfRule>
    <cfRule type="cellIs" dxfId="2956" priority="246" operator="equal">
      <formula>"F"</formula>
    </cfRule>
  </conditionalFormatting>
  <conditionalFormatting sqref="D276">
    <cfRule type="cellIs" dxfId="2955" priority="142" operator="equal">
      <formula>"U/P"</formula>
    </cfRule>
    <cfRule type="cellIs" dxfId="2954" priority="143" operator="equal">
      <formula>"F"</formula>
    </cfRule>
    <cfRule type="cellIs" dxfId="2953" priority="144" operator="equal">
      <formula>"F"</formula>
    </cfRule>
  </conditionalFormatting>
  <conditionalFormatting sqref="D284">
    <cfRule type="cellIs" dxfId="2952" priority="259" operator="equal">
      <formula>"U/P"</formula>
    </cfRule>
    <cfRule type="cellIs" dxfId="2951" priority="260" operator="equal">
      <formula>"F"</formula>
    </cfRule>
    <cfRule type="cellIs" dxfId="2950" priority="261" operator="equal">
      <formula>"F"</formula>
    </cfRule>
  </conditionalFormatting>
  <conditionalFormatting sqref="D292">
    <cfRule type="cellIs" dxfId="2949" priority="400" operator="equal">
      <formula>"U/P"</formula>
    </cfRule>
    <cfRule type="cellIs" dxfId="2948" priority="401" operator="equal">
      <formula>"F"</formula>
    </cfRule>
    <cfRule type="cellIs" dxfId="2947" priority="402" operator="equal">
      <formula>"F"</formula>
    </cfRule>
  </conditionalFormatting>
  <conditionalFormatting sqref="D300">
    <cfRule type="cellIs" dxfId="2946" priority="373" operator="equal">
      <formula>"U/P"</formula>
    </cfRule>
    <cfRule type="cellIs" dxfId="2945" priority="374" operator="equal">
      <formula>"F"</formula>
    </cfRule>
    <cfRule type="cellIs" dxfId="2944" priority="375" operator="equal">
      <formula>"F"</formula>
    </cfRule>
  </conditionalFormatting>
  <conditionalFormatting sqref="D308">
    <cfRule type="cellIs" dxfId="2943" priority="621" operator="equal">
      <formula>"U/P"</formula>
    </cfRule>
    <cfRule type="cellIs" dxfId="2942" priority="622" operator="equal">
      <formula>"F"</formula>
    </cfRule>
    <cfRule type="cellIs" dxfId="2941" priority="623" operator="equal">
      <formula>"F"</formula>
    </cfRule>
  </conditionalFormatting>
  <conditionalFormatting sqref="D315">
    <cfRule type="cellIs" dxfId="2940" priority="594" operator="equal">
      <formula>"U/P"</formula>
    </cfRule>
    <cfRule type="cellIs" dxfId="2939" priority="595" operator="equal">
      <formula>"F"</formula>
    </cfRule>
    <cfRule type="cellIs" dxfId="2938" priority="596" operator="equal">
      <formula>"F"</formula>
    </cfRule>
  </conditionalFormatting>
  <conditionalFormatting sqref="F20">
    <cfRule type="cellIs" dxfId="2937" priority="1449" operator="equal">
      <formula>"U/P"</formula>
    </cfRule>
    <cfRule type="cellIs" dxfId="2936" priority="1450" operator="equal">
      <formula>"F"</formula>
    </cfRule>
    <cfRule type="cellIs" dxfId="2935" priority="1451" operator="equal">
      <formula>"F"</formula>
    </cfRule>
  </conditionalFormatting>
  <conditionalFormatting sqref="F27">
    <cfRule type="cellIs" dxfId="2934" priority="1407" operator="equal">
      <formula>"U/P"</formula>
    </cfRule>
    <cfRule type="cellIs" dxfId="2933" priority="1408" operator="equal">
      <formula>"F"</formula>
    </cfRule>
    <cfRule type="cellIs" dxfId="2932" priority="1409" operator="equal">
      <formula>"F"</formula>
    </cfRule>
  </conditionalFormatting>
  <conditionalFormatting sqref="F34">
    <cfRule type="cellIs" dxfId="2931" priority="1368" operator="equal">
      <formula>"U/P"</formula>
    </cfRule>
    <cfRule type="cellIs" dxfId="2930" priority="1369" operator="equal">
      <formula>"F"</formula>
    </cfRule>
    <cfRule type="cellIs" dxfId="2929" priority="1370" operator="equal">
      <formula>"F"</formula>
    </cfRule>
  </conditionalFormatting>
  <conditionalFormatting sqref="F41">
    <cfRule type="cellIs" dxfId="2928" priority="1326" operator="equal">
      <formula>"U/P"</formula>
    </cfRule>
    <cfRule type="cellIs" dxfId="2927" priority="1327" operator="equal">
      <formula>"F"</formula>
    </cfRule>
    <cfRule type="cellIs" dxfId="2926" priority="1328" operator="equal">
      <formula>"F"</formula>
    </cfRule>
  </conditionalFormatting>
  <conditionalFormatting sqref="F48">
    <cfRule type="cellIs" dxfId="2925" priority="1284" operator="equal">
      <formula>"U/P"</formula>
    </cfRule>
    <cfRule type="cellIs" dxfId="2924" priority="1285" operator="equal">
      <formula>"F"</formula>
    </cfRule>
    <cfRule type="cellIs" dxfId="2923" priority="1286" operator="equal">
      <formula>"F"</formula>
    </cfRule>
  </conditionalFormatting>
  <conditionalFormatting sqref="F57">
    <cfRule type="cellIs" dxfId="2922" priority="1242" operator="equal">
      <formula>"U/P"</formula>
    </cfRule>
    <cfRule type="cellIs" dxfId="2921" priority="1243" operator="equal">
      <formula>"F"</formula>
    </cfRule>
    <cfRule type="cellIs" dxfId="2920" priority="1244" operator="equal">
      <formula>"F"</formula>
    </cfRule>
  </conditionalFormatting>
  <conditionalFormatting sqref="F65">
    <cfRule type="cellIs" dxfId="2919" priority="1200" operator="equal">
      <formula>"U/P"</formula>
    </cfRule>
    <cfRule type="cellIs" dxfId="2918" priority="1201" operator="equal">
      <formula>"F"</formula>
    </cfRule>
    <cfRule type="cellIs" dxfId="2917" priority="1202" operator="equal">
      <formula>"F"</formula>
    </cfRule>
  </conditionalFormatting>
  <conditionalFormatting sqref="F73">
    <cfRule type="cellIs" dxfId="2916" priority="1158" operator="equal">
      <formula>"U/P"</formula>
    </cfRule>
    <cfRule type="cellIs" dxfId="2915" priority="1159" operator="equal">
      <formula>"F"</formula>
    </cfRule>
    <cfRule type="cellIs" dxfId="2914" priority="1160" operator="equal">
      <formula>"F"</formula>
    </cfRule>
  </conditionalFormatting>
  <conditionalFormatting sqref="F82">
    <cfRule type="cellIs" dxfId="2913" priority="319" operator="equal">
      <formula>"U/P"</formula>
    </cfRule>
    <cfRule type="cellIs" dxfId="2912" priority="320" operator="equal">
      <formula>"F"</formula>
    </cfRule>
    <cfRule type="cellIs" dxfId="2911" priority="321" operator="equal">
      <formula>"F"</formula>
    </cfRule>
  </conditionalFormatting>
  <conditionalFormatting sqref="F90">
    <cfRule type="cellIs" dxfId="2910" priority="313" operator="equal">
      <formula>"U/P"</formula>
    </cfRule>
    <cfRule type="cellIs" dxfId="2909" priority="314" operator="equal">
      <formula>"F"</formula>
    </cfRule>
    <cfRule type="cellIs" dxfId="2908" priority="315" operator="equal">
      <formula>"F"</formula>
    </cfRule>
  </conditionalFormatting>
  <conditionalFormatting sqref="F99">
    <cfRule type="cellIs" dxfId="2907" priority="1038" operator="equal">
      <formula>"U/P"</formula>
    </cfRule>
    <cfRule type="cellIs" dxfId="2906" priority="1039" operator="equal">
      <formula>"F"</formula>
    </cfRule>
    <cfRule type="cellIs" dxfId="2905" priority="1040" operator="equal">
      <formula>"F"</formula>
    </cfRule>
  </conditionalFormatting>
  <conditionalFormatting sqref="F107">
    <cfRule type="cellIs" dxfId="2904" priority="999" operator="equal">
      <formula>"U/P"</formula>
    </cfRule>
    <cfRule type="cellIs" dxfId="2903" priority="1000" operator="equal">
      <formula>"F"</formula>
    </cfRule>
    <cfRule type="cellIs" dxfId="2902" priority="1001" operator="equal">
      <formula>"F"</formula>
    </cfRule>
  </conditionalFormatting>
  <conditionalFormatting sqref="F115">
    <cfRule type="cellIs" dxfId="2901" priority="972" operator="equal">
      <formula>"U/P"</formula>
    </cfRule>
    <cfRule type="cellIs" dxfId="2900" priority="973" operator="equal">
      <formula>"F"</formula>
    </cfRule>
    <cfRule type="cellIs" dxfId="2899" priority="974" operator="equal">
      <formula>"F"</formula>
    </cfRule>
  </conditionalFormatting>
  <conditionalFormatting sqref="F123">
    <cfRule type="cellIs" dxfId="2898" priority="13" operator="equal">
      <formula>"U/P"</formula>
    </cfRule>
    <cfRule type="cellIs" dxfId="2897" priority="14" operator="equal">
      <formula>"F"</formula>
    </cfRule>
    <cfRule type="cellIs" dxfId="2896" priority="15" operator="equal">
      <formula>"F"</formula>
    </cfRule>
  </conditionalFormatting>
  <conditionalFormatting sqref="F132">
    <cfRule type="cellIs" dxfId="2895" priority="903" operator="equal">
      <formula>"U/P"</formula>
    </cfRule>
    <cfRule type="cellIs" dxfId="2894" priority="904" operator="equal">
      <formula>"F"</formula>
    </cfRule>
    <cfRule type="cellIs" dxfId="2893" priority="905" operator="equal">
      <formula>"F"</formula>
    </cfRule>
  </conditionalFormatting>
  <conditionalFormatting sqref="F141">
    <cfRule type="cellIs" dxfId="2892" priority="1483" operator="equal">
      <formula>"U/P"</formula>
    </cfRule>
    <cfRule type="cellIs" dxfId="2891" priority="1484" operator="equal">
      <formula>"F"</formula>
    </cfRule>
    <cfRule type="cellIs" dxfId="2890" priority="1485" operator="equal">
      <formula>"F"</formula>
    </cfRule>
  </conditionalFormatting>
  <conditionalFormatting sqref="F150">
    <cfRule type="cellIs" dxfId="2889" priority="882" operator="equal">
      <formula>"U/P"</formula>
    </cfRule>
    <cfRule type="cellIs" dxfId="2888" priority="883" operator="equal">
      <formula>"F"</formula>
    </cfRule>
    <cfRule type="cellIs" dxfId="2887" priority="884" operator="equal">
      <formula>"F"</formula>
    </cfRule>
  </conditionalFormatting>
  <conditionalFormatting sqref="F159">
    <cfRule type="cellIs" dxfId="2886" priority="846" operator="equal">
      <formula>"U/P"</formula>
    </cfRule>
    <cfRule type="cellIs" dxfId="2885" priority="847" operator="equal">
      <formula>"F"</formula>
    </cfRule>
    <cfRule type="cellIs" dxfId="2884" priority="848" operator="equal">
      <formula>"F"</formula>
    </cfRule>
  </conditionalFormatting>
  <conditionalFormatting sqref="F168">
    <cfRule type="cellIs" dxfId="2883" priority="411" operator="equal">
      <formula>"U/P"</formula>
    </cfRule>
    <cfRule type="cellIs" dxfId="2882" priority="412" operator="equal">
      <formula>"F"</formula>
    </cfRule>
    <cfRule type="cellIs" dxfId="2881" priority="413" operator="equal">
      <formula>"F"</formula>
    </cfRule>
  </conditionalFormatting>
  <conditionalFormatting sqref="F176">
    <cfRule type="cellIs" dxfId="2880" priority="226" operator="equal">
      <formula>"U/P"</formula>
    </cfRule>
    <cfRule type="cellIs" dxfId="2879" priority="227" operator="equal">
      <formula>"F"</formula>
    </cfRule>
    <cfRule type="cellIs" dxfId="2878" priority="228" operator="equal">
      <formula>"F"</formula>
    </cfRule>
  </conditionalFormatting>
  <conditionalFormatting sqref="F185">
    <cfRule type="cellIs" dxfId="2877" priority="1477" operator="equal">
      <formula>"U/P"</formula>
    </cfRule>
    <cfRule type="cellIs" dxfId="2876" priority="1478" operator="equal">
      <formula>"F"</formula>
    </cfRule>
    <cfRule type="cellIs" dxfId="2875" priority="1479" operator="equal">
      <formula>"F"</formula>
    </cfRule>
  </conditionalFormatting>
  <conditionalFormatting sqref="F194">
    <cfRule type="cellIs" dxfId="2874" priority="756" operator="equal">
      <formula>"U/P"</formula>
    </cfRule>
    <cfRule type="cellIs" dxfId="2873" priority="757" operator="equal">
      <formula>"F"</formula>
    </cfRule>
    <cfRule type="cellIs" dxfId="2872" priority="758" operator="equal">
      <formula>"F"</formula>
    </cfRule>
  </conditionalFormatting>
  <conditionalFormatting sqref="F202">
    <cfRule type="cellIs" dxfId="2871" priority="555" operator="equal">
      <formula>"U/P"</formula>
    </cfRule>
    <cfRule type="cellIs" dxfId="2870" priority="556" operator="equal">
      <formula>"F"</formula>
    </cfRule>
    <cfRule type="cellIs" dxfId="2869" priority="557" operator="equal">
      <formula>"F"</formula>
    </cfRule>
  </conditionalFormatting>
  <conditionalFormatting sqref="F210">
    <cfRule type="cellIs" dxfId="2868" priority="223" operator="equal">
      <formula>"U/P"</formula>
    </cfRule>
    <cfRule type="cellIs" dxfId="2867" priority="224" operator="equal">
      <formula>"F"</formula>
    </cfRule>
    <cfRule type="cellIs" dxfId="2866" priority="225" operator="equal">
      <formula>"F"</formula>
    </cfRule>
  </conditionalFormatting>
  <conditionalFormatting sqref="F218 H218 J218 N218">
    <cfRule type="cellIs" dxfId="2865" priority="352" operator="equal">
      <formula>"U/P"</formula>
    </cfRule>
    <cfRule type="cellIs" dxfId="2864" priority="353" operator="equal">
      <formula>"F"</formula>
    </cfRule>
    <cfRule type="cellIs" dxfId="2863" priority="354" operator="equal">
      <formula>"F"</formula>
    </cfRule>
  </conditionalFormatting>
  <conditionalFormatting sqref="F226">
    <cfRule type="cellIs" dxfId="2862" priority="717" operator="equal">
      <formula>"U/P"</formula>
    </cfRule>
    <cfRule type="cellIs" dxfId="2861" priority="718" operator="equal">
      <formula>"F"</formula>
    </cfRule>
    <cfRule type="cellIs" dxfId="2860" priority="719" operator="equal">
      <formula>"F"</formula>
    </cfRule>
  </conditionalFormatting>
  <conditionalFormatting sqref="F235">
    <cfRule type="cellIs" dxfId="2859" priority="699" operator="equal">
      <formula>"U/P"</formula>
    </cfRule>
    <cfRule type="cellIs" dxfId="2858" priority="700" operator="equal">
      <formula>"F"</formula>
    </cfRule>
    <cfRule type="cellIs" dxfId="2857" priority="701" operator="equal">
      <formula>"F"</formula>
    </cfRule>
  </conditionalFormatting>
  <conditionalFormatting sqref="F244">
    <cfRule type="cellIs" dxfId="2856" priority="546" operator="equal">
      <formula>"U/P"</formula>
    </cfRule>
    <cfRule type="cellIs" dxfId="2855" priority="547" operator="equal">
      <formula>"F"</formula>
    </cfRule>
    <cfRule type="cellIs" dxfId="2854" priority="548" operator="equal">
      <formula>"F"</formula>
    </cfRule>
  </conditionalFormatting>
  <conditionalFormatting sqref="F252">
    <cfRule type="cellIs" dxfId="2853" priority="238" operator="equal">
      <formula>"U/P"</formula>
    </cfRule>
    <cfRule type="cellIs" dxfId="2852" priority="239" operator="equal">
      <formula>"F"</formula>
    </cfRule>
    <cfRule type="cellIs" dxfId="2851" priority="240" operator="equal">
      <formula>"F"</formula>
    </cfRule>
  </conditionalFormatting>
  <conditionalFormatting sqref="F268">
    <cfRule type="cellIs" dxfId="2850" priority="271" operator="equal">
      <formula>"U/P"</formula>
    </cfRule>
    <cfRule type="cellIs" dxfId="2849" priority="272" operator="equal">
      <formula>"F"</formula>
    </cfRule>
    <cfRule type="cellIs" dxfId="2848" priority="273" operator="equal">
      <formula>"F"</formula>
    </cfRule>
  </conditionalFormatting>
  <conditionalFormatting sqref="F276">
    <cfRule type="cellIs" dxfId="2847" priority="109" operator="equal">
      <formula>"U/P"</formula>
    </cfRule>
    <cfRule type="cellIs" dxfId="2846" priority="110" operator="equal">
      <formula>"F"</formula>
    </cfRule>
    <cfRule type="cellIs" dxfId="2845" priority="111" operator="equal">
      <formula>"F"</formula>
    </cfRule>
  </conditionalFormatting>
  <conditionalFormatting sqref="F284">
    <cfRule type="cellIs" dxfId="2844" priority="208" operator="equal">
      <formula>"U/P"</formula>
    </cfRule>
    <cfRule type="cellIs" dxfId="2843" priority="209" operator="equal">
      <formula>"F"</formula>
    </cfRule>
    <cfRule type="cellIs" dxfId="2842" priority="210" operator="equal">
      <formula>"F"</formula>
    </cfRule>
  </conditionalFormatting>
  <conditionalFormatting sqref="F292">
    <cfRule type="cellIs" dxfId="2841" priority="433" operator="equal">
      <formula>"U/P"</formula>
    </cfRule>
    <cfRule type="cellIs" dxfId="2840" priority="434" operator="equal">
      <formula>"F"</formula>
    </cfRule>
    <cfRule type="cellIs" dxfId="2839" priority="435" operator="equal">
      <formula>"F"</formula>
    </cfRule>
  </conditionalFormatting>
  <conditionalFormatting sqref="F300">
    <cfRule type="cellIs" dxfId="2838" priority="388" operator="equal">
      <formula>"U/P"</formula>
    </cfRule>
    <cfRule type="cellIs" dxfId="2837" priority="389" operator="equal">
      <formula>"F"</formula>
    </cfRule>
    <cfRule type="cellIs" dxfId="2836" priority="390" operator="equal">
      <formula>"F"</formula>
    </cfRule>
  </conditionalFormatting>
  <conditionalFormatting sqref="F308">
    <cfRule type="cellIs" dxfId="2835" priority="7" operator="equal">
      <formula>"U/P"</formula>
    </cfRule>
    <cfRule type="cellIs" dxfId="2834" priority="8" operator="equal">
      <formula>"F"</formula>
    </cfRule>
    <cfRule type="cellIs" dxfId="2833" priority="9" operator="equal">
      <formula>"F"</formula>
    </cfRule>
  </conditionalFormatting>
  <conditionalFormatting sqref="F315">
    <cfRule type="cellIs" dxfId="2832" priority="567" operator="equal">
      <formula>"U/P"</formula>
    </cfRule>
    <cfRule type="cellIs" dxfId="2831" priority="568" operator="equal">
      <formula>"F"</formula>
    </cfRule>
    <cfRule type="cellIs" dxfId="2830" priority="569" operator="equal">
      <formula>"F"</formula>
    </cfRule>
  </conditionalFormatting>
  <conditionalFormatting sqref="H20">
    <cfRule type="cellIs" dxfId="2829" priority="1446" operator="equal">
      <formula>"U/P"</formula>
    </cfRule>
    <cfRule type="cellIs" dxfId="2828" priority="1447" operator="equal">
      <formula>"F"</formula>
    </cfRule>
    <cfRule type="cellIs" dxfId="2827" priority="1448" operator="equal">
      <formula>"F"</formula>
    </cfRule>
  </conditionalFormatting>
  <conditionalFormatting sqref="H27">
    <cfRule type="cellIs" dxfId="2826" priority="1404" operator="equal">
      <formula>"U/P"</formula>
    </cfRule>
    <cfRule type="cellIs" dxfId="2825" priority="1405" operator="equal">
      <formula>"F"</formula>
    </cfRule>
    <cfRule type="cellIs" dxfId="2824" priority="1406" operator="equal">
      <formula>"F"</formula>
    </cfRule>
  </conditionalFormatting>
  <conditionalFormatting sqref="H34">
    <cfRule type="cellIs" dxfId="2823" priority="1365" operator="equal">
      <formula>"U/P"</formula>
    </cfRule>
    <cfRule type="cellIs" dxfId="2822" priority="1366" operator="equal">
      <formula>"F"</formula>
    </cfRule>
    <cfRule type="cellIs" dxfId="2821" priority="1367" operator="equal">
      <formula>"F"</formula>
    </cfRule>
  </conditionalFormatting>
  <conditionalFormatting sqref="H41">
    <cfRule type="cellIs" dxfId="2820" priority="1323" operator="equal">
      <formula>"U/P"</formula>
    </cfRule>
    <cfRule type="cellIs" dxfId="2819" priority="1324" operator="equal">
      <formula>"F"</formula>
    </cfRule>
    <cfRule type="cellIs" dxfId="2818" priority="1325" operator="equal">
      <formula>"F"</formula>
    </cfRule>
  </conditionalFormatting>
  <conditionalFormatting sqref="H48">
    <cfRule type="cellIs" dxfId="2817" priority="1281" operator="equal">
      <formula>"U/P"</formula>
    </cfRule>
    <cfRule type="cellIs" dxfId="2816" priority="1282" operator="equal">
      <formula>"F"</formula>
    </cfRule>
    <cfRule type="cellIs" dxfId="2815" priority="1283" operator="equal">
      <formula>"F"</formula>
    </cfRule>
  </conditionalFormatting>
  <conditionalFormatting sqref="H57">
    <cfRule type="cellIs" dxfId="2814" priority="1239" operator="equal">
      <formula>"U/P"</formula>
    </cfRule>
    <cfRule type="cellIs" dxfId="2813" priority="1240" operator="equal">
      <formula>"F"</formula>
    </cfRule>
    <cfRule type="cellIs" dxfId="2812" priority="1241" operator="equal">
      <formula>"F"</formula>
    </cfRule>
  </conditionalFormatting>
  <conditionalFormatting sqref="H65">
    <cfRule type="cellIs" dxfId="2811" priority="1197" operator="equal">
      <formula>"U/P"</formula>
    </cfRule>
    <cfRule type="cellIs" dxfId="2810" priority="1198" operator="equal">
      <formula>"F"</formula>
    </cfRule>
    <cfRule type="cellIs" dxfId="2809" priority="1199" operator="equal">
      <formula>"F"</formula>
    </cfRule>
  </conditionalFormatting>
  <conditionalFormatting sqref="H73">
    <cfRule type="cellIs" dxfId="2808" priority="1155" operator="equal">
      <formula>"U/P"</formula>
    </cfRule>
    <cfRule type="cellIs" dxfId="2807" priority="1156" operator="equal">
      <formula>"F"</formula>
    </cfRule>
    <cfRule type="cellIs" dxfId="2806" priority="1157" operator="equal">
      <formula>"F"</formula>
    </cfRule>
  </conditionalFormatting>
  <conditionalFormatting sqref="H82">
    <cfRule type="cellIs" dxfId="2805" priority="1116" operator="equal">
      <formula>"U/P"</formula>
    </cfRule>
    <cfRule type="cellIs" dxfId="2804" priority="1117" operator="equal">
      <formula>"F"</formula>
    </cfRule>
    <cfRule type="cellIs" dxfId="2803" priority="1118" operator="equal">
      <formula>"F"</formula>
    </cfRule>
  </conditionalFormatting>
  <conditionalFormatting sqref="H90">
    <cfRule type="cellIs" dxfId="2802" priority="1080" operator="equal">
      <formula>"U/P"</formula>
    </cfRule>
    <cfRule type="cellIs" dxfId="2801" priority="1081" operator="equal">
      <formula>"F"</formula>
    </cfRule>
    <cfRule type="cellIs" dxfId="2800" priority="1082" operator="equal">
      <formula>"F"</formula>
    </cfRule>
  </conditionalFormatting>
  <conditionalFormatting sqref="H99">
    <cfRule type="cellIs" dxfId="2799" priority="1035" operator="equal">
      <formula>"U/P"</formula>
    </cfRule>
    <cfRule type="cellIs" dxfId="2798" priority="1036" operator="equal">
      <formula>"F"</formula>
    </cfRule>
    <cfRule type="cellIs" dxfId="2797" priority="1037" operator="equal">
      <formula>"F"</formula>
    </cfRule>
  </conditionalFormatting>
  <conditionalFormatting sqref="H115">
    <cfRule type="cellIs" dxfId="2796" priority="969" operator="equal">
      <formula>"U/P"</formula>
    </cfRule>
    <cfRule type="cellIs" dxfId="2795" priority="970" operator="equal">
      <formula>"F"</formula>
    </cfRule>
    <cfRule type="cellIs" dxfId="2794" priority="971" operator="equal">
      <formula>"F"</formula>
    </cfRule>
  </conditionalFormatting>
  <conditionalFormatting sqref="H118">
    <cfRule type="cellIs" dxfId="2793" priority="457" operator="equal">
      <formula>0</formula>
    </cfRule>
  </conditionalFormatting>
  <conditionalFormatting sqref="H123">
    <cfRule type="cellIs" dxfId="2792" priority="933" operator="equal">
      <formula>"U/P"</formula>
    </cfRule>
    <cfRule type="cellIs" dxfId="2791" priority="934" operator="equal">
      <formula>"F"</formula>
    </cfRule>
    <cfRule type="cellIs" dxfId="2790" priority="935" operator="equal">
      <formula>"F"</formula>
    </cfRule>
  </conditionalFormatting>
  <conditionalFormatting sqref="H132">
    <cfRule type="cellIs" dxfId="2789" priority="1495" operator="equal">
      <formula>"U/P"</formula>
    </cfRule>
    <cfRule type="cellIs" dxfId="2788" priority="1496" operator="equal">
      <formula>"F"</formula>
    </cfRule>
    <cfRule type="cellIs" dxfId="2787" priority="1497" operator="equal">
      <formula>"F"</formula>
    </cfRule>
  </conditionalFormatting>
  <conditionalFormatting sqref="H141">
    <cfRule type="cellIs" dxfId="2786" priority="1480" operator="equal">
      <formula>"U/P"</formula>
    </cfRule>
    <cfRule type="cellIs" dxfId="2785" priority="1481" operator="equal">
      <formula>"F"</formula>
    </cfRule>
    <cfRule type="cellIs" dxfId="2784" priority="1482" operator="equal">
      <formula>"F"</formula>
    </cfRule>
  </conditionalFormatting>
  <conditionalFormatting sqref="H150">
    <cfRule type="cellIs" dxfId="2783" priority="879" operator="equal">
      <formula>"U/P"</formula>
    </cfRule>
    <cfRule type="cellIs" dxfId="2782" priority="880" operator="equal">
      <formula>"F"</formula>
    </cfRule>
    <cfRule type="cellIs" dxfId="2781" priority="881" operator="equal">
      <formula>"F"</formula>
    </cfRule>
  </conditionalFormatting>
  <conditionalFormatting sqref="H159">
    <cfRule type="cellIs" dxfId="2780" priority="843" operator="equal">
      <formula>"U/P"</formula>
    </cfRule>
    <cfRule type="cellIs" dxfId="2779" priority="844" operator="equal">
      <formula>"F"</formula>
    </cfRule>
    <cfRule type="cellIs" dxfId="2778" priority="845" operator="equal">
      <formula>"F"</formula>
    </cfRule>
  </conditionalFormatting>
  <conditionalFormatting sqref="H168">
    <cfRule type="cellIs" dxfId="2777" priority="423" operator="equal">
      <formula>"U/P"</formula>
    </cfRule>
    <cfRule type="cellIs" dxfId="2776" priority="424" operator="equal">
      <formula>"F"</formula>
    </cfRule>
    <cfRule type="cellIs" dxfId="2775" priority="425" operator="equal">
      <formula>"F"</formula>
    </cfRule>
  </conditionalFormatting>
  <conditionalFormatting sqref="H171">
    <cfRule type="cellIs" dxfId="2774" priority="410" operator="equal">
      <formula>0</formula>
    </cfRule>
  </conditionalFormatting>
  <conditionalFormatting sqref="H176">
    <cfRule type="cellIs" dxfId="2773" priority="783" operator="equal">
      <formula>"U/P"</formula>
    </cfRule>
    <cfRule type="cellIs" dxfId="2772" priority="784" operator="equal">
      <formula>"F"</formula>
    </cfRule>
    <cfRule type="cellIs" dxfId="2771" priority="785" operator="equal">
      <formula>"F"</formula>
    </cfRule>
  </conditionalFormatting>
  <conditionalFormatting sqref="H185">
    <cfRule type="cellIs" dxfId="2770" priority="22" operator="equal">
      <formula>"U/P"</formula>
    </cfRule>
    <cfRule type="cellIs" dxfId="2769" priority="23" operator="equal">
      <formula>"F"</formula>
    </cfRule>
    <cfRule type="cellIs" dxfId="2768" priority="24" operator="equal">
      <formula>"F"</formula>
    </cfRule>
  </conditionalFormatting>
  <conditionalFormatting sqref="H194">
    <cfRule type="cellIs" dxfId="2767" priority="414" operator="equal">
      <formula>"U/P"</formula>
    </cfRule>
    <cfRule type="cellIs" dxfId="2766" priority="415" operator="equal">
      <formula>"F"</formula>
    </cfRule>
    <cfRule type="cellIs" dxfId="2765" priority="416" operator="equal">
      <formula>"F"</formula>
    </cfRule>
  </conditionalFormatting>
  <conditionalFormatting sqref="H210">
    <cfRule type="cellIs" dxfId="2764" priority="220" operator="equal">
      <formula>"U/P"</formula>
    </cfRule>
    <cfRule type="cellIs" dxfId="2763" priority="221" operator="equal">
      <formula>"F"</formula>
    </cfRule>
    <cfRule type="cellIs" dxfId="2762" priority="222" operator="equal">
      <formula>"F"</formula>
    </cfRule>
  </conditionalFormatting>
  <conditionalFormatting sqref="H226">
    <cfRule type="cellIs" dxfId="2761" priority="528" operator="equal">
      <formula>"U/P"</formula>
    </cfRule>
    <cfRule type="cellIs" dxfId="2760" priority="529" operator="equal">
      <formula>"F"</formula>
    </cfRule>
    <cfRule type="cellIs" dxfId="2759" priority="530" operator="equal">
      <formula>"F"</formula>
    </cfRule>
  </conditionalFormatting>
  <conditionalFormatting sqref="H235">
    <cfRule type="cellIs" dxfId="2758" priority="331" operator="equal">
      <formula>"U/P"</formula>
    </cfRule>
    <cfRule type="cellIs" dxfId="2757" priority="332" operator="equal">
      <formula>"F"</formula>
    </cfRule>
    <cfRule type="cellIs" dxfId="2756" priority="333" operator="equal">
      <formula>"F"</formula>
    </cfRule>
  </conditionalFormatting>
  <conditionalFormatting sqref="H244">
    <cfRule type="cellIs" dxfId="2755" priority="684" operator="equal">
      <formula>"U/P"</formula>
    </cfRule>
    <cfRule type="cellIs" dxfId="2754" priority="685" operator="equal">
      <formula>"F"</formula>
    </cfRule>
    <cfRule type="cellIs" dxfId="2753" priority="686" operator="equal">
      <formula>"F"</formula>
    </cfRule>
  </conditionalFormatting>
  <conditionalFormatting sqref="H252">
    <cfRule type="cellIs" dxfId="2752" priority="672" operator="equal">
      <formula>"U/P"</formula>
    </cfRule>
    <cfRule type="cellIs" dxfId="2751" priority="673" operator="equal">
      <formula>"F"</formula>
    </cfRule>
    <cfRule type="cellIs" dxfId="2750" priority="674" operator="equal">
      <formula>"F"</formula>
    </cfRule>
  </conditionalFormatting>
  <conditionalFormatting sqref="H260">
    <cfRule type="cellIs" dxfId="2749" priority="663" operator="equal">
      <formula>"U/P"</formula>
    </cfRule>
    <cfRule type="cellIs" dxfId="2748" priority="664" operator="equal">
      <formula>"F"</formula>
    </cfRule>
    <cfRule type="cellIs" dxfId="2747" priority="665" operator="equal">
      <formula>"F"</formula>
    </cfRule>
  </conditionalFormatting>
  <conditionalFormatting sqref="H268">
    <cfRule type="cellIs" dxfId="2746" priority="85" operator="equal">
      <formula>"U/P"</formula>
    </cfRule>
    <cfRule type="cellIs" dxfId="2745" priority="86" operator="equal">
      <formula>"F"</formula>
    </cfRule>
    <cfRule type="cellIs" dxfId="2744" priority="87" operator="equal">
      <formula>"F"</formula>
    </cfRule>
  </conditionalFormatting>
  <conditionalFormatting sqref="H276">
    <cfRule type="cellIs" dxfId="2743" priority="82" operator="equal">
      <formula>"U/P"</formula>
    </cfRule>
    <cfRule type="cellIs" dxfId="2742" priority="83" operator="equal">
      <formula>"F"</formula>
    </cfRule>
    <cfRule type="cellIs" dxfId="2741" priority="84" operator="equal">
      <formula>"F"</formula>
    </cfRule>
  </conditionalFormatting>
  <conditionalFormatting sqref="H284">
    <cfRule type="cellIs" dxfId="2740" priority="642" operator="equal">
      <formula>"U/P"</formula>
    </cfRule>
    <cfRule type="cellIs" dxfId="2739" priority="643" operator="equal">
      <formula>"F"</formula>
    </cfRule>
    <cfRule type="cellIs" dxfId="2738" priority="644" operator="equal">
      <formula>"F"</formula>
    </cfRule>
  </conditionalFormatting>
  <conditionalFormatting sqref="H292">
    <cfRule type="cellIs" dxfId="2737" priority="471" operator="equal">
      <formula>"U/P"</formula>
    </cfRule>
    <cfRule type="cellIs" dxfId="2736" priority="472" operator="equal">
      <formula>"F"</formula>
    </cfRule>
    <cfRule type="cellIs" dxfId="2735" priority="473" operator="equal">
      <formula>"F"</formula>
    </cfRule>
  </conditionalFormatting>
  <conditionalFormatting sqref="H300">
    <cfRule type="cellIs" dxfId="2734" priority="370" operator="equal">
      <formula>"U/P"</formula>
    </cfRule>
    <cfRule type="cellIs" dxfId="2733" priority="371" operator="equal">
      <formula>"F"</formula>
    </cfRule>
    <cfRule type="cellIs" dxfId="2732" priority="372" operator="equal">
      <formula>"F"</formula>
    </cfRule>
  </conditionalFormatting>
  <conditionalFormatting sqref="H308">
    <cfRule type="cellIs" dxfId="2731" priority="618" operator="equal">
      <formula>"U/P"</formula>
    </cfRule>
    <cfRule type="cellIs" dxfId="2730" priority="619" operator="equal">
      <formula>"F"</formula>
    </cfRule>
    <cfRule type="cellIs" dxfId="2729" priority="620" operator="equal">
      <formula>"F"</formula>
    </cfRule>
  </conditionalFormatting>
  <conditionalFormatting sqref="H315">
    <cfRule type="cellIs" dxfId="2728" priority="564" operator="equal">
      <formula>"U/P"</formula>
    </cfRule>
    <cfRule type="cellIs" dxfId="2727" priority="565" operator="equal">
      <formula>"F"</formula>
    </cfRule>
    <cfRule type="cellIs" dxfId="2726" priority="566" operator="equal">
      <formula>"F"</formula>
    </cfRule>
  </conditionalFormatting>
  <conditionalFormatting sqref="H60:I60">
    <cfRule type="cellIs" dxfId="2725" priority="463" operator="equal">
      <formula>0</formula>
    </cfRule>
  </conditionalFormatting>
  <conditionalFormatting sqref="I107">
    <cfRule type="cellIs" dxfId="2724" priority="996" operator="equal">
      <formula>"U/P"</formula>
    </cfRule>
    <cfRule type="cellIs" dxfId="2723" priority="997" operator="equal">
      <formula>"F"</formula>
    </cfRule>
    <cfRule type="cellIs" dxfId="2722" priority="998" operator="equal">
      <formula>"F"</formula>
    </cfRule>
  </conditionalFormatting>
  <conditionalFormatting sqref="J20">
    <cfRule type="cellIs" dxfId="2721" priority="1443" operator="equal">
      <formula>"U/P"</formula>
    </cfRule>
    <cfRule type="cellIs" dxfId="2720" priority="1444" operator="equal">
      <formula>"F"</formula>
    </cfRule>
    <cfRule type="cellIs" dxfId="2719" priority="1445" operator="equal">
      <formula>"F"</formula>
    </cfRule>
  </conditionalFormatting>
  <conditionalFormatting sqref="J27">
    <cfRule type="cellIs" dxfId="2718" priority="1401" operator="equal">
      <formula>"U/P"</formula>
    </cfRule>
    <cfRule type="cellIs" dxfId="2717" priority="1402" operator="equal">
      <formula>"F"</formula>
    </cfRule>
    <cfRule type="cellIs" dxfId="2716" priority="1403" operator="equal">
      <formula>"F"</formula>
    </cfRule>
  </conditionalFormatting>
  <conditionalFormatting sqref="J34">
    <cfRule type="cellIs" dxfId="2715" priority="1362" operator="equal">
      <formula>"U/P"</formula>
    </cfRule>
    <cfRule type="cellIs" dxfId="2714" priority="1363" operator="equal">
      <formula>"F"</formula>
    </cfRule>
    <cfRule type="cellIs" dxfId="2713" priority="1364" operator="equal">
      <formula>"F"</formula>
    </cfRule>
  </conditionalFormatting>
  <conditionalFormatting sqref="J41">
    <cfRule type="cellIs" dxfId="2712" priority="1320" operator="equal">
      <formula>"U/P"</formula>
    </cfRule>
    <cfRule type="cellIs" dxfId="2711" priority="1321" operator="equal">
      <formula>"F"</formula>
    </cfRule>
    <cfRule type="cellIs" dxfId="2710" priority="1322" operator="equal">
      <formula>"F"</formula>
    </cfRule>
  </conditionalFormatting>
  <conditionalFormatting sqref="J48">
    <cfRule type="cellIs" dxfId="2709" priority="1278" operator="equal">
      <formula>"U/P"</formula>
    </cfRule>
    <cfRule type="cellIs" dxfId="2708" priority="1279" operator="equal">
      <formula>"F"</formula>
    </cfRule>
    <cfRule type="cellIs" dxfId="2707" priority="1280" operator="equal">
      <formula>"F"</formula>
    </cfRule>
  </conditionalFormatting>
  <conditionalFormatting sqref="J57">
    <cfRule type="cellIs" dxfId="2706" priority="1236" operator="equal">
      <formula>"U/P"</formula>
    </cfRule>
    <cfRule type="cellIs" dxfId="2705" priority="1237" operator="equal">
      <formula>"F"</formula>
    </cfRule>
    <cfRule type="cellIs" dxfId="2704" priority="1238" operator="equal">
      <formula>"F"</formula>
    </cfRule>
  </conditionalFormatting>
  <conditionalFormatting sqref="J65">
    <cfRule type="cellIs" dxfId="2703" priority="1194" operator="equal">
      <formula>"U/P"</formula>
    </cfRule>
    <cfRule type="cellIs" dxfId="2702" priority="1195" operator="equal">
      <formula>"F"</formula>
    </cfRule>
    <cfRule type="cellIs" dxfId="2701" priority="1196" operator="equal">
      <formula>"F"</formula>
    </cfRule>
  </conditionalFormatting>
  <conditionalFormatting sqref="J73">
    <cfRule type="cellIs" dxfId="2700" priority="1152" operator="equal">
      <formula>"U/P"</formula>
    </cfRule>
    <cfRule type="cellIs" dxfId="2699" priority="1153" operator="equal">
      <formula>"F"</formula>
    </cfRule>
    <cfRule type="cellIs" dxfId="2698" priority="1154" operator="equal">
      <formula>"F"</formula>
    </cfRule>
  </conditionalFormatting>
  <conditionalFormatting sqref="J82">
    <cfRule type="cellIs" dxfId="2697" priority="316" operator="equal">
      <formula>"U/P"</formula>
    </cfRule>
    <cfRule type="cellIs" dxfId="2696" priority="317" operator="equal">
      <formula>"F"</formula>
    </cfRule>
    <cfRule type="cellIs" dxfId="2695" priority="318" operator="equal">
      <formula>"F"</formula>
    </cfRule>
  </conditionalFormatting>
  <conditionalFormatting sqref="J90">
    <cfRule type="cellIs" dxfId="2694" priority="1077" operator="equal">
      <formula>"U/P"</formula>
    </cfRule>
    <cfRule type="cellIs" dxfId="2693" priority="1078" operator="equal">
      <formula>"F"</formula>
    </cfRule>
    <cfRule type="cellIs" dxfId="2692" priority="1079" operator="equal">
      <formula>"F"</formula>
    </cfRule>
  </conditionalFormatting>
  <conditionalFormatting sqref="J99">
    <cfRule type="cellIs" dxfId="2691" priority="1032" operator="equal">
      <formula>"U/P"</formula>
    </cfRule>
    <cfRule type="cellIs" dxfId="2690" priority="1033" operator="equal">
      <formula>"F"</formula>
    </cfRule>
    <cfRule type="cellIs" dxfId="2689" priority="1034" operator="equal">
      <formula>"F"</formula>
    </cfRule>
  </conditionalFormatting>
  <conditionalFormatting sqref="J115">
    <cfRule type="cellIs" dxfId="2688" priority="966" operator="equal">
      <formula>"U/P"</formula>
    </cfRule>
    <cfRule type="cellIs" dxfId="2687" priority="967" operator="equal">
      <formula>"F"</formula>
    </cfRule>
    <cfRule type="cellIs" dxfId="2686" priority="968" operator="equal">
      <formula>"F"</formula>
    </cfRule>
  </conditionalFormatting>
  <conditionalFormatting sqref="J123">
    <cfRule type="cellIs" dxfId="2685" priority="930" operator="equal">
      <formula>"U/P"</formula>
    </cfRule>
    <cfRule type="cellIs" dxfId="2684" priority="931" operator="equal">
      <formula>"F"</formula>
    </cfRule>
    <cfRule type="cellIs" dxfId="2683" priority="932" operator="equal">
      <formula>"F"</formula>
    </cfRule>
  </conditionalFormatting>
  <conditionalFormatting sqref="J132">
    <cfRule type="cellIs" dxfId="2682" priority="31" operator="equal">
      <formula>"U/P"</formula>
    </cfRule>
    <cfRule type="cellIs" dxfId="2681" priority="32" operator="equal">
      <formula>"F"</formula>
    </cfRule>
    <cfRule type="cellIs" dxfId="2680" priority="33" operator="equal">
      <formula>"F"</formula>
    </cfRule>
  </conditionalFormatting>
  <conditionalFormatting sqref="J141">
    <cfRule type="cellIs" dxfId="2679" priority="426" operator="equal">
      <formula>"U/P"</formula>
    </cfRule>
    <cfRule type="cellIs" dxfId="2678" priority="427" operator="equal">
      <formula>"F"</formula>
    </cfRule>
    <cfRule type="cellIs" dxfId="2677" priority="428" operator="equal">
      <formula>"F"</formula>
    </cfRule>
  </conditionalFormatting>
  <conditionalFormatting sqref="J150">
    <cfRule type="cellIs" dxfId="2676" priority="876" operator="equal">
      <formula>"U/P"</formula>
    </cfRule>
    <cfRule type="cellIs" dxfId="2675" priority="877" operator="equal">
      <formula>"F"</formula>
    </cfRule>
    <cfRule type="cellIs" dxfId="2674" priority="878" operator="equal">
      <formula>"F"</formula>
    </cfRule>
  </conditionalFormatting>
  <conditionalFormatting sqref="J159">
    <cfRule type="cellIs" dxfId="2673" priority="840" operator="equal">
      <formula>"U/P"</formula>
    </cfRule>
    <cfRule type="cellIs" dxfId="2672" priority="841" operator="equal">
      <formula>"F"</formula>
    </cfRule>
    <cfRule type="cellIs" dxfId="2671" priority="842" operator="equal">
      <formula>"F"</formula>
    </cfRule>
  </conditionalFormatting>
  <conditionalFormatting sqref="J168">
    <cfRule type="cellIs" dxfId="2670" priority="813" operator="equal">
      <formula>"U/P"</formula>
    </cfRule>
    <cfRule type="cellIs" dxfId="2669" priority="814" operator="equal">
      <formula>"F"</formula>
    </cfRule>
    <cfRule type="cellIs" dxfId="2668" priority="815" operator="equal">
      <formula>"F"</formula>
    </cfRule>
  </conditionalFormatting>
  <conditionalFormatting sqref="J176">
    <cfRule type="cellIs" dxfId="2667" priority="298" operator="equal">
      <formula>"U/P"</formula>
    </cfRule>
    <cfRule type="cellIs" dxfId="2666" priority="299" operator="equal">
      <formula>"F"</formula>
    </cfRule>
    <cfRule type="cellIs" dxfId="2665" priority="300" operator="equal">
      <formula>"F"</formula>
    </cfRule>
  </conditionalFormatting>
  <conditionalFormatting sqref="J185">
    <cfRule type="cellIs" dxfId="2664" priority="420" operator="equal">
      <formula>"U/P"</formula>
    </cfRule>
    <cfRule type="cellIs" dxfId="2663" priority="421" operator="equal">
      <formula>"F"</formula>
    </cfRule>
    <cfRule type="cellIs" dxfId="2662" priority="422" operator="equal">
      <formula>"F"</formula>
    </cfRule>
  </conditionalFormatting>
  <conditionalFormatting sqref="J194">
    <cfRule type="cellIs" dxfId="2661" priority="1469" operator="equal">
      <formula>"U/P"</formula>
    </cfRule>
    <cfRule type="cellIs" dxfId="2660" priority="1470" operator="equal">
      <formula>"F"</formula>
    </cfRule>
    <cfRule type="cellIs" dxfId="2659" priority="1471" operator="equal">
      <formula>"F"</formula>
    </cfRule>
  </conditionalFormatting>
  <conditionalFormatting sqref="J202">
    <cfRule type="cellIs" dxfId="2658" priority="747" operator="equal">
      <formula>"U/P"</formula>
    </cfRule>
    <cfRule type="cellIs" dxfId="2657" priority="748" operator="equal">
      <formula>"F"</formula>
    </cfRule>
    <cfRule type="cellIs" dxfId="2656" priority="749" operator="equal">
      <formula>"F"</formula>
    </cfRule>
  </conditionalFormatting>
  <conditionalFormatting sqref="J210">
    <cfRule type="cellIs" dxfId="2655" priority="1454" operator="equal">
      <formula>"U/P"</formula>
    </cfRule>
    <cfRule type="cellIs" dxfId="2654" priority="1455" operator="equal">
      <formula>"F"</formula>
    </cfRule>
    <cfRule type="cellIs" dxfId="2653" priority="1456" operator="equal">
      <formula>"F"</formula>
    </cfRule>
  </conditionalFormatting>
  <conditionalFormatting sqref="J226">
    <cfRule type="cellIs" dxfId="2652" priority="522" operator="equal">
      <formula>"U/P"</formula>
    </cfRule>
    <cfRule type="cellIs" dxfId="2651" priority="523" operator="equal">
      <formula>"F"</formula>
    </cfRule>
    <cfRule type="cellIs" dxfId="2650" priority="524" operator="equal">
      <formula>"F"</formula>
    </cfRule>
  </conditionalFormatting>
  <conditionalFormatting sqref="J235">
    <cfRule type="cellIs" dxfId="2649" priority="403" operator="equal">
      <formula>"U/P"</formula>
    </cfRule>
    <cfRule type="cellIs" dxfId="2648" priority="404" operator="equal">
      <formula>"F"</formula>
    </cfRule>
    <cfRule type="cellIs" dxfId="2647" priority="405" operator="equal">
      <formula>"F"</formula>
    </cfRule>
  </conditionalFormatting>
  <conditionalFormatting sqref="J244">
    <cfRule type="cellIs" dxfId="2646" priority="486" operator="equal">
      <formula>"U/P"</formula>
    </cfRule>
    <cfRule type="cellIs" dxfId="2645" priority="487" operator="equal">
      <formula>"F"</formula>
    </cfRule>
    <cfRule type="cellIs" dxfId="2644" priority="488" operator="equal">
      <formula>"F"</formula>
    </cfRule>
  </conditionalFormatting>
  <conditionalFormatting sqref="J252">
    <cfRule type="cellIs" dxfId="2643" priority="675" operator="equal">
      <formula>"U/P"</formula>
    </cfRule>
    <cfRule type="cellIs" dxfId="2642" priority="676" operator="equal">
      <formula>"F"</formula>
    </cfRule>
    <cfRule type="cellIs" dxfId="2641" priority="677" operator="equal">
      <formula>"F"</formula>
    </cfRule>
  </conditionalFormatting>
  <conditionalFormatting sqref="J268">
    <cfRule type="cellIs" dxfId="2640" priority="64" operator="equal">
      <formula>"U/P"</formula>
    </cfRule>
    <cfRule type="cellIs" dxfId="2639" priority="65" operator="equal">
      <formula>"F"</formula>
    </cfRule>
    <cfRule type="cellIs" dxfId="2638" priority="66" operator="equal">
      <formula>"F"</formula>
    </cfRule>
  </conditionalFormatting>
  <conditionalFormatting sqref="J276">
    <cfRule type="cellIs" dxfId="2637" priority="52" operator="equal">
      <formula>"U/P"</formula>
    </cfRule>
    <cfRule type="cellIs" dxfId="2636" priority="53" operator="equal">
      <formula>"F"</formula>
    </cfRule>
    <cfRule type="cellIs" dxfId="2635" priority="54" operator="equal">
      <formula>"F"</formula>
    </cfRule>
  </conditionalFormatting>
  <conditionalFormatting sqref="J284">
    <cfRule type="cellIs" dxfId="2634" priority="202" operator="equal">
      <formula>"U/P"</formula>
    </cfRule>
    <cfRule type="cellIs" dxfId="2633" priority="203" operator="equal">
      <formula>"F"</formula>
    </cfRule>
    <cfRule type="cellIs" dxfId="2632" priority="204" operator="equal">
      <formula>"F"</formula>
    </cfRule>
  </conditionalFormatting>
  <conditionalFormatting sqref="J292">
    <cfRule type="cellIs" dxfId="2631" priority="436" operator="equal">
      <formula>"U/P"</formula>
    </cfRule>
    <cfRule type="cellIs" dxfId="2630" priority="437" operator="equal">
      <formula>"F"</formula>
    </cfRule>
    <cfRule type="cellIs" dxfId="2629" priority="438" operator="equal">
      <formula>"F"</formula>
    </cfRule>
  </conditionalFormatting>
  <conditionalFormatting sqref="J300">
    <cfRule type="cellIs" dxfId="2628" priority="343" operator="equal">
      <formula>"U/P"</formula>
    </cfRule>
    <cfRule type="cellIs" dxfId="2627" priority="344" operator="equal">
      <formula>"F"</formula>
    </cfRule>
    <cfRule type="cellIs" dxfId="2626" priority="345" operator="equal">
      <formula>"F"</formula>
    </cfRule>
  </conditionalFormatting>
  <conditionalFormatting sqref="J308">
    <cfRule type="cellIs" dxfId="2625" priority="627" operator="equal">
      <formula>"U/P"</formula>
    </cfRule>
    <cfRule type="cellIs" dxfId="2624" priority="628" operator="equal">
      <formula>"F"</formula>
    </cfRule>
    <cfRule type="cellIs" dxfId="2623" priority="629" operator="equal">
      <formula>"F"</formula>
    </cfRule>
  </conditionalFormatting>
  <conditionalFormatting sqref="J315">
    <cfRule type="cellIs" dxfId="2622" priority="600" operator="equal">
      <formula>"U/P"</formula>
    </cfRule>
    <cfRule type="cellIs" dxfId="2621" priority="601" operator="equal">
      <formula>"F"</formula>
    </cfRule>
    <cfRule type="cellIs" dxfId="2620" priority="602" operator="equal">
      <formula>"F"</formula>
    </cfRule>
  </conditionalFormatting>
  <conditionalFormatting sqref="K107">
    <cfRule type="cellIs" dxfId="2619" priority="993" operator="equal">
      <formula>"U/P"</formula>
    </cfRule>
    <cfRule type="cellIs" dxfId="2618" priority="994" operator="equal">
      <formula>"F"</formula>
    </cfRule>
    <cfRule type="cellIs" dxfId="2617" priority="995" operator="equal">
      <formula>"F"</formula>
    </cfRule>
  </conditionalFormatting>
  <conditionalFormatting sqref="L20">
    <cfRule type="cellIs" dxfId="2616" priority="1440" operator="equal">
      <formula>"U/P"</formula>
    </cfRule>
    <cfRule type="cellIs" dxfId="2615" priority="1441" operator="equal">
      <formula>"F"</formula>
    </cfRule>
    <cfRule type="cellIs" dxfId="2614" priority="1442" operator="equal">
      <formula>"F"</formula>
    </cfRule>
  </conditionalFormatting>
  <conditionalFormatting sqref="L27">
    <cfRule type="cellIs" dxfId="2613" priority="1398" operator="equal">
      <formula>"U/P"</formula>
    </cfRule>
    <cfRule type="cellIs" dxfId="2612" priority="1399" operator="equal">
      <formula>"F"</formula>
    </cfRule>
    <cfRule type="cellIs" dxfId="2611" priority="1400" operator="equal">
      <formula>"F"</formula>
    </cfRule>
  </conditionalFormatting>
  <conditionalFormatting sqref="L34">
    <cfRule type="cellIs" dxfId="2610" priority="1359" operator="equal">
      <formula>"U/P"</formula>
    </cfRule>
    <cfRule type="cellIs" dxfId="2609" priority="1360" operator="equal">
      <formula>"F"</formula>
    </cfRule>
    <cfRule type="cellIs" dxfId="2608" priority="1361" operator="equal">
      <formula>"F"</formula>
    </cfRule>
  </conditionalFormatting>
  <conditionalFormatting sqref="L41">
    <cfRule type="cellIs" dxfId="2607" priority="1317" operator="equal">
      <formula>"U/P"</formula>
    </cfRule>
    <cfRule type="cellIs" dxfId="2606" priority="1318" operator="equal">
      <formula>"F"</formula>
    </cfRule>
    <cfRule type="cellIs" dxfId="2605" priority="1319" operator="equal">
      <formula>"F"</formula>
    </cfRule>
  </conditionalFormatting>
  <conditionalFormatting sqref="L48">
    <cfRule type="cellIs" dxfId="2604" priority="1275" operator="equal">
      <formula>"U/P"</formula>
    </cfRule>
    <cfRule type="cellIs" dxfId="2603" priority="1276" operator="equal">
      <formula>"F"</formula>
    </cfRule>
    <cfRule type="cellIs" dxfId="2602" priority="1277" operator="equal">
      <formula>"F"</formula>
    </cfRule>
  </conditionalFormatting>
  <conditionalFormatting sqref="L57">
    <cfRule type="cellIs" dxfId="2601" priority="1233" operator="equal">
      <formula>"U/P"</formula>
    </cfRule>
    <cfRule type="cellIs" dxfId="2600" priority="1234" operator="equal">
      <formula>"F"</formula>
    </cfRule>
    <cfRule type="cellIs" dxfId="2599" priority="1235" operator="equal">
      <formula>"F"</formula>
    </cfRule>
  </conditionalFormatting>
  <conditionalFormatting sqref="L60">
    <cfRule type="cellIs" dxfId="2598" priority="464" operator="equal">
      <formula>0</formula>
    </cfRule>
  </conditionalFormatting>
  <conditionalFormatting sqref="L65">
    <cfRule type="cellIs" dxfId="2597" priority="1191" operator="equal">
      <formula>"U/P"</formula>
    </cfRule>
    <cfRule type="cellIs" dxfId="2596" priority="1192" operator="equal">
      <formula>"F"</formula>
    </cfRule>
    <cfRule type="cellIs" dxfId="2595" priority="1193" operator="equal">
      <formula>"F"</formula>
    </cfRule>
  </conditionalFormatting>
  <conditionalFormatting sqref="L73">
    <cfRule type="cellIs" dxfId="2594" priority="1149" operator="equal">
      <formula>"U/P"</formula>
    </cfRule>
    <cfRule type="cellIs" dxfId="2593" priority="1150" operator="equal">
      <formula>"F"</formula>
    </cfRule>
    <cfRule type="cellIs" dxfId="2592" priority="1151" operator="equal">
      <formula>"F"</formula>
    </cfRule>
  </conditionalFormatting>
  <conditionalFormatting sqref="L82">
    <cfRule type="cellIs" dxfId="2591" priority="1113" operator="equal">
      <formula>"U/P"</formula>
    </cfRule>
    <cfRule type="cellIs" dxfId="2590" priority="1114" operator="equal">
      <formula>"F"</formula>
    </cfRule>
    <cfRule type="cellIs" dxfId="2589" priority="1115" operator="equal">
      <formula>"F"</formula>
    </cfRule>
  </conditionalFormatting>
  <conditionalFormatting sqref="L90">
    <cfRule type="cellIs" dxfId="2588" priority="1074" operator="equal">
      <formula>"U/P"</formula>
    </cfRule>
    <cfRule type="cellIs" dxfId="2587" priority="1075" operator="equal">
      <formula>"F"</formula>
    </cfRule>
    <cfRule type="cellIs" dxfId="2586" priority="1076" operator="equal">
      <formula>"F"</formula>
    </cfRule>
  </conditionalFormatting>
  <conditionalFormatting sqref="L99">
    <cfRule type="cellIs" dxfId="2585" priority="468" operator="equal">
      <formula>"U/P"</formula>
    </cfRule>
    <cfRule type="cellIs" dxfId="2584" priority="469" operator="equal">
      <formula>"F"</formula>
    </cfRule>
    <cfRule type="cellIs" dxfId="2583" priority="470" operator="equal">
      <formula>"F"</formula>
    </cfRule>
  </conditionalFormatting>
  <conditionalFormatting sqref="L115">
    <cfRule type="cellIs" dxfId="2582" priority="963" operator="equal">
      <formula>"U/P"</formula>
    </cfRule>
    <cfRule type="cellIs" dxfId="2581" priority="964" operator="equal">
      <formula>"F"</formula>
    </cfRule>
    <cfRule type="cellIs" dxfId="2580" priority="965" operator="equal">
      <formula>"F"</formula>
    </cfRule>
  </conditionalFormatting>
  <conditionalFormatting sqref="L123">
    <cfRule type="cellIs" dxfId="2579" priority="927" operator="equal">
      <formula>"U/P"</formula>
    </cfRule>
    <cfRule type="cellIs" dxfId="2578" priority="928" operator="equal">
      <formula>"F"</formula>
    </cfRule>
    <cfRule type="cellIs" dxfId="2577" priority="929" operator="equal">
      <formula>"F"</formula>
    </cfRule>
  </conditionalFormatting>
  <conditionalFormatting sqref="L132">
    <cfRule type="cellIs" dxfId="2576" priority="100" operator="equal">
      <formula>"U/P"</formula>
    </cfRule>
    <cfRule type="cellIs" dxfId="2575" priority="101" operator="equal">
      <formula>"F"</formula>
    </cfRule>
    <cfRule type="cellIs" dxfId="2574" priority="102" operator="equal">
      <formula>"F"</formula>
    </cfRule>
  </conditionalFormatting>
  <conditionalFormatting sqref="L141">
    <cfRule type="cellIs" dxfId="2573" priority="900" operator="equal">
      <formula>"U/P"</formula>
    </cfRule>
    <cfRule type="cellIs" dxfId="2572" priority="901" operator="equal">
      <formula>"F"</formula>
    </cfRule>
    <cfRule type="cellIs" dxfId="2571" priority="902" operator="equal">
      <formula>"F"</formula>
    </cfRule>
  </conditionalFormatting>
  <conditionalFormatting sqref="L150">
    <cfRule type="cellIs" dxfId="2570" priority="873" operator="equal">
      <formula>"U/P"</formula>
    </cfRule>
    <cfRule type="cellIs" dxfId="2569" priority="874" operator="equal">
      <formula>"F"</formula>
    </cfRule>
    <cfRule type="cellIs" dxfId="2568" priority="875" operator="equal">
      <formula>"F"</formula>
    </cfRule>
  </conditionalFormatting>
  <conditionalFormatting sqref="L159">
    <cfRule type="cellIs" dxfId="2567" priority="837" operator="equal">
      <formula>"U/P"</formula>
    </cfRule>
    <cfRule type="cellIs" dxfId="2566" priority="838" operator="equal">
      <formula>"F"</formula>
    </cfRule>
    <cfRule type="cellIs" dxfId="2565" priority="839" operator="equal">
      <formula>"F"</formula>
    </cfRule>
  </conditionalFormatting>
  <conditionalFormatting sqref="L168">
    <cfRule type="cellIs" dxfId="2564" priority="810" operator="equal">
      <formula>"U/P"</formula>
    </cfRule>
    <cfRule type="cellIs" dxfId="2563" priority="811" operator="equal">
      <formula>"F"</formula>
    </cfRule>
    <cfRule type="cellIs" dxfId="2562" priority="812" operator="equal">
      <formula>"F"</formula>
    </cfRule>
  </conditionalFormatting>
  <conditionalFormatting sqref="L171 N171 P171 R171 V171 X171 Z171 AB171">
    <cfRule type="cellIs" dxfId="2561" priority="1473" operator="equal">
      <formula>0</formula>
    </cfRule>
  </conditionalFormatting>
  <conditionalFormatting sqref="L176">
    <cfRule type="cellIs" dxfId="2560" priority="780" operator="equal">
      <formula>"U/P"</formula>
    </cfRule>
    <cfRule type="cellIs" dxfId="2559" priority="781" operator="equal">
      <formula>"F"</formula>
    </cfRule>
    <cfRule type="cellIs" dxfId="2558" priority="782" operator="equal">
      <formula>"F"</formula>
    </cfRule>
  </conditionalFormatting>
  <conditionalFormatting sqref="L185">
    <cfRule type="cellIs" dxfId="2557" priority="759" operator="equal">
      <formula>"U/P"</formula>
    </cfRule>
    <cfRule type="cellIs" dxfId="2556" priority="760" operator="equal">
      <formula>"F"</formula>
    </cfRule>
    <cfRule type="cellIs" dxfId="2555" priority="761" operator="equal">
      <formula>"F"</formula>
    </cfRule>
  </conditionalFormatting>
  <conditionalFormatting sqref="L194">
    <cfRule type="cellIs" dxfId="2554" priority="1466" operator="equal">
      <formula>"U/P"</formula>
    </cfRule>
    <cfRule type="cellIs" dxfId="2553" priority="1467" operator="equal">
      <formula>"F"</formula>
    </cfRule>
    <cfRule type="cellIs" dxfId="2552" priority="1468" operator="equal">
      <formula>"F"</formula>
    </cfRule>
  </conditionalFormatting>
  <conditionalFormatting sqref="L202">
    <cfRule type="cellIs" dxfId="2551" priority="744" operator="equal">
      <formula>"U/P"</formula>
    </cfRule>
    <cfRule type="cellIs" dxfId="2550" priority="745" operator="equal">
      <formula>"F"</formula>
    </cfRule>
    <cfRule type="cellIs" dxfId="2549" priority="746" operator="equal">
      <formula>"F"</formula>
    </cfRule>
  </conditionalFormatting>
  <conditionalFormatting sqref="L210">
    <cfRule type="cellIs" dxfId="2548" priority="510" operator="equal">
      <formula>"U/P"</formula>
    </cfRule>
    <cfRule type="cellIs" dxfId="2547" priority="511" operator="equal">
      <formula>"F"</formula>
    </cfRule>
    <cfRule type="cellIs" dxfId="2546" priority="512" operator="equal">
      <formula>"F"</formula>
    </cfRule>
  </conditionalFormatting>
  <conditionalFormatting sqref="L218">
    <cfRule type="cellIs" dxfId="2545" priority="495" operator="equal">
      <formula>"U/P"</formula>
    </cfRule>
    <cfRule type="cellIs" dxfId="2544" priority="496" operator="equal">
      <formula>"F"</formula>
    </cfRule>
    <cfRule type="cellIs" dxfId="2543" priority="497" operator="equal">
      <formula>"F"</formula>
    </cfRule>
  </conditionalFormatting>
  <conditionalFormatting sqref="L226">
    <cfRule type="cellIs" dxfId="2542" priority="507" operator="equal">
      <formula>"U/P"</formula>
    </cfRule>
    <cfRule type="cellIs" dxfId="2541" priority="508" operator="equal">
      <formula>"F"</formula>
    </cfRule>
    <cfRule type="cellIs" dxfId="2540" priority="509" operator="equal">
      <formula>"F"</formula>
    </cfRule>
  </conditionalFormatting>
  <conditionalFormatting sqref="L235">
    <cfRule type="cellIs" dxfId="2539" priority="376" operator="equal">
      <formula>"U/P"</formula>
    </cfRule>
    <cfRule type="cellIs" dxfId="2538" priority="377" operator="equal">
      <formula>"F"</formula>
    </cfRule>
    <cfRule type="cellIs" dxfId="2537" priority="378" operator="equal">
      <formula>"F"</formula>
    </cfRule>
  </conditionalFormatting>
  <conditionalFormatting sqref="L244">
    <cfRule type="cellIs" dxfId="2536" priority="681" operator="equal">
      <formula>"U/P"</formula>
    </cfRule>
    <cfRule type="cellIs" dxfId="2535" priority="682" operator="equal">
      <formula>"F"</formula>
    </cfRule>
    <cfRule type="cellIs" dxfId="2534" priority="683" operator="equal">
      <formula>"F"</formula>
    </cfRule>
  </conditionalFormatting>
  <conditionalFormatting sqref="L252">
    <cfRule type="cellIs" dxfId="2533" priority="669" operator="equal">
      <formula>"U/P"</formula>
    </cfRule>
    <cfRule type="cellIs" dxfId="2532" priority="670" operator="equal">
      <formula>"F"</formula>
    </cfRule>
    <cfRule type="cellIs" dxfId="2531" priority="671" operator="equal">
      <formula>"F"</formula>
    </cfRule>
  </conditionalFormatting>
  <conditionalFormatting sqref="L260">
    <cfRule type="cellIs" dxfId="2530" priority="660" operator="equal">
      <formula>"U/P"</formula>
    </cfRule>
    <cfRule type="cellIs" dxfId="2529" priority="661" operator="equal">
      <formula>"F"</formula>
    </cfRule>
    <cfRule type="cellIs" dxfId="2528" priority="662" operator="equal">
      <formula>"F"</formula>
    </cfRule>
  </conditionalFormatting>
  <conditionalFormatting sqref="L268">
    <cfRule type="cellIs" dxfId="2527" priority="88" operator="equal">
      <formula>"U/P"</formula>
    </cfRule>
    <cfRule type="cellIs" dxfId="2526" priority="89" operator="equal">
      <formula>"F"</formula>
    </cfRule>
    <cfRule type="cellIs" dxfId="2525" priority="90" operator="equal">
      <formula>"F"</formula>
    </cfRule>
  </conditionalFormatting>
  <conditionalFormatting sqref="L276">
    <cfRule type="cellIs" dxfId="2524" priority="648" operator="equal">
      <formula>"U/P"</formula>
    </cfRule>
    <cfRule type="cellIs" dxfId="2523" priority="649" operator="equal">
      <formula>"F"</formula>
    </cfRule>
    <cfRule type="cellIs" dxfId="2522" priority="650" operator="equal">
      <formula>"F"</formula>
    </cfRule>
  </conditionalFormatting>
  <conditionalFormatting sqref="L284">
    <cfRule type="cellIs" dxfId="2521" priority="229" operator="equal">
      <formula>"U/P"</formula>
    </cfRule>
    <cfRule type="cellIs" dxfId="2520" priority="230" operator="equal">
      <formula>"F"</formula>
    </cfRule>
    <cfRule type="cellIs" dxfId="2519" priority="231" operator="equal">
      <formula>"F"</formula>
    </cfRule>
  </conditionalFormatting>
  <conditionalFormatting sqref="L292">
    <cfRule type="cellIs" dxfId="2518" priority="477" operator="equal">
      <formula>"U/P"</formula>
    </cfRule>
    <cfRule type="cellIs" dxfId="2517" priority="478" operator="equal">
      <formula>"F"</formula>
    </cfRule>
    <cfRule type="cellIs" dxfId="2516" priority="479" operator="equal">
      <formula>"F"</formula>
    </cfRule>
  </conditionalFormatting>
  <conditionalFormatting sqref="L300">
    <cfRule type="cellIs" dxfId="2515" priority="301" operator="equal">
      <formula>"U/P"</formula>
    </cfRule>
    <cfRule type="cellIs" dxfId="2514" priority="302" operator="equal">
      <formula>"F"</formula>
    </cfRule>
    <cfRule type="cellIs" dxfId="2513" priority="303" operator="equal">
      <formula>"F"</formula>
    </cfRule>
  </conditionalFormatting>
  <conditionalFormatting sqref="L308">
    <cfRule type="cellIs" dxfId="2512" priority="615" operator="equal">
      <formula>"U/P"</formula>
    </cfRule>
    <cfRule type="cellIs" dxfId="2511" priority="616" operator="equal">
      <formula>"F"</formula>
    </cfRule>
    <cfRule type="cellIs" dxfId="2510" priority="617" operator="equal">
      <formula>"F"</formula>
    </cfRule>
  </conditionalFormatting>
  <conditionalFormatting sqref="L315">
    <cfRule type="cellIs" dxfId="2509" priority="591" operator="equal">
      <formula>"U/P"</formula>
    </cfRule>
    <cfRule type="cellIs" dxfId="2508" priority="592" operator="equal">
      <formula>"F"</formula>
    </cfRule>
    <cfRule type="cellIs" dxfId="2507" priority="593" operator="equal">
      <formula>"F"</formula>
    </cfRule>
  </conditionalFormatting>
  <conditionalFormatting sqref="M107">
    <cfRule type="cellIs" dxfId="2506" priority="990" operator="equal">
      <formula>"U/P"</formula>
    </cfRule>
    <cfRule type="cellIs" dxfId="2505" priority="991" operator="equal">
      <formula>"F"</formula>
    </cfRule>
    <cfRule type="cellIs" dxfId="2504" priority="992" operator="equal">
      <formula>"F"</formula>
    </cfRule>
  </conditionalFormatting>
  <conditionalFormatting sqref="M213">
    <cfRule type="cellIs" dxfId="2503" priority="358" operator="equal">
      <formula>"U/P"</formula>
    </cfRule>
    <cfRule type="cellIs" dxfId="2502" priority="359" operator="equal">
      <formula>"F"</formula>
    </cfRule>
    <cfRule type="cellIs" dxfId="2501" priority="360" operator="equal">
      <formula>"F"</formula>
    </cfRule>
  </conditionalFormatting>
  <conditionalFormatting sqref="N20">
    <cfRule type="cellIs" dxfId="2500" priority="1437" operator="equal">
      <formula>"U/P"</formula>
    </cfRule>
    <cfRule type="cellIs" dxfId="2499" priority="1438" operator="equal">
      <formula>"F"</formula>
    </cfRule>
    <cfRule type="cellIs" dxfId="2498" priority="1439" operator="equal">
      <formula>"F"</formula>
    </cfRule>
  </conditionalFormatting>
  <conditionalFormatting sqref="N27">
    <cfRule type="cellIs" dxfId="2497" priority="1395" operator="equal">
      <formula>"U/P"</formula>
    </cfRule>
    <cfRule type="cellIs" dxfId="2496" priority="1396" operator="equal">
      <formula>"F"</formula>
    </cfRule>
    <cfRule type="cellIs" dxfId="2495" priority="1397" operator="equal">
      <formula>"F"</formula>
    </cfRule>
  </conditionalFormatting>
  <conditionalFormatting sqref="N34">
    <cfRule type="cellIs" dxfId="2494" priority="1356" operator="equal">
      <formula>"U/P"</formula>
    </cfRule>
    <cfRule type="cellIs" dxfId="2493" priority="1357" operator="equal">
      <formula>"F"</formula>
    </cfRule>
    <cfRule type="cellIs" dxfId="2492" priority="1358" operator="equal">
      <formula>"F"</formula>
    </cfRule>
  </conditionalFormatting>
  <conditionalFormatting sqref="N41">
    <cfRule type="cellIs" dxfId="2491" priority="1314" operator="equal">
      <formula>"U/P"</formula>
    </cfRule>
    <cfRule type="cellIs" dxfId="2490" priority="1315" operator="equal">
      <formula>"F"</formula>
    </cfRule>
    <cfRule type="cellIs" dxfId="2489" priority="1316" operator="equal">
      <formula>"F"</formula>
    </cfRule>
  </conditionalFormatting>
  <conditionalFormatting sqref="N48">
    <cfRule type="cellIs" dxfId="2488" priority="1272" operator="equal">
      <formula>"U/P"</formula>
    </cfRule>
    <cfRule type="cellIs" dxfId="2487" priority="1273" operator="equal">
      <formula>"F"</formula>
    </cfRule>
    <cfRule type="cellIs" dxfId="2486" priority="1274" operator="equal">
      <formula>"F"</formula>
    </cfRule>
  </conditionalFormatting>
  <conditionalFormatting sqref="N57">
    <cfRule type="cellIs" dxfId="2485" priority="1230" operator="equal">
      <formula>"U/P"</formula>
    </cfRule>
    <cfRule type="cellIs" dxfId="2484" priority="1231" operator="equal">
      <formula>"F"</formula>
    </cfRule>
    <cfRule type="cellIs" dxfId="2483" priority="1232" operator="equal">
      <formula>"F"</formula>
    </cfRule>
  </conditionalFormatting>
  <conditionalFormatting sqref="N65">
    <cfRule type="cellIs" dxfId="2482" priority="1188" operator="equal">
      <formula>"U/P"</formula>
    </cfRule>
    <cfRule type="cellIs" dxfId="2481" priority="1189" operator="equal">
      <formula>"F"</formula>
    </cfRule>
    <cfRule type="cellIs" dxfId="2480" priority="1190" operator="equal">
      <formula>"F"</formula>
    </cfRule>
  </conditionalFormatting>
  <conditionalFormatting sqref="N73">
    <cfRule type="cellIs" dxfId="2479" priority="1146" operator="equal">
      <formula>"U/P"</formula>
    </cfRule>
    <cfRule type="cellIs" dxfId="2478" priority="1147" operator="equal">
      <formula>"F"</formula>
    </cfRule>
    <cfRule type="cellIs" dxfId="2477" priority="1148" operator="equal">
      <formula>"F"</formula>
    </cfRule>
  </conditionalFormatting>
  <conditionalFormatting sqref="N82">
    <cfRule type="cellIs" dxfId="2476" priority="1110" operator="equal">
      <formula>"U/P"</formula>
    </cfRule>
    <cfRule type="cellIs" dxfId="2475" priority="1111" operator="equal">
      <formula>"F"</formula>
    </cfRule>
    <cfRule type="cellIs" dxfId="2474" priority="1112" operator="equal">
      <formula>"F"</formula>
    </cfRule>
  </conditionalFormatting>
  <conditionalFormatting sqref="N90">
    <cfRule type="cellIs" dxfId="2473" priority="1071" operator="equal">
      <formula>"U/P"</formula>
    </cfRule>
    <cfRule type="cellIs" dxfId="2472" priority="1072" operator="equal">
      <formula>"F"</formula>
    </cfRule>
    <cfRule type="cellIs" dxfId="2471" priority="1073" operator="equal">
      <formula>"F"</formula>
    </cfRule>
  </conditionalFormatting>
  <conditionalFormatting sqref="N99">
    <cfRule type="cellIs" dxfId="2470" priority="1029" operator="equal">
      <formula>"U/P"</formula>
    </cfRule>
    <cfRule type="cellIs" dxfId="2469" priority="1030" operator="equal">
      <formula>"F"</formula>
    </cfRule>
    <cfRule type="cellIs" dxfId="2468" priority="1031" operator="equal">
      <formula>"F"</formula>
    </cfRule>
  </conditionalFormatting>
  <conditionalFormatting sqref="N115">
    <cfRule type="cellIs" dxfId="2467" priority="960" operator="equal">
      <formula>"U/P"</formula>
    </cfRule>
    <cfRule type="cellIs" dxfId="2466" priority="961" operator="equal">
      <formula>"F"</formula>
    </cfRule>
    <cfRule type="cellIs" dxfId="2465" priority="962" operator="equal">
      <formula>"F"</formula>
    </cfRule>
  </conditionalFormatting>
  <conditionalFormatting sqref="N123">
    <cfRule type="cellIs" dxfId="2464" priority="429" operator="equal">
      <formula>"U/P"</formula>
    </cfRule>
    <cfRule type="cellIs" dxfId="2463" priority="430" operator="equal">
      <formula>"F"</formula>
    </cfRule>
    <cfRule type="cellIs" dxfId="2462" priority="431" operator="equal">
      <formula>"F"</formula>
    </cfRule>
  </conditionalFormatting>
  <conditionalFormatting sqref="N132">
    <cfRule type="cellIs" dxfId="2461" priority="1492" operator="equal">
      <formula>"U/P"</formula>
    </cfRule>
    <cfRule type="cellIs" dxfId="2460" priority="1493" operator="equal">
      <formula>"F"</formula>
    </cfRule>
    <cfRule type="cellIs" dxfId="2459" priority="1494" operator="equal">
      <formula>"F"</formula>
    </cfRule>
  </conditionalFormatting>
  <conditionalFormatting sqref="N141">
    <cfRule type="cellIs" dxfId="2458" priority="897" operator="equal">
      <formula>"U/P"</formula>
    </cfRule>
    <cfRule type="cellIs" dxfId="2457" priority="898" operator="equal">
      <formula>"F"</formula>
    </cfRule>
    <cfRule type="cellIs" dxfId="2456" priority="899" operator="equal">
      <formula>"F"</formula>
    </cfRule>
  </conditionalFormatting>
  <conditionalFormatting sqref="N150">
    <cfRule type="cellIs" dxfId="2455" priority="870" operator="equal">
      <formula>"U/P"</formula>
    </cfRule>
    <cfRule type="cellIs" dxfId="2454" priority="871" operator="equal">
      <formula>"F"</formula>
    </cfRule>
    <cfRule type="cellIs" dxfId="2453" priority="872" operator="equal">
      <formula>"F"</formula>
    </cfRule>
  </conditionalFormatting>
  <conditionalFormatting sqref="N159">
    <cfRule type="cellIs" dxfId="2452" priority="834" operator="equal">
      <formula>"U/P"</formula>
    </cfRule>
    <cfRule type="cellIs" dxfId="2451" priority="835" operator="equal">
      <formula>"F"</formula>
    </cfRule>
    <cfRule type="cellIs" dxfId="2450" priority="836" operator="equal">
      <formula>"F"</formula>
    </cfRule>
  </conditionalFormatting>
  <conditionalFormatting sqref="N168">
    <cfRule type="cellIs" dxfId="2449" priority="454" operator="equal">
      <formula>"U/P"</formula>
    </cfRule>
    <cfRule type="cellIs" dxfId="2448" priority="455" operator="equal">
      <formula>"F"</formula>
    </cfRule>
    <cfRule type="cellIs" dxfId="2447" priority="456" operator="equal">
      <formula>"F"</formula>
    </cfRule>
  </conditionalFormatting>
  <conditionalFormatting sqref="N176">
    <cfRule type="cellIs" dxfId="2446" priority="777" operator="equal">
      <formula>"U/P"</formula>
    </cfRule>
    <cfRule type="cellIs" dxfId="2445" priority="778" operator="equal">
      <formula>"F"</formula>
    </cfRule>
    <cfRule type="cellIs" dxfId="2444" priority="779" operator="equal">
      <formula>"F"</formula>
    </cfRule>
  </conditionalFormatting>
  <conditionalFormatting sqref="N185">
    <cfRule type="cellIs" dxfId="2443" priority="489" operator="equal">
      <formula>"U/P"</formula>
    </cfRule>
    <cfRule type="cellIs" dxfId="2442" priority="490" operator="equal">
      <formula>"F"</formula>
    </cfRule>
    <cfRule type="cellIs" dxfId="2441" priority="491" operator="equal">
      <formula>"F"</formula>
    </cfRule>
  </conditionalFormatting>
  <conditionalFormatting sqref="N194">
    <cfRule type="cellIs" dxfId="2440" priority="154" operator="equal">
      <formula>"U/P"</formula>
    </cfRule>
    <cfRule type="cellIs" dxfId="2439" priority="155" operator="equal">
      <formula>"F"</formula>
    </cfRule>
    <cfRule type="cellIs" dxfId="2438" priority="156" operator="equal">
      <formula>"F"</formula>
    </cfRule>
  </conditionalFormatting>
  <conditionalFormatting sqref="N202">
    <cfRule type="cellIs" dxfId="2437" priority="280" operator="equal">
      <formula>"U/P"</formula>
    </cfRule>
    <cfRule type="cellIs" dxfId="2436" priority="281" operator="equal">
      <formula>"F"</formula>
    </cfRule>
    <cfRule type="cellIs" dxfId="2435" priority="282" operator="equal">
      <formula>"F"</formula>
    </cfRule>
  </conditionalFormatting>
  <conditionalFormatting sqref="N210">
    <cfRule type="cellIs" dxfId="2434" priority="738" operator="equal">
      <formula>"U/P"</formula>
    </cfRule>
    <cfRule type="cellIs" dxfId="2433" priority="739" operator="equal">
      <formula>"F"</formula>
    </cfRule>
    <cfRule type="cellIs" dxfId="2432" priority="740" operator="equal">
      <formula>"F"</formula>
    </cfRule>
  </conditionalFormatting>
  <conditionalFormatting sqref="N226">
    <cfRule type="cellIs" dxfId="2431" priority="519" operator="equal">
      <formula>"U/P"</formula>
    </cfRule>
    <cfRule type="cellIs" dxfId="2430" priority="520" operator="equal">
      <formula>"F"</formula>
    </cfRule>
    <cfRule type="cellIs" dxfId="2429" priority="521" operator="equal">
      <formula>"F"</formula>
    </cfRule>
  </conditionalFormatting>
  <conditionalFormatting sqref="N235">
    <cfRule type="cellIs" dxfId="2428" priority="304" operator="equal">
      <formula>"U/P"</formula>
    </cfRule>
    <cfRule type="cellIs" dxfId="2427" priority="305" operator="equal">
      <formula>"F"</formula>
    </cfRule>
    <cfRule type="cellIs" dxfId="2426" priority="306" operator="equal">
      <formula>"F"</formula>
    </cfRule>
  </conditionalFormatting>
  <conditionalFormatting sqref="N244">
    <cfRule type="cellIs" dxfId="2425" priority="678" operator="equal">
      <formula>"U/P"</formula>
    </cfRule>
    <cfRule type="cellIs" dxfId="2424" priority="679" operator="equal">
      <formula>"F"</formula>
    </cfRule>
    <cfRule type="cellIs" dxfId="2423" priority="680" operator="equal">
      <formula>"F"</formula>
    </cfRule>
  </conditionalFormatting>
  <conditionalFormatting sqref="N252">
    <cfRule type="cellIs" dxfId="2422" priority="130" operator="equal">
      <formula>"U/P"</formula>
    </cfRule>
    <cfRule type="cellIs" dxfId="2421" priority="131" operator="equal">
      <formula>"F"</formula>
    </cfRule>
    <cfRule type="cellIs" dxfId="2420" priority="132" operator="equal">
      <formula>"F"</formula>
    </cfRule>
  </conditionalFormatting>
  <conditionalFormatting sqref="N268">
    <cfRule type="cellIs" dxfId="2419" priority="103" operator="equal">
      <formula>"U/P"</formula>
    </cfRule>
    <cfRule type="cellIs" dxfId="2418" priority="104" operator="equal">
      <formula>"F"</formula>
    </cfRule>
    <cfRule type="cellIs" dxfId="2417" priority="105" operator="equal">
      <formula>"F"</formula>
    </cfRule>
  </conditionalFormatting>
  <conditionalFormatting sqref="N276">
    <cfRule type="cellIs" dxfId="2416" priority="118" operator="equal">
      <formula>"U/P"</formula>
    </cfRule>
    <cfRule type="cellIs" dxfId="2415" priority="119" operator="equal">
      <formula>"F"</formula>
    </cfRule>
    <cfRule type="cellIs" dxfId="2414" priority="120" operator="equal">
      <formula>"F"</formula>
    </cfRule>
  </conditionalFormatting>
  <conditionalFormatting sqref="N284">
    <cfRule type="cellIs" dxfId="2413" priority="639" operator="equal">
      <formula>"U/P"</formula>
    </cfRule>
    <cfRule type="cellIs" dxfId="2412" priority="640" operator="equal">
      <formula>"F"</formula>
    </cfRule>
    <cfRule type="cellIs" dxfId="2411" priority="641" operator="equal">
      <formula>"F"</formula>
    </cfRule>
  </conditionalFormatting>
  <conditionalFormatting sqref="N292">
    <cfRule type="cellIs" dxfId="2410" priority="439" operator="equal">
      <formula>"U/P"</formula>
    </cfRule>
    <cfRule type="cellIs" dxfId="2409" priority="440" operator="equal">
      <formula>"F"</formula>
    </cfRule>
    <cfRule type="cellIs" dxfId="2408" priority="441" operator="equal">
      <formula>"F"</formula>
    </cfRule>
  </conditionalFormatting>
  <conditionalFormatting sqref="N300">
    <cfRule type="cellIs" dxfId="2407" priority="286" operator="equal">
      <formula>"U/P"</formula>
    </cfRule>
    <cfRule type="cellIs" dxfId="2406" priority="287" operator="equal">
      <formula>"F"</formula>
    </cfRule>
    <cfRule type="cellIs" dxfId="2405" priority="288" operator="equal">
      <formula>"F"</formula>
    </cfRule>
  </conditionalFormatting>
  <conditionalFormatting sqref="N308">
    <cfRule type="cellIs" dxfId="2404" priority="612" operator="equal">
      <formula>"U/P"</formula>
    </cfRule>
    <cfRule type="cellIs" dxfId="2403" priority="613" operator="equal">
      <formula>"F"</formula>
    </cfRule>
    <cfRule type="cellIs" dxfId="2402" priority="614" operator="equal">
      <formula>"F"</formula>
    </cfRule>
  </conditionalFormatting>
  <conditionalFormatting sqref="N315">
    <cfRule type="cellIs" dxfId="2401" priority="588" operator="equal">
      <formula>"U/P"</formula>
    </cfRule>
    <cfRule type="cellIs" dxfId="2400" priority="589" operator="equal">
      <formula>"F"</formula>
    </cfRule>
    <cfRule type="cellIs" dxfId="2399" priority="590" operator="equal">
      <formula>"F"</formula>
    </cfRule>
  </conditionalFormatting>
  <conditionalFormatting sqref="O107">
    <cfRule type="cellIs" dxfId="2398" priority="987" operator="equal">
      <formula>"U/P"</formula>
    </cfRule>
    <cfRule type="cellIs" dxfId="2397" priority="988" operator="equal">
      <formula>"F"</formula>
    </cfRule>
    <cfRule type="cellIs" dxfId="2396" priority="989" operator="equal">
      <formula>"F"</formula>
    </cfRule>
  </conditionalFormatting>
  <conditionalFormatting sqref="P20">
    <cfRule type="cellIs" dxfId="2395" priority="1434" operator="equal">
      <formula>"U/P"</formula>
    </cfRule>
    <cfRule type="cellIs" dxfId="2394" priority="1435" operator="equal">
      <formula>"F"</formula>
    </cfRule>
    <cfRule type="cellIs" dxfId="2393" priority="1436" operator="equal">
      <formula>"F"</formula>
    </cfRule>
  </conditionalFormatting>
  <conditionalFormatting sqref="P27">
    <cfRule type="cellIs" dxfId="2392" priority="1392" operator="equal">
      <formula>"U/P"</formula>
    </cfRule>
    <cfRule type="cellIs" dxfId="2391" priority="1393" operator="equal">
      <formula>"F"</formula>
    </cfRule>
    <cfRule type="cellIs" dxfId="2390" priority="1394" operator="equal">
      <formula>"F"</formula>
    </cfRule>
  </conditionalFormatting>
  <conditionalFormatting sqref="P34">
    <cfRule type="cellIs" dxfId="2389" priority="1353" operator="equal">
      <formula>"U/P"</formula>
    </cfRule>
    <cfRule type="cellIs" dxfId="2388" priority="1354" operator="equal">
      <formula>"F"</formula>
    </cfRule>
    <cfRule type="cellIs" dxfId="2387" priority="1355" operator="equal">
      <formula>"F"</formula>
    </cfRule>
  </conditionalFormatting>
  <conditionalFormatting sqref="P41">
    <cfRule type="cellIs" dxfId="2386" priority="1311" operator="equal">
      <formula>"U/P"</formula>
    </cfRule>
    <cfRule type="cellIs" dxfId="2385" priority="1312" operator="equal">
      <formula>"F"</formula>
    </cfRule>
    <cfRule type="cellIs" dxfId="2384" priority="1313" operator="equal">
      <formula>"F"</formula>
    </cfRule>
  </conditionalFormatting>
  <conditionalFormatting sqref="P48">
    <cfRule type="cellIs" dxfId="2383" priority="1269" operator="equal">
      <formula>"U/P"</formula>
    </cfRule>
    <cfRule type="cellIs" dxfId="2382" priority="1270" operator="equal">
      <formula>"F"</formula>
    </cfRule>
    <cfRule type="cellIs" dxfId="2381" priority="1271" operator="equal">
      <formula>"F"</formula>
    </cfRule>
  </conditionalFormatting>
  <conditionalFormatting sqref="P57">
    <cfRule type="cellIs" dxfId="2380" priority="1227" operator="equal">
      <formula>"U/P"</formula>
    </cfRule>
    <cfRule type="cellIs" dxfId="2379" priority="1228" operator="equal">
      <formula>"F"</formula>
    </cfRule>
    <cfRule type="cellIs" dxfId="2378" priority="1229" operator="equal">
      <formula>"F"</formula>
    </cfRule>
  </conditionalFormatting>
  <conditionalFormatting sqref="P65">
    <cfRule type="cellIs" dxfId="2377" priority="1185" operator="equal">
      <formula>"U/P"</formula>
    </cfRule>
    <cfRule type="cellIs" dxfId="2376" priority="1186" operator="equal">
      <formula>"F"</formula>
    </cfRule>
    <cfRule type="cellIs" dxfId="2375" priority="1187" operator="equal">
      <formula>"F"</formula>
    </cfRule>
  </conditionalFormatting>
  <conditionalFormatting sqref="P73">
    <cfRule type="cellIs" dxfId="2374" priority="1143" operator="equal">
      <formula>"U/P"</formula>
    </cfRule>
    <cfRule type="cellIs" dxfId="2373" priority="1144" operator="equal">
      <formula>"F"</formula>
    </cfRule>
    <cfRule type="cellIs" dxfId="2372" priority="1145" operator="equal">
      <formula>"F"</formula>
    </cfRule>
  </conditionalFormatting>
  <conditionalFormatting sqref="P82">
    <cfRule type="cellIs" dxfId="2371" priority="1107" operator="equal">
      <formula>"U/P"</formula>
    </cfRule>
    <cfRule type="cellIs" dxfId="2370" priority="1108" operator="equal">
      <formula>"F"</formula>
    </cfRule>
    <cfRule type="cellIs" dxfId="2369" priority="1109" operator="equal">
      <formula>"F"</formula>
    </cfRule>
  </conditionalFormatting>
  <conditionalFormatting sqref="P90">
    <cfRule type="cellIs" dxfId="2368" priority="1068" operator="equal">
      <formula>"U/P"</formula>
    </cfRule>
    <cfRule type="cellIs" dxfId="2367" priority="1069" operator="equal">
      <formula>"F"</formula>
    </cfRule>
    <cfRule type="cellIs" dxfId="2366" priority="1070" operator="equal">
      <formula>"F"</formula>
    </cfRule>
  </conditionalFormatting>
  <conditionalFormatting sqref="P99">
    <cfRule type="cellIs" dxfId="2365" priority="1026" operator="equal">
      <formula>"U/P"</formula>
    </cfRule>
    <cfRule type="cellIs" dxfId="2364" priority="1027" operator="equal">
      <formula>"F"</formula>
    </cfRule>
    <cfRule type="cellIs" dxfId="2363" priority="1028" operator="equal">
      <formula>"F"</formula>
    </cfRule>
  </conditionalFormatting>
  <conditionalFormatting sqref="P115">
    <cfRule type="cellIs" dxfId="2362" priority="957" operator="equal">
      <formula>"U/P"</formula>
    </cfRule>
    <cfRule type="cellIs" dxfId="2361" priority="958" operator="equal">
      <formula>"F"</formula>
    </cfRule>
    <cfRule type="cellIs" dxfId="2360" priority="959" operator="equal">
      <formula>"F"</formula>
    </cfRule>
  </conditionalFormatting>
  <conditionalFormatting sqref="P123">
    <cfRule type="cellIs" dxfId="2359" priority="543" operator="equal">
      <formula>"U/P"</formula>
    </cfRule>
    <cfRule type="cellIs" dxfId="2358" priority="544" operator="equal">
      <formula>"F"</formula>
    </cfRule>
    <cfRule type="cellIs" dxfId="2357" priority="545" operator="equal">
      <formula>"F"</formula>
    </cfRule>
  </conditionalFormatting>
  <conditionalFormatting sqref="P132">
    <cfRule type="cellIs" dxfId="2356" priority="106" operator="equal">
      <formula>"U/P"</formula>
    </cfRule>
    <cfRule type="cellIs" dxfId="2355" priority="107" operator="equal">
      <formula>"F"</formula>
    </cfRule>
    <cfRule type="cellIs" dxfId="2354" priority="108" operator="equal">
      <formula>"F"</formula>
    </cfRule>
  </conditionalFormatting>
  <conditionalFormatting sqref="P141">
    <cfRule type="cellIs" dxfId="2353" priority="894" operator="equal">
      <formula>"U/P"</formula>
    </cfRule>
    <cfRule type="cellIs" dxfId="2352" priority="895" operator="equal">
      <formula>"F"</formula>
    </cfRule>
    <cfRule type="cellIs" dxfId="2351" priority="896" operator="equal">
      <formula>"F"</formula>
    </cfRule>
  </conditionalFormatting>
  <conditionalFormatting sqref="P150">
    <cfRule type="cellIs" dxfId="2350" priority="867" operator="equal">
      <formula>"U/P"</formula>
    </cfRule>
    <cfRule type="cellIs" dxfId="2349" priority="868" operator="equal">
      <formula>"F"</formula>
    </cfRule>
    <cfRule type="cellIs" dxfId="2348" priority="869" operator="equal">
      <formula>"F"</formula>
    </cfRule>
  </conditionalFormatting>
  <conditionalFormatting sqref="P159">
    <cfRule type="cellIs" dxfId="2347" priority="831" operator="equal">
      <formula>"U/P"</formula>
    </cfRule>
    <cfRule type="cellIs" dxfId="2346" priority="832" operator="equal">
      <formula>"F"</formula>
    </cfRule>
    <cfRule type="cellIs" dxfId="2345" priority="833" operator="equal">
      <formula>"F"</formula>
    </cfRule>
  </conditionalFormatting>
  <conditionalFormatting sqref="P168">
    <cfRule type="cellIs" dxfId="2344" priority="807" operator="equal">
      <formula>"U/P"</formula>
    </cfRule>
    <cfRule type="cellIs" dxfId="2343" priority="808" operator="equal">
      <formula>"F"</formula>
    </cfRule>
    <cfRule type="cellIs" dxfId="2342" priority="809" operator="equal">
      <formula>"F"</formula>
    </cfRule>
  </conditionalFormatting>
  <conditionalFormatting sqref="P176">
    <cfRule type="cellIs" dxfId="2341" priority="774" operator="equal">
      <formula>"U/P"</formula>
    </cfRule>
    <cfRule type="cellIs" dxfId="2340" priority="775" operator="equal">
      <formula>"F"</formula>
    </cfRule>
    <cfRule type="cellIs" dxfId="2339" priority="776" operator="equal">
      <formula>"F"</formula>
    </cfRule>
  </conditionalFormatting>
  <conditionalFormatting sqref="P185">
    <cfRule type="cellIs" dxfId="2338" priority="534" operator="equal">
      <formula>"U/P"</formula>
    </cfRule>
    <cfRule type="cellIs" dxfId="2337" priority="535" operator="equal">
      <formula>"F"</formula>
    </cfRule>
    <cfRule type="cellIs" dxfId="2336" priority="536" operator="equal">
      <formula>"F"</formula>
    </cfRule>
  </conditionalFormatting>
  <conditionalFormatting sqref="P194">
    <cfRule type="cellIs" dxfId="2335" priority="753" operator="equal">
      <formula>"U/P"</formula>
    </cfRule>
    <cfRule type="cellIs" dxfId="2334" priority="754" operator="equal">
      <formula>"F"</formula>
    </cfRule>
    <cfRule type="cellIs" dxfId="2333" priority="755" operator="equal">
      <formula>"F"</formula>
    </cfRule>
  </conditionalFormatting>
  <conditionalFormatting sqref="P202">
    <cfRule type="cellIs" dxfId="2332" priority="364" operator="equal">
      <formula>"U/P"</formula>
    </cfRule>
    <cfRule type="cellIs" dxfId="2331" priority="365" operator="equal">
      <formula>"F"</formula>
    </cfRule>
    <cfRule type="cellIs" dxfId="2330" priority="366" operator="equal">
      <formula>"F"</formula>
    </cfRule>
  </conditionalFormatting>
  <conditionalFormatting sqref="P210">
    <cfRule type="cellIs" dxfId="2329" priority="250" operator="equal">
      <formula>"U/P"</formula>
    </cfRule>
    <cfRule type="cellIs" dxfId="2328" priority="251" operator="equal">
      <formula>"F"</formula>
    </cfRule>
    <cfRule type="cellIs" dxfId="2327" priority="252" operator="equal">
      <formula>"F"</formula>
    </cfRule>
  </conditionalFormatting>
  <conditionalFormatting sqref="P218">
    <cfRule type="cellIs" dxfId="2326" priority="525" operator="equal">
      <formula>"U/P"</formula>
    </cfRule>
    <cfRule type="cellIs" dxfId="2325" priority="526" operator="equal">
      <formula>"F"</formula>
    </cfRule>
    <cfRule type="cellIs" dxfId="2324" priority="527" operator="equal">
      <formula>"F"</formula>
    </cfRule>
  </conditionalFormatting>
  <conditionalFormatting sqref="P226">
    <cfRule type="cellIs" dxfId="2323" priority="391" operator="equal">
      <formula>"U/P"</formula>
    </cfRule>
    <cfRule type="cellIs" dxfId="2322" priority="392" operator="equal">
      <formula>"F"</formula>
    </cfRule>
    <cfRule type="cellIs" dxfId="2321" priority="393" operator="equal">
      <formula>"F"</formula>
    </cfRule>
  </conditionalFormatting>
  <conditionalFormatting sqref="P235">
    <cfRule type="cellIs" dxfId="2320" priority="184" operator="equal">
      <formula>"U/P"</formula>
    </cfRule>
    <cfRule type="cellIs" dxfId="2319" priority="185" operator="equal">
      <formula>"F"</formula>
    </cfRule>
    <cfRule type="cellIs" dxfId="2318" priority="186" operator="equal">
      <formula>"F"</formula>
    </cfRule>
  </conditionalFormatting>
  <conditionalFormatting sqref="P244">
    <cfRule type="cellIs" dxfId="2317" priority="139" operator="equal">
      <formula>"U/P"</formula>
    </cfRule>
    <cfRule type="cellIs" dxfId="2316" priority="140" operator="equal">
      <formula>"F"</formula>
    </cfRule>
    <cfRule type="cellIs" dxfId="2315" priority="141" operator="equal">
      <formula>"F"</formula>
    </cfRule>
  </conditionalFormatting>
  <conditionalFormatting sqref="P252 D260 F260 J260 N260">
    <cfRule type="cellIs" dxfId="2314" priority="58" operator="equal">
      <formula>"U/P"</formula>
    </cfRule>
    <cfRule type="cellIs" dxfId="2313" priority="59" operator="equal">
      <formula>"F"</formula>
    </cfRule>
    <cfRule type="cellIs" dxfId="2312" priority="60" operator="equal">
      <formula>"F"</formula>
    </cfRule>
  </conditionalFormatting>
  <conditionalFormatting sqref="P260">
    <cfRule type="cellIs" dxfId="2311" priority="16" operator="equal">
      <formula>"U/P"</formula>
    </cfRule>
    <cfRule type="cellIs" dxfId="2310" priority="17" operator="equal">
      <formula>"F"</formula>
    </cfRule>
    <cfRule type="cellIs" dxfId="2309" priority="18" operator="equal">
      <formula>"F"</formula>
    </cfRule>
  </conditionalFormatting>
  <conditionalFormatting sqref="P268">
    <cfRule type="cellIs" dxfId="2308" priority="657" operator="equal">
      <formula>"U/P"</formula>
    </cfRule>
    <cfRule type="cellIs" dxfId="2307" priority="658" operator="equal">
      <formula>"F"</formula>
    </cfRule>
    <cfRule type="cellIs" dxfId="2306" priority="659" operator="equal">
      <formula>"F"</formula>
    </cfRule>
  </conditionalFormatting>
  <conditionalFormatting sqref="P276">
    <cfRule type="cellIs" dxfId="2305" priority="651" operator="equal">
      <formula>"U/P"</formula>
    </cfRule>
    <cfRule type="cellIs" dxfId="2304" priority="652" operator="equal">
      <formula>"F"</formula>
    </cfRule>
    <cfRule type="cellIs" dxfId="2303" priority="653" operator="equal">
      <formula>"F"</formula>
    </cfRule>
  </conditionalFormatting>
  <conditionalFormatting sqref="P284">
    <cfRule type="cellIs" dxfId="2302" priority="235" operator="equal">
      <formula>"U/P"</formula>
    </cfRule>
    <cfRule type="cellIs" dxfId="2301" priority="236" operator="equal">
      <formula>"F"</formula>
    </cfRule>
    <cfRule type="cellIs" dxfId="2300" priority="237" operator="equal">
      <formula>"F"</formula>
    </cfRule>
  </conditionalFormatting>
  <conditionalFormatting sqref="P292 R292 V292">
    <cfRule type="cellIs" dxfId="2299" priority="442" operator="equal">
      <formula>"U/P"</formula>
    </cfRule>
    <cfRule type="cellIs" dxfId="2298" priority="443" operator="equal">
      <formula>"F"</formula>
    </cfRule>
    <cfRule type="cellIs" dxfId="2297" priority="444" operator="equal">
      <formula>"F"</formula>
    </cfRule>
  </conditionalFormatting>
  <conditionalFormatting sqref="P300">
    <cfRule type="cellIs" dxfId="2296" priority="97" operator="equal">
      <formula>"U/P"</formula>
    </cfRule>
    <cfRule type="cellIs" dxfId="2295" priority="98" operator="equal">
      <formula>"F"</formula>
    </cfRule>
    <cfRule type="cellIs" dxfId="2294" priority="99" operator="equal">
      <formula>"F"</formula>
    </cfRule>
  </conditionalFormatting>
  <conditionalFormatting sqref="P308">
    <cfRule type="cellIs" dxfId="2293" priority="624" operator="equal">
      <formula>"U/P"</formula>
    </cfRule>
    <cfRule type="cellIs" dxfId="2292" priority="625" operator="equal">
      <formula>"F"</formula>
    </cfRule>
    <cfRule type="cellIs" dxfId="2291" priority="626" operator="equal">
      <formula>"F"</formula>
    </cfRule>
  </conditionalFormatting>
  <conditionalFormatting sqref="P315">
    <cfRule type="cellIs" dxfId="2290" priority="597" operator="equal">
      <formula>"U/P"</formula>
    </cfRule>
    <cfRule type="cellIs" dxfId="2289" priority="598" operator="equal">
      <formula>"F"</formula>
    </cfRule>
    <cfRule type="cellIs" dxfId="2288" priority="599" operator="equal">
      <formula>"F"</formula>
    </cfRule>
  </conditionalFormatting>
  <conditionalFormatting sqref="Q107">
    <cfRule type="cellIs" dxfId="2287" priority="1508" operator="equal">
      <formula>"U/P"</formula>
    </cfRule>
    <cfRule type="cellIs" dxfId="2286" priority="1509" operator="equal">
      <formula>"F"</formula>
    </cfRule>
    <cfRule type="cellIs" dxfId="2285" priority="1510" operator="equal">
      <formula>"F"</formula>
    </cfRule>
  </conditionalFormatting>
  <conditionalFormatting sqref="R20">
    <cfRule type="cellIs" dxfId="2284" priority="1431" operator="equal">
      <formula>"U/P"</formula>
    </cfRule>
    <cfRule type="cellIs" dxfId="2283" priority="1432" operator="equal">
      <formula>"F"</formula>
    </cfRule>
    <cfRule type="cellIs" dxfId="2282" priority="1433" operator="equal">
      <formula>"F"</formula>
    </cfRule>
  </conditionalFormatting>
  <conditionalFormatting sqref="R27">
    <cfRule type="cellIs" dxfId="2281" priority="1389" operator="equal">
      <formula>"U/P"</formula>
    </cfRule>
    <cfRule type="cellIs" dxfId="2280" priority="1390" operator="equal">
      <formula>"F"</formula>
    </cfRule>
    <cfRule type="cellIs" dxfId="2279" priority="1391" operator="equal">
      <formula>"F"</formula>
    </cfRule>
  </conditionalFormatting>
  <conditionalFormatting sqref="R34">
    <cfRule type="cellIs" dxfId="2278" priority="1350" operator="equal">
      <formula>"U/P"</formula>
    </cfRule>
    <cfRule type="cellIs" dxfId="2277" priority="1351" operator="equal">
      <formula>"F"</formula>
    </cfRule>
    <cfRule type="cellIs" dxfId="2276" priority="1352" operator="equal">
      <formula>"F"</formula>
    </cfRule>
  </conditionalFormatting>
  <conditionalFormatting sqref="R41">
    <cfRule type="cellIs" dxfId="2275" priority="1308" operator="equal">
      <formula>"U/P"</formula>
    </cfRule>
    <cfRule type="cellIs" dxfId="2274" priority="1309" operator="equal">
      <formula>"F"</formula>
    </cfRule>
    <cfRule type="cellIs" dxfId="2273" priority="1310" operator="equal">
      <formula>"F"</formula>
    </cfRule>
  </conditionalFormatting>
  <conditionalFormatting sqref="R48">
    <cfRule type="cellIs" dxfId="2272" priority="1266" operator="equal">
      <formula>"U/P"</formula>
    </cfRule>
    <cfRule type="cellIs" dxfId="2271" priority="1267" operator="equal">
      <formula>"F"</formula>
    </cfRule>
    <cfRule type="cellIs" dxfId="2270" priority="1268" operator="equal">
      <formula>"F"</formula>
    </cfRule>
  </conditionalFormatting>
  <conditionalFormatting sqref="R57">
    <cfRule type="cellIs" dxfId="2269" priority="1224" operator="equal">
      <formula>"U/P"</formula>
    </cfRule>
    <cfRule type="cellIs" dxfId="2268" priority="1225" operator="equal">
      <formula>"F"</formula>
    </cfRule>
    <cfRule type="cellIs" dxfId="2267" priority="1226" operator="equal">
      <formula>"F"</formula>
    </cfRule>
  </conditionalFormatting>
  <conditionalFormatting sqref="R65">
    <cfRule type="cellIs" dxfId="2266" priority="1182" operator="equal">
      <formula>"U/P"</formula>
    </cfRule>
    <cfRule type="cellIs" dxfId="2265" priority="1183" operator="equal">
      <formula>"F"</formula>
    </cfRule>
    <cfRule type="cellIs" dxfId="2264" priority="1184" operator="equal">
      <formula>"F"</formula>
    </cfRule>
  </conditionalFormatting>
  <conditionalFormatting sqref="R73">
    <cfRule type="cellIs" dxfId="2263" priority="1140" operator="equal">
      <formula>"U/P"</formula>
    </cfRule>
    <cfRule type="cellIs" dxfId="2262" priority="1141" operator="equal">
      <formula>"F"</formula>
    </cfRule>
    <cfRule type="cellIs" dxfId="2261" priority="1142" operator="equal">
      <formula>"F"</formula>
    </cfRule>
  </conditionalFormatting>
  <conditionalFormatting sqref="R82">
    <cfRule type="cellIs" dxfId="2260" priority="1104" operator="equal">
      <formula>"U/P"</formula>
    </cfRule>
    <cfRule type="cellIs" dxfId="2259" priority="1105" operator="equal">
      <formula>"F"</formula>
    </cfRule>
    <cfRule type="cellIs" dxfId="2258" priority="1106" operator="equal">
      <formula>"F"</formula>
    </cfRule>
  </conditionalFormatting>
  <conditionalFormatting sqref="R90">
    <cfRule type="cellIs" dxfId="2257" priority="1065" operator="equal">
      <formula>"U/P"</formula>
    </cfRule>
    <cfRule type="cellIs" dxfId="2256" priority="1066" operator="equal">
      <formula>"F"</formula>
    </cfRule>
    <cfRule type="cellIs" dxfId="2255" priority="1067" operator="equal">
      <formula>"F"</formula>
    </cfRule>
  </conditionalFormatting>
  <conditionalFormatting sqref="R99">
    <cfRule type="cellIs" dxfId="2254" priority="1023" operator="equal">
      <formula>"U/P"</formula>
    </cfRule>
    <cfRule type="cellIs" dxfId="2253" priority="1024" operator="equal">
      <formula>"F"</formula>
    </cfRule>
    <cfRule type="cellIs" dxfId="2252" priority="1025" operator="equal">
      <formula>"F"</formula>
    </cfRule>
  </conditionalFormatting>
  <conditionalFormatting sqref="R110">
    <cfRule type="cellIs" dxfId="2251" priority="460" operator="equal">
      <formula>0</formula>
    </cfRule>
  </conditionalFormatting>
  <conditionalFormatting sqref="R115">
    <cfRule type="cellIs" dxfId="2250" priority="954" operator="equal">
      <formula>"U/P"</formula>
    </cfRule>
    <cfRule type="cellIs" dxfId="2249" priority="955" operator="equal">
      <formula>"F"</formula>
    </cfRule>
    <cfRule type="cellIs" dxfId="2248" priority="956" operator="equal">
      <formula>"F"</formula>
    </cfRule>
  </conditionalFormatting>
  <conditionalFormatting sqref="R123">
    <cfRule type="cellIs" dxfId="2247" priority="540" operator="equal">
      <formula>"U/P"</formula>
    </cfRule>
    <cfRule type="cellIs" dxfId="2246" priority="541" operator="equal">
      <formula>"F"</formula>
    </cfRule>
    <cfRule type="cellIs" dxfId="2245" priority="542" operator="equal">
      <formula>"F"</formula>
    </cfRule>
  </conditionalFormatting>
  <conditionalFormatting sqref="R132">
    <cfRule type="cellIs" dxfId="2244" priority="67" operator="equal">
      <formula>"U/P"</formula>
    </cfRule>
    <cfRule type="cellIs" dxfId="2243" priority="68" operator="equal">
      <formula>"F"</formula>
    </cfRule>
    <cfRule type="cellIs" dxfId="2242" priority="69" operator="equal">
      <formula>"F"</formula>
    </cfRule>
  </conditionalFormatting>
  <conditionalFormatting sqref="R141">
    <cfRule type="cellIs" dxfId="2241" priority="891" operator="equal">
      <formula>"U/P"</formula>
    </cfRule>
    <cfRule type="cellIs" dxfId="2240" priority="892" operator="equal">
      <formula>"F"</formula>
    </cfRule>
    <cfRule type="cellIs" dxfId="2239" priority="893" operator="equal">
      <formula>"F"</formula>
    </cfRule>
  </conditionalFormatting>
  <conditionalFormatting sqref="R150">
    <cfRule type="cellIs" dxfId="2238" priority="864" operator="equal">
      <formula>"U/P"</formula>
    </cfRule>
    <cfRule type="cellIs" dxfId="2237" priority="865" operator="equal">
      <formula>"F"</formula>
    </cfRule>
    <cfRule type="cellIs" dxfId="2236" priority="866" operator="equal">
      <formula>"F"</formula>
    </cfRule>
  </conditionalFormatting>
  <conditionalFormatting sqref="R159">
    <cfRule type="cellIs" dxfId="2235" priority="828" operator="equal">
      <formula>"U/P"</formula>
    </cfRule>
    <cfRule type="cellIs" dxfId="2234" priority="829" operator="equal">
      <formula>"F"</formula>
    </cfRule>
    <cfRule type="cellIs" dxfId="2233" priority="830" operator="equal">
      <formula>"F"</formula>
    </cfRule>
  </conditionalFormatting>
  <conditionalFormatting sqref="R168">
    <cfRule type="cellIs" dxfId="2232" priority="480" operator="equal">
      <formula>"U/P"</formula>
    </cfRule>
    <cfRule type="cellIs" dxfId="2231" priority="481" operator="equal">
      <formula>"F"</formula>
    </cfRule>
    <cfRule type="cellIs" dxfId="2230" priority="482" operator="equal">
      <formula>"F"</formula>
    </cfRule>
  </conditionalFormatting>
  <conditionalFormatting sqref="R176">
    <cfRule type="cellIs" dxfId="2229" priority="771" operator="equal">
      <formula>"U/P"</formula>
    </cfRule>
    <cfRule type="cellIs" dxfId="2228" priority="772" operator="equal">
      <formula>"F"</formula>
    </cfRule>
    <cfRule type="cellIs" dxfId="2227" priority="773" operator="equal">
      <formula>"F"</formula>
    </cfRule>
  </conditionalFormatting>
  <conditionalFormatting sqref="R185">
    <cfRule type="cellIs" dxfId="2226" priority="516" operator="equal">
      <formula>"U/P"</formula>
    </cfRule>
    <cfRule type="cellIs" dxfId="2225" priority="517" operator="equal">
      <formula>"F"</formula>
    </cfRule>
    <cfRule type="cellIs" dxfId="2224" priority="518" operator="equal">
      <formula>"F"</formula>
    </cfRule>
  </conditionalFormatting>
  <conditionalFormatting sqref="R194">
    <cfRule type="cellIs" dxfId="2223" priority="1463" operator="equal">
      <formula>"U/P"</formula>
    </cfRule>
    <cfRule type="cellIs" dxfId="2222" priority="1464" operator="equal">
      <formula>"F"</formula>
    </cfRule>
    <cfRule type="cellIs" dxfId="2221" priority="1465" operator="equal">
      <formula>"F"</formula>
    </cfRule>
  </conditionalFormatting>
  <conditionalFormatting sqref="R202">
    <cfRule type="cellIs" dxfId="2220" priority="394" operator="equal">
      <formula>"U/P"</formula>
    </cfRule>
    <cfRule type="cellIs" dxfId="2219" priority="395" operator="equal">
      <formula>"F"</formula>
    </cfRule>
    <cfRule type="cellIs" dxfId="2218" priority="396" operator="equal">
      <formula>"F"</formula>
    </cfRule>
  </conditionalFormatting>
  <conditionalFormatting sqref="R210 T210 Y213">
    <cfRule type="cellIs" dxfId="2217" priority="355" operator="equal">
      <formula>"U/P"</formula>
    </cfRule>
    <cfRule type="cellIs" dxfId="2216" priority="356" operator="equal">
      <formula>"F"</formula>
    </cfRule>
    <cfRule type="cellIs" dxfId="2215" priority="357" operator="equal">
      <formula>"F"</formula>
    </cfRule>
  </conditionalFormatting>
  <conditionalFormatting sqref="R218 T218 Z218 AB218">
    <cfRule type="cellIs" dxfId="2214" priority="349" operator="equal">
      <formula>"U/P"</formula>
    </cfRule>
    <cfRule type="cellIs" dxfId="2213" priority="350" operator="equal">
      <formula>"F"</formula>
    </cfRule>
    <cfRule type="cellIs" dxfId="2212" priority="351" operator="equal">
      <formula>"F"</formula>
    </cfRule>
  </conditionalFormatting>
  <conditionalFormatting sqref="R226">
    <cfRule type="cellIs" dxfId="2211" priority="711" operator="equal">
      <formula>"U/P"</formula>
    </cfRule>
    <cfRule type="cellIs" dxfId="2210" priority="712" operator="equal">
      <formula>"F"</formula>
    </cfRule>
    <cfRule type="cellIs" dxfId="2209" priority="713" operator="equal">
      <formula>"F"</formula>
    </cfRule>
  </conditionalFormatting>
  <conditionalFormatting sqref="R235">
    <cfRule type="cellIs" dxfId="2208" priority="247" operator="equal">
      <formula>"U/P"</formula>
    </cfRule>
    <cfRule type="cellIs" dxfId="2207" priority="248" operator="equal">
      <formula>"F"</formula>
    </cfRule>
    <cfRule type="cellIs" dxfId="2206" priority="249" operator="equal">
      <formula>"F"</formula>
    </cfRule>
  </conditionalFormatting>
  <conditionalFormatting sqref="R244">
    <cfRule type="cellIs" dxfId="2205" priority="136" operator="equal">
      <formula>"U/P"</formula>
    </cfRule>
    <cfRule type="cellIs" dxfId="2204" priority="137" operator="equal">
      <formula>"F"</formula>
    </cfRule>
    <cfRule type="cellIs" dxfId="2203" priority="138" operator="equal">
      <formula>"F"</formula>
    </cfRule>
  </conditionalFormatting>
  <conditionalFormatting sqref="R252">
    <cfRule type="cellIs" dxfId="2202" priority="127" operator="equal">
      <formula>"U/P"</formula>
    </cfRule>
    <cfRule type="cellIs" dxfId="2201" priority="128" operator="equal">
      <formula>"F"</formula>
    </cfRule>
    <cfRule type="cellIs" dxfId="2200" priority="129" operator="equal">
      <formula>"F"</formula>
    </cfRule>
  </conditionalFormatting>
  <conditionalFormatting sqref="R260">
    <cfRule type="cellIs" dxfId="2199" priority="4" operator="equal">
      <formula>"U/P"</formula>
    </cfRule>
    <cfRule type="cellIs" dxfId="2198" priority="5" operator="equal">
      <formula>"F"</formula>
    </cfRule>
    <cfRule type="cellIs" dxfId="2197" priority="6" operator="equal">
      <formula>"F"</formula>
    </cfRule>
  </conditionalFormatting>
  <conditionalFormatting sqref="R268">
    <cfRule type="cellIs" dxfId="2196" priority="187" operator="equal">
      <formula>"U/P"</formula>
    </cfRule>
    <cfRule type="cellIs" dxfId="2195" priority="188" operator="equal">
      <formula>"F"</formula>
    </cfRule>
    <cfRule type="cellIs" dxfId="2194" priority="189" operator="equal">
      <formula>"F"</formula>
    </cfRule>
  </conditionalFormatting>
  <conditionalFormatting sqref="R276">
    <cfRule type="cellIs" dxfId="2193" priority="166" operator="equal">
      <formula>"U/P"</formula>
    </cfRule>
    <cfRule type="cellIs" dxfId="2192" priority="167" operator="equal">
      <formula>"F"</formula>
    </cfRule>
    <cfRule type="cellIs" dxfId="2191" priority="168" operator="equal">
      <formula>"F"</formula>
    </cfRule>
  </conditionalFormatting>
  <conditionalFormatting sqref="R284">
    <cfRule type="cellIs" dxfId="2190" priority="211" operator="equal">
      <formula>"U/P"</formula>
    </cfRule>
    <cfRule type="cellIs" dxfId="2189" priority="212" operator="equal">
      <formula>"F"</formula>
    </cfRule>
    <cfRule type="cellIs" dxfId="2188" priority="213" operator="equal">
      <formula>"F"</formula>
    </cfRule>
  </conditionalFormatting>
  <conditionalFormatting sqref="R300">
    <cfRule type="cellIs" dxfId="2187" priority="160" operator="equal">
      <formula>"U/P"</formula>
    </cfRule>
    <cfRule type="cellIs" dxfId="2186" priority="161" operator="equal">
      <formula>"F"</formula>
    </cfRule>
    <cfRule type="cellIs" dxfId="2185" priority="162" operator="equal">
      <formula>"F"</formula>
    </cfRule>
  </conditionalFormatting>
  <conditionalFormatting sqref="R308">
    <cfRule type="cellIs" dxfId="2184" priority="609" operator="equal">
      <formula>"U/P"</formula>
    </cfRule>
    <cfRule type="cellIs" dxfId="2183" priority="610" operator="equal">
      <formula>"F"</formula>
    </cfRule>
    <cfRule type="cellIs" dxfId="2182" priority="611" operator="equal">
      <formula>"F"</formula>
    </cfRule>
  </conditionalFormatting>
  <conditionalFormatting sqref="R315">
    <cfRule type="cellIs" dxfId="2181" priority="576" operator="equal">
      <formula>"U/P"</formula>
    </cfRule>
    <cfRule type="cellIs" dxfId="2180" priority="577" operator="equal">
      <formula>"F"</formula>
    </cfRule>
    <cfRule type="cellIs" dxfId="2179" priority="578" operator="equal">
      <formula>"F"</formula>
    </cfRule>
  </conditionalFormatting>
  <conditionalFormatting sqref="S107">
    <cfRule type="cellIs" dxfId="2178" priority="1505" operator="equal">
      <formula>"U/P"</formula>
    </cfRule>
    <cfRule type="cellIs" dxfId="2177" priority="1506" operator="equal">
      <formula>"F"</formula>
    </cfRule>
    <cfRule type="cellIs" dxfId="2176" priority="1507" operator="equal">
      <formula>"F"</formula>
    </cfRule>
  </conditionalFormatting>
  <conditionalFormatting sqref="T20">
    <cfRule type="cellIs" dxfId="2175" priority="1428" operator="equal">
      <formula>"U/P"</formula>
    </cfRule>
    <cfRule type="cellIs" dxfId="2174" priority="1429" operator="equal">
      <formula>"F"</formula>
    </cfRule>
    <cfRule type="cellIs" dxfId="2173" priority="1430" operator="equal">
      <formula>"F"</formula>
    </cfRule>
  </conditionalFormatting>
  <conditionalFormatting sqref="T27">
    <cfRule type="cellIs" dxfId="2172" priority="1386" operator="equal">
      <formula>"U/P"</formula>
    </cfRule>
    <cfRule type="cellIs" dxfId="2171" priority="1387" operator="equal">
      <formula>"F"</formula>
    </cfRule>
    <cfRule type="cellIs" dxfId="2170" priority="1388" operator="equal">
      <formula>"F"</formula>
    </cfRule>
  </conditionalFormatting>
  <conditionalFormatting sqref="T34">
    <cfRule type="cellIs" dxfId="2169" priority="1347" operator="equal">
      <formula>"U/P"</formula>
    </cfRule>
    <cfRule type="cellIs" dxfId="2168" priority="1348" operator="equal">
      <formula>"F"</formula>
    </cfRule>
    <cfRule type="cellIs" dxfId="2167" priority="1349" operator="equal">
      <formula>"F"</formula>
    </cfRule>
  </conditionalFormatting>
  <conditionalFormatting sqref="T41">
    <cfRule type="cellIs" dxfId="2166" priority="1305" operator="equal">
      <formula>"U/P"</formula>
    </cfRule>
    <cfRule type="cellIs" dxfId="2165" priority="1306" operator="equal">
      <formula>"F"</formula>
    </cfRule>
    <cfRule type="cellIs" dxfId="2164" priority="1307" operator="equal">
      <formula>"F"</formula>
    </cfRule>
  </conditionalFormatting>
  <conditionalFormatting sqref="T48">
    <cfRule type="cellIs" dxfId="2163" priority="1263" operator="equal">
      <formula>"U/P"</formula>
    </cfRule>
    <cfRule type="cellIs" dxfId="2162" priority="1264" operator="equal">
      <formula>"F"</formula>
    </cfRule>
    <cfRule type="cellIs" dxfId="2161" priority="1265" operator="equal">
      <formula>"F"</formula>
    </cfRule>
  </conditionalFormatting>
  <conditionalFormatting sqref="T57">
    <cfRule type="cellIs" dxfId="2160" priority="1221" operator="equal">
      <formula>"U/P"</formula>
    </cfRule>
    <cfRule type="cellIs" dxfId="2159" priority="1222" operator="equal">
      <formula>"F"</formula>
    </cfRule>
    <cfRule type="cellIs" dxfId="2158" priority="1223" operator="equal">
      <formula>"F"</formula>
    </cfRule>
  </conditionalFormatting>
  <conditionalFormatting sqref="T65">
    <cfRule type="cellIs" dxfId="2157" priority="1179" operator="equal">
      <formula>"U/P"</formula>
    </cfRule>
    <cfRule type="cellIs" dxfId="2156" priority="1180" operator="equal">
      <formula>"F"</formula>
    </cfRule>
    <cfRule type="cellIs" dxfId="2155" priority="1181" operator="equal">
      <formula>"F"</formula>
    </cfRule>
  </conditionalFormatting>
  <conditionalFormatting sqref="T73">
    <cfRule type="cellIs" dxfId="2154" priority="1137" operator="equal">
      <formula>"U/P"</formula>
    </cfRule>
    <cfRule type="cellIs" dxfId="2153" priority="1138" operator="equal">
      <formula>"F"</formula>
    </cfRule>
    <cfRule type="cellIs" dxfId="2152" priority="1139" operator="equal">
      <formula>"F"</formula>
    </cfRule>
  </conditionalFormatting>
  <conditionalFormatting sqref="T82">
    <cfRule type="cellIs" dxfId="2151" priority="1101" operator="equal">
      <formula>"U/P"</formula>
    </cfRule>
    <cfRule type="cellIs" dxfId="2150" priority="1102" operator="equal">
      <formula>"F"</formula>
    </cfRule>
    <cfRule type="cellIs" dxfId="2149" priority="1103" operator="equal">
      <formula>"F"</formula>
    </cfRule>
  </conditionalFormatting>
  <conditionalFormatting sqref="T90">
    <cfRule type="cellIs" dxfId="2148" priority="1062" operator="equal">
      <formula>"U/P"</formula>
    </cfRule>
    <cfRule type="cellIs" dxfId="2147" priority="1063" operator="equal">
      <formula>"F"</formula>
    </cfRule>
    <cfRule type="cellIs" dxfId="2146" priority="1064" operator="equal">
      <formula>"F"</formula>
    </cfRule>
  </conditionalFormatting>
  <conditionalFormatting sqref="T99">
    <cfRule type="cellIs" dxfId="2145" priority="1020" operator="equal">
      <formula>"U/P"</formula>
    </cfRule>
    <cfRule type="cellIs" dxfId="2144" priority="1021" operator="equal">
      <formula>"F"</formula>
    </cfRule>
    <cfRule type="cellIs" dxfId="2143" priority="1022" operator="equal">
      <formula>"F"</formula>
    </cfRule>
  </conditionalFormatting>
  <conditionalFormatting sqref="T115">
    <cfRule type="cellIs" dxfId="2142" priority="951" operator="equal">
      <formula>"U/P"</formula>
    </cfRule>
    <cfRule type="cellIs" dxfId="2141" priority="952" operator="equal">
      <formula>"F"</formula>
    </cfRule>
    <cfRule type="cellIs" dxfId="2140" priority="953" operator="equal">
      <formula>"F"</formula>
    </cfRule>
  </conditionalFormatting>
  <conditionalFormatting sqref="T123">
    <cfRule type="cellIs" dxfId="2139" priority="924" operator="equal">
      <formula>"U/P"</formula>
    </cfRule>
    <cfRule type="cellIs" dxfId="2138" priority="925" operator="equal">
      <formula>"F"</formula>
    </cfRule>
    <cfRule type="cellIs" dxfId="2137" priority="926" operator="equal">
      <formula>"F"</formula>
    </cfRule>
  </conditionalFormatting>
  <conditionalFormatting sqref="T132">
    <cfRule type="cellIs" dxfId="2136" priority="46" operator="equal">
      <formula>"U/P"</formula>
    </cfRule>
    <cfRule type="cellIs" dxfId="2135" priority="47" operator="equal">
      <formula>"F"</formula>
    </cfRule>
    <cfRule type="cellIs" dxfId="2134" priority="48" operator="equal">
      <formula>"F"</formula>
    </cfRule>
  </conditionalFormatting>
  <conditionalFormatting sqref="T141">
    <cfRule type="cellIs" dxfId="2133" priority="537" operator="equal">
      <formula>"U/P"</formula>
    </cfRule>
    <cfRule type="cellIs" dxfId="2132" priority="538" operator="equal">
      <formula>"F"</formula>
    </cfRule>
    <cfRule type="cellIs" dxfId="2131" priority="539" operator="equal">
      <formula>"F"</formula>
    </cfRule>
  </conditionalFormatting>
  <conditionalFormatting sqref="T150">
    <cfRule type="cellIs" dxfId="2130" priority="861" operator="equal">
      <formula>"U/P"</formula>
    </cfRule>
    <cfRule type="cellIs" dxfId="2129" priority="862" operator="equal">
      <formula>"F"</formula>
    </cfRule>
    <cfRule type="cellIs" dxfId="2128" priority="863" operator="equal">
      <formula>"F"</formula>
    </cfRule>
  </conditionalFormatting>
  <conditionalFormatting sqref="T159">
    <cfRule type="cellIs" dxfId="2127" priority="825" operator="equal">
      <formula>"U/P"</formula>
    </cfRule>
    <cfRule type="cellIs" dxfId="2126" priority="826" operator="equal">
      <formula>"F"</formula>
    </cfRule>
    <cfRule type="cellIs" dxfId="2125" priority="827" operator="equal">
      <formula>"F"</formula>
    </cfRule>
  </conditionalFormatting>
  <conditionalFormatting sqref="T168">
    <cfRule type="cellIs" dxfId="2124" priority="804" operator="equal">
      <formula>"U/P"</formula>
    </cfRule>
    <cfRule type="cellIs" dxfId="2123" priority="805" operator="equal">
      <formula>"F"</formula>
    </cfRule>
    <cfRule type="cellIs" dxfId="2122" priority="806" operator="equal">
      <formula>"F"</formula>
    </cfRule>
  </conditionalFormatting>
  <conditionalFormatting sqref="T171">
    <cfRule type="cellIs" dxfId="2121" priority="432" operator="equal">
      <formula>0</formula>
    </cfRule>
  </conditionalFormatting>
  <conditionalFormatting sqref="T176">
    <cfRule type="cellIs" dxfId="2120" priority="768" operator="equal">
      <formula>"U/P"</formula>
    </cfRule>
    <cfRule type="cellIs" dxfId="2119" priority="769" operator="equal">
      <formula>"F"</formula>
    </cfRule>
    <cfRule type="cellIs" dxfId="2118" priority="770" operator="equal">
      <formula>"F"</formula>
    </cfRule>
  </conditionalFormatting>
  <conditionalFormatting sqref="T185">
    <cfRule type="cellIs" dxfId="2117" priority="73" operator="equal">
      <formula>"U/P"</formula>
    </cfRule>
    <cfRule type="cellIs" dxfId="2116" priority="74" operator="equal">
      <formula>"F"</formula>
    </cfRule>
    <cfRule type="cellIs" dxfId="2115" priority="75" operator="equal">
      <formula>"F"</formula>
    </cfRule>
  </conditionalFormatting>
  <conditionalFormatting sqref="T194 V194 Z194 AB194 B202 H202">
    <cfRule type="cellIs" dxfId="2114" priority="361" operator="equal">
      <formula>"U/P"</formula>
    </cfRule>
    <cfRule type="cellIs" dxfId="2113" priority="362" operator="equal">
      <formula>"F"</formula>
    </cfRule>
    <cfRule type="cellIs" dxfId="2112" priority="363" operator="equal">
      <formula>"F"</formula>
    </cfRule>
  </conditionalFormatting>
  <conditionalFormatting sqref="T202">
    <cfRule type="cellIs" dxfId="2111" priority="552" operator="equal">
      <formula>"U/P"</formula>
    </cfRule>
    <cfRule type="cellIs" dxfId="2110" priority="553" operator="equal">
      <formula>"F"</formula>
    </cfRule>
    <cfRule type="cellIs" dxfId="2109" priority="554" operator="equal">
      <formula>"F"</formula>
    </cfRule>
  </conditionalFormatting>
  <conditionalFormatting sqref="T226">
    <cfRule type="cellIs" dxfId="2108" priority="708" operator="equal">
      <formula>"U/P"</formula>
    </cfRule>
    <cfRule type="cellIs" dxfId="2107" priority="709" operator="equal">
      <formula>"F"</formula>
    </cfRule>
    <cfRule type="cellIs" dxfId="2106" priority="710" operator="equal">
      <formula>"F"</formula>
    </cfRule>
  </conditionalFormatting>
  <conditionalFormatting sqref="T235">
    <cfRule type="cellIs" dxfId="2105" priority="79" operator="equal">
      <formula>"U/P"</formula>
    </cfRule>
    <cfRule type="cellIs" dxfId="2104" priority="80" operator="equal">
      <formula>"F"</formula>
    </cfRule>
    <cfRule type="cellIs" dxfId="2103" priority="81" operator="equal">
      <formula>"F"</formula>
    </cfRule>
  </conditionalFormatting>
  <conditionalFormatting sqref="T244">
    <cfRule type="cellIs" dxfId="2102" priority="1" operator="equal">
      <formula>"U/P"</formula>
    </cfRule>
    <cfRule type="cellIs" dxfId="2101" priority="2" operator="equal">
      <formula>"F"</formula>
    </cfRule>
    <cfRule type="cellIs" dxfId="2100" priority="3" operator="equal">
      <formula>"F"</formula>
    </cfRule>
  </conditionalFormatting>
  <conditionalFormatting sqref="T252">
    <cfRule type="cellIs" dxfId="2099" priority="193" operator="equal">
      <formula>"U/P"</formula>
    </cfRule>
    <cfRule type="cellIs" dxfId="2098" priority="194" operator="equal">
      <formula>"F"</formula>
    </cfRule>
    <cfRule type="cellIs" dxfId="2097" priority="195" operator="equal">
      <formula>"F"</formula>
    </cfRule>
  </conditionalFormatting>
  <conditionalFormatting sqref="T260">
    <cfRule type="cellIs" dxfId="2096" priority="256" operator="equal">
      <formula>"U/P"</formula>
    </cfRule>
    <cfRule type="cellIs" dxfId="2095" priority="257" operator="equal">
      <formula>"F"</formula>
    </cfRule>
    <cfRule type="cellIs" dxfId="2094" priority="258" operator="equal">
      <formula>"F"</formula>
    </cfRule>
  </conditionalFormatting>
  <conditionalFormatting sqref="T268">
    <cfRule type="cellIs" dxfId="2093" priority="172" operator="equal">
      <formula>"U/P"</formula>
    </cfRule>
    <cfRule type="cellIs" dxfId="2092" priority="173" operator="equal">
      <formula>"F"</formula>
    </cfRule>
    <cfRule type="cellIs" dxfId="2091" priority="174" operator="equal">
      <formula>"F"</formula>
    </cfRule>
  </conditionalFormatting>
  <conditionalFormatting sqref="T276">
    <cfRule type="cellIs" dxfId="2090" priority="178" operator="equal">
      <formula>"U/P"</formula>
    </cfRule>
    <cfRule type="cellIs" dxfId="2089" priority="179" operator="equal">
      <formula>"F"</formula>
    </cfRule>
    <cfRule type="cellIs" dxfId="2088" priority="180" operator="equal">
      <formula>"F"</formula>
    </cfRule>
  </conditionalFormatting>
  <conditionalFormatting sqref="T284">
    <cfRule type="cellIs" dxfId="2087" priority="241" operator="equal">
      <formula>"U/P"</formula>
    </cfRule>
    <cfRule type="cellIs" dxfId="2086" priority="242" operator="equal">
      <formula>"F"</formula>
    </cfRule>
    <cfRule type="cellIs" dxfId="2085" priority="243" operator="equal">
      <formula>"F"</formula>
    </cfRule>
  </conditionalFormatting>
  <conditionalFormatting sqref="T292">
    <cfRule type="cellIs" dxfId="2084" priority="55" operator="equal">
      <formula>"U/P"</formula>
    </cfRule>
    <cfRule type="cellIs" dxfId="2083" priority="56" operator="equal">
      <formula>"F"</formula>
    </cfRule>
    <cfRule type="cellIs" dxfId="2082" priority="57" operator="equal">
      <formula>"F"</formula>
    </cfRule>
  </conditionalFormatting>
  <conditionalFormatting sqref="T300">
    <cfRule type="cellIs" dxfId="2081" priority="190" operator="equal">
      <formula>"U/P"</formula>
    </cfRule>
    <cfRule type="cellIs" dxfId="2080" priority="191" operator="equal">
      <formula>"F"</formula>
    </cfRule>
    <cfRule type="cellIs" dxfId="2079" priority="192" operator="equal">
      <formula>"F"</formula>
    </cfRule>
  </conditionalFormatting>
  <conditionalFormatting sqref="T307:T308">
    <cfRule type="cellIs" dxfId="2078" priority="606" operator="equal">
      <formula>"U/P"</formula>
    </cfRule>
    <cfRule type="cellIs" dxfId="2077" priority="607" operator="equal">
      <formula>"F"</formula>
    </cfRule>
    <cfRule type="cellIs" dxfId="2076" priority="608" operator="equal">
      <formula>"F"</formula>
    </cfRule>
  </conditionalFormatting>
  <conditionalFormatting sqref="T315">
    <cfRule type="cellIs" dxfId="2075" priority="573" operator="equal">
      <formula>"U/P"</formula>
    </cfRule>
    <cfRule type="cellIs" dxfId="2074" priority="574" operator="equal">
      <formula>"F"</formula>
    </cfRule>
    <cfRule type="cellIs" dxfId="2073" priority="575" operator="equal">
      <formula>"F"</formula>
    </cfRule>
  </conditionalFormatting>
  <conditionalFormatting sqref="U107">
    <cfRule type="cellIs" dxfId="2072" priority="984" operator="equal">
      <formula>"U/P"</formula>
    </cfRule>
    <cfRule type="cellIs" dxfId="2071" priority="985" operator="equal">
      <formula>"F"</formula>
    </cfRule>
    <cfRule type="cellIs" dxfId="2070" priority="986" operator="equal">
      <formula>"F"</formula>
    </cfRule>
  </conditionalFormatting>
  <conditionalFormatting sqref="V20">
    <cfRule type="cellIs" dxfId="2069" priority="1425" operator="equal">
      <formula>"U/P"</formula>
    </cfRule>
    <cfRule type="cellIs" dxfId="2068" priority="1426" operator="equal">
      <formula>"F"</formula>
    </cfRule>
    <cfRule type="cellIs" dxfId="2067" priority="1427" operator="equal">
      <formula>"F"</formula>
    </cfRule>
  </conditionalFormatting>
  <conditionalFormatting sqref="V27">
    <cfRule type="cellIs" dxfId="2066" priority="1383" operator="equal">
      <formula>"U/P"</formula>
    </cfRule>
    <cfRule type="cellIs" dxfId="2065" priority="1384" operator="equal">
      <formula>"F"</formula>
    </cfRule>
    <cfRule type="cellIs" dxfId="2064" priority="1385" operator="equal">
      <formula>"F"</formula>
    </cfRule>
  </conditionalFormatting>
  <conditionalFormatting sqref="V34">
    <cfRule type="cellIs" dxfId="2063" priority="1344" operator="equal">
      <formula>"U/P"</formula>
    </cfRule>
    <cfRule type="cellIs" dxfId="2062" priority="1345" operator="equal">
      <formula>"F"</formula>
    </cfRule>
    <cfRule type="cellIs" dxfId="2061" priority="1346" operator="equal">
      <formula>"F"</formula>
    </cfRule>
  </conditionalFormatting>
  <conditionalFormatting sqref="V41">
    <cfRule type="cellIs" dxfId="2060" priority="1302" operator="equal">
      <formula>"U/P"</formula>
    </cfRule>
    <cfRule type="cellIs" dxfId="2059" priority="1303" operator="equal">
      <formula>"F"</formula>
    </cfRule>
    <cfRule type="cellIs" dxfId="2058" priority="1304" operator="equal">
      <formula>"F"</formula>
    </cfRule>
  </conditionalFormatting>
  <conditionalFormatting sqref="V48">
    <cfRule type="cellIs" dxfId="2057" priority="1260" operator="equal">
      <formula>"U/P"</formula>
    </cfRule>
    <cfRule type="cellIs" dxfId="2056" priority="1261" operator="equal">
      <formula>"F"</formula>
    </cfRule>
    <cfRule type="cellIs" dxfId="2055" priority="1262" operator="equal">
      <formula>"F"</formula>
    </cfRule>
  </conditionalFormatting>
  <conditionalFormatting sqref="V57">
    <cfRule type="cellIs" dxfId="2054" priority="1218" operator="equal">
      <formula>"U/P"</formula>
    </cfRule>
    <cfRule type="cellIs" dxfId="2053" priority="1219" operator="equal">
      <formula>"F"</formula>
    </cfRule>
    <cfRule type="cellIs" dxfId="2052" priority="1220" operator="equal">
      <formula>"F"</formula>
    </cfRule>
  </conditionalFormatting>
  <conditionalFormatting sqref="V65">
    <cfRule type="cellIs" dxfId="2051" priority="1176" operator="equal">
      <formula>"U/P"</formula>
    </cfRule>
    <cfRule type="cellIs" dxfId="2050" priority="1177" operator="equal">
      <formula>"F"</formula>
    </cfRule>
    <cfRule type="cellIs" dxfId="2049" priority="1178" operator="equal">
      <formula>"F"</formula>
    </cfRule>
  </conditionalFormatting>
  <conditionalFormatting sqref="V73">
    <cfRule type="cellIs" dxfId="2048" priority="1134" operator="equal">
      <formula>"U/P"</formula>
    </cfRule>
    <cfRule type="cellIs" dxfId="2047" priority="1135" operator="equal">
      <formula>"F"</formula>
    </cfRule>
    <cfRule type="cellIs" dxfId="2046" priority="1136" operator="equal">
      <formula>"F"</formula>
    </cfRule>
  </conditionalFormatting>
  <conditionalFormatting sqref="V82">
    <cfRule type="cellIs" dxfId="2045" priority="1098" operator="equal">
      <formula>"U/P"</formula>
    </cfRule>
    <cfRule type="cellIs" dxfId="2044" priority="1099" operator="equal">
      <formula>"F"</formula>
    </cfRule>
    <cfRule type="cellIs" dxfId="2043" priority="1100" operator="equal">
      <formula>"F"</formula>
    </cfRule>
  </conditionalFormatting>
  <conditionalFormatting sqref="V90">
    <cfRule type="cellIs" dxfId="2042" priority="1059" operator="equal">
      <formula>"U/P"</formula>
    </cfRule>
    <cfRule type="cellIs" dxfId="2041" priority="1060" operator="equal">
      <formula>"F"</formula>
    </cfRule>
    <cfRule type="cellIs" dxfId="2040" priority="1061" operator="equal">
      <formula>"F"</formula>
    </cfRule>
  </conditionalFormatting>
  <conditionalFormatting sqref="V99">
    <cfRule type="cellIs" dxfId="2039" priority="1017" operator="equal">
      <formula>"U/P"</formula>
    </cfRule>
    <cfRule type="cellIs" dxfId="2038" priority="1018" operator="equal">
      <formula>"F"</formula>
    </cfRule>
    <cfRule type="cellIs" dxfId="2037" priority="1019" operator="equal">
      <formula>"F"</formula>
    </cfRule>
  </conditionalFormatting>
  <conditionalFormatting sqref="V115">
    <cfRule type="cellIs" dxfId="2036" priority="948" operator="equal">
      <formula>"U/P"</formula>
    </cfRule>
    <cfRule type="cellIs" dxfId="2035" priority="949" operator="equal">
      <formula>"F"</formula>
    </cfRule>
    <cfRule type="cellIs" dxfId="2034" priority="950" operator="equal">
      <formula>"F"</formula>
    </cfRule>
  </conditionalFormatting>
  <conditionalFormatting sqref="V123">
    <cfRule type="cellIs" dxfId="2033" priority="921" operator="equal">
      <formula>"U/P"</formula>
    </cfRule>
    <cfRule type="cellIs" dxfId="2032" priority="922" operator="equal">
      <formula>"F"</formula>
    </cfRule>
    <cfRule type="cellIs" dxfId="2031" priority="923" operator="equal">
      <formula>"F"</formula>
    </cfRule>
  </conditionalFormatting>
  <conditionalFormatting sqref="V132">
    <cfRule type="cellIs" dxfId="2030" priority="34" operator="equal">
      <formula>"U/P"</formula>
    </cfRule>
    <cfRule type="cellIs" dxfId="2029" priority="35" operator="equal">
      <formula>"F"</formula>
    </cfRule>
    <cfRule type="cellIs" dxfId="2028" priority="36" operator="equal">
      <formula>"F"</formula>
    </cfRule>
  </conditionalFormatting>
  <conditionalFormatting sqref="V141">
    <cfRule type="cellIs" dxfId="2027" priority="492" operator="equal">
      <formula>"U/P"</formula>
    </cfRule>
    <cfRule type="cellIs" dxfId="2026" priority="493" operator="equal">
      <formula>"F"</formula>
    </cfRule>
    <cfRule type="cellIs" dxfId="2025" priority="494" operator="equal">
      <formula>"F"</formula>
    </cfRule>
  </conditionalFormatting>
  <conditionalFormatting sqref="V150">
    <cfRule type="cellIs" dxfId="2024" priority="858" operator="equal">
      <formula>"U/P"</formula>
    </cfRule>
    <cfRule type="cellIs" dxfId="2023" priority="859" operator="equal">
      <formula>"F"</formula>
    </cfRule>
    <cfRule type="cellIs" dxfId="2022" priority="860" operator="equal">
      <formula>"F"</formula>
    </cfRule>
  </conditionalFormatting>
  <conditionalFormatting sqref="V159">
    <cfRule type="cellIs" dxfId="2021" priority="561" operator="equal">
      <formula>"U/P"</formula>
    </cfRule>
    <cfRule type="cellIs" dxfId="2020" priority="562" operator="equal">
      <formula>"F"</formula>
    </cfRule>
    <cfRule type="cellIs" dxfId="2019" priority="563" operator="equal">
      <formula>"F"</formula>
    </cfRule>
  </conditionalFormatting>
  <conditionalFormatting sqref="V168">
    <cfRule type="cellIs" dxfId="2018" priority="801" operator="equal">
      <formula>"U/P"</formula>
    </cfRule>
    <cfRule type="cellIs" dxfId="2017" priority="802" operator="equal">
      <formula>"F"</formula>
    </cfRule>
    <cfRule type="cellIs" dxfId="2016" priority="803" operator="equal">
      <formula>"F"</formula>
    </cfRule>
  </conditionalFormatting>
  <conditionalFormatting sqref="V176">
    <cfRule type="cellIs" dxfId="2015" priority="451" operator="equal">
      <formula>"U/P"</formula>
    </cfRule>
    <cfRule type="cellIs" dxfId="2014" priority="452" operator="equal">
      <formula>"F"</formula>
    </cfRule>
    <cfRule type="cellIs" dxfId="2013" priority="453" operator="equal">
      <formula>"F"</formula>
    </cfRule>
  </conditionalFormatting>
  <conditionalFormatting sqref="V185">
    <cfRule type="cellIs" dxfId="2012" priority="445" operator="equal">
      <formula>"U/P"</formula>
    </cfRule>
    <cfRule type="cellIs" dxfId="2011" priority="446" operator="equal">
      <formula>"F"</formula>
    </cfRule>
    <cfRule type="cellIs" dxfId="2010" priority="447" operator="equal">
      <formula>"F"</formula>
    </cfRule>
  </conditionalFormatting>
  <conditionalFormatting sqref="V202">
    <cfRule type="cellIs" dxfId="2009" priority="417" operator="equal">
      <formula>"U/P"</formula>
    </cfRule>
    <cfRule type="cellIs" dxfId="2008" priority="418" operator="equal">
      <formula>"F"</formula>
    </cfRule>
    <cfRule type="cellIs" dxfId="2007" priority="419" operator="equal">
      <formula>"F"</formula>
    </cfRule>
  </conditionalFormatting>
  <conditionalFormatting sqref="V210">
    <cfRule type="cellIs" dxfId="2006" priority="175" operator="equal">
      <formula>"U/P"</formula>
    </cfRule>
    <cfRule type="cellIs" dxfId="2005" priority="176" operator="equal">
      <formula>"F"</formula>
    </cfRule>
    <cfRule type="cellIs" dxfId="2004" priority="177" operator="equal">
      <formula>"F"</formula>
    </cfRule>
  </conditionalFormatting>
  <conditionalFormatting sqref="V218">
    <cfRule type="cellIs" dxfId="2003" priority="181" operator="equal">
      <formula>"U/P"</formula>
    </cfRule>
    <cfRule type="cellIs" dxfId="2002" priority="182" operator="equal">
      <formula>"F"</formula>
    </cfRule>
    <cfRule type="cellIs" dxfId="2001" priority="183" operator="equal">
      <formula>"F"</formula>
    </cfRule>
  </conditionalFormatting>
  <conditionalFormatting sqref="V226">
    <cfRule type="cellIs" dxfId="2000" priority="705" operator="equal">
      <formula>"U/P"</formula>
    </cfRule>
    <cfRule type="cellIs" dxfId="1999" priority="706" operator="equal">
      <formula>"F"</formula>
    </cfRule>
    <cfRule type="cellIs" dxfId="1998" priority="707" operator="equal">
      <formula>"F"</formula>
    </cfRule>
  </conditionalFormatting>
  <conditionalFormatting sqref="V235">
    <cfRule type="cellIs" dxfId="1997" priority="687" operator="equal">
      <formula>"U/P"</formula>
    </cfRule>
    <cfRule type="cellIs" dxfId="1996" priority="688" operator="equal">
      <formula>"F"</formula>
    </cfRule>
    <cfRule type="cellIs" dxfId="1995" priority="689" operator="equal">
      <formula>"F"</formula>
    </cfRule>
  </conditionalFormatting>
  <conditionalFormatting sqref="V244">
    <cfRule type="cellIs" dxfId="1994" priority="133" operator="equal">
      <formula>"U/P"</formula>
    </cfRule>
    <cfRule type="cellIs" dxfId="1993" priority="134" operator="equal">
      <formula>"F"</formula>
    </cfRule>
    <cfRule type="cellIs" dxfId="1992" priority="135" operator="equal">
      <formula>"F"</formula>
    </cfRule>
  </conditionalFormatting>
  <conditionalFormatting sqref="V252">
    <cfRule type="cellIs" dxfId="1991" priority="666" operator="equal">
      <formula>"U/P"</formula>
    </cfRule>
    <cfRule type="cellIs" dxfId="1990" priority="667" operator="equal">
      <formula>"F"</formula>
    </cfRule>
    <cfRule type="cellIs" dxfId="1989" priority="668" operator="equal">
      <formula>"F"</formula>
    </cfRule>
  </conditionalFormatting>
  <conditionalFormatting sqref="V260">
    <cfRule type="cellIs" dxfId="1988" priority="214" operator="equal">
      <formula>"U/P"</formula>
    </cfRule>
    <cfRule type="cellIs" dxfId="1987" priority="215" operator="equal">
      <formula>"F"</formula>
    </cfRule>
    <cfRule type="cellIs" dxfId="1986" priority="216" operator="equal">
      <formula>"F"</formula>
    </cfRule>
  </conditionalFormatting>
  <conditionalFormatting sqref="V268">
    <cfRule type="cellIs" dxfId="1985" priority="145" operator="equal">
      <formula>"U/P"</formula>
    </cfRule>
    <cfRule type="cellIs" dxfId="1984" priority="146" operator="equal">
      <formula>"F"</formula>
    </cfRule>
    <cfRule type="cellIs" dxfId="1983" priority="147" operator="equal">
      <formula>"F"</formula>
    </cfRule>
  </conditionalFormatting>
  <conditionalFormatting sqref="V276">
    <cfRule type="cellIs" dxfId="1982" priority="163" operator="equal">
      <formula>"U/P"</formula>
    </cfRule>
    <cfRule type="cellIs" dxfId="1981" priority="164" operator="equal">
      <formula>"F"</formula>
    </cfRule>
    <cfRule type="cellIs" dxfId="1980" priority="165" operator="equal">
      <formula>"F"</formula>
    </cfRule>
  </conditionalFormatting>
  <conditionalFormatting sqref="V284">
    <cfRule type="cellIs" dxfId="1979" priority="289" operator="equal">
      <formula>"U/P"</formula>
    </cfRule>
    <cfRule type="cellIs" dxfId="1978" priority="290" operator="equal">
      <formula>"F"</formula>
    </cfRule>
    <cfRule type="cellIs" dxfId="1977" priority="291" operator="equal">
      <formula>"F"</formula>
    </cfRule>
  </conditionalFormatting>
  <conditionalFormatting sqref="V300">
    <cfRule type="cellIs" dxfId="1976" priority="268" operator="equal">
      <formula>"U/P"</formula>
    </cfRule>
    <cfRule type="cellIs" dxfId="1975" priority="269" operator="equal">
      <formula>"F"</formula>
    </cfRule>
    <cfRule type="cellIs" dxfId="1974" priority="270" operator="equal">
      <formula>"F"</formula>
    </cfRule>
  </conditionalFormatting>
  <conditionalFormatting sqref="V315">
    <cfRule type="cellIs" dxfId="1973" priority="570" operator="equal">
      <formula>"U/P"</formula>
    </cfRule>
    <cfRule type="cellIs" dxfId="1972" priority="571" operator="equal">
      <formula>"F"</formula>
    </cfRule>
    <cfRule type="cellIs" dxfId="1971" priority="572" operator="equal">
      <formula>"F"</formula>
    </cfRule>
  </conditionalFormatting>
  <conditionalFormatting sqref="V110:W110">
    <cfRule type="cellIs" dxfId="1970" priority="461" operator="equal">
      <formula>0</formula>
    </cfRule>
  </conditionalFormatting>
  <conditionalFormatting sqref="W107">
    <cfRule type="cellIs" dxfId="1969" priority="981" operator="equal">
      <formula>"U/P"</formula>
    </cfRule>
    <cfRule type="cellIs" dxfId="1968" priority="982" operator="equal">
      <formula>"F"</formula>
    </cfRule>
    <cfRule type="cellIs" dxfId="1967" priority="983" operator="equal">
      <formula>"F"</formula>
    </cfRule>
  </conditionalFormatting>
  <conditionalFormatting sqref="X20">
    <cfRule type="cellIs" dxfId="1966" priority="1422" operator="equal">
      <formula>"U/P"</formula>
    </cfRule>
    <cfRule type="cellIs" dxfId="1965" priority="1423" operator="equal">
      <formula>"F"</formula>
    </cfRule>
    <cfRule type="cellIs" dxfId="1964" priority="1424" operator="equal">
      <formula>"F"</formula>
    </cfRule>
  </conditionalFormatting>
  <conditionalFormatting sqref="X27">
    <cfRule type="cellIs" dxfId="1963" priority="1380" operator="equal">
      <formula>"U/P"</formula>
    </cfRule>
    <cfRule type="cellIs" dxfId="1962" priority="1381" operator="equal">
      <formula>"F"</formula>
    </cfRule>
    <cfRule type="cellIs" dxfId="1961" priority="1382" operator="equal">
      <formula>"F"</formula>
    </cfRule>
  </conditionalFormatting>
  <conditionalFormatting sqref="X34">
    <cfRule type="cellIs" dxfId="1960" priority="1341" operator="equal">
      <formula>"U/P"</formula>
    </cfRule>
    <cfRule type="cellIs" dxfId="1959" priority="1342" operator="equal">
      <formula>"F"</formula>
    </cfRule>
    <cfRule type="cellIs" dxfId="1958" priority="1343" operator="equal">
      <formula>"F"</formula>
    </cfRule>
  </conditionalFormatting>
  <conditionalFormatting sqref="X41">
    <cfRule type="cellIs" dxfId="1957" priority="1299" operator="equal">
      <formula>"U/P"</formula>
    </cfRule>
    <cfRule type="cellIs" dxfId="1956" priority="1300" operator="equal">
      <formula>"F"</formula>
    </cfRule>
    <cfRule type="cellIs" dxfId="1955" priority="1301" operator="equal">
      <formula>"F"</formula>
    </cfRule>
  </conditionalFormatting>
  <conditionalFormatting sqref="X48">
    <cfRule type="cellIs" dxfId="1954" priority="1257" operator="equal">
      <formula>"U/P"</formula>
    </cfRule>
    <cfRule type="cellIs" dxfId="1953" priority="1258" operator="equal">
      <formula>"F"</formula>
    </cfRule>
    <cfRule type="cellIs" dxfId="1952" priority="1259" operator="equal">
      <formula>"F"</formula>
    </cfRule>
  </conditionalFormatting>
  <conditionalFormatting sqref="X57">
    <cfRule type="cellIs" dxfId="1951" priority="1215" operator="equal">
      <formula>"U/P"</formula>
    </cfRule>
    <cfRule type="cellIs" dxfId="1950" priority="1216" operator="equal">
      <formula>"F"</formula>
    </cfRule>
    <cfRule type="cellIs" dxfId="1949" priority="1217" operator="equal">
      <formula>"F"</formula>
    </cfRule>
  </conditionalFormatting>
  <conditionalFormatting sqref="X65">
    <cfRule type="cellIs" dxfId="1948" priority="1173" operator="equal">
      <formula>"U/P"</formula>
    </cfRule>
    <cfRule type="cellIs" dxfId="1947" priority="1174" operator="equal">
      <formula>"F"</formula>
    </cfRule>
    <cfRule type="cellIs" dxfId="1946" priority="1175" operator="equal">
      <formula>"F"</formula>
    </cfRule>
  </conditionalFormatting>
  <conditionalFormatting sqref="X73">
    <cfRule type="cellIs" dxfId="1945" priority="1131" operator="equal">
      <formula>"U/P"</formula>
    </cfRule>
    <cfRule type="cellIs" dxfId="1944" priority="1132" operator="equal">
      <formula>"F"</formula>
    </cfRule>
    <cfRule type="cellIs" dxfId="1943" priority="1133" operator="equal">
      <formula>"F"</formula>
    </cfRule>
  </conditionalFormatting>
  <conditionalFormatting sqref="X82">
    <cfRule type="cellIs" dxfId="1942" priority="1095" operator="equal">
      <formula>"U/P"</formula>
    </cfRule>
    <cfRule type="cellIs" dxfId="1941" priority="1096" operator="equal">
      <formula>"F"</formula>
    </cfRule>
    <cfRule type="cellIs" dxfId="1940" priority="1097" operator="equal">
      <formula>"F"</formula>
    </cfRule>
  </conditionalFormatting>
  <conditionalFormatting sqref="X90">
    <cfRule type="cellIs" dxfId="1939" priority="1056" operator="equal">
      <formula>"U/P"</formula>
    </cfRule>
    <cfRule type="cellIs" dxfId="1938" priority="1057" operator="equal">
      <formula>"F"</formula>
    </cfRule>
    <cfRule type="cellIs" dxfId="1937" priority="1058" operator="equal">
      <formula>"F"</formula>
    </cfRule>
  </conditionalFormatting>
  <conditionalFormatting sqref="X99">
    <cfRule type="cellIs" dxfId="1936" priority="310" operator="equal">
      <formula>"U/P"</formula>
    </cfRule>
    <cfRule type="cellIs" dxfId="1935" priority="311" operator="equal">
      <formula>"F"</formula>
    </cfRule>
    <cfRule type="cellIs" dxfId="1934" priority="312" operator="equal">
      <formula>"F"</formula>
    </cfRule>
  </conditionalFormatting>
  <conditionalFormatting sqref="X115">
    <cfRule type="cellIs" dxfId="1933" priority="945" operator="equal">
      <formula>"U/P"</formula>
    </cfRule>
    <cfRule type="cellIs" dxfId="1932" priority="946" operator="equal">
      <formula>"F"</formula>
    </cfRule>
    <cfRule type="cellIs" dxfId="1931" priority="947" operator="equal">
      <formula>"F"</formula>
    </cfRule>
  </conditionalFormatting>
  <conditionalFormatting sqref="X123">
    <cfRule type="cellIs" dxfId="1930" priority="918" operator="equal">
      <formula>"U/P"</formula>
    </cfRule>
    <cfRule type="cellIs" dxfId="1929" priority="919" operator="equal">
      <formula>"F"</formula>
    </cfRule>
    <cfRule type="cellIs" dxfId="1928" priority="920" operator="equal">
      <formula>"F"</formula>
    </cfRule>
  </conditionalFormatting>
  <conditionalFormatting sqref="X132">
    <cfRule type="cellIs" dxfId="1927" priority="43" operator="equal">
      <formula>"U/P"</formula>
    </cfRule>
    <cfRule type="cellIs" dxfId="1926" priority="44" operator="equal">
      <formula>"F"</formula>
    </cfRule>
    <cfRule type="cellIs" dxfId="1925" priority="45" operator="equal">
      <formula>"F"</formula>
    </cfRule>
  </conditionalFormatting>
  <conditionalFormatting sqref="X141">
    <cfRule type="cellIs" dxfId="1924" priority="888" operator="equal">
      <formula>"U/P"</formula>
    </cfRule>
    <cfRule type="cellIs" dxfId="1923" priority="889" operator="equal">
      <formula>"F"</formula>
    </cfRule>
    <cfRule type="cellIs" dxfId="1922" priority="890" operator="equal">
      <formula>"F"</formula>
    </cfRule>
  </conditionalFormatting>
  <conditionalFormatting sqref="X150">
    <cfRule type="cellIs" dxfId="1921" priority="855" operator="equal">
      <formula>"U/P"</formula>
    </cfRule>
    <cfRule type="cellIs" dxfId="1920" priority="856" operator="equal">
      <formula>"F"</formula>
    </cfRule>
    <cfRule type="cellIs" dxfId="1919" priority="857" operator="equal">
      <formula>"F"</formula>
    </cfRule>
  </conditionalFormatting>
  <conditionalFormatting sqref="X159">
    <cfRule type="cellIs" dxfId="1918" priority="822" operator="equal">
      <formula>"U/P"</formula>
    </cfRule>
    <cfRule type="cellIs" dxfId="1917" priority="823" operator="equal">
      <formula>"F"</formula>
    </cfRule>
    <cfRule type="cellIs" dxfId="1916" priority="824" operator="equal">
      <formula>"F"</formula>
    </cfRule>
  </conditionalFormatting>
  <conditionalFormatting sqref="X168">
    <cfRule type="cellIs" dxfId="1915" priority="798" operator="equal">
      <formula>"U/P"</formula>
    </cfRule>
    <cfRule type="cellIs" dxfId="1914" priority="799" operator="equal">
      <formula>"F"</formula>
    </cfRule>
    <cfRule type="cellIs" dxfId="1913" priority="800" operator="equal">
      <formula>"F"</formula>
    </cfRule>
  </conditionalFormatting>
  <conditionalFormatting sqref="X176">
    <cfRule type="cellIs" dxfId="1912" priority="765" operator="equal">
      <formula>"U/P"</formula>
    </cfRule>
    <cfRule type="cellIs" dxfId="1911" priority="766" operator="equal">
      <formula>"F"</formula>
    </cfRule>
    <cfRule type="cellIs" dxfId="1910" priority="767" operator="equal">
      <formula>"F"</formula>
    </cfRule>
  </conditionalFormatting>
  <conditionalFormatting sqref="X185">
    <cfRule type="cellIs" dxfId="1909" priority="474" operator="equal">
      <formula>"U/P"</formula>
    </cfRule>
    <cfRule type="cellIs" dxfId="1908" priority="475" operator="equal">
      <formula>"F"</formula>
    </cfRule>
    <cfRule type="cellIs" dxfId="1907" priority="476" operator="equal">
      <formula>"F"</formula>
    </cfRule>
  </conditionalFormatting>
  <conditionalFormatting sqref="X194">
    <cfRule type="cellIs" dxfId="1906" priority="750" operator="equal">
      <formula>"U/P"</formula>
    </cfRule>
    <cfRule type="cellIs" dxfId="1905" priority="751" operator="equal">
      <formula>"F"</formula>
    </cfRule>
    <cfRule type="cellIs" dxfId="1904" priority="752" operator="equal">
      <formula>"F"</formula>
    </cfRule>
  </conditionalFormatting>
  <conditionalFormatting sqref="X202">
    <cfRule type="cellIs" dxfId="1903" priority="741" operator="equal">
      <formula>"U/P"</formula>
    </cfRule>
    <cfRule type="cellIs" dxfId="1902" priority="742" operator="equal">
      <formula>"F"</formula>
    </cfRule>
    <cfRule type="cellIs" dxfId="1901" priority="743" operator="equal">
      <formula>"F"</formula>
    </cfRule>
  </conditionalFormatting>
  <conditionalFormatting sqref="X210">
    <cfRule type="cellIs" dxfId="1900" priority="501" operator="equal">
      <formula>"U/P"</formula>
    </cfRule>
    <cfRule type="cellIs" dxfId="1899" priority="502" operator="equal">
      <formula>"F"</formula>
    </cfRule>
    <cfRule type="cellIs" dxfId="1898" priority="503" operator="equal">
      <formula>"F"</formula>
    </cfRule>
  </conditionalFormatting>
  <conditionalFormatting sqref="X218">
    <cfRule type="cellIs" dxfId="1897" priority="217" operator="equal">
      <formula>"U/P"</formula>
    </cfRule>
    <cfRule type="cellIs" dxfId="1896" priority="218" operator="equal">
      <formula>"F"</formula>
    </cfRule>
    <cfRule type="cellIs" dxfId="1895" priority="219" operator="equal">
      <formula>"F"</formula>
    </cfRule>
  </conditionalFormatting>
  <conditionalFormatting sqref="X226">
    <cfRule type="cellIs" dxfId="1894" priority="714" operator="equal">
      <formula>"U/P"</formula>
    </cfRule>
    <cfRule type="cellIs" dxfId="1893" priority="715" operator="equal">
      <formula>"F"</formula>
    </cfRule>
    <cfRule type="cellIs" dxfId="1892" priority="716" operator="equal">
      <formula>"F"</formula>
    </cfRule>
  </conditionalFormatting>
  <conditionalFormatting sqref="X235">
    <cfRule type="cellIs" dxfId="1891" priority="696" operator="equal">
      <formula>"U/P"</formula>
    </cfRule>
    <cfRule type="cellIs" dxfId="1890" priority="697" operator="equal">
      <formula>"F"</formula>
    </cfRule>
    <cfRule type="cellIs" dxfId="1889" priority="698" operator="equal">
      <formula>"F"</formula>
    </cfRule>
  </conditionalFormatting>
  <conditionalFormatting sqref="X244">
    <cfRule type="cellIs" dxfId="1888" priority="277" operator="equal">
      <formula>"U/P"</formula>
    </cfRule>
    <cfRule type="cellIs" dxfId="1887" priority="278" operator="equal">
      <formula>"F"</formula>
    </cfRule>
    <cfRule type="cellIs" dxfId="1886" priority="279" operator="equal">
      <formula>"F"</formula>
    </cfRule>
  </conditionalFormatting>
  <conditionalFormatting sqref="X252">
    <cfRule type="cellIs" dxfId="1885" priority="148" operator="equal">
      <formula>"U/P"</formula>
    </cfRule>
    <cfRule type="cellIs" dxfId="1884" priority="149" operator="equal">
      <formula>"F"</formula>
    </cfRule>
    <cfRule type="cellIs" dxfId="1883" priority="150" operator="equal">
      <formula>"F"</formula>
    </cfRule>
  </conditionalFormatting>
  <conditionalFormatting sqref="X260">
    <cfRule type="cellIs" dxfId="1882" priority="283" operator="equal">
      <formula>"U/P"</formula>
    </cfRule>
    <cfRule type="cellIs" dxfId="1881" priority="284" operator="equal">
      <formula>"F"</formula>
    </cfRule>
    <cfRule type="cellIs" dxfId="1880" priority="285" operator="equal">
      <formula>"F"</formula>
    </cfRule>
  </conditionalFormatting>
  <conditionalFormatting sqref="X268">
    <cfRule type="cellIs" dxfId="1879" priority="654" operator="equal">
      <formula>"U/P"</formula>
    </cfRule>
    <cfRule type="cellIs" dxfId="1878" priority="655" operator="equal">
      <formula>"F"</formula>
    </cfRule>
    <cfRule type="cellIs" dxfId="1877" priority="656" operator="equal">
      <formula>"F"</formula>
    </cfRule>
  </conditionalFormatting>
  <conditionalFormatting sqref="X276">
    <cfRule type="cellIs" dxfId="1876" priority="367" operator="equal">
      <formula>"U/P"</formula>
    </cfRule>
    <cfRule type="cellIs" dxfId="1875" priority="368" operator="equal">
      <formula>"F"</formula>
    </cfRule>
    <cfRule type="cellIs" dxfId="1874" priority="369" operator="equal">
      <formula>"F"</formula>
    </cfRule>
  </conditionalFormatting>
  <conditionalFormatting sqref="X284">
    <cfRule type="cellIs" dxfId="1873" priority="325" operator="equal">
      <formula>"U/P"</formula>
    </cfRule>
    <cfRule type="cellIs" dxfId="1872" priority="326" operator="equal">
      <formula>"F"</formula>
    </cfRule>
    <cfRule type="cellIs" dxfId="1871" priority="327" operator="equal">
      <formula>"F"</formula>
    </cfRule>
  </conditionalFormatting>
  <conditionalFormatting sqref="X292">
    <cfRule type="cellIs" dxfId="1870" priority="397" operator="equal">
      <formula>"U/P"</formula>
    </cfRule>
    <cfRule type="cellIs" dxfId="1869" priority="398" operator="equal">
      <formula>"F"</formula>
    </cfRule>
    <cfRule type="cellIs" dxfId="1868" priority="399" operator="equal">
      <formula>"F"</formula>
    </cfRule>
  </conditionalFormatting>
  <conditionalFormatting sqref="X300">
    <cfRule type="cellIs" dxfId="1867" priority="253" operator="equal">
      <formula>"U/P"</formula>
    </cfRule>
    <cfRule type="cellIs" dxfId="1866" priority="254" operator="equal">
      <formula>"F"</formula>
    </cfRule>
    <cfRule type="cellIs" dxfId="1865" priority="255" operator="equal">
      <formula>"F"</formula>
    </cfRule>
  </conditionalFormatting>
  <conditionalFormatting sqref="X315">
    <cfRule type="cellIs" dxfId="1864" priority="585" operator="equal">
      <formula>"U/P"</formula>
    </cfRule>
    <cfRule type="cellIs" dxfId="1863" priority="586" operator="equal">
      <formula>"F"</formula>
    </cfRule>
    <cfRule type="cellIs" dxfId="1862" priority="587" operator="equal">
      <formula>"F"</formula>
    </cfRule>
  </conditionalFormatting>
  <conditionalFormatting sqref="Z20">
    <cfRule type="cellIs" dxfId="1861" priority="1419" operator="equal">
      <formula>"U/P"</formula>
    </cfRule>
    <cfRule type="cellIs" dxfId="1860" priority="1420" operator="equal">
      <formula>"F"</formula>
    </cfRule>
    <cfRule type="cellIs" dxfId="1859" priority="1421" operator="equal">
      <formula>"F"</formula>
    </cfRule>
  </conditionalFormatting>
  <conditionalFormatting sqref="Z27">
    <cfRule type="cellIs" dxfId="1858" priority="1377" operator="equal">
      <formula>"U/P"</formula>
    </cfRule>
    <cfRule type="cellIs" dxfId="1857" priority="1378" operator="equal">
      <formula>"F"</formula>
    </cfRule>
    <cfRule type="cellIs" dxfId="1856" priority="1379" operator="equal">
      <formula>"F"</formula>
    </cfRule>
  </conditionalFormatting>
  <conditionalFormatting sqref="Z34">
    <cfRule type="cellIs" dxfId="1855" priority="1338" operator="equal">
      <formula>"U/P"</formula>
    </cfRule>
    <cfRule type="cellIs" dxfId="1854" priority="1339" operator="equal">
      <formula>"F"</formula>
    </cfRule>
    <cfRule type="cellIs" dxfId="1853" priority="1340" operator="equal">
      <formula>"F"</formula>
    </cfRule>
  </conditionalFormatting>
  <conditionalFormatting sqref="Z41">
    <cfRule type="cellIs" dxfId="1852" priority="1296" operator="equal">
      <formula>"U/P"</formula>
    </cfRule>
    <cfRule type="cellIs" dxfId="1851" priority="1297" operator="equal">
      <formula>"F"</formula>
    </cfRule>
    <cfRule type="cellIs" dxfId="1850" priority="1298" operator="equal">
      <formula>"F"</formula>
    </cfRule>
  </conditionalFormatting>
  <conditionalFormatting sqref="Z48">
    <cfRule type="cellIs" dxfId="1849" priority="1254" operator="equal">
      <formula>"U/P"</formula>
    </cfRule>
    <cfRule type="cellIs" dxfId="1848" priority="1255" operator="equal">
      <formula>"F"</formula>
    </cfRule>
    <cfRule type="cellIs" dxfId="1847" priority="1256" operator="equal">
      <formula>"F"</formula>
    </cfRule>
  </conditionalFormatting>
  <conditionalFormatting sqref="Z57">
    <cfRule type="cellIs" dxfId="1846" priority="1212" operator="equal">
      <formula>"U/P"</formula>
    </cfRule>
    <cfRule type="cellIs" dxfId="1845" priority="1213" operator="equal">
      <formula>"F"</formula>
    </cfRule>
    <cfRule type="cellIs" dxfId="1844" priority="1214" operator="equal">
      <formula>"F"</formula>
    </cfRule>
  </conditionalFormatting>
  <conditionalFormatting sqref="Z65">
    <cfRule type="cellIs" dxfId="1843" priority="1170" operator="equal">
      <formula>"U/P"</formula>
    </cfRule>
    <cfRule type="cellIs" dxfId="1842" priority="1171" operator="equal">
      <formula>"F"</formula>
    </cfRule>
    <cfRule type="cellIs" dxfId="1841" priority="1172" operator="equal">
      <formula>"F"</formula>
    </cfRule>
  </conditionalFormatting>
  <conditionalFormatting sqref="Z73">
    <cfRule type="cellIs" dxfId="1840" priority="1128" operator="equal">
      <formula>"U/P"</formula>
    </cfRule>
    <cfRule type="cellIs" dxfId="1839" priority="1129" operator="equal">
      <formula>"F"</formula>
    </cfRule>
    <cfRule type="cellIs" dxfId="1838" priority="1130" operator="equal">
      <formula>"F"</formula>
    </cfRule>
  </conditionalFormatting>
  <conditionalFormatting sqref="Z82">
    <cfRule type="cellIs" dxfId="1837" priority="1092" operator="equal">
      <formula>"U/P"</formula>
    </cfRule>
    <cfRule type="cellIs" dxfId="1836" priority="1093" operator="equal">
      <formula>"F"</formula>
    </cfRule>
    <cfRule type="cellIs" dxfId="1835" priority="1094" operator="equal">
      <formula>"F"</formula>
    </cfRule>
  </conditionalFormatting>
  <conditionalFormatting sqref="Z90">
    <cfRule type="cellIs" dxfId="1834" priority="1053" operator="equal">
      <formula>"U/P"</formula>
    </cfRule>
    <cfRule type="cellIs" dxfId="1833" priority="1054" operator="equal">
      <formula>"F"</formula>
    </cfRule>
    <cfRule type="cellIs" dxfId="1832" priority="1055" operator="equal">
      <formula>"F"</formula>
    </cfRule>
  </conditionalFormatting>
  <conditionalFormatting sqref="Z99">
    <cfRule type="cellIs" dxfId="1831" priority="307" operator="equal">
      <formula>"U/P"</formula>
    </cfRule>
    <cfRule type="cellIs" dxfId="1830" priority="308" operator="equal">
      <formula>"F"</formula>
    </cfRule>
    <cfRule type="cellIs" dxfId="1829" priority="309" operator="equal">
      <formula>"F"</formula>
    </cfRule>
  </conditionalFormatting>
  <conditionalFormatting sqref="Z110">
    <cfRule type="cellIs" dxfId="1828" priority="462" operator="equal">
      <formula>0</formula>
    </cfRule>
  </conditionalFormatting>
  <conditionalFormatting sqref="Z115">
    <cfRule type="cellIs" dxfId="1827" priority="942" operator="equal">
      <formula>"U/P"</formula>
    </cfRule>
    <cfRule type="cellIs" dxfId="1826" priority="943" operator="equal">
      <formula>"F"</formula>
    </cfRule>
    <cfRule type="cellIs" dxfId="1825" priority="944" operator="equal">
      <formula>"F"</formula>
    </cfRule>
  </conditionalFormatting>
  <conditionalFormatting sqref="Z123">
    <cfRule type="cellIs" dxfId="1824" priority="915" operator="equal">
      <formula>"U/P"</formula>
    </cfRule>
    <cfRule type="cellIs" dxfId="1823" priority="916" operator="equal">
      <formula>"F"</formula>
    </cfRule>
    <cfRule type="cellIs" dxfId="1822" priority="917" operator="equal">
      <formula>"F"</formula>
    </cfRule>
  </conditionalFormatting>
  <conditionalFormatting sqref="Z132">
    <cfRule type="cellIs" dxfId="1821" priority="729" operator="equal">
      <formula>"U/P"</formula>
    </cfRule>
    <cfRule type="cellIs" dxfId="1820" priority="730" operator="equal">
      <formula>"F"</formula>
    </cfRule>
    <cfRule type="cellIs" dxfId="1819" priority="731" operator="equal">
      <formula>"F"</formula>
    </cfRule>
  </conditionalFormatting>
  <conditionalFormatting sqref="Z141">
    <cfRule type="cellIs" dxfId="1818" priority="115" operator="equal">
      <formula>"U/P"</formula>
    </cfRule>
    <cfRule type="cellIs" dxfId="1817" priority="116" operator="equal">
      <formula>"F"</formula>
    </cfRule>
    <cfRule type="cellIs" dxfId="1816" priority="117" operator="equal">
      <formula>"F"</formula>
    </cfRule>
  </conditionalFormatting>
  <conditionalFormatting sqref="Z150">
    <cfRule type="cellIs" dxfId="1815" priority="735" operator="equal">
      <formula>"U/P"</formula>
    </cfRule>
    <cfRule type="cellIs" dxfId="1814" priority="736" operator="equal">
      <formula>"F"</formula>
    </cfRule>
    <cfRule type="cellIs" dxfId="1813" priority="737" operator="equal">
      <formula>"F"</formula>
    </cfRule>
  </conditionalFormatting>
  <conditionalFormatting sqref="Z159">
    <cfRule type="cellIs" dxfId="1812" priority="819" operator="equal">
      <formula>"U/P"</formula>
    </cfRule>
    <cfRule type="cellIs" dxfId="1811" priority="820" operator="equal">
      <formula>"F"</formula>
    </cfRule>
    <cfRule type="cellIs" dxfId="1810" priority="821" operator="equal">
      <formula>"F"</formula>
    </cfRule>
  </conditionalFormatting>
  <conditionalFormatting sqref="Z168">
    <cfRule type="cellIs" dxfId="1809" priority="795" operator="equal">
      <formula>"U/P"</formula>
    </cfRule>
    <cfRule type="cellIs" dxfId="1808" priority="796" operator="equal">
      <formula>"F"</formula>
    </cfRule>
    <cfRule type="cellIs" dxfId="1807" priority="797" operator="equal">
      <formula>"F"</formula>
    </cfRule>
  </conditionalFormatting>
  <conditionalFormatting sqref="Z176">
    <cfRule type="cellIs" dxfId="1806" priority="448" operator="equal">
      <formula>"U/P"</formula>
    </cfRule>
    <cfRule type="cellIs" dxfId="1805" priority="449" operator="equal">
      <formula>"F"</formula>
    </cfRule>
    <cfRule type="cellIs" dxfId="1804" priority="450" operator="equal">
      <formula>"F"</formula>
    </cfRule>
  </conditionalFormatting>
  <conditionalFormatting sqref="Z185">
    <cfRule type="cellIs" dxfId="1803" priority="199" operator="equal">
      <formula>"U/P"</formula>
    </cfRule>
    <cfRule type="cellIs" dxfId="1802" priority="200" operator="equal">
      <formula>"F"</formula>
    </cfRule>
    <cfRule type="cellIs" dxfId="1801" priority="201" operator="equal">
      <formula>"F"</formula>
    </cfRule>
  </conditionalFormatting>
  <conditionalFormatting sqref="Z202">
    <cfRule type="cellIs" dxfId="1800" priority="483" operator="equal">
      <formula>"U/P"</formula>
    </cfRule>
    <cfRule type="cellIs" dxfId="1799" priority="484" operator="equal">
      <formula>"F"</formula>
    </cfRule>
    <cfRule type="cellIs" dxfId="1798" priority="485" operator="equal">
      <formula>"F"</formula>
    </cfRule>
  </conditionalFormatting>
  <conditionalFormatting sqref="Z210">
    <cfRule type="cellIs" dxfId="1797" priority="498" operator="equal">
      <formula>"U/P"</formula>
    </cfRule>
    <cfRule type="cellIs" dxfId="1796" priority="499" operator="equal">
      <formula>"F"</formula>
    </cfRule>
    <cfRule type="cellIs" dxfId="1795" priority="500" operator="equal">
      <formula>"F"</formula>
    </cfRule>
  </conditionalFormatting>
  <conditionalFormatting sqref="Z226">
    <cfRule type="cellIs" dxfId="1794" priority="334" operator="equal">
      <formula>"U/P"</formula>
    </cfRule>
    <cfRule type="cellIs" dxfId="1793" priority="335" operator="equal">
      <formula>"F"</formula>
    </cfRule>
    <cfRule type="cellIs" dxfId="1792" priority="336" operator="equal">
      <formula>"F"</formula>
    </cfRule>
  </conditionalFormatting>
  <conditionalFormatting sqref="Z235">
    <cfRule type="cellIs" dxfId="1791" priority="693" operator="equal">
      <formula>"U/P"</formula>
    </cfRule>
    <cfRule type="cellIs" dxfId="1790" priority="694" operator="equal">
      <formula>"F"</formula>
    </cfRule>
    <cfRule type="cellIs" dxfId="1789" priority="695" operator="equal">
      <formula>"F"</formula>
    </cfRule>
  </conditionalFormatting>
  <conditionalFormatting sqref="Z244">
    <cfRule type="cellIs" dxfId="1788" priority="340" operator="equal">
      <formula>"U/P"</formula>
    </cfRule>
    <cfRule type="cellIs" dxfId="1787" priority="341" operator="equal">
      <formula>"F"</formula>
    </cfRule>
    <cfRule type="cellIs" dxfId="1786" priority="342" operator="equal">
      <formula>"F"</formula>
    </cfRule>
  </conditionalFormatting>
  <conditionalFormatting sqref="Z252">
    <cfRule type="cellIs" dxfId="1785" priority="232" operator="equal">
      <formula>"U/P"</formula>
    </cfRule>
    <cfRule type="cellIs" dxfId="1784" priority="233" operator="equal">
      <formula>"F"</formula>
    </cfRule>
    <cfRule type="cellIs" dxfId="1783" priority="234" operator="equal">
      <formula>"F"</formula>
    </cfRule>
  </conditionalFormatting>
  <conditionalFormatting sqref="Z260">
    <cfRule type="cellIs" dxfId="1782" priority="295" operator="equal">
      <formula>"U/P"</formula>
    </cfRule>
    <cfRule type="cellIs" dxfId="1781" priority="296" operator="equal">
      <formula>"F"</formula>
    </cfRule>
    <cfRule type="cellIs" dxfId="1780" priority="297" operator="equal">
      <formula>"F"</formula>
    </cfRule>
  </conditionalFormatting>
  <conditionalFormatting sqref="Z268">
    <cfRule type="cellIs" dxfId="1779" priority="121" operator="equal">
      <formula>"U/P"</formula>
    </cfRule>
    <cfRule type="cellIs" dxfId="1778" priority="122" operator="equal">
      <formula>"F"</formula>
    </cfRule>
    <cfRule type="cellIs" dxfId="1777" priority="123" operator="equal">
      <formula>"F"</formula>
    </cfRule>
  </conditionalFormatting>
  <conditionalFormatting sqref="Z276">
    <cfRule type="cellIs" dxfId="1776" priority="645" operator="equal">
      <formula>"U/P"</formula>
    </cfRule>
    <cfRule type="cellIs" dxfId="1775" priority="646" operator="equal">
      <formula>"F"</formula>
    </cfRule>
    <cfRule type="cellIs" dxfId="1774" priority="647" operator="equal">
      <formula>"F"</formula>
    </cfRule>
  </conditionalFormatting>
  <conditionalFormatting sqref="Z284">
    <cfRule type="cellIs" dxfId="1773" priority="205" operator="equal">
      <formula>"U/P"</formula>
    </cfRule>
    <cfRule type="cellIs" dxfId="1772" priority="206" operator="equal">
      <formula>"F"</formula>
    </cfRule>
    <cfRule type="cellIs" dxfId="1771" priority="207" operator="equal">
      <formula>"F"</formula>
    </cfRule>
  </conditionalFormatting>
  <conditionalFormatting sqref="Z292">
    <cfRule type="cellIs" dxfId="1770" priority="40" operator="equal">
      <formula>"U/P"</formula>
    </cfRule>
    <cfRule type="cellIs" dxfId="1769" priority="41" operator="equal">
      <formula>"F"</formula>
    </cfRule>
    <cfRule type="cellIs" dxfId="1768" priority="42" operator="equal">
      <formula>"F"</formula>
    </cfRule>
  </conditionalFormatting>
  <conditionalFormatting sqref="Z300">
    <cfRule type="cellIs" dxfId="1767" priority="504" operator="equal">
      <formula>"U/P"</formula>
    </cfRule>
    <cfRule type="cellIs" dxfId="1766" priority="505" operator="equal">
      <formula>"F"</formula>
    </cfRule>
    <cfRule type="cellIs" dxfId="1765" priority="506" operator="equal">
      <formula>"F"</formula>
    </cfRule>
  </conditionalFormatting>
  <conditionalFormatting sqref="Z315">
    <cfRule type="cellIs" dxfId="1764" priority="582" operator="equal">
      <formula>"U/P"</formula>
    </cfRule>
    <cfRule type="cellIs" dxfId="1763" priority="583" operator="equal">
      <formula>"F"</formula>
    </cfRule>
    <cfRule type="cellIs" dxfId="1762" priority="584" operator="equal">
      <formula>"F"</formula>
    </cfRule>
  </conditionalFormatting>
  <conditionalFormatting sqref="AB20">
    <cfRule type="cellIs" dxfId="1761" priority="1416" operator="equal">
      <formula>"U/P"</formula>
    </cfRule>
    <cfRule type="cellIs" dxfId="1760" priority="1417" operator="equal">
      <formula>"F"</formula>
    </cfRule>
    <cfRule type="cellIs" dxfId="1759" priority="1418" operator="equal">
      <formula>"F"</formula>
    </cfRule>
  </conditionalFormatting>
  <conditionalFormatting sqref="AB27">
    <cfRule type="cellIs" dxfId="1758" priority="1374" operator="equal">
      <formula>"U/P"</formula>
    </cfRule>
    <cfRule type="cellIs" dxfId="1757" priority="1375" operator="equal">
      <formula>"F"</formula>
    </cfRule>
    <cfRule type="cellIs" dxfId="1756" priority="1376" operator="equal">
      <formula>"F"</formula>
    </cfRule>
  </conditionalFormatting>
  <conditionalFormatting sqref="AB34">
    <cfRule type="cellIs" dxfId="1755" priority="1335" operator="equal">
      <formula>"U/P"</formula>
    </cfRule>
    <cfRule type="cellIs" dxfId="1754" priority="1336" operator="equal">
      <formula>"F"</formula>
    </cfRule>
    <cfRule type="cellIs" dxfId="1753" priority="1337" operator="equal">
      <formula>"F"</formula>
    </cfRule>
  </conditionalFormatting>
  <conditionalFormatting sqref="AB41">
    <cfRule type="cellIs" dxfId="1752" priority="1293" operator="equal">
      <formula>"U/P"</formula>
    </cfRule>
    <cfRule type="cellIs" dxfId="1751" priority="1294" operator="equal">
      <formula>"F"</formula>
    </cfRule>
    <cfRule type="cellIs" dxfId="1750" priority="1295" operator="equal">
      <formula>"F"</formula>
    </cfRule>
  </conditionalFormatting>
  <conditionalFormatting sqref="AB48">
    <cfRule type="cellIs" dxfId="1749" priority="1251" operator="equal">
      <formula>"U/P"</formula>
    </cfRule>
    <cfRule type="cellIs" dxfId="1748" priority="1252" operator="equal">
      <formula>"F"</formula>
    </cfRule>
    <cfRule type="cellIs" dxfId="1747" priority="1253" operator="equal">
      <formula>"F"</formula>
    </cfRule>
  </conditionalFormatting>
  <conditionalFormatting sqref="AB57">
    <cfRule type="cellIs" dxfId="1746" priority="1209" operator="equal">
      <formula>"U/P"</formula>
    </cfRule>
    <cfRule type="cellIs" dxfId="1745" priority="1210" operator="equal">
      <formula>"F"</formula>
    </cfRule>
    <cfRule type="cellIs" dxfId="1744" priority="1211" operator="equal">
      <formula>"F"</formula>
    </cfRule>
  </conditionalFormatting>
  <conditionalFormatting sqref="AB65">
    <cfRule type="cellIs" dxfId="1743" priority="1167" operator="equal">
      <formula>"U/P"</formula>
    </cfRule>
    <cfRule type="cellIs" dxfId="1742" priority="1168" operator="equal">
      <formula>"F"</formula>
    </cfRule>
    <cfRule type="cellIs" dxfId="1741" priority="1169" operator="equal">
      <formula>"F"</formula>
    </cfRule>
  </conditionalFormatting>
  <conditionalFormatting sqref="AB73">
    <cfRule type="cellIs" dxfId="1740" priority="1125" operator="equal">
      <formula>"U/P"</formula>
    </cfRule>
    <cfRule type="cellIs" dxfId="1739" priority="1126" operator="equal">
      <formula>"F"</formula>
    </cfRule>
    <cfRule type="cellIs" dxfId="1738" priority="1127" operator="equal">
      <formula>"F"</formula>
    </cfRule>
  </conditionalFormatting>
  <conditionalFormatting sqref="AB82">
    <cfRule type="cellIs" dxfId="1737" priority="1089" operator="equal">
      <formula>"U/P"</formula>
    </cfRule>
    <cfRule type="cellIs" dxfId="1736" priority="1090" operator="equal">
      <formula>"F"</formula>
    </cfRule>
    <cfRule type="cellIs" dxfId="1735" priority="1091" operator="equal">
      <formula>"F"</formula>
    </cfRule>
  </conditionalFormatting>
  <conditionalFormatting sqref="AB90">
    <cfRule type="cellIs" dxfId="1734" priority="1050" operator="equal">
      <formula>"U/P"</formula>
    </cfRule>
    <cfRule type="cellIs" dxfId="1733" priority="1051" operator="equal">
      <formula>"F"</formula>
    </cfRule>
    <cfRule type="cellIs" dxfId="1732" priority="1052" operator="equal">
      <formula>"F"</formula>
    </cfRule>
  </conditionalFormatting>
  <conditionalFormatting sqref="AB99">
    <cfRule type="cellIs" dxfId="1731" priority="1014" operator="equal">
      <formula>"U/P"</formula>
    </cfRule>
    <cfRule type="cellIs" dxfId="1730" priority="1015" operator="equal">
      <formula>"F"</formula>
    </cfRule>
    <cfRule type="cellIs" dxfId="1729" priority="1016" operator="equal">
      <formula>"F"</formula>
    </cfRule>
  </conditionalFormatting>
  <conditionalFormatting sqref="AB115">
    <cfRule type="cellIs" dxfId="1728" priority="939" operator="equal">
      <formula>"U/P"</formula>
    </cfRule>
    <cfRule type="cellIs" dxfId="1727" priority="940" operator="equal">
      <formula>"F"</formula>
    </cfRule>
    <cfRule type="cellIs" dxfId="1726" priority="941" operator="equal">
      <formula>"F"</formula>
    </cfRule>
  </conditionalFormatting>
  <conditionalFormatting sqref="AB123">
    <cfRule type="cellIs" dxfId="1725" priority="912" operator="equal">
      <formula>"U/P"</formula>
    </cfRule>
    <cfRule type="cellIs" dxfId="1724" priority="913" operator="equal">
      <formula>"F"</formula>
    </cfRule>
    <cfRule type="cellIs" dxfId="1723" priority="914" operator="equal">
      <formula>"F"</formula>
    </cfRule>
  </conditionalFormatting>
  <conditionalFormatting sqref="AB132">
    <cfRule type="cellIs" dxfId="1722" priority="1489" operator="equal">
      <formula>"U/P"</formula>
    </cfRule>
    <cfRule type="cellIs" dxfId="1721" priority="1490" operator="equal">
      <formula>"F"</formula>
    </cfRule>
    <cfRule type="cellIs" dxfId="1720" priority="1491" operator="equal">
      <formula>"F"</formula>
    </cfRule>
  </conditionalFormatting>
  <conditionalFormatting sqref="AB141">
    <cfRule type="cellIs" dxfId="1719" priority="25" operator="equal">
      <formula>"U/P"</formula>
    </cfRule>
    <cfRule type="cellIs" dxfId="1718" priority="26" operator="equal">
      <formula>"F"</formula>
    </cfRule>
    <cfRule type="cellIs" dxfId="1717" priority="27" operator="equal">
      <formula>"F"</formula>
    </cfRule>
  </conditionalFormatting>
  <conditionalFormatting sqref="AB150">
    <cfRule type="cellIs" dxfId="1716" priority="732" operator="equal">
      <formula>"U/P"</formula>
    </cfRule>
    <cfRule type="cellIs" dxfId="1715" priority="733" operator="equal">
      <formula>"F"</formula>
    </cfRule>
    <cfRule type="cellIs" dxfId="1714" priority="734" operator="equal">
      <formula>"F"</formula>
    </cfRule>
  </conditionalFormatting>
  <conditionalFormatting sqref="AB159">
    <cfRule type="cellIs" dxfId="1713" priority="816" operator="equal">
      <formula>"U/P"</formula>
    </cfRule>
    <cfRule type="cellIs" dxfId="1712" priority="817" operator="equal">
      <formula>"F"</formula>
    </cfRule>
    <cfRule type="cellIs" dxfId="1711" priority="818" operator="equal">
      <formula>"F"</formula>
    </cfRule>
  </conditionalFormatting>
  <conditionalFormatting sqref="AB168">
    <cfRule type="cellIs" dxfId="1710" priority="792" operator="equal">
      <formula>"U/P"</formula>
    </cfRule>
    <cfRule type="cellIs" dxfId="1709" priority="793" operator="equal">
      <formula>"F"</formula>
    </cfRule>
    <cfRule type="cellIs" dxfId="1708" priority="794" operator="equal">
      <formula>"F"</formula>
    </cfRule>
  </conditionalFormatting>
  <conditionalFormatting sqref="AB176">
    <cfRule type="cellIs" dxfId="1707" priority="762" operator="equal">
      <formula>"U/P"</formula>
    </cfRule>
    <cfRule type="cellIs" dxfId="1706" priority="763" operator="equal">
      <formula>"F"</formula>
    </cfRule>
    <cfRule type="cellIs" dxfId="1705" priority="764" operator="equal">
      <formula>"F"</formula>
    </cfRule>
  </conditionalFormatting>
  <conditionalFormatting sqref="AB185">
    <cfRule type="cellIs" dxfId="1704" priority="531" operator="equal">
      <formula>"U/P"</formula>
    </cfRule>
    <cfRule type="cellIs" dxfId="1703" priority="532" operator="equal">
      <formula>"F"</formula>
    </cfRule>
    <cfRule type="cellIs" dxfId="1702" priority="533" operator="equal">
      <formula>"F"</formula>
    </cfRule>
  </conditionalFormatting>
  <conditionalFormatting sqref="AB202">
    <cfRule type="cellIs" dxfId="1701" priority="1460" operator="equal">
      <formula>"U/P"</formula>
    </cfRule>
    <cfRule type="cellIs" dxfId="1700" priority="1461" operator="equal">
      <formula>"F"</formula>
    </cfRule>
    <cfRule type="cellIs" dxfId="1699" priority="1462" operator="equal">
      <formula>"F"</formula>
    </cfRule>
  </conditionalFormatting>
  <conditionalFormatting sqref="AB210">
    <cfRule type="cellIs" dxfId="1698" priority="262" operator="equal">
      <formula>"U/P"</formula>
    </cfRule>
    <cfRule type="cellIs" dxfId="1697" priority="263" operator="equal">
      <formula>"F"</formula>
    </cfRule>
    <cfRule type="cellIs" dxfId="1696" priority="264" operator="equal">
      <formula>"F"</formula>
    </cfRule>
  </conditionalFormatting>
  <conditionalFormatting sqref="AB226">
    <cfRule type="cellIs" dxfId="1695" priority="265" operator="equal">
      <formula>"U/P"</formula>
    </cfRule>
    <cfRule type="cellIs" dxfId="1694" priority="266" operator="equal">
      <formula>"F"</formula>
    </cfRule>
    <cfRule type="cellIs" dxfId="1693" priority="267" operator="equal">
      <formula>"F"</formula>
    </cfRule>
  </conditionalFormatting>
  <conditionalFormatting sqref="AB235">
    <cfRule type="cellIs" dxfId="1692" priority="690" operator="equal">
      <formula>"U/P"</formula>
    </cfRule>
    <cfRule type="cellIs" dxfId="1691" priority="691" operator="equal">
      <formula>"F"</formula>
    </cfRule>
    <cfRule type="cellIs" dxfId="1690" priority="692" operator="equal">
      <formula>"F"</formula>
    </cfRule>
  </conditionalFormatting>
  <conditionalFormatting sqref="AB244">
    <cfRule type="cellIs" dxfId="1689" priority="37" operator="equal">
      <formula>"U/P"</formula>
    </cfRule>
    <cfRule type="cellIs" dxfId="1688" priority="38" operator="equal">
      <formula>"F"</formula>
    </cfRule>
    <cfRule type="cellIs" dxfId="1687" priority="39" operator="equal">
      <formula>"F"</formula>
    </cfRule>
  </conditionalFormatting>
  <conditionalFormatting sqref="AB252">
    <cfRule type="cellIs" dxfId="1686" priority="124" operator="equal">
      <formula>"U/P"</formula>
    </cfRule>
    <cfRule type="cellIs" dxfId="1685" priority="125" operator="equal">
      <formula>"F"</formula>
    </cfRule>
    <cfRule type="cellIs" dxfId="1684" priority="126" operator="equal">
      <formula>"F"</formula>
    </cfRule>
  </conditionalFormatting>
  <conditionalFormatting sqref="AB260">
    <cfRule type="cellIs" dxfId="1683" priority="328" operator="equal">
      <formula>"U/P"</formula>
    </cfRule>
    <cfRule type="cellIs" dxfId="1682" priority="329" operator="equal">
      <formula>"F"</formula>
    </cfRule>
    <cfRule type="cellIs" dxfId="1681" priority="330" operator="equal">
      <formula>"F"</formula>
    </cfRule>
  </conditionalFormatting>
  <conditionalFormatting sqref="AB268">
    <cfRule type="cellIs" dxfId="1680" priority="19" operator="equal">
      <formula>"U/P"</formula>
    </cfRule>
    <cfRule type="cellIs" dxfId="1679" priority="20" operator="equal">
      <formula>"F"</formula>
    </cfRule>
    <cfRule type="cellIs" dxfId="1678" priority="21" operator="equal">
      <formula>"F"</formula>
    </cfRule>
  </conditionalFormatting>
  <conditionalFormatting sqref="AB276">
    <cfRule type="cellIs" dxfId="1677" priority="322" operator="equal">
      <formula>"U/P"</formula>
    </cfRule>
    <cfRule type="cellIs" dxfId="1676" priority="323" operator="equal">
      <formula>"F"</formula>
    </cfRule>
    <cfRule type="cellIs" dxfId="1675" priority="324" operator="equal">
      <formula>"F"</formula>
    </cfRule>
  </conditionalFormatting>
  <conditionalFormatting sqref="AB284">
    <cfRule type="cellIs" dxfId="1674" priority="636" operator="equal">
      <formula>"U/P"</formula>
    </cfRule>
    <cfRule type="cellIs" dxfId="1673" priority="637" operator="equal">
      <formula>"F"</formula>
    </cfRule>
    <cfRule type="cellIs" dxfId="1672" priority="638" operator="equal">
      <formula>"F"</formula>
    </cfRule>
  </conditionalFormatting>
  <conditionalFormatting sqref="AB292">
    <cfRule type="cellIs" dxfId="1671" priority="346" operator="equal">
      <formula>"U/P"</formula>
    </cfRule>
    <cfRule type="cellIs" dxfId="1670" priority="347" operator="equal">
      <formula>"F"</formula>
    </cfRule>
    <cfRule type="cellIs" dxfId="1669" priority="348" operator="equal">
      <formula>"F"</formula>
    </cfRule>
  </conditionalFormatting>
  <conditionalFormatting sqref="AB300">
    <cfRule type="cellIs" dxfId="1668" priority="633" operator="equal">
      <formula>"U/P"</formula>
    </cfRule>
    <cfRule type="cellIs" dxfId="1667" priority="634" operator="equal">
      <formula>"F"</formula>
    </cfRule>
    <cfRule type="cellIs" dxfId="1666" priority="635" operator="equal">
      <formula>"F"</formula>
    </cfRule>
  </conditionalFormatting>
  <conditionalFormatting sqref="AB315">
    <cfRule type="cellIs" dxfId="1665" priority="579" operator="equal">
      <formula>"U/P"</formula>
    </cfRule>
    <cfRule type="cellIs" dxfId="1664" priority="580" operator="equal">
      <formula>"F"</formula>
    </cfRule>
    <cfRule type="cellIs" dxfId="1663" priority="581" operator="equal">
      <formula>"F"</formula>
    </cfRule>
  </conditionalFormatting>
  <conditionalFormatting sqref="AD90">
    <cfRule type="cellIs" dxfId="1662" priority="1047" operator="equal">
      <formula>"U/P"</formula>
    </cfRule>
    <cfRule type="cellIs" dxfId="1661" priority="1048" operator="equal">
      <formula>"F"</formula>
    </cfRule>
    <cfRule type="cellIs" dxfId="1660" priority="1049" operator="equal">
      <formula>"F"</formula>
    </cfRule>
  </conditionalFormatting>
  <conditionalFormatting sqref="AD99">
    <cfRule type="cellIs" dxfId="1659" priority="1011" operator="equal">
      <formula>"U/P"</formula>
    </cfRule>
    <cfRule type="cellIs" dxfId="1658" priority="1012" operator="equal">
      <formula>"F"</formula>
    </cfRule>
    <cfRule type="cellIs" dxfId="1657" priority="1013" operator="equal">
      <formula>"F"</formula>
    </cfRule>
  </conditionalFormatting>
  <conditionalFormatting sqref="AD268">
    <cfRule type="cellIs" dxfId="1656" priority="112" operator="equal">
      <formula>"U/P"</formula>
    </cfRule>
    <cfRule type="cellIs" dxfId="1655" priority="113" operator="equal">
      <formula>"F"</formula>
    </cfRule>
    <cfRule type="cellIs" dxfId="1654" priority="114" operator="equal">
      <formula>"F"</formula>
    </cfRule>
  </conditionalFormatting>
  <conditionalFormatting sqref="AD300">
    <cfRule type="cellIs" dxfId="1653" priority="630" operator="equal">
      <formula>"U/P"</formula>
    </cfRule>
    <cfRule type="cellIs" dxfId="1652" priority="631" operator="equal">
      <formula>"F"</formula>
    </cfRule>
    <cfRule type="cellIs" dxfId="1651" priority="632" operator="equal">
      <formula>"F"</formula>
    </cfRule>
  </conditionalFormatting>
  <conditionalFormatting sqref="AF99">
    <cfRule type="cellIs" dxfId="1650" priority="1008" operator="equal">
      <formula>"U/P"</formula>
    </cfRule>
    <cfRule type="cellIs" dxfId="1649" priority="1009" operator="equal">
      <formula>"F"</formula>
    </cfRule>
    <cfRule type="cellIs" dxfId="1648" priority="1010" operator="equal">
      <formula>"F"</formula>
    </cfRule>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55"/>
    <col min="2" max="2" width="10" style="455" customWidth="1"/>
    <col min="3" max="3" width="6.6328125" style="455" customWidth="1"/>
    <col min="4" max="4" width="7.453125" style="455" customWidth="1"/>
    <col min="5" max="5" width="6.6328125" style="455" customWidth="1"/>
    <col min="6" max="6" width="7.36328125" style="455" customWidth="1"/>
    <col min="7" max="7" width="6.6328125" style="455" customWidth="1"/>
    <col min="8" max="8" width="7.6328125" style="455" customWidth="1"/>
    <col min="9" max="13" width="6.6328125" style="455" customWidth="1"/>
    <col min="14" max="14" width="7.81640625" style="455" bestFit="1" customWidth="1"/>
    <col min="15" max="17" width="6.6328125" style="455" customWidth="1"/>
    <col min="18" max="18" width="7.81640625" style="455" bestFit="1" customWidth="1"/>
    <col min="19" max="21" width="6.6328125" style="455" customWidth="1"/>
    <col min="22" max="22" width="7.36328125" style="455" bestFit="1" customWidth="1"/>
    <col min="23" max="23" width="6.6328125" style="455" customWidth="1"/>
    <col min="24" max="24" width="7.453125" style="455" customWidth="1"/>
    <col min="25" max="25" width="6.6328125" style="455" customWidth="1"/>
    <col min="26" max="26" width="7.453125" style="455" customWidth="1"/>
    <col min="27" max="28" width="6.6328125" style="455" customWidth="1"/>
    <col min="29" max="29" width="8.81640625" style="455"/>
    <col min="30" max="30" width="6.1796875" style="455" customWidth="1"/>
    <col min="31" max="31" width="5" style="455" customWidth="1"/>
    <col min="32" max="32" width="6.81640625" style="455" customWidth="1"/>
    <col min="33" max="33" width="6.54296875" style="455" customWidth="1"/>
    <col min="34" max="34" width="6.1796875" style="455" customWidth="1"/>
    <col min="35" max="35" width="6.81640625" style="455" customWidth="1"/>
    <col min="36" max="36" width="11.81640625" style="455" customWidth="1"/>
    <col min="37" max="37" width="6.54296875" style="455" customWidth="1"/>
    <col min="38" max="16384" width="8.81640625" style="455"/>
  </cols>
  <sheetData>
    <row r="1" spans="1:37" ht="36.75" customHeight="1" thickBot="1">
      <c r="A1" s="1629">
        <v>52</v>
      </c>
      <c r="B1" s="1630"/>
      <c r="C1" s="1630"/>
      <c r="D1" s="1630"/>
      <c r="E1" s="1630"/>
      <c r="F1" s="1630"/>
      <c r="G1" s="1630"/>
      <c r="H1" s="1630"/>
      <c r="I1" s="1630"/>
      <c r="J1" s="1630"/>
      <c r="K1" s="1630"/>
      <c r="L1" s="1630"/>
      <c r="M1" s="1630"/>
      <c r="N1" s="1630"/>
      <c r="O1" s="1630"/>
      <c r="P1" s="1630"/>
      <c r="Q1" s="1630"/>
      <c r="R1" s="1630"/>
      <c r="S1" s="1630"/>
      <c r="T1" s="1630"/>
      <c r="U1" s="1630"/>
      <c r="V1" s="1630"/>
      <c r="W1" s="1630"/>
      <c r="X1" s="1630"/>
      <c r="Y1" s="1630"/>
      <c r="Z1" s="1630"/>
      <c r="AA1" s="1630"/>
      <c r="AB1" s="1630"/>
      <c r="AC1" s="1630"/>
      <c r="AD1" s="1630"/>
      <c r="AE1" s="1631"/>
      <c r="AF1" s="453"/>
      <c r="AG1" s="453"/>
      <c r="AH1" s="453"/>
      <c r="AI1" s="453"/>
      <c r="AJ1" s="453"/>
      <c r="AK1" s="454"/>
    </row>
    <row r="2" spans="1:37">
      <c r="A2" s="1632">
        <f ca="1">NOW()-1</f>
        <v>45969.45282233796</v>
      </c>
      <c r="B2" s="1633"/>
      <c r="C2" s="1633"/>
      <c r="D2" s="1633"/>
      <c r="E2" s="1633"/>
      <c r="F2" s="1633"/>
      <c r="G2" s="1633"/>
      <c r="H2" s="1633"/>
      <c r="I2" s="1633"/>
      <c r="J2" s="1633"/>
      <c r="K2" s="1633"/>
      <c r="L2" s="1633"/>
      <c r="M2" s="1633"/>
      <c r="N2" s="1633"/>
      <c r="O2" s="1633"/>
      <c r="P2" s="1633"/>
      <c r="Q2" s="1633"/>
      <c r="R2" s="1633"/>
      <c r="S2" s="1633"/>
      <c r="T2" s="1633"/>
      <c r="U2" s="1633"/>
      <c r="V2" s="1633"/>
      <c r="W2" s="1633"/>
      <c r="X2" s="1633"/>
      <c r="Y2" s="1633"/>
      <c r="Z2" s="1633"/>
      <c r="AA2" s="1633"/>
      <c r="AB2" s="1633"/>
      <c r="AC2" s="1633"/>
      <c r="AD2" s="1633"/>
      <c r="AE2" s="456"/>
      <c r="AK2" s="457"/>
    </row>
    <row r="3" spans="1:37" ht="12.5" thickBot="1">
      <c r="A3" s="1634" t="s">
        <v>1163</v>
      </c>
      <c r="B3" s="1635"/>
      <c r="C3" s="1635"/>
      <c r="D3" s="1635"/>
      <c r="E3" s="1635"/>
      <c r="F3" s="1635"/>
      <c r="G3" s="1635"/>
      <c r="H3" s="1635"/>
      <c r="I3" s="1635"/>
      <c r="J3" s="1635"/>
      <c r="K3" s="1635"/>
      <c r="L3" s="1635"/>
      <c r="M3" s="1635"/>
      <c r="N3" s="1635"/>
      <c r="O3" s="1635"/>
      <c r="P3" s="1635"/>
      <c r="Q3" s="1635"/>
      <c r="R3" s="1635"/>
      <c r="S3" s="1635"/>
      <c r="T3" s="1635"/>
      <c r="U3" s="1635"/>
      <c r="V3" s="1635"/>
      <c r="W3" s="1635"/>
      <c r="X3" s="1635"/>
      <c r="Y3" s="1635"/>
      <c r="Z3" s="1635"/>
      <c r="AA3" s="1635"/>
      <c r="AB3" s="1635"/>
      <c r="AC3" s="1635"/>
      <c r="AD3" s="1635"/>
      <c r="AE3" s="1636"/>
      <c r="AK3" s="457"/>
    </row>
    <row r="4" spans="1:37">
      <c r="A4" s="1637" t="s">
        <v>1164</v>
      </c>
      <c r="B4" s="1638"/>
      <c r="C4" s="1638"/>
      <c r="D4" s="1638"/>
      <c r="E4" s="1638"/>
      <c r="F4" s="1638"/>
      <c r="G4" s="1638"/>
      <c r="H4" s="1638"/>
      <c r="I4" s="1638"/>
      <c r="J4" s="1638"/>
      <c r="K4" s="1638"/>
      <c r="L4" s="1638"/>
      <c r="M4" s="1638"/>
      <c r="N4" s="1638"/>
      <c r="O4" s="1638"/>
      <c r="P4" s="1639"/>
      <c r="Q4" s="458"/>
      <c r="R4" s="458"/>
      <c r="S4" s="1643"/>
      <c r="T4" s="1643"/>
      <c r="U4" s="1643"/>
      <c r="V4" s="459"/>
      <c r="W4" s="1644"/>
      <c r="X4" s="1644"/>
      <c r="Y4" s="1644"/>
      <c r="Z4" s="1644"/>
      <c r="AA4" s="459"/>
      <c r="AB4" s="459"/>
      <c r="AC4" s="460"/>
      <c r="AD4" s="460"/>
      <c r="AE4" s="461"/>
      <c r="AK4" s="457"/>
    </row>
    <row r="5" spans="1:37">
      <c r="A5" s="1640"/>
      <c r="B5" s="1641"/>
      <c r="C5" s="1641"/>
      <c r="D5" s="1641"/>
      <c r="E5" s="1641"/>
      <c r="F5" s="1641"/>
      <c r="G5" s="1641"/>
      <c r="H5" s="1641"/>
      <c r="I5" s="1641"/>
      <c r="J5" s="1641"/>
      <c r="K5" s="1641"/>
      <c r="L5" s="1641"/>
      <c r="M5" s="1641"/>
      <c r="N5" s="1641"/>
      <c r="O5" s="1641"/>
      <c r="P5" s="1642"/>
      <c r="Q5" s="458"/>
      <c r="R5" s="458"/>
      <c r="S5" s="1645" t="s">
        <v>1165</v>
      </c>
      <c r="T5" s="1645"/>
      <c r="U5" s="1645"/>
      <c r="V5" s="460"/>
      <c r="W5" s="1646" t="s">
        <v>1166</v>
      </c>
      <c r="X5" s="1646"/>
      <c r="Y5" s="1646"/>
      <c r="Z5" s="1646"/>
      <c r="AA5" s="460"/>
      <c r="AB5" s="460"/>
      <c r="AC5" s="460"/>
      <c r="AD5" s="460"/>
      <c r="AE5" s="461"/>
      <c r="AK5" s="457"/>
    </row>
    <row r="6" spans="1:37">
      <c r="A6" s="1647" t="s">
        <v>1012</v>
      </c>
      <c r="B6" s="1648"/>
      <c r="C6" s="1648" t="s">
        <v>27</v>
      </c>
      <c r="D6" s="1648"/>
      <c r="E6" s="1648"/>
      <c r="F6" s="1648" t="s">
        <v>1167</v>
      </c>
      <c r="G6" s="1648"/>
      <c r="H6" s="1627" t="s">
        <v>1168</v>
      </c>
      <c r="I6" s="1627"/>
      <c r="J6" s="1627"/>
      <c r="K6" s="1627" t="s">
        <v>1169</v>
      </c>
      <c r="L6" s="1627"/>
      <c r="M6" s="1627"/>
      <c r="N6" s="1627" t="s">
        <v>857</v>
      </c>
      <c r="O6" s="1627"/>
      <c r="P6" s="1628"/>
      <c r="Q6" s="458"/>
      <c r="R6" s="458"/>
      <c r="S6" s="458"/>
      <c r="T6" s="460"/>
      <c r="U6" s="460"/>
      <c r="V6" s="460"/>
      <c r="W6" s="460"/>
      <c r="X6" s="460"/>
      <c r="Y6" s="460"/>
      <c r="Z6" s="460"/>
      <c r="AA6" s="460"/>
      <c r="AB6" s="460"/>
      <c r="AC6" s="460"/>
      <c r="AD6" s="460" t="s">
        <v>64</v>
      </c>
      <c r="AE6" s="461"/>
      <c r="AK6" s="457"/>
    </row>
    <row r="7" spans="1:37">
      <c r="A7" s="1647"/>
      <c r="B7" s="1648"/>
      <c r="C7" s="1648"/>
      <c r="D7" s="1648"/>
      <c r="E7" s="1648"/>
      <c r="F7" s="1648"/>
      <c r="G7" s="1648"/>
      <c r="H7" s="1627"/>
      <c r="I7" s="1627"/>
      <c r="J7" s="1627"/>
      <c r="K7" s="1627"/>
      <c r="L7" s="1627"/>
      <c r="M7" s="1627"/>
      <c r="N7" s="1627"/>
      <c r="O7" s="1627"/>
      <c r="P7" s="1628"/>
      <c r="Q7" s="458"/>
      <c r="R7" s="458"/>
      <c r="S7" s="458"/>
      <c r="T7" s="460"/>
      <c r="U7" s="460"/>
      <c r="V7" s="460"/>
      <c r="W7" s="460"/>
      <c r="X7" s="460"/>
      <c r="Y7" s="460"/>
      <c r="Z7" s="460"/>
      <c r="AA7" s="441"/>
      <c r="AB7" s="441"/>
      <c r="AC7" s="441"/>
      <c r="AD7" s="441"/>
      <c r="AE7" s="461"/>
      <c r="AK7" s="457"/>
    </row>
    <row r="8" spans="1:37" ht="20" customHeight="1">
      <c r="A8" s="1647">
        <v>1</v>
      </c>
      <c r="B8" s="1648"/>
      <c r="C8" s="1641" t="s">
        <v>1170</v>
      </c>
      <c r="D8" s="1641"/>
      <c r="E8" s="1641"/>
      <c r="F8" s="1627" t="s">
        <v>1065</v>
      </c>
      <c r="G8" s="1627"/>
      <c r="H8" s="1649">
        <v>187.17500000000001</v>
      </c>
      <c r="I8" s="1649"/>
      <c r="J8" s="1649"/>
      <c r="K8" s="1649">
        <v>187.17500000000001</v>
      </c>
      <c r="L8" s="1649"/>
      <c r="M8" s="1649"/>
      <c r="N8" s="1627">
        <f>H8-K8</f>
        <v>0</v>
      </c>
      <c r="O8" s="1627"/>
      <c r="P8" s="1628"/>
      <c r="Q8" s="458" t="s">
        <v>1420</v>
      </c>
      <c r="R8" s="458"/>
      <c r="S8" s="458"/>
      <c r="T8" s="460"/>
      <c r="U8" s="460"/>
      <c r="V8" s="460"/>
      <c r="W8" s="460"/>
      <c r="X8" s="460"/>
      <c r="Y8" s="460"/>
      <c r="Z8" s="460"/>
      <c r="AA8" s="441"/>
      <c r="AB8" s="441"/>
      <c r="AC8" s="441"/>
      <c r="AD8" s="441"/>
      <c r="AE8" s="461"/>
      <c r="AK8" s="457"/>
    </row>
    <row r="9" spans="1:37" ht="30.65" customHeight="1">
      <c r="A9" s="1647">
        <f>A8+1</f>
        <v>2</v>
      </c>
      <c r="B9" s="1648"/>
      <c r="C9" s="1641" t="s">
        <v>1171</v>
      </c>
      <c r="D9" s="1641"/>
      <c r="E9" s="1641"/>
      <c r="F9" s="1627" t="s">
        <v>1065</v>
      </c>
      <c r="G9" s="1627"/>
      <c r="H9" s="1649">
        <v>187.17500000000001</v>
      </c>
      <c r="I9" s="1649"/>
      <c r="J9" s="1649"/>
      <c r="K9" s="1650">
        <v>169.16800000000001</v>
      </c>
      <c r="L9" s="1651"/>
      <c r="M9" s="1652"/>
      <c r="N9" s="1627">
        <f>H9-K9</f>
        <v>18.007000000000005</v>
      </c>
      <c r="O9" s="1627"/>
      <c r="P9" s="1628"/>
      <c r="Q9" s="458" t="s">
        <v>1419</v>
      </c>
      <c r="R9" s="458"/>
      <c r="S9" s="458"/>
      <c r="T9" s="460"/>
      <c r="U9" s="460"/>
      <c r="V9" s="460"/>
      <c r="W9" s="460"/>
      <c r="X9" s="460"/>
      <c r="Y9" s="460"/>
      <c r="Z9" s="460"/>
      <c r="AA9" s="441"/>
      <c r="AB9" s="441"/>
      <c r="AC9" s="441"/>
      <c r="AD9" s="441"/>
      <c r="AE9" s="461"/>
      <c r="AK9" s="457"/>
    </row>
    <row r="10" spans="1:37" ht="33" customHeight="1">
      <c r="A10" s="1647">
        <f t="shared" ref="A10:A16" si="0">A9+1</f>
        <v>3</v>
      </c>
      <c r="B10" s="1648"/>
      <c r="C10" s="1641" t="s">
        <v>1172</v>
      </c>
      <c r="D10" s="1641"/>
      <c r="E10" s="1641"/>
      <c r="F10" s="1653" t="s">
        <v>1173</v>
      </c>
      <c r="G10" s="1654"/>
      <c r="H10" s="1650">
        <v>73</v>
      </c>
      <c r="I10" s="1651"/>
      <c r="J10" s="1652"/>
      <c r="K10" s="1655">
        <v>73</v>
      </c>
      <c r="L10" s="1655"/>
      <c r="M10" s="1655"/>
      <c r="N10" s="1627">
        <f>H10-K10</f>
        <v>0</v>
      </c>
      <c r="O10" s="1627"/>
      <c r="P10" s="1628"/>
      <c r="Q10" s="458"/>
      <c r="R10" s="458"/>
      <c r="S10" s="458"/>
      <c r="T10" s="460"/>
      <c r="U10" s="460"/>
      <c r="V10" s="460"/>
      <c r="W10" s="460"/>
      <c r="X10" s="460"/>
      <c r="Y10" s="460"/>
      <c r="Z10" s="460"/>
      <c r="AA10" s="441"/>
      <c r="AB10" s="441"/>
      <c r="AC10" s="441"/>
      <c r="AD10" s="441"/>
      <c r="AE10" s="461"/>
      <c r="AK10" s="457"/>
    </row>
    <row r="11" spans="1:37" ht="25.75" customHeight="1">
      <c r="A11" s="1647">
        <f t="shared" si="0"/>
        <v>4</v>
      </c>
      <c r="B11" s="1648"/>
      <c r="C11" s="1641" t="s">
        <v>304</v>
      </c>
      <c r="D11" s="1641"/>
      <c r="E11" s="1641"/>
      <c r="F11" s="1653" t="s">
        <v>1173</v>
      </c>
      <c r="G11" s="1654"/>
      <c r="H11" s="1650">
        <v>495</v>
      </c>
      <c r="I11" s="1651"/>
      <c r="J11" s="1652"/>
      <c r="K11" s="1655">
        <v>79</v>
      </c>
      <c r="L11" s="1655"/>
      <c r="M11" s="1655"/>
      <c r="N11" s="1627">
        <f>H11-K11</f>
        <v>416</v>
      </c>
      <c r="O11" s="1627"/>
      <c r="P11" s="1628"/>
      <c r="Q11" s="458"/>
      <c r="R11" s="458"/>
      <c r="S11" s="460"/>
      <c r="T11" s="460"/>
      <c r="U11" s="460"/>
      <c r="V11" s="460"/>
      <c r="W11" s="460"/>
      <c r="X11" s="460"/>
      <c r="Y11" s="460"/>
      <c r="Z11" s="460"/>
      <c r="AA11" s="442" t="s">
        <v>1174</v>
      </c>
      <c r="AB11" s="441"/>
      <c r="AC11" s="441"/>
      <c r="AD11" s="441"/>
      <c r="AE11" s="461"/>
      <c r="AK11" s="457"/>
    </row>
    <row r="12" spans="1:37" ht="21" customHeight="1">
      <c r="A12" s="1647">
        <f t="shared" si="0"/>
        <v>5</v>
      </c>
      <c r="B12" s="1648"/>
      <c r="C12" s="1641" t="s">
        <v>305</v>
      </c>
      <c r="D12" s="1641"/>
      <c r="E12" s="1641"/>
      <c r="F12" s="1653" t="s">
        <v>1175</v>
      </c>
      <c r="G12" s="1654"/>
      <c r="H12" s="1650">
        <v>497</v>
      </c>
      <c r="I12" s="1651"/>
      <c r="J12" s="1652"/>
      <c r="K12" s="1655">
        <v>61</v>
      </c>
      <c r="L12" s="1655"/>
      <c r="M12" s="1655"/>
      <c r="N12" s="1627">
        <f>H12-K12</f>
        <v>436</v>
      </c>
      <c r="O12" s="1627"/>
      <c r="P12" s="1628"/>
      <c r="Q12" s="458"/>
      <c r="R12" s="458"/>
      <c r="S12" s="462" t="s">
        <v>1176</v>
      </c>
      <c r="T12" s="460"/>
      <c r="U12" s="460"/>
      <c r="V12" s="1646" t="s">
        <v>219</v>
      </c>
      <c r="W12" s="1646"/>
      <c r="X12" s="1646"/>
      <c r="Y12" s="460"/>
      <c r="Z12" s="460"/>
      <c r="AA12" s="441"/>
      <c r="AB12" s="1656"/>
      <c r="AC12" s="1656"/>
      <c r="AD12" s="441"/>
      <c r="AE12" s="463" t="s">
        <v>1177</v>
      </c>
      <c r="AK12" s="457"/>
    </row>
    <row r="13" spans="1:37">
      <c r="A13" s="1647">
        <f t="shared" si="0"/>
        <v>6</v>
      </c>
      <c r="B13" s="1648"/>
      <c r="C13" s="1641" t="s">
        <v>1178</v>
      </c>
      <c r="D13" s="1641"/>
      <c r="E13" s="1641"/>
      <c r="F13" s="1653" t="s">
        <v>1173</v>
      </c>
      <c r="G13" s="1654"/>
      <c r="H13" s="1650">
        <v>495</v>
      </c>
      <c r="I13" s="1651"/>
      <c r="J13" s="1652"/>
      <c r="K13" s="1655"/>
      <c r="L13" s="1655"/>
      <c r="M13" s="1655"/>
      <c r="N13" s="1627">
        <f t="shared" ref="N13:N16" si="1">H13-K13</f>
        <v>495</v>
      </c>
      <c r="O13" s="1627"/>
      <c r="P13" s="1628"/>
      <c r="Q13" s="458"/>
      <c r="R13" s="458"/>
      <c r="S13" s="460" t="s">
        <v>305</v>
      </c>
      <c r="T13" s="460"/>
      <c r="U13" s="460"/>
      <c r="V13" s="1657"/>
      <c r="W13" s="1657"/>
      <c r="X13" s="1657"/>
      <c r="Y13" s="460"/>
      <c r="Z13" s="460"/>
      <c r="AA13" s="464"/>
      <c r="AB13" s="441"/>
      <c r="AC13" s="441"/>
      <c r="AD13" s="441"/>
      <c r="AE13" s="461"/>
      <c r="AK13" s="457"/>
    </row>
    <row r="14" spans="1:37" ht="21" customHeight="1">
      <c r="A14" s="1647">
        <f t="shared" si="0"/>
        <v>7</v>
      </c>
      <c r="B14" s="1648"/>
      <c r="C14" s="1641" t="s">
        <v>517</v>
      </c>
      <c r="D14" s="1641"/>
      <c r="E14" s="1641"/>
      <c r="F14" s="1653" t="s">
        <v>1175</v>
      </c>
      <c r="G14" s="1654"/>
      <c r="H14" s="1650">
        <v>405</v>
      </c>
      <c r="I14" s="1651"/>
      <c r="J14" s="1652"/>
      <c r="K14" s="1655"/>
      <c r="L14" s="1655"/>
      <c r="M14" s="1655"/>
      <c r="N14" s="1627">
        <f t="shared" si="1"/>
        <v>405</v>
      </c>
      <c r="O14" s="1627"/>
      <c r="P14" s="1628"/>
      <c r="Q14" s="458"/>
      <c r="R14" s="458"/>
      <c r="S14" s="458"/>
      <c r="T14" s="460"/>
      <c r="U14" s="460"/>
      <c r="V14" s="460"/>
      <c r="W14" s="460"/>
      <c r="X14" s="460"/>
      <c r="Y14" s="460"/>
      <c r="Z14" s="460"/>
      <c r="AA14" s="441"/>
      <c r="AB14" s="441"/>
      <c r="AC14" s="441"/>
      <c r="AD14" s="441"/>
      <c r="AE14" s="461"/>
      <c r="AK14" s="457"/>
    </row>
    <row r="15" spans="1:37">
      <c r="A15" s="1647">
        <f t="shared" si="0"/>
        <v>8</v>
      </c>
      <c r="B15" s="1648"/>
      <c r="C15" s="1658" t="s">
        <v>1179</v>
      </c>
      <c r="D15" s="1658"/>
      <c r="E15" s="1658"/>
      <c r="F15" s="1627" t="s">
        <v>1065</v>
      </c>
      <c r="G15" s="1627"/>
      <c r="H15" s="1649">
        <v>187.17500000000001</v>
      </c>
      <c r="I15" s="1649"/>
      <c r="J15" s="1649"/>
      <c r="K15" s="1627"/>
      <c r="L15" s="1627"/>
      <c r="M15" s="1627"/>
      <c r="N15" s="1627">
        <f t="shared" si="1"/>
        <v>187.17500000000001</v>
      </c>
      <c r="O15" s="1627"/>
      <c r="P15" s="1628"/>
      <c r="Q15" s="458"/>
      <c r="R15" s="458"/>
      <c r="S15" s="458"/>
      <c r="T15" s="460"/>
      <c r="U15" s="460"/>
      <c r="V15" s="460"/>
      <c r="W15" s="460"/>
      <c r="X15" s="460" t="s">
        <v>1180</v>
      </c>
      <c r="Y15" s="460"/>
      <c r="Z15" s="460"/>
      <c r="AA15" s="460"/>
      <c r="AB15" s="460"/>
      <c r="AC15" s="460"/>
      <c r="AD15" s="460"/>
      <c r="AE15" s="461"/>
      <c r="AK15" s="457"/>
    </row>
    <row r="16" spans="1:37" ht="20.25" customHeight="1">
      <c r="A16" s="1647">
        <f t="shared" si="0"/>
        <v>9</v>
      </c>
      <c r="B16" s="1648"/>
      <c r="C16" s="1658" t="s">
        <v>1181</v>
      </c>
      <c r="D16" s="1658"/>
      <c r="E16" s="1658"/>
      <c r="F16" s="1627" t="s">
        <v>1065</v>
      </c>
      <c r="G16" s="1627"/>
      <c r="H16" s="1649">
        <v>187.17500000000001</v>
      </c>
      <c r="I16" s="1649"/>
      <c r="J16" s="1649"/>
      <c r="K16" s="1627"/>
      <c r="L16" s="1627"/>
      <c r="M16" s="1627"/>
      <c r="N16" s="1627">
        <f t="shared" si="1"/>
        <v>187.17500000000001</v>
      </c>
      <c r="O16" s="1627"/>
      <c r="P16" s="1628"/>
      <c r="Q16" s="465"/>
      <c r="R16" s="465"/>
      <c r="S16" s="465"/>
      <c r="T16" s="466"/>
      <c r="U16" s="466"/>
      <c r="V16" s="466"/>
      <c r="W16" s="466"/>
      <c r="X16" s="466"/>
      <c r="Y16" s="466"/>
      <c r="Z16" s="1659" t="s">
        <v>1182</v>
      </c>
      <c r="AA16" s="1659"/>
      <c r="AB16" s="1660" t="s">
        <v>1183</v>
      </c>
      <c r="AC16" s="1660"/>
      <c r="AD16" s="1660"/>
      <c r="AE16" s="1661"/>
      <c r="AK16" s="457"/>
    </row>
    <row r="17" spans="1:37">
      <c r="A17" s="467"/>
      <c r="AK17" s="457"/>
    </row>
    <row r="18" spans="1:37">
      <c r="A18" s="467"/>
      <c r="B18" s="455">
        <v>1</v>
      </c>
      <c r="D18" s="455">
        <v>2</v>
      </c>
      <c r="F18" s="455">
        <v>3</v>
      </c>
      <c r="H18" s="455">
        <v>4</v>
      </c>
      <c r="J18" s="455">
        <v>5</v>
      </c>
      <c r="L18" s="455">
        <v>6</v>
      </c>
      <c r="N18" s="455">
        <v>7</v>
      </c>
      <c r="P18" s="455">
        <v>8</v>
      </c>
      <c r="R18" s="455">
        <v>9</v>
      </c>
      <c r="T18" s="455">
        <v>10</v>
      </c>
      <c r="V18" s="455">
        <v>11</v>
      </c>
      <c r="X18" s="455">
        <v>12</v>
      </c>
      <c r="Z18" s="455">
        <v>13</v>
      </c>
      <c r="AB18" s="455">
        <v>14</v>
      </c>
      <c r="AK18" s="457"/>
    </row>
    <row r="19" spans="1:37">
      <c r="A19" s="467"/>
      <c r="AB19" s="468"/>
      <c r="AK19" s="457"/>
    </row>
    <row r="20" spans="1:37">
      <c r="A20" s="467"/>
      <c r="B20" s="469" t="s">
        <v>1184</v>
      </c>
      <c r="C20" s="443"/>
      <c r="D20" s="469" t="s">
        <v>520</v>
      </c>
      <c r="E20" s="443"/>
      <c r="F20" s="468" t="s">
        <v>1185</v>
      </c>
      <c r="G20" s="443"/>
      <c r="H20" s="468" t="s">
        <v>521</v>
      </c>
      <c r="I20" s="443"/>
      <c r="J20" s="468" t="s">
        <v>522</v>
      </c>
      <c r="K20" s="443"/>
      <c r="L20" s="468" t="s">
        <v>1186</v>
      </c>
      <c r="M20" s="443"/>
      <c r="N20" s="468" t="s">
        <v>524</v>
      </c>
      <c r="O20" s="443"/>
      <c r="P20" s="468" t="s">
        <v>525</v>
      </c>
      <c r="Q20" s="443"/>
      <c r="R20" s="468" t="s">
        <v>532</v>
      </c>
      <c r="S20" s="443"/>
      <c r="T20" s="468" t="s">
        <v>533</v>
      </c>
      <c r="U20" s="443"/>
      <c r="V20" s="468" t="s">
        <v>1187</v>
      </c>
      <c r="W20" s="443"/>
      <c r="X20" s="468" t="s">
        <v>1188</v>
      </c>
      <c r="Y20" s="443"/>
      <c r="Z20" s="468" t="s">
        <v>1189</v>
      </c>
      <c r="AA20" s="443"/>
      <c r="AB20" s="468" t="s">
        <v>1190</v>
      </c>
      <c r="AF20" s="470" t="s">
        <v>1191</v>
      </c>
      <c r="AG20" s="470" t="s">
        <v>354</v>
      </c>
      <c r="AH20" s="470" t="s">
        <v>1192</v>
      </c>
      <c r="AI20" s="470" t="s">
        <v>1193</v>
      </c>
      <c r="AJ20" s="470" t="s">
        <v>303</v>
      </c>
      <c r="AK20" s="471" t="s">
        <v>1194</v>
      </c>
    </row>
    <row r="21" spans="1:37">
      <c r="A21" s="467"/>
      <c r="B21" s="472"/>
      <c r="D21" s="472"/>
      <c r="F21" s="472"/>
      <c r="H21" s="472"/>
      <c r="J21" s="472"/>
      <c r="L21" s="472"/>
      <c r="N21" s="472"/>
      <c r="O21" s="473"/>
      <c r="P21" s="472"/>
      <c r="R21" s="472"/>
      <c r="T21" s="472"/>
      <c r="V21" s="472"/>
      <c r="X21" s="472"/>
      <c r="Z21" s="472"/>
      <c r="AB21" s="472"/>
      <c r="AD21" s="472"/>
      <c r="AF21" s="474"/>
      <c r="AG21" s="475"/>
      <c r="AH21" s="475"/>
      <c r="AI21" s="475"/>
      <c r="AJ21" s="475"/>
      <c r="AK21" s="476"/>
    </row>
    <row r="22" spans="1:37" ht="12.5" thickBot="1">
      <c r="A22" s="467"/>
      <c r="B22" s="444"/>
      <c r="D22" s="444"/>
      <c r="F22" s="444"/>
      <c r="H22" s="444"/>
      <c r="J22" s="444"/>
      <c r="L22" s="444"/>
      <c r="N22" s="444"/>
      <c r="O22" s="473"/>
      <c r="P22" s="444"/>
      <c r="R22" s="444"/>
      <c r="T22" s="444"/>
      <c r="V22" s="444"/>
      <c r="X22" s="444"/>
      <c r="Z22" s="444"/>
      <c r="AB22" s="444"/>
      <c r="AF22" s="474"/>
      <c r="AG22" s="475"/>
      <c r="AH22" s="475"/>
      <c r="AI22" s="475"/>
      <c r="AJ22" s="475"/>
      <c r="AK22" s="476"/>
    </row>
    <row r="23" spans="1:37" ht="25" customHeight="1" thickBot="1">
      <c r="A23" s="467"/>
      <c r="B23" s="445"/>
      <c r="C23" s="477">
        <v>96.534000000000006</v>
      </c>
      <c r="D23" s="446"/>
      <c r="E23" s="477">
        <v>114.09699999999999</v>
      </c>
      <c r="F23" s="446"/>
      <c r="G23" s="477">
        <v>290.58100000000002</v>
      </c>
      <c r="H23" s="446"/>
      <c r="I23" s="477">
        <v>214.48500000000001</v>
      </c>
      <c r="J23" s="446"/>
      <c r="K23" s="477">
        <v>451.78300000000002</v>
      </c>
      <c r="L23" s="446"/>
      <c r="M23" s="477">
        <v>419.226</v>
      </c>
      <c r="N23" s="446"/>
      <c r="O23" s="477">
        <v>420.01</v>
      </c>
      <c r="P23" s="446"/>
      <c r="Q23" s="477">
        <v>416.53100000000001</v>
      </c>
      <c r="R23" s="446"/>
      <c r="S23" s="477">
        <v>356.262</v>
      </c>
      <c r="T23" s="446"/>
      <c r="U23" s="477">
        <v>343.07400000000001</v>
      </c>
      <c r="V23" s="446"/>
      <c r="W23" s="477">
        <v>381.32900000000001</v>
      </c>
      <c r="X23" s="446"/>
      <c r="Y23" s="477">
        <v>373.32299999999998</v>
      </c>
      <c r="Z23" s="446"/>
      <c r="AA23" s="477">
        <v>246.012</v>
      </c>
      <c r="AB23" s="446"/>
      <c r="AC23" s="477">
        <v>249.42400000000001</v>
      </c>
      <c r="AF23" s="470">
        <v>13</v>
      </c>
      <c r="AG23" s="470"/>
      <c r="AH23" s="470"/>
      <c r="AI23" s="470"/>
      <c r="AJ23" s="470"/>
      <c r="AK23" s="471"/>
    </row>
    <row r="24" spans="1:37" ht="12.5" thickBot="1">
      <c r="A24" s="467"/>
      <c r="B24" s="478"/>
      <c r="C24" s="473"/>
      <c r="D24" s="479"/>
      <c r="E24" s="473"/>
      <c r="F24" s="479"/>
      <c r="G24" s="473"/>
      <c r="H24" s="479"/>
      <c r="I24" s="473"/>
      <c r="J24" s="479"/>
      <c r="K24" s="473"/>
      <c r="L24" s="479"/>
      <c r="M24" s="473"/>
      <c r="N24" s="479"/>
      <c r="O24" s="473"/>
      <c r="P24" s="479"/>
      <c r="Q24" s="473"/>
      <c r="R24" s="479"/>
      <c r="S24" s="473"/>
      <c r="T24" s="479"/>
      <c r="U24" s="473"/>
      <c r="V24" s="479"/>
      <c r="W24" s="473"/>
      <c r="X24" s="479"/>
      <c r="Y24" s="473"/>
      <c r="Z24" s="479"/>
      <c r="AA24" s="473"/>
      <c r="AB24" s="479"/>
      <c r="AC24" s="473"/>
      <c r="AF24" s="474"/>
      <c r="AG24" s="475"/>
      <c r="AH24" s="475"/>
      <c r="AI24" s="475"/>
      <c r="AJ24" s="475"/>
      <c r="AK24" s="476"/>
    </row>
    <row r="25" spans="1:37">
      <c r="A25" s="467"/>
      <c r="B25" s="450"/>
      <c r="C25" s="450"/>
      <c r="D25" s="450" t="s">
        <v>125</v>
      </c>
      <c r="E25" s="450"/>
      <c r="F25" s="450" t="s">
        <v>143</v>
      </c>
      <c r="G25" s="450"/>
      <c r="H25" s="450" t="s">
        <v>113</v>
      </c>
      <c r="I25" s="450"/>
      <c r="J25" s="450" t="s">
        <v>113</v>
      </c>
      <c r="K25" s="450"/>
      <c r="L25" s="450" t="s">
        <v>167</v>
      </c>
      <c r="M25" s="450"/>
      <c r="N25" s="450" t="s">
        <v>182</v>
      </c>
      <c r="O25" s="450"/>
      <c r="P25" s="450" t="s">
        <v>248</v>
      </c>
      <c r="Q25" s="450"/>
      <c r="R25" s="450" t="s">
        <v>115</v>
      </c>
      <c r="S25" s="450"/>
      <c r="T25" s="450" t="s">
        <v>182</v>
      </c>
      <c r="U25" s="450"/>
      <c r="V25" s="450" t="s">
        <v>182</v>
      </c>
      <c r="W25" s="450"/>
      <c r="X25" s="450" t="s">
        <v>242</v>
      </c>
      <c r="Y25" s="450"/>
      <c r="Z25" s="450" t="s">
        <v>185</v>
      </c>
      <c r="AA25" s="450"/>
      <c r="AB25" s="450" t="s">
        <v>119</v>
      </c>
      <c r="AC25" s="473"/>
      <c r="AF25" s="474"/>
      <c r="AG25" s="475"/>
      <c r="AH25" s="475"/>
      <c r="AI25" s="475"/>
      <c r="AJ25" s="475"/>
      <c r="AK25" s="476"/>
    </row>
    <row r="26" spans="1:37">
      <c r="A26" s="467"/>
      <c r="B26" s="580"/>
      <c r="C26" s="580"/>
      <c r="D26" s="580"/>
      <c r="E26" s="580"/>
      <c r="F26" s="580"/>
      <c r="G26" s="580"/>
      <c r="H26" s="580"/>
      <c r="I26" s="580"/>
      <c r="J26" s="580"/>
      <c r="K26" s="580"/>
      <c r="L26" s="580"/>
      <c r="M26" s="580"/>
      <c r="N26" s="580"/>
      <c r="O26" s="580"/>
      <c r="P26" s="580"/>
      <c r="Q26" s="580"/>
      <c r="R26" s="580"/>
      <c r="S26" s="580"/>
      <c r="T26" s="580"/>
      <c r="U26" s="580"/>
      <c r="V26" s="580"/>
      <c r="W26" s="580"/>
      <c r="X26" s="580"/>
      <c r="Y26" s="580"/>
      <c r="Z26" s="580"/>
      <c r="AA26" s="580"/>
      <c r="AB26" s="580"/>
      <c r="AC26" s="473"/>
      <c r="AF26" s="474"/>
      <c r="AG26" s="475"/>
      <c r="AH26" s="475"/>
      <c r="AI26" s="475"/>
      <c r="AJ26" s="475"/>
      <c r="AK26" s="476"/>
    </row>
    <row r="27" spans="1:37">
      <c r="A27" s="467"/>
      <c r="C27" s="473"/>
      <c r="E27" s="473"/>
      <c r="G27" s="473"/>
      <c r="I27" s="473"/>
      <c r="K27" s="473"/>
      <c r="M27" s="473"/>
      <c r="O27" s="473"/>
      <c r="Q27" s="473"/>
      <c r="S27" s="473"/>
      <c r="U27" s="473"/>
      <c r="W27" s="473"/>
      <c r="Y27" s="473"/>
      <c r="AA27" s="473"/>
      <c r="AC27" s="473"/>
      <c r="AF27" s="474"/>
      <c r="AG27" s="475"/>
      <c r="AH27" s="475"/>
      <c r="AI27" s="475"/>
      <c r="AJ27" s="475"/>
      <c r="AK27" s="476"/>
    </row>
    <row r="28" spans="1:37">
      <c r="A28" s="467"/>
      <c r="B28" s="468" t="s">
        <v>1195</v>
      </c>
      <c r="C28" s="443"/>
      <c r="D28" s="468" t="s">
        <v>1196</v>
      </c>
      <c r="E28" s="443"/>
      <c r="F28" s="468" t="s">
        <v>1197</v>
      </c>
      <c r="G28" s="443"/>
      <c r="H28" s="468" t="s">
        <v>1198</v>
      </c>
      <c r="I28" s="443"/>
      <c r="J28" s="468" t="s">
        <v>534</v>
      </c>
      <c r="K28" s="443"/>
      <c r="L28" s="468" t="s">
        <v>537</v>
      </c>
      <c r="M28" s="443"/>
      <c r="N28" s="468" t="s">
        <v>1199</v>
      </c>
      <c r="O28" s="443"/>
      <c r="P28" s="468" t="s">
        <v>1200</v>
      </c>
      <c r="Q28" s="443"/>
      <c r="R28" s="468" t="s">
        <v>1201</v>
      </c>
      <c r="S28" s="443"/>
      <c r="T28" s="468" t="s">
        <v>1202</v>
      </c>
      <c r="U28" s="443"/>
      <c r="V28" s="468" t="s">
        <v>1203</v>
      </c>
      <c r="W28" s="443"/>
      <c r="X28" s="468" t="s">
        <v>1204</v>
      </c>
      <c r="Y28" s="443"/>
      <c r="Z28" s="468" t="s">
        <v>1205</v>
      </c>
      <c r="AA28" s="443"/>
      <c r="AB28" s="468" t="s">
        <v>538</v>
      </c>
      <c r="AC28" s="473"/>
      <c r="AF28" s="474"/>
      <c r="AG28" s="475"/>
      <c r="AH28" s="475"/>
      <c r="AI28" s="475"/>
      <c r="AJ28" s="475"/>
      <c r="AK28" s="476"/>
    </row>
    <row r="29" spans="1:37">
      <c r="A29" s="467"/>
      <c r="B29" s="472"/>
      <c r="C29" s="473"/>
      <c r="D29" s="472"/>
      <c r="E29" s="473"/>
      <c r="F29" s="472"/>
      <c r="G29" s="473"/>
      <c r="H29" s="472"/>
      <c r="I29" s="473"/>
      <c r="J29" s="472"/>
      <c r="K29" s="473"/>
      <c r="L29" s="472"/>
      <c r="M29" s="473"/>
      <c r="N29" s="472"/>
      <c r="O29" s="473"/>
      <c r="P29" s="472"/>
      <c r="Q29" s="473"/>
      <c r="R29" s="472"/>
      <c r="S29" s="473"/>
      <c r="T29" s="472"/>
      <c r="U29" s="473"/>
      <c r="V29" s="472"/>
      <c r="W29" s="473"/>
      <c r="X29" s="472"/>
      <c r="Y29" s="473"/>
      <c r="Z29" s="472"/>
      <c r="AA29" s="473"/>
      <c r="AB29" s="472"/>
      <c r="AC29" s="473"/>
      <c r="AF29" s="470" t="s">
        <v>1191</v>
      </c>
      <c r="AG29" s="470" t="s">
        <v>354</v>
      </c>
      <c r="AH29" s="470" t="s">
        <v>1192</v>
      </c>
      <c r="AI29" s="470" t="s">
        <v>1193</v>
      </c>
      <c r="AJ29" s="470" t="s">
        <v>303</v>
      </c>
      <c r="AK29" s="471" t="s">
        <v>1194</v>
      </c>
    </row>
    <row r="30" spans="1:37" ht="12.5" thickBot="1">
      <c r="A30" s="467"/>
      <c r="B30" s="444"/>
      <c r="C30" s="473"/>
      <c r="D30" s="444"/>
      <c r="E30" s="473"/>
      <c r="F30" s="444"/>
      <c r="G30" s="473"/>
      <c r="H30" s="444"/>
      <c r="I30" s="473"/>
      <c r="J30" s="444"/>
      <c r="K30" s="473"/>
      <c r="L30" s="444"/>
      <c r="M30" s="473"/>
      <c r="N30" s="444"/>
      <c r="O30" s="473"/>
      <c r="P30" s="444"/>
      <c r="Q30" s="473"/>
      <c r="R30" s="444"/>
      <c r="S30" s="473"/>
      <c r="T30" s="444"/>
      <c r="U30" s="473"/>
      <c r="V30" s="444"/>
      <c r="W30" s="473"/>
      <c r="X30" s="444"/>
      <c r="Y30" s="473"/>
      <c r="Z30" s="444"/>
      <c r="AA30" s="473"/>
      <c r="AB30" s="444"/>
      <c r="AC30" s="473"/>
      <c r="AF30" s="474"/>
      <c r="AG30" s="475"/>
      <c r="AH30" s="475"/>
      <c r="AI30" s="475"/>
      <c r="AJ30" s="475"/>
      <c r="AK30" s="476"/>
    </row>
    <row r="31" spans="1:37" ht="25" customHeight="1" thickBot="1">
      <c r="A31" s="467"/>
      <c r="B31" s="446"/>
      <c r="C31" s="477">
        <v>399.70699999999999</v>
      </c>
      <c r="D31" s="446"/>
      <c r="E31" s="477">
        <v>438.61599999999999</v>
      </c>
      <c r="F31" s="446"/>
      <c r="G31" s="477">
        <v>400.60399999999998</v>
      </c>
      <c r="H31" s="446"/>
      <c r="I31" s="477">
        <v>438.76499999999999</v>
      </c>
      <c r="J31" s="446"/>
      <c r="K31" s="477">
        <v>226.315</v>
      </c>
      <c r="L31" s="446"/>
      <c r="M31" s="477">
        <v>442.553</v>
      </c>
      <c r="N31" s="446"/>
      <c r="O31" s="477">
        <v>389.32900000000001</v>
      </c>
      <c r="P31" s="446"/>
      <c r="Q31" s="477">
        <v>359.36099999999999</v>
      </c>
      <c r="R31" s="446"/>
      <c r="S31" s="477">
        <v>405.00599999999997</v>
      </c>
      <c r="T31" s="446"/>
      <c r="U31" s="477">
        <v>426.51799999999997</v>
      </c>
      <c r="V31" s="446"/>
      <c r="W31" s="477">
        <v>356.05500000000001</v>
      </c>
      <c r="X31" s="446"/>
      <c r="Y31" s="477">
        <v>369.29500000000002</v>
      </c>
      <c r="Z31" s="446"/>
      <c r="AA31" s="477">
        <v>374.99299999999999</v>
      </c>
      <c r="AB31" s="446"/>
      <c r="AC31" s="477">
        <v>383.76799999999997</v>
      </c>
      <c r="AF31" s="470">
        <v>14</v>
      </c>
      <c r="AG31" s="470"/>
      <c r="AH31" s="470"/>
      <c r="AI31" s="470"/>
      <c r="AJ31" s="470"/>
      <c r="AK31" s="471"/>
    </row>
    <row r="32" spans="1:37" ht="12.5" thickBot="1">
      <c r="A32" s="467"/>
      <c r="B32" s="479"/>
      <c r="C32" s="473"/>
      <c r="D32" s="479"/>
      <c r="E32" s="473"/>
      <c r="F32" s="479"/>
      <c r="G32" s="473"/>
      <c r="H32" s="479"/>
      <c r="I32" s="473"/>
      <c r="J32" s="479"/>
      <c r="K32" s="473"/>
      <c r="L32" s="479"/>
      <c r="M32" s="473"/>
      <c r="N32" s="479"/>
      <c r="O32" s="473"/>
      <c r="P32" s="479"/>
      <c r="Q32" s="473"/>
      <c r="R32" s="479"/>
      <c r="S32" s="473"/>
      <c r="T32" s="479"/>
      <c r="U32" s="473"/>
      <c r="V32" s="479"/>
      <c r="W32" s="473"/>
      <c r="X32" s="479"/>
      <c r="Y32" s="473"/>
      <c r="Z32" s="479"/>
      <c r="AA32" s="473"/>
      <c r="AB32" s="479"/>
      <c r="AC32" s="473"/>
      <c r="AF32" s="474"/>
      <c r="AG32" s="475"/>
      <c r="AH32" s="475"/>
      <c r="AI32" s="475"/>
      <c r="AJ32" s="475"/>
      <c r="AK32" s="476"/>
    </row>
    <row r="33" spans="1:37">
      <c r="A33" s="467"/>
      <c r="B33" s="450" t="s">
        <v>182</v>
      </c>
      <c r="C33" s="450"/>
      <c r="D33" s="450" t="s">
        <v>242</v>
      </c>
      <c r="E33" s="450"/>
      <c r="F33" s="450" t="s">
        <v>242</v>
      </c>
      <c r="G33" s="450"/>
      <c r="H33" s="450" t="s">
        <v>185</v>
      </c>
      <c r="I33" s="450"/>
      <c r="J33" s="450" t="s">
        <v>117</v>
      </c>
      <c r="K33" s="450"/>
      <c r="L33" s="450" t="s">
        <v>117</v>
      </c>
      <c r="M33" s="450"/>
      <c r="N33" s="450" t="s">
        <v>185</v>
      </c>
      <c r="O33" s="450"/>
      <c r="P33" s="450" t="s">
        <v>182</v>
      </c>
      <c r="Q33" s="450"/>
      <c r="R33" s="450" t="s">
        <v>182</v>
      </c>
      <c r="S33" s="450"/>
      <c r="T33" s="450" t="s">
        <v>182</v>
      </c>
      <c r="U33" s="450"/>
      <c r="V33" s="450" t="s">
        <v>182</v>
      </c>
      <c r="W33" s="450"/>
      <c r="X33" s="450" t="s">
        <v>182</v>
      </c>
      <c r="Y33" s="450"/>
      <c r="Z33" s="450" t="s">
        <v>182</v>
      </c>
      <c r="AA33" s="450"/>
      <c r="AB33" s="450" t="s">
        <v>119</v>
      </c>
      <c r="AC33" s="473"/>
      <c r="AF33" s="474"/>
      <c r="AG33" s="475"/>
      <c r="AH33" s="475"/>
      <c r="AI33" s="475"/>
      <c r="AJ33" s="475"/>
      <c r="AK33" s="476"/>
    </row>
    <row r="34" spans="1:37">
      <c r="A34" s="467"/>
      <c r="B34" s="450"/>
      <c r="C34" s="450"/>
      <c r="D34" s="450"/>
      <c r="E34" s="450"/>
      <c r="F34" s="450"/>
      <c r="G34" s="450"/>
      <c r="H34" s="450"/>
      <c r="I34" s="450"/>
      <c r="J34" s="450"/>
      <c r="K34" s="450"/>
      <c r="L34" s="450"/>
      <c r="M34" s="450"/>
      <c r="N34" s="450"/>
      <c r="O34" s="450"/>
      <c r="P34" s="450"/>
      <c r="Q34" s="450"/>
      <c r="R34" s="450"/>
      <c r="S34" s="450"/>
      <c r="T34" s="450"/>
      <c r="U34" s="450"/>
      <c r="V34" s="450"/>
      <c r="W34" s="450"/>
      <c r="X34" s="450"/>
      <c r="Y34" s="450"/>
      <c r="Z34" s="450"/>
      <c r="AA34" s="450"/>
      <c r="AB34" s="450"/>
      <c r="AC34" s="473"/>
      <c r="AF34" s="474"/>
      <c r="AG34" s="475"/>
      <c r="AH34" s="475"/>
      <c r="AI34" s="475"/>
      <c r="AJ34" s="475"/>
      <c r="AK34" s="476"/>
    </row>
    <row r="35" spans="1:37">
      <c r="A35" s="467"/>
      <c r="B35" s="581"/>
      <c r="C35" s="582"/>
      <c r="D35" s="581"/>
      <c r="E35" s="582"/>
      <c r="F35" s="581"/>
      <c r="G35" s="582"/>
      <c r="H35" s="581"/>
      <c r="I35" s="582"/>
      <c r="J35" s="581"/>
      <c r="K35" s="582"/>
      <c r="L35" s="581"/>
      <c r="M35" s="582"/>
      <c r="N35" s="581"/>
      <c r="O35" s="582"/>
      <c r="P35" s="581"/>
      <c r="Q35" s="582"/>
      <c r="R35" s="581"/>
      <c r="S35" s="582"/>
      <c r="T35" s="581"/>
      <c r="U35" s="582"/>
      <c r="V35" s="581"/>
      <c r="W35" s="582"/>
      <c r="X35" s="581"/>
      <c r="Y35" s="582"/>
      <c r="Z35" s="581"/>
      <c r="AA35" s="582"/>
      <c r="AB35" s="581"/>
      <c r="AC35" s="473"/>
      <c r="AF35" s="474"/>
      <c r="AG35" s="475"/>
      <c r="AH35" s="475"/>
      <c r="AI35" s="475"/>
      <c r="AJ35" s="475"/>
      <c r="AK35" s="476"/>
    </row>
    <row r="36" spans="1:37" ht="21" customHeight="1">
      <c r="A36" s="467"/>
      <c r="B36" s="468" t="s">
        <v>539</v>
      </c>
      <c r="C36" s="443"/>
      <c r="D36" s="468" t="s">
        <v>539</v>
      </c>
      <c r="E36" s="443"/>
      <c r="F36" s="468" t="s">
        <v>542</v>
      </c>
      <c r="G36" s="443"/>
      <c r="H36" s="468" t="s">
        <v>543</v>
      </c>
      <c r="I36" s="443"/>
      <c r="J36" s="468" t="s">
        <v>544</v>
      </c>
      <c r="K36" s="443"/>
      <c r="L36" s="468" t="s">
        <v>545</v>
      </c>
      <c r="M36" s="443"/>
      <c r="N36" s="468" t="s">
        <v>546</v>
      </c>
      <c r="O36" s="443"/>
      <c r="P36" s="468" t="s">
        <v>1206</v>
      </c>
      <c r="Q36" s="443"/>
      <c r="R36" s="468" t="s">
        <v>1207</v>
      </c>
      <c r="S36" s="443"/>
      <c r="T36" s="468" t="s">
        <v>1208</v>
      </c>
      <c r="U36" s="443"/>
      <c r="V36" s="468" t="s">
        <v>1209</v>
      </c>
      <c r="W36" s="443"/>
      <c r="X36" s="468" t="s">
        <v>548</v>
      </c>
      <c r="Y36" s="443"/>
      <c r="Z36" s="480" t="s">
        <v>1210</v>
      </c>
      <c r="AA36" s="443"/>
      <c r="AB36" s="468" t="s">
        <v>1211</v>
      </c>
      <c r="AC36" s="473"/>
      <c r="AF36" s="474"/>
      <c r="AG36" s="475"/>
      <c r="AH36" s="475"/>
      <c r="AI36" s="475"/>
      <c r="AJ36" s="475"/>
      <c r="AK36" s="476"/>
    </row>
    <row r="37" spans="1:37">
      <c r="A37" s="467"/>
      <c r="B37" s="472"/>
      <c r="C37" s="473"/>
      <c r="D37" s="472"/>
      <c r="E37" s="450"/>
      <c r="F37" s="472"/>
      <c r="G37" s="481"/>
      <c r="H37" s="472"/>
      <c r="I37" s="473"/>
      <c r="J37" s="472"/>
      <c r="K37" s="473"/>
      <c r="L37" s="472"/>
      <c r="M37" s="473"/>
      <c r="N37" s="472"/>
      <c r="O37" s="473"/>
      <c r="P37" s="472"/>
      <c r="Q37" s="473"/>
      <c r="R37" s="472"/>
      <c r="S37" s="473"/>
      <c r="T37" s="472"/>
      <c r="U37" s="473"/>
      <c r="V37" s="472"/>
      <c r="W37" s="450"/>
      <c r="X37" s="472"/>
      <c r="Y37" s="450"/>
      <c r="Z37" s="472"/>
      <c r="AA37" s="473"/>
      <c r="AB37" s="472"/>
      <c r="AC37" s="473"/>
      <c r="AF37" s="470" t="s">
        <v>1191</v>
      </c>
      <c r="AG37" s="470" t="s">
        <v>354</v>
      </c>
      <c r="AH37" s="470" t="s">
        <v>1192</v>
      </c>
      <c r="AI37" s="470" t="s">
        <v>1193</v>
      </c>
      <c r="AJ37" s="470" t="s">
        <v>303</v>
      </c>
      <c r="AK37" s="471" t="s">
        <v>1194</v>
      </c>
    </row>
    <row r="38" spans="1:37" ht="12.5" thickBot="1">
      <c r="A38" s="467"/>
      <c r="B38" s="444"/>
      <c r="C38" s="473"/>
      <c r="D38" s="444"/>
      <c r="E38" s="473"/>
      <c r="F38" s="444"/>
      <c r="G38" s="473"/>
      <c r="H38" s="444"/>
      <c r="I38" s="473"/>
      <c r="J38" s="444"/>
      <c r="K38" s="473"/>
      <c r="L38" s="444"/>
      <c r="M38" s="473"/>
      <c r="N38" s="444"/>
      <c r="O38" s="473"/>
      <c r="P38" s="444"/>
      <c r="Q38" s="473"/>
      <c r="R38" s="444"/>
      <c r="S38" s="473"/>
      <c r="T38" s="444"/>
      <c r="U38" s="473"/>
      <c r="V38" s="444"/>
      <c r="W38" s="473"/>
      <c r="X38" s="444"/>
      <c r="Y38" s="473"/>
      <c r="Z38" s="444"/>
      <c r="AA38" s="473"/>
      <c r="AB38" s="444"/>
      <c r="AC38" s="473"/>
      <c r="AF38" s="474"/>
      <c r="AG38" s="475"/>
      <c r="AH38" s="475"/>
      <c r="AI38" s="475"/>
      <c r="AJ38" s="475"/>
      <c r="AK38" s="476"/>
    </row>
    <row r="39" spans="1:37" ht="25" customHeight="1" thickBot="1">
      <c r="A39" s="467"/>
      <c r="B39" s="446"/>
      <c r="C39" s="477">
        <v>383.76799999999997</v>
      </c>
      <c r="D39" s="446"/>
      <c r="E39" s="477">
        <v>396.38</v>
      </c>
      <c r="F39" s="446"/>
      <c r="G39" s="477">
        <v>392.53399999999999</v>
      </c>
      <c r="H39" s="446"/>
      <c r="I39" s="477">
        <v>332.16199999999998</v>
      </c>
      <c r="J39" s="446"/>
      <c r="K39" s="477">
        <v>352.11200000000002</v>
      </c>
      <c r="L39" s="446"/>
      <c r="M39" s="477">
        <v>389.39299999999997</v>
      </c>
      <c r="N39" s="446"/>
      <c r="O39" s="477">
        <v>374.47699999999998</v>
      </c>
      <c r="P39" s="446"/>
      <c r="Q39" s="477">
        <v>419.97699999999998</v>
      </c>
      <c r="R39" s="446"/>
      <c r="S39" s="477">
        <v>387.899</v>
      </c>
      <c r="T39" s="446"/>
      <c r="U39" s="477">
        <v>407.654</v>
      </c>
      <c r="V39" s="446"/>
      <c r="W39" s="477">
        <v>402.35700000000003</v>
      </c>
      <c r="X39" s="446"/>
      <c r="Y39" s="482">
        <v>372.25900000000001</v>
      </c>
      <c r="Z39" s="446"/>
      <c r="AA39" s="477">
        <v>410.94900000000001</v>
      </c>
      <c r="AB39" s="446"/>
      <c r="AC39" s="477">
        <v>379.07499999999999</v>
      </c>
      <c r="AF39" s="470">
        <v>14</v>
      </c>
      <c r="AG39" s="470"/>
      <c r="AH39" s="470"/>
      <c r="AI39" s="470"/>
      <c r="AJ39" s="470"/>
      <c r="AK39" s="471"/>
    </row>
    <row r="40" spans="1:37" ht="12.5" thickBot="1">
      <c r="A40" s="467"/>
      <c r="B40" s="479"/>
      <c r="C40" s="473"/>
      <c r="D40" s="479"/>
      <c r="E40" s="473"/>
      <c r="F40" s="479"/>
      <c r="G40" s="473"/>
      <c r="H40" s="479"/>
      <c r="I40" s="473"/>
      <c r="J40" s="479"/>
      <c r="K40" s="473"/>
      <c r="L40" s="479"/>
      <c r="M40" s="473"/>
      <c r="N40" s="479"/>
      <c r="O40" s="473"/>
      <c r="P40" s="479"/>
      <c r="Q40" s="473"/>
      <c r="R40" s="479"/>
      <c r="S40" s="473"/>
      <c r="T40" s="479"/>
      <c r="U40" s="473"/>
      <c r="V40" s="479"/>
      <c r="W40" s="473"/>
      <c r="X40" s="479"/>
      <c r="Y40" s="473"/>
      <c r="Z40" s="479"/>
      <c r="AA40" s="473"/>
      <c r="AB40" s="479"/>
      <c r="AC40" s="473"/>
      <c r="AF40" s="474"/>
      <c r="AG40" s="475"/>
      <c r="AH40" s="475"/>
      <c r="AI40" s="475"/>
      <c r="AJ40" s="475"/>
      <c r="AK40" s="476"/>
    </row>
    <row r="41" spans="1:37">
      <c r="A41" s="467"/>
      <c r="B41" s="483" t="s">
        <v>182</v>
      </c>
      <c r="C41" s="450"/>
      <c r="D41" s="483" t="s">
        <v>182</v>
      </c>
      <c r="E41" s="450"/>
      <c r="F41" s="483" t="s">
        <v>182</v>
      </c>
      <c r="G41" s="450"/>
      <c r="H41" s="483" t="s">
        <v>182</v>
      </c>
      <c r="I41" s="450"/>
      <c r="J41" s="483" t="s">
        <v>182</v>
      </c>
      <c r="K41" s="450"/>
      <c r="L41" s="483" t="s">
        <v>182</v>
      </c>
      <c r="M41" s="450"/>
      <c r="N41" s="483" t="s">
        <v>182</v>
      </c>
      <c r="O41" s="450"/>
      <c r="P41" s="483" t="s">
        <v>182</v>
      </c>
      <c r="Q41" s="450"/>
      <c r="R41" s="483" t="s">
        <v>185</v>
      </c>
      <c r="S41" s="450"/>
      <c r="T41" s="483" t="s">
        <v>182</v>
      </c>
      <c r="U41" s="450"/>
      <c r="V41" s="483" t="s">
        <v>182</v>
      </c>
      <c r="W41" s="450"/>
      <c r="X41" s="483" t="s">
        <v>119</v>
      </c>
      <c r="Y41" s="450"/>
      <c r="Z41" s="483" t="s">
        <v>182</v>
      </c>
      <c r="AA41" s="450"/>
      <c r="AB41" s="483" t="s">
        <v>182</v>
      </c>
      <c r="AC41" s="473"/>
      <c r="AF41" s="474"/>
      <c r="AG41" s="475"/>
      <c r="AH41" s="475"/>
      <c r="AI41" s="475"/>
      <c r="AJ41" s="475"/>
      <c r="AK41" s="476"/>
    </row>
    <row r="42" spans="1:37">
      <c r="A42" s="467"/>
      <c r="B42" s="483"/>
      <c r="C42" s="450"/>
      <c r="D42" s="483"/>
      <c r="E42" s="450"/>
      <c r="F42" s="483"/>
      <c r="G42" s="450"/>
      <c r="H42" s="483"/>
      <c r="I42" s="450"/>
      <c r="J42" s="483"/>
      <c r="K42" s="450"/>
      <c r="L42" s="483"/>
      <c r="M42" s="450"/>
      <c r="N42" s="483"/>
      <c r="O42" s="450"/>
      <c r="P42" s="483"/>
      <c r="Q42" s="450"/>
      <c r="R42" s="483"/>
      <c r="S42" s="450"/>
      <c r="T42" s="483"/>
      <c r="U42" s="450"/>
      <c r="V42" s="483"/>
      <c r="W42" s="450"/>
      <c r="X42" s="483"/>
      <c r="Y42" s="450"/>
      <c r="Z42" s="483"/>
      <c r="AA42" s="450"/>
      <c r="AB42" s="483"/>
      <c r="AC42" s="473"/>
      <c r="AF42" s="474"/>
      <c r="AG42" s="475"/>
      <c r="AH42" s="475"/>
      <c r="AI42" s="475"/>
      <c r="AJ42" s="475"/>
      <c r="AK42" s="476"/>
    </row>
    <row r="43" spans="1:37">
      <c r="A43" s="467"/>
      <c r="B43" s="581"/>
      <c r="C43" s="582"/>
      <c r="D43" s="581"/>
      <c r="E43" s="582"/>
      <c r="F43" s="581"/>
      <c r="G43" s="582"/>
      <c r="H43" s="581"/>
      <c r="I43" s="582"/>
      <c r="J43" s="581"/>
      <c r="K43" s="582"/>
      <c r="L43" s="581"/>
      <c r="M43" s="582"/>
      <c r="N43" s="581"/>
      <c r="O43" s="582"/>
      <c r="P43" s="581"/>
      <c r="Q43" s="582"/>
      <c r="R43" s="581"/>
      <c r="S43" s="473"/>
      <c r="U43" s="473"/>
      <c r="W43" s="473"/>
      <c r="Y43" s="473"/>
      <c r="AA43" s="473"/>
      <c r="AC43" s="473"/>
      <c r="AF43" s="474"/>
      <c r="AG43" s="475"/>
      <c r="AH43" s="475"/>
      <c r="AI43" s="475"/>
      <c r="AJ43" s="475"/>
      <c r="AK43" s="476"/>
    </row>
    <row r="44" spans="1:37">
      <c r="A44" s="467"/>
      <c r="B44" s="468" t="s">
        <v>1212</v>
      </c>
      <c r="C44" s="443"/>
      <c r="D44" s="468" t="s">
        <v>1213</v>
      </c>
      <c r="E44" s="443"/>
      <c r="F44" s="468" t="s">
        <v>556</v>
      </c>
      <c r="G44" s="443"/>
      <c r="H44" s="468" t="s">
        <v>1214</v>
      </c>
      <c r="I44" s="443"/>
      <c r="J44" s="468" t="s">
        <v>1215</v>
      </c>
      <c r="K44" s="443"/>
      <c r="L44" s="468" t="s">
        <v>1216</v>
      </c>
      <c r="M44" s="443"/>
      <c r="N44" s="468" t="s">
        <v>1217</v>
      </c>
      <c r="O44" s="443"/>
      <c r="P44" s="468" t="s">
        <v>1218</v>
      </c>
      <c r="Q44" s="443"/>
      <c r="R44" s="468" t="s">
        <v>563</v>
      </c>
      <c r="S44" s="443"/>
      <c r="T44" s="468" t="s">
        <v>1219</v>
      </c>
      <c r="U44" s="443"/>
      <c r="V44" s="468" t="s">
        <v>1220</v>
      </c>
      <c r="W44" s="443"/>
      <c r="X44" s="468" t="s">
        <v>1221</v>
      </c>
      <c r="Y44" s="443"/>
      <c r="Z44" s="468" t="s">
        <v>1222</v>
      </c>
      <c r="AA44" s="443"/>
      <c r="AB44" s="468" t="s">
        <v>1223</v>
      </c>
      <c r="AC44" s="473"/>
      <c r="AF44" s="474"/>
      <c r="AG44" s="475"/>
      <c r="AH44" s="475"/>
      <c r="AI44" s="475"/>
      <c r="AJ44" s="475"/>
      <c r="AK44" s="476"/>
    </row>
    <row r="45" spans="1:37">
      <c r="A45" s="467"/>
      <c r="B45" s="472"/>
      <c r="C45" s="473"/>
      <c r="D45" s="472"/>
      <c r="E45" s="473"/>
      <c r="F45" s="472"/>
      <c r="G45" s="473"/>
      <c r="H45" s="472"/>
      <c r="I45" s="473"/>
      <c r="J45" s="472"/>
      <c r="K45" s="473"/>
      <c r="L45" s="472"/>
      <c r="M45" s="473"/>
      <c r="N45" s="472"/>
      <c r="O45" s="473"/>
      <c r="P45" s="472"/>
      <c r="Q45" s="473"/>
      <c r="R45" s="472"/>
      <c r="S45" s="473"/>
      <c r="T45" s="472"/>
      <c r="U45" s="473"/>
      <c r="V45" s="472"/>
      <c r="W45" s="473"/>
      <c r="X45" s="472"/>
      <c r="Y45" s="473"/>
      <c r="Z45" s="472"/>
      <c r="AA45" s="473"/>
      <c r="AB45" s="472"/>
      <c r="AC45" s="473"/>
      <c r="AF45" s="470" t="s">
        <v>1191</v>
      </c>
      <c r="AG45" s="470" t="s">
        <v>354</v>
      </c>
      <c r="AH45" s="470" t="s">
        <v>1192</v>
      </c>
      <c r="AI45" s="470" t="s">
        <v>1193</v>
      </c>
      <c r="AJ45" s="470" t="s">
        <v>303</v>
      </c>
      <c r="AK45" s="471" t="s">
        <v>1194</v>
      </c>
    </row>
    <row r="46" spans="1:37" ht="15" customHeight="1" thickBot="1">
      <c r="A46" s="467"/>
      <c r="B46" s="444"/>
      <c r="C46" s="473"/>
      <c r="D46" s="444"/>
      <c r="E46" s="473"/>
      <c r="F46" s="444"/>
      <c r="G46" s="473"/>
      <c r="H46" s="444"/>
      <c r="I46" s="473"/>
      <c r="J46" s="444"/>
      <c r="K46" s="473"/>
      <c r="L46" s="444"/>
      <c r="M46" s="473"/>
      <c r="N46" s="444"/>
      <c r="O46" s="473"/>
      <c r="P46" s="444"/>
      <c r="Q46" s="473"/>
      <c r="R46" s="444"/>
      <c r="S46" s="473"/>
      <c r="T46" s="444"/>
      <c r="U46" s="473"/>
      <c r="V46" s="444"/>
      <c r="W46" s="473"/>
      <c r="X46" s="444"/>
      <c r="Y46" s="473"/>
      <c r="Z46" s="444"/>
      <c r="AA46" s="473"/>
      <c r="AB46" s="444"/>
      <c r="AC46" s="473"/>
      <c r="AF46" s="474"/>
      <c r="AG46" s="475"/>
      <c r="AH46" s="475"/>
      <c r="AI46" s="475"/>
      <c r="AJ46" s="475"/>
      <c r="AK46" s="476"/>
    </row>
    <row r="47" spans="1:37" ht="42" customHeight="1" thickBot="1">
      <c r="A47" s="467"/>
      <c r="B47" s="446"/>
      <c r="C47" s="477">
        <v>412.596</v>
      </c>
      <c r="D47" s="446"/>
      <c r="E47" s="477">
        <v>340.11200000000002</v>
      </c>
      <c r="F47" s="446"/>
      <c r="G47" s="477">
        <v>410.76</v>
      </c>
      <c r="H47" s="446"/>
      <c r="I47" s="477">
        <v>427.9</v>
      </c>
      <c r="J47" s="446"/>
      <c r="K47" s="477">
        <v>404.21</v>
      </c>
      <c r="L47" s="446"/>
      <c r="M47" s="477">
        <v>398.44600000000003</v>
      </c>
      <c r="N47" s="446"/>
      <c r="O47" s="477">
        <v>431.93900000000002</v>
      </c>
      <c r="P47" s="446"/>
      <c r="Q47" s="477">
        <v>486.19600000000003</v>
      </c>
      <c r="R47" s="446"/>
      <c r="S47" s="477">
        <v>369.71699999999998</v>
      </c>
      <c r="T47" s="446"/>
      <c r="U47" s="477">
        <v>389.34399999999999</v>
      </c>
      <c r="V47" s="446"/>
      <c r="W47" s="477">
        <v>395.60199999999998</v>
      </c>
      <c r="X47" s="446"/>
      <c r="Y47" s="477">
        <v>372.37700000000001</v>
      </c>
      <c r="Z47" s="446"/>
      <c r="AA47" s="477">
        <v>431.54700000000003</v>
      </c>
      <c r="AB47" s="446"/>
      <c r="AC47" s="477">
        <v>370.65100000000001</v>
      </c>
      <c r="AF47" s="470">
        <v>14</v>
      </c>
      <c r="AG47" s="470"/>
      <c r="AH47" s="470"/>
      <c r="AI47" s="470"/>
      <c r="AJ47" s="470"/>
      <c r="AK47" s="471"/>
    </row>
    <row r="48" spans="1:37" ht="12.5" thickBot="1">
      <c r="A48" s="467"/>
      <c r="B48" s="479"/>
      <c r="C48" s="473"/>
      <c r="D48" s="479"/>
      <c r="E48" s="473"/>
      <c r="F48" s="479"/>
      <c r="G48" s="473"/>
      <c r="H48" s="479"/>
      <c r="I48" s="473"/>
      <c r="J48" s="479"/>
      <c r="K48" s="473"/>
      <c r="L48" s="479"/>
      <c r="M48" s="473"/>
      <c r="N48" s="479"/>
      <c r="O48" s="473"/>
      <c r="P48" s="479"/>
      <c r="Q48" s="473"/>
      <c r="R48" s="479"/>
      <c r="S48" s="473"/>
      <c r="T48" s="479"/>
      <c r="U48" s="473"/>
      <c r="V48" s="479"/>
      <c r="W48" s="473"/>
      <c r="X48" s="479"/>
      <c r="Y48" s="473"/>
      <c r="Z48" s="479"/>
      <c r="AA48" s="473"/>
      <c r="AB48" s="479"/>
      <c r="AC48" s="473"/>
      <c r="AF48" s="474"/>
      <c r="AG48" s="475"/>
      <c r="AH48" s="475"/>
      <c r="AI48" s="475"/>
      <c r="AJ48" s="475"/>
      <c r="AK48" s="476"/>
    </row>
    <row r="49" spans="1:37">
      <c r="A49" s="467"/>
      <c r="B49" s="450" t="s">
        <v>182</v>
      </c>
      <c r="C49" s="450"/>
      <c r="D49" s="450" t="s">
        <v>185</v>
      </c>
      <c r="E49" s="450"/>
      <c r="F49" s="450" t="s">
        <v>119</v>
      </c>
      <c r="G49" s="450"/>
      <c r="H49" s="450" t="s">
        <v>182</v>
      </c>
      <c r="I49" s="450"/>
      <c r="J49" s="450" t="s">
        <v>242</v>
      </c>
      <c r="K49" s="450"/>
      <c r="L49" s="450" t="s">
        <v>182</v>
      </c>
      <c r="M49" s="450"/>
      <c r="N49" s="450" t="s">
        <v>185</v>
      </c>
      <c r="O49" s="450"/>
      <c r="P49" s="450" t="s">
        <v>132</v>
      </c>
      <c r="Q49" s="450"/>
      <c r="R49" s="450" t="s">
        <v>137</v>
      </c>
      <c r="S49" s="450"/>
      <c r="T49" s="450" t="s">
        <v>185</v>
      </c>
      <c r="U49" s="450"/>
      <c r="V49" s="450" t="s">
        <v>182</v>
      </c>
      <c r="W49" s="450"/>
      <c r="X49" s="450" t="s">
        <v>185</v>
      </c>
      <c r="Y49" s="450"/>
      <c r="Z49" s="450" t="s">
        <v>242</v>
      </c>
      <c r="AA49" s="450"/>
      <c r="AB49" s="450" t="s">
        <v>182</v>
      </c>
      <c r="AC49" s="473"/>
      <c r="AF49" s="474"/>
      <c r="AG49" s="475"/>
      <c r="AH49" s="475"/>
      <c r="AI49" s="475"/>
      <c r="AJ49" s="475"/>
      <c r="AK49" s="476"/>
    </row>
    <row r="50" spans="1:37">
      <c r="A50" s="467"/>
      <c r="B50" s="450"/>
      <c r="C50" s="450"/>
      <c r="D50" s="450"/>
      <c r="E50" s="450"/>
      <c r="F50" s="450"/>
      <c r="G50" s="450"/>
      <c r="H50" s="450"/>
      <c r="I50" s="450"/>
      <c r="J50" s="450"/>
      <c r="K50" s="450"/>
      <c r="L50" s="450"/>
      <c r="M50" s="450"/>
      <c r="N50" s="450"/>
      <c r="O50" s="450"/>
      <c r="P50" s="450"/>
      <c r="Q50" s="450"/>
      <c r="R50" s="450"/>
      <c r="S50" s="450"/>
      <c r="T50" s="450"/>
      <c r="U50" s="450"/>
      <c r="V50" s="450"/>
      <c r="W50" s="450"/>
      <c r="X50" s="450"/>
      <c r="Y50" s="450"/>
      <c r="Z50" s="450"/>
      <c r="AA50" s="450"/>
      <c r="AB50" s="450"/>
      <c r="AC50" s="473"/>
      <c r="AF50" s="474"/>
      <c r="AG50" s="475"/>
      <c r="AH50" s="475"/>
      <c r="AI50" s="475"/>
      <c r="AJ50" s="475"/>
      <c r="AK50" s="476"/>
    </row>
    <row r="51" spans="1:37" ht="12.5" customHeight="1">
      <c r="A51" s="467"/>
      <c r="C51" s="473"/>
      <c r="E51" s="473"/>
      <c r="G51" s="473"/>
      <c r="I51" s="473"/>
      <c r="K51" s="473"/>
      <c r="M51" s="473"/>
      <c r="O51" s="473"/>
      <c r="Q51" s="473"/>
      <c r="S51" s="473"/>
      <c r="U51" s="473"/>
      <c r="W51" s="473"/>
      <c r="Y51" s="473"/>
      <c r="AA51" s="473"/>
      <c r="AC51" s="473"/>
      <c r="AF51" s="474"/>
      <c r="AG51" s="475"/>
      <c r="AH51" s="475"/>
      <c r="AI51" s="475"/>
      <c r="AJ51" s="475"/>
      <c r="AK51" s="476"/>
    </row>
    <row r="52" spans="1:37">
      <c r="A52" s="467"/>
      <c r="B52" s="468" t="s">
        <v>1224</v>
      </c>
      <c r="C52" s="443"/>
      <c r="D52" s="468" t="s">
        <v>1225</v>
      </c>
      <c r="E52" s="443"/>
      <c r="F52" s="468" t="s">
        <v>1226</v>
      </c>
      <c r="G52" s="443"/>
      <c r="H52" s="468" t="s">
        <v>1227</v>
      </c>
      <c r="I52" s="443"/>
      <c r="J52" s="468" t="s">
        <v>1228</v>
      </c>
      <c r="K52" s="443"/>
      <c r="L52" s="468" t="s">
        <v>1229</v>
      </c>
      <c r="M52" s="443"/>
      <c r="N52" s="468" t="s">
        <v>1230</v>
      </c>
      <c r="O52" s="443"/>
      <c r="P52" s="468" t="s">
        <v>1231</v>
      </c>
      <c r="Q52" s="443"/>
      <c r="R52" s="468" t="s">
        <v>1232</v>
      </c>
      <c r="S52" s="443"/>
      <c r="T52" s="468" t="s">
        <v>1233</v>
      </c>
      <c r="U52" s="443"/>
      <c r="V52" s="468" t="s">
        <v>573</v>
      </c>
      <c r="W52" s="443"/>
      <c r="X52" s="468" t="s">
        <v>1234</v>
      </c>
      <c r="Y52" s="443"/>
      <c r="Z52" s="468" t="s">
        <v>1235</v>
      </c>
      <c r="AA52" s="443"/>
      <c r="AB52" s="468" t="s">
        <v>1236</v>
      </c>
      <c r="AC52" s="473"/>
      <c r="AF52" s="474"/>
      <c r="AG52" s="475"/>
      <c r="AH52" s="475"/>
      <c r="AI52" s="475"/>
      <c r="AJ52" s="475"/>
      <c r="AK52" s="476"/>
    </row>
    <row r="53" spans="1:37">
      <c r="A53" s="467"/>
      <c r="B53" s="472"/>
      <c r="C53" s="473"/>
      <c r="D53" s="472"/>
      <c r="E53" s="473"/>
      <c r="F53" s="472"/>
      <c r="G53" s="473"/>
      <c r="H53" s="472"/>
      <c r="I53" s="473"/>
      <c r="J53" s="472"/>
      <c r="K53" s="473"/>
      <c r="L53" s="472"/>
      <c r="M53" s="473"/>
      <c r="N53" s="472"/>
      <c r="O53" s="473"/>
      <c r="P53" s="472"/>
      <c r="Q53" s="473"/>
      <c r="R53" s="472"/>
      <c r="S53" s="473"/>
      <c r="T53" s="472"/>
      <c r="U53" s="473"/>
      <c r="V53" s="472"/>
      <c r="W53" s="473"/>
      <c r="X53" s="472"/>
      <c r="Y53" s="473"/>
      <c r="Z53" s="472"/>
      <c r="AA53" s="473"/>
      <c r="AB53" s="472"/>
      <c r="AC53" s="473"/>
      <c r="AF53" s="470" t="s">
        <v>1191</v>
      </c>
      <c r="AG53" s="470" t="s">
        <v>354</v>
      </c>
      <c r="AH53" s="470" t="s">
        <v>1192</v>
      </c>
      <c r="AI53" s="470" t="s">
        <v>1193</v>
      </c>
      <c r="AJ53" s="470" t="s">
        <v>303</v>
      </c>
      <c r="AK53" s="471" t="s">
        <v>1194</v>
      </c>
    </row>
    <row r="54" spans="1:37" ht="16.5" customHeight="1" thickBot="1">
      <c r="A54" s="467"/>
      <c r="B54" s="444"/>
      <c r="C54" s="473"/>
      <c r="D54" s="444"/>
      <c r="E54" s="473"/>
      <c r="F54" s="444"/>
      <c r="G54" s="473"/>
      <c r="H54" s="444"/>
      <c r="I54" s="473"/>
      <c r="J54" s="444"/>
      <c r="K54" s="473"/>
      <c r="L54" s="444"/>
      <c r="M54" s="473"/>
      <c r="N54" s="444"/>
      <c r="O54" s="473"/>
      <c r="P54" s="444"/>
      <c r="Q54" s="473"/>
      <c r="R54" s="444"/>
      <c r="S54" s="473"/>
      <c r="T54" s="444"/>
      <c r="U54" s="473"/>
      <c r="V54" s="444"/>
      <c r="W54" s="473"/>
      <c r="X54" s="444"/>
      <c r="Y54" s="473"/>
      <c r="Z54" s="444"/>
      <c r="AA54" s="473"/>
      <c r="AB54" s="444"/>
      <c r="AC54" s="473"/>
      <c r="AF54" s="474"/>
      <c r="AG54" s="475"/>
      <c r="AH54" s="475"/>
      <c r="AI54" s="475"/>
      <c r="AJ54" s="475"/>
      <c r="AK54" s="476"/>
    </row>
    <row r="55" spans="1:37" ht="42.75" customHeight="1" thickBot="1">
      <c r="A55" s="467"/>
      <c r="B55" s="446"/>
      <c r="C55" s="477">
        <v>345.35199999999998</v>
      </c>
      <c r="D55" s="446"/>
      <c r="E55" s="477">
        <v>381.91199999999998</v>
      </c>
      <c r="F55" s="446"/>
      <c r="G55" s="477">
        <v>366.81900000000002</v>
      </c>
      <c r="H55" s="446"/>
      <c r="I55" s="477">
        <v>424.00200000000001</v>
      </c>
      <c r="J55" s="446"/>
      <c r="K55" s="477">
        <v>400.12599999999998</v>
      </c>
      <c r="L55" s="446"/>
      <c r="M55" s="477">
        <v>403.79500000000002</v>
      </c>
      <c r="N55" s="446"/>
      <c r="O55" s="477">
        <v>437.70499999999998</v>
      </c>
      <c r="P55" s="446"/>
      <c r="Q55" s="477">
        <v>399.87</v>
      </c>
      <c r="R55" s="446"/>
      <c r="S55" s="477">
        <v>437.786</v>
      </c>
      <c r="T55" s="446"/>
      <c r="U55" s="477">
        <v>378.36200000000002</v>
      </c>
      <c r="V55" s="446"/>
      <c r="W55" s="477">
        <v>433.995</v>
      </c>
      <c r="X55" s="446"/>
      <c r="Y55" s="477">
        <v>370.685</v>
      </c>
      <c r="Z55" s="446"/>
      <c r="AA55" s="477">
        <v>323.97199999999998</v>
      </c>
      <c r="AB55" s="446"/>
      <c r="AC55" s="477">
        <v>384.46199999999999</v>
      </c>
      <c r="AF55" s="470">
        <v>14</v>
      </c>
      <c r="AG55" s="470"/>
      <c r="AH55" s="470"/>
      <c r="AI55" s="470"/>
      <c r="AJ55" s="470"/>
      <c r="AK55" s="471"/>
    </row>
    <row r="56" spans="1:37" ht="12.5" thickBot="1">
      <c r="A56" s="467"/>
      <c r="B56" s="479"/>
      <c r="C56" s="473"/>
      <c r="D56" s="479"/>
      <c r="E56" s="473"/>
      <c r="F56" s="479"/>
      <c r="G56" s="473"/>
      <c r="H56" s="479"/>
      <c r="I56" s="473"/>
      <c r="J56" s="479"/>
      <c r="K56" s="473"/>
      <c r="L56" s="479"/>
      <c r="M56" s="473"/>
      <c r="N56" s="479"/>
      <c r="O56" s="473"/>
      <c r="P56" s="479"/>
      <c r="Q56" s="473"/>
      <c r="R56" s="479"/>
      <c r="S56" s="473"/>
      <c r="T56" s="479"/>
      <c r="U56" s="473"/>
      <c r="V56" s="479"/>
      <c r="W56" s="473"/>
      <c r="X56" s="479"/>
      <c r="Y56" s="473"/>
      <c r="Z56" s="479"/>
      <c r="AA56" s="473"/>
      <c r="AB56" s="479"/>
      <c r="AC56" s="473"/>
      <c r="AF56" s="474"/>
      <c r="AG56" s="475"/>
      <c r="AH56" s="475"/>
      <c r="AI56" s="475"/>
      <c r="AJ56" s="475"/>
      <c r="AK56" s="476"/>
    </row>
    <row r="57" spans="1:37">
      <c r="A57" s="467"/>
      <c r="B57" s="450" t="s">
        <v>182</v>
      </c>
      <c r="C57" s="450"/>
      <c r="D57" s="450" t="s">
        <v>182</v>
      </c>
      <c r="E57" s="450"/>
      <c r="F57" s="450" t="s">
        <v>182</v>
      </c>
      <c r="G57" s="450"/>
      <c r="H57" s="450" t="s">
        <v>119</v>
      </c>
      <c r="I57" s="450"/>
      <c r="J57" s="450" t="s">
        <v>182</v>
      </c>
      <c r="K57" s="450"/>
      <c r="L57" s="450" t="s">
        <v>185</v>
      </c>
      <c r="M57" s="450"/>
      <c r="N57" s="450" t="s">
        <v>185</v>
      </c>
      <c r="O57" s="450"/>
      <c r="P57" s="450" t="s">
        <v>185</v>
      </c>
      <c r="Q57" s="450"/>
      <c r="R57" s="450" t="s">
        <v>182</v>
      </c>
      <c r="S57" s="450"/>
      <c r="T57" s="450" t="s">
        <v>242</v>
      </c>
      <c r="U57" s="450"/>
      <c r="V57" s="450" t="s">
        <v>119</v>
      </c>
      <c r="W57" s="450"/>
      <c r="X57" s="450" t="s">
        <v>185</v>
      </c>
      <c r="Y57" s="450"/>
      <c r="Z57" s="450" t="s">
        <v>182</v>
      </c>
      <c r="AA57" s="450"/>
      <c r="AB57" s="450" t="s">
        <v>182</v>
      </c>
      <c r="AC57" s="473"/>
      <c r="AF57" s="474"/>
      <c r="AG57" s="475"/>
      <c r="AH57" s="475"/>
      <c r="AI57" s="475"/>
      <c r="AJ57" s="475"/>
      <c r="AK57" s="476"/>
    </row>
    <row r="58" spans="1:37">
      <c r="A58" s="467"/>
      <c r="B58" s="450"/>
      <c r="C58" s="450"/>
      <c r="D58" s="450"/>
      <c r="E58" s="450"/>
      <c r="F58" s="450"/>
      <c r="G58" s="450"/>
      <c r="H58" s="450"/>
      <c r="I58" s="450"/>
      <c r="J58" s="450"/>
      <c r="K58" s="450"/>
      <c r="L58" s="450"/>
      <c r="M58" s="450"/>
      <c r="N58" s="450"/>
      <c r="O58" s="450"/>
      <c r="P58" s="450"/>
      <c r="Q58" s="450"/>
      <c r="R58" s="450"/>
      <c r="S58" s="450"/>
      <c r="T58" s="450"/>
      <c r="U58" s="450"/>
      <c r="V58" s="450"/>
      <c r="W58" s="450"/>
      <c r="X58" s="450"/>
      <c r="Y58" s="450"/>
      <c r="Z58" s="450"/>
      <c r="AA58" s="450"/>
      <c r="AB58" s="450"/>
      <c r="AC58" s="473"/>
      <c r="AF58" s="474"/>
      <c r="AG58" s="475"/>
      <c r="AH58" s="475"/>
      <c r="AI58" s="475"/>
      <c r="AJ58" s="475"/>
      <c r="AK58" s="476"/>
    </row>
    <row r="59" spans="1:37">
      <c r="A59" s="467"/>
      <c r="C59" s="473"/>
      <c r="E59" s="473"/>
      <c r="G59" s="473"/>
      <c r="I59" s="473"/>
      <c r="K59" s="473"/>
      <c r="M59" s="473"/>
      <c r="O59" s="473"/>
      <c r="Q59" s="473"/>
      <c r="S59" s="473"/>
      <c r="U59" s="473"/>
      <c r="W59" s="473"/>
      <c r="Y59" s="473"/>
      <c r="AA59" s="473"/>
      <c r="AC59" s="473"/>
      <c r="AF59" s="474"/>
      <c r="AG59" s="475"/>
      <c r="AH59" s="475"/>
      <c r="AI59" s="475"/>
      <c r="AJ59" s="475"/>
      <c r="AK59" s="476"/>
    </row>
    <row r="60" spans="1:37">
      <c r="A60" s="467"/>
      <c r="B60" s="468" t="s">
        <v>1237</v>
      </c>
      <c r="C60" s="443"/>
      <c r="D60" s="468" t="s">
        <v>1238</v>
      </c>
      <c r="E60" s="443"/>
      <c r="F60" s="468" t="s">
        <v>1239</v>
      </c>
      <c r="G60" s="443"/>
      <c r="H60" s="468" t="s">
        <v>575</v>
      </c>
      <c r="I60" s="443"/>
      <c r="J60" s="468" t="s">
        <v>1240</v>
      </c>
      <c r="K60" s="443"/>
      <c r="L60" s="468" t="s">
        <v>1241</v>
      </c>
      <c r="M60" s="443"/>
      <c r="N60" s="468" t="s">
        <v>584</v>
      </c>
      <c r="O60" s="443"/>
      <c r="P60" s="468" t="s">
        <v>1242</v>
      </c>
      <c r="Q60" s="443"/>
      <c r="R60" s="468" t="s">
        <v>1243</v>
      </c>
      <c r="S60" s="443"/>
      <c r="T60" s="468" t="s">
        <v>1244</v>
      </c>
      <c r="U60" s="443"/>
      <c r="V60" s="468" t="s">
        <v>589</v>
      </c>
      <c r="W60" s="443"/>
      <c r="X60" s="468" t="s">
        <v>1245</v>
      </c>
      <c r="Y60" s="443"/>
      <c r="Z60" s="468" t="s">
        <v>590</v>
      </c>
      <c r="AA60" s="443"/>
      <c r="AB60" s="468" t="s">
        <v>1246</v>
      </c>
      <c r="AC60" s="473"/>
      <c r="AF60" s="474"/>
      <c r="AG60" s="475"/>
      <c r="AH60" s="475"/>
      <c r="AI60" s="475"/>
      <c r="AJ60" s="475"/>
      <c r="AK60" s="476"/>
    </row>
    <row r="61" spans="1:37">
      <c r="A61" s="467"/>
      <c r="B61" s="472"/>
      <c r="C61" s="473"/>
      <c r="D61" s="472"/>
      <c r="E61" s="481"/>
      <c r="F61" s="472"/>
      <c r="G61" s="481"/>
      <c r="H61" s="472"/>
      <c r="I61" s="473"/>
      <c r="J61" s="472"/>
      <c r="K61" s="473"/>
      <c r="L61" s="472"/>
      <c r="M61" s="473"/>
      <c r="N61" s="472"/>
      <c r="O61" s="473"/>
      <c r="P61" s="472"/>
      <c r="Q61" s="473"/>
      <c r="R61" s="472"/>
      <c r="S61" s="481"/>
      <c r="T61" s="472"/>
      <c r="U61" s="481"/>
      <c r="V61" s="472"/>
      <c r="W61" s="450"/>
      <c r="X61" s="472"/>
      <c r="Y61" s="473"/>
      <c r="Z61" s="472"/>
      <c r="AA61" s="484"/>
      <c r="AB61" s="472"/>
      <c r="AC61" s="473"/>
      <c r="AF61" s="470" t="s">
        <v>1191</v>
      </c>
      <c r="AG61" s="470" t="s">
        <v>354</v>
      </c>
      <c r="AH61" s="470" t="s">
        <v>1192</v>
      </c>
      <c r="AI61" s="470" t="s">
        <v>1193</v>
      </c>
      <c r="AJ61" s="470" t="s">
        <v>303</v>
      </c>
      <c r="AK61" s="471" t="s">
        <v>1194</v>
      </c>
    </row>
    <row r="62" spans="1:37" ht="12.5" thickBot="1">
      <c r="A62" s="467"/>
      <c r="B62" s="444"/>
      <c r="C62" s="473"/>
      <c r="D62" s="444"/>
      <c r="E62" s="473"/>
      <c r="F62" s="444"/>
      <c r="G62" s="473"/>
      <c r="H62" s="444"/>
      <c r="I62" s="473"/>
      <c r="J62" s="444"/>
      <c r="K62" s="473"/>
      <c r="L62" s="444"/>
      <c r="M62" s="473"/>
      <c r="N62" s="444"/>
      <c r="O62" s="473"/>
      <c r="P62" s="444"/>
      <c r="Q62" s="473"/>
      <c r="R62" s="444"/>
      <c r="S62" s="473"/>
      <c r="T62" s="444"/>
      <c r="U62" s="473"/>
      <c r="V62" s="444"/>
      <c r="W62" s="473"/>
      <c r="X62" s="444"/>
      <c r="Y62" s="473"/>
      <c r="Z62" s="444"/>
      <c r="AA62" s="473"/>
      <c r="AB62" s="444"/>
      <c r="AC62" s="473"/>
      <c r="AF62" s="474"/>
      <c r="AG62" s="475"/>
      <c r="AH62" s="475"/>
      <c r="AI62" s="475"/>
      <c r="AJ62" s="475"/>
      <c r="AK62" s="476"/>
    </row>
    <row r="63" spans="1:37" ht="42" customHeight="1" thickBot="1">
      <c r="A63" s="467"/>
      <c r="B63" s="446"/>
      <c r="C63" s="477">
        <v>381.18799999999999</v>
      </c>
      <c r="D63" s="446"/>
      <c r="E63" s="477">
        <v>336.40899999999999</v>
      </c>
      <c r="F63" s="446"/>
      <c r="G63" s="477">
        <v>438.97</v>
      </c>
      <c r="H63" s="446"/>
      <c r="I63" s="477">
        <v>395.17899999999997</v>
      </c>
      <c r="J63" s="446"/>
      <c r="K63" s="477">
        <v>388.12</v>
      </c>
      <c r="L63" s="446"/>
      <c r="M63" s="477">
        <v>364.44600000000003</v>
      </c>
      <c r="N63" s="446"/>
      <c r="O63" s="477">
        <v>404.572</v>
      </c>
      <c r="P63" s="446"/>
      <c r="Q63" s="477">
        <v>432.27</v>
      </c>
      <c r="R63" s="446"/>
      <c r="S63" s="477">
        <v>404.23</v>
      </c>
      <c r="T63" s="446"/>
      <c r="U63" s="477">
        <v>416.62099999999998</v>
      </c>
      <c r="V63" s="446"/>
      <c r="W63" s="477">
        <v>468.03899999999999</v>
      </c>
      <c r="X63" s="446"/>
      <c r="Y63" s="477">
        <v>432.31799999999998</v>
      </c>
      <c r="Z63" s="446"/>
      <c r="AA63" s="477">
        <v>464.52100000000002</v>
      </c>
      <c r="AB63" s="446"/>
      <c r="AC63" s="477">
        <v>369.74299999999999</v>
      </c>
      <c r="AF63" s="470">
        <v>14</v>
      </c>
      <c r="AG63" s="470"/>
      <c r="AH63" s="470"/>
      <c r="AI63" s="470"/>
      <c r="AJ63" s="470"/>
      <c r="AK63" s="471"/>
    </row>
    <row r="64" spans="1:37" ht="12.5" thickBot="1">
      <c r="A64" s="467"/>
      <c r="B64" s="479"/>
      <c r="C64" s="473"/>
      <c r="D64" s="479"/>
      <c r="E64" s="473"/>
      <c r="F64" s="479"/>
      <c r="G64" s="473"/>
      <c r="H64" s="479"/>
      <c r="I64" s="473"/>
      <c r="J64" s="479"/>
      <c r="K64" s="473"/>
      <c r="L64" s="479"/>
      <c r="M64" s="473"/>
      <c r="N64" s="479"/>
      <c r="O64" s="473"/>
      <c r="P64" s="479"/>
      <c r="Q64" s="473"/>
      <c r="R64" s="479"/>
      <c r="S64" s="473"/>
      <c r="T64" s="479"/>
      <c r="U64" s="473"/>
      <c r="V64" s="479"/>
      <c r="W64" s="473"/>
      <c r="X64" s="479"/>
      <c r="Y64" s="473"/>
      <c r="Z64" s="479"/>
      <c r="AA64" s="473"/>
      <c r="AB64" s="479"/>
      <c r="AC64" s="473"/>
      <c r="AF64" s="474"/>
      <c r="AG64" s="475"/>
      <c r="AH64" s="475"/>
      <c r="AI64" s="475"/>
      <c r="AJ64" s="475"/>
      <c r="AK64" s="476"/>
    </row>
    <row r="65" spans="1:37">
      <c r="A65" s="467"/>
      <c r="B65" s="450" t="s">
        <v>182</v>
      </c>
      <c r="C65" s="450"/>
      <c r="D65" s="450" t="s">
        <v>182</v>
      </c>
      <c r="E65" s="450"/>
      <c r="F65" s="450" t="s">
        <v>182</v>
      </c>
      <c r="G65" s="450"/>
      <c r="H65" s="450" t="s">
        <v>119</v>
      </c>
      <c r="I65" s="450"/>
      <c r="J65" s="450" t="s">
        <v>182</v>
      </c>
      <c r="K65" s="450"/>
      <c r="L65" s="450" t="s">
        <v>185</v>
      </c>
      <c r="M65" s="450"/>
      <c r="N65" s="450" t="s">
        <v>115</v>
      </c>
      <c r="O65" s="450"/>
      <c r="P65" s="450" t="s">
        <v>248</v>
      </c>
      <c r="Q65" s="450"/>
      <c r="R65" s="450" t="s">
        <v>242</v>
      </c>
      <c r="S65" s="450"/>
      <c r="T65" s="450" t="s">
        <v>185</v>
      </c>
      <c r="U65" s="450"/>
      <c r="V65" s="450" t="s">
        <v>119</v>
      </c>
      <c r="W65" s="450"/>
      <c r="X65" s="450" t="s">
        <v>132</v>
      </c>
      <c r="Y65" s="450"/>
      <c r="Z65" s="450" t="s">
        <v>123</v>
      </c>
      <c r="AA65" s="450"/>
      <c r="AB65" s="450" t="s">
        <v>242</v>
      </c>
      <c r="AC65" s="473"/>
      <c r="AF65" s="474"/>
      <c r="AG65" s="475"/>
      <c r="AH65" s="475"/>
      <c r="AI65" s="475"/>
      <c r="AJ65" s="475"/>
      <c r="AK65" s="476"/>
    </row>
    <row r="66" spans="1:37">
      <c r="A66" s="467"/>
      <c r="B66" s="450"/>
      <c r="C66" s="450"/>
      <c r="D66" s="450"/>
      <c r="E66" s="450"/>
      <c r="F66" s="450"/>
      <c r="G66" s="450"/>
      <c r="H66" s="450"/>
      <c r="I66" s="450"/>
      <c r="J66" s="450"/>
      <c r="K66" s="450"/>
      <c r="L66" s="450"/>
      <c r="M66" s="450"/>
      <c r="N66" s="450"/>
      <c r="O66" s="450"/>
      <c r="P66" s="450"/>
      <c r="Q66" s="450"/>
      <c r="R66" s="450"/>
      <c r="S66" s="450"/>
      <c r="T66" s="450"/>
      <c r="U66" s="450"/>
      <c r="V66" s="450"/>
      <c r="W66" s="450"/>
      <c r="X66" s="450"/>
      <c r="Y66" s="450"/>
      <c r="Z66" s="450"/>
      <c r="AA66" s="450"/>
      <c r="AB66" s="450"/>
      <c r="AC66" s="473"/>
      <c r="AF66" s="474"/>
      <c r="AG66" s="475"/>
      <c r="AH66" s="475"/>
      <c r="AI66" s="475"/>
      <c r="AJ66" s="475"/>
      <c r="AK66" s="476"/>
    </row>
    <row r="67" spans="1:37">
      <c r="A67" s="467"/>
      <c r="C67" s="473"/>
      <c r="E67" s="473"/>
      <c r="G67" s="473"/>
      <c r="I67" s="473"/>
      <c r="K67" s="473"/>
      <c r="M67" s="473"/>
      <c r="O67" s="473"/>
      <c r="Q67" s="473"/>
      <c r="S67" s="473"/>
      <c r="U67" s="473"/>
      <c r="W67" s="473"/>
      <c r="Y67" s="473"/>
      <c r="AA67" s="473"/>
      <c r="AC67" s="473"/>
      <c r="AF67" s="474"/>
      <c r="AG67" s="475"/>
      <c r="AH67" s="475"/>
      <c r="AI67" s="475"/>
      <c r="AJ67" s="475"/>
      <c r="AK67" s="476"/>
    </row>
    <row r="68" spans="1:37">
      <c r="A68" s="467"/>
      <c r="B68" s="468" t="s">
        <v>595</v>
      </c>
      <c r="C68" s="443"/>
      <c r="D68" s="468" t="s">
        <v>1247</v>
      </c>
      <c r="E68" s="443"/>
      <c r="F68" s="468" t="s">
        <v>604</v>
      </c>
      <c r="G68" s="443"/>
      <c r="H68" s="468" t="s">
        <v>1248</v>
      </c>
      <c r="I68" s="443"/>
      <c r="J68" s="468" t="s">
        <v>608</v>
      </c>
      <c r="K68" s="443"/>
      <c r="L68" s="468" t="s">
        <v>1249</v>
      </c>
      <c r="M68" s="443"/>
      <c r="N68" s="468" t="s">
        <v>609</v>
      </c>
      <c r="O68" s="443"/>
      <c r="P68" s="468" t="s">
        <v>1250</v>
      </c>
      <c r="Q68" s="443"/>
      <c r="R68" s="468" t="s">
        <v>1251</v>
      </c>
      <c r="S68" s="443"/>
      <c r="T68" s="468" t="s">
        <v>1252</v>
      </c>
      <c r="U68" s="443"/>
      <c r="V68" s="468" t="s">
        <v>610</v>
      </c>
      <c r="W68" s="443"/>
      <c r="X68" s="468" t="s">
        <v>1253</v>
      </c>
      <c r="Y68" s="443"/>
      <c r="Z68" s="468" t="s">
        <v>1254</v>
      </c>
      <c r="AA68" s="443"/>
      <c r="AB68" s="468" t="s">
        <v>1255</v>
      </c>
      <c r="AC68" s="473"/>
      <c r="AF68" s="474"/>
      <c r="AG68" s="475"/>
      <c r="AH68" s="475"/>
      <c r="AI68" s="475"/>
      <c r="AJ68" s="475"/>
      <c r="AK68" s="476"/>
    </row>
    <row r="69" spans="1:37">
      <c r="A69" s="467"/>
      <c r="B69" s="472"/>
      <c r="C69" s="473"/>
      <c r="D69" s="472"/>
      <c r="E69" s="473"/>
      <c r="F69" s="472"/>
      <c r="G69" s="473"/>
      <c r="H69" s="472"/>
      <c r="I69" s="473"/>
      <c r="J69" s="472"/>
      <c r="K69" s="473"/>
      <c r="L69" s="472"/>
      <c r="M69" s="481"/>
      <c r="N69" s="472"/>
      <c r="O69" s="450"/>
      <c r="P69" s="472"/>
      <c r="Q69" s="473"/>
      <c r="R69" s="472"/>
      <c r="S69" s="473"/>
      <c r="T69" s="472"/>
      <c r="U69" s="473"/>
      <c r="V69" s="472"/>
      <c r="W69" s="473"/>
      <c r="X69" s="472"/>
      <c r="Y69" s="473"/>
      <c r="Z69" s="472"/>
      <c r="AA69" s="473"/>
      <c r="AB69" s="472"/>
      <c r="AC69" s="473"/>
      <c r="AF69" s="470" t="s">
        <v>1191</v>
      </c>
      <c r="AG69" s="470" t="s">
        <v>354</v>
      </c>
      <c r="AH69" s="470" t="s">
        <v>1192</v>
      </c>
      <c r="AI69" s="470" t="s">
        <v>1193</v>
      </c>
      <c r="AJ69" s="470" t="s">
        <v>303</v>
      </c>
      <c r="AK69" s="471" t="s">
        <v>1194</v>
      </c>
    </row>
    <row r="70" spans="1:37" ht="12.5" thickBot="1">
      <c r="A70" s="467"/>
      <c r="B70" s="444"/>
      <c r="C70" s="473"/>
      <c r="D70" s="444"/>
      <c r="E70" s="473"/>
      <c r="F70" s="444"/>
      <c r="G70" s="473"/>
      <c r="H70" s="444"/>
      <c r="I70" s="473"/>
      <c r="J70" s="444"/>
      <c r="K70" s="473"/>
      <c r="L70" s="444"/>
      <c r="M70" s="473"/>
      <c r="N70" s="444"/>
      <c r="O70" s="473"/>
      <c r="P70" s="444"/>
      <c r="Q70" s="473"/>
      <c r="R70" s="444"/>
      <c r="S70" s="473"/>
      <c r="T70" s="444"/>
      <c r="U70" s="473"/>
      <c r="V70" s="444"/>
      <c r="W70" s="473"/>
      <c r="X70" s="444"/>
      <c r="Y70" s="473"/>
      <c r="Z70" s="444"/>
      <c r="AA70" s="473"/>
      <c r="AB70" s="444"/>
      <c r="AC70" s="473"/>
      <c r="AF70" s="474"/>
      <c r="AG70" s="475"/>
      <c r="AH70" s="475"/>
      <c r="AI70" s="475"/>
      <c r="AJ70" s="475"/>
      <c r="AK70" s="476"/>
    </row>
    <row r="71" spans="1:37" ht="42" customHeight="1" thickBot="1">
      <c r="A71" s="467"/>
      <c r="B71" s="446"/>
      <c r="C71" s="477">
        <v>284.16000000000003</v>
      </c>
      <c r="D71" s="446"/>
      <c r="E71" s="477">
        <v>270.74200000000002</v>
      </c>
      <c r="F71" s="446"/>
      <c r="G71" s="477">
        <v>286.64</v>
      </c>
      <c r="H71" s="446"/>
      <c r="I71" s="477">
        <v>291.69900000000001</v>
      </c>
      <c r="J71" s="446"/>
      <c r="K71" s="477">
        <v>398.71899999999999</v>
      </c>
      <c r="L71" s="446"/>
      <c r="M71" s="477">
        <v>425.46499999999997</v>
      </c>
      <c r="N71" s="446"/>
      <c r="O71" s="477">
        <v>383.81299999999999</v>
      </c>
      <c r="P71" s="446"/>
      <c r="Q71" s="477">
        <v>403.279</v>
      </c>
      <c r="R71" s="446"/>
      <c r="S71" s="477">
        <v>355.21499999999997</v>
      </c>
      <c r="T71" s="446"/>
      <c r="U71" s="477">
        <v>399.839</v>
      </c>
      <c r="V71" s="446"/>
      <c r="W71" s="477">
        <v>287.44200000000001</v>
      </c>
      <c r="X71" s="446"/>
      <c r="Y71" s="477">
        <v>390.74799999999999</v>
      </c>
      <c r="Z71" s="446"/>
      <c r="AA71" s="477">
        <v>364.274</v>
      </c>
      <c r="AB71" s="446"/>
      <c r="AC71" s="477">
        <v>337.54599999999999</v>
      </c>
      <c r="AF71" s="470">
        <v>14</v>
      </c>
      <c r="AG71" s="470"/>
      <c r="AH71" s="470"/>
      <c r="AI71" s="470"/>
      <c r="AJ71" s="470"/>
      <c r="AK71" s="471"/>
    </row>
    <row r="72" spans="1:37" ht="12.5" thickBot="1">
      <c r="A72" s="467"/>
      <c r="B72" s="479"/>
      <c r="C72" s="473"/>
      <c r="D72" s="479"/>
      <c r="E72" s="473"/>
      <c r="F72" s="479"/>
      <c r="G72" s="473"/>
      <c r="H72" s="479"/>
      <c r="I72" s="473"/>
      <c r="J72" s="479"/>
      <c r="K72" s="473"/>
      <c r="L72" s="479"/>
      <c r="M72" s="473"/>
      <c r="N72" s="479"/>
      <c r="O72" s="473"/>
      <c r="P72" s="479"/>
      <c r="Q72" s="473"/>
      <c r="R72" s="479"/>
      <c r="S72" s="473"/>
      <c r="T72" s="479"/>
      <c r="U72" s="473"/>
      <c r="V72" s="479"/>
      <c r="W72" s="473"/>
      <c r="X72" s="479"/>
      <c r="Y72" s="473"/>
      <c r="Z72" s="479"/>
      <c r="AA72" s="473"/>
      <c r="AB72" s="479"/>
      <c r="AC72" s="473"/>
      <c r="AF72" s="474"/>
      <c r="AG72" s="475"/>
      <c r="AH72" s="475"/>
      <c r="AI72" s="475"/>
      <c r="AJ72" s="475"/>
      <c r="AK72" s="476"/>
    </row>
    <row r="73" spans="1:37">
      <c r="A73" s="467"/>
      <c r="B73" s="450" t="s">
        <v>125</v>
      </c>
      <c r="C73" s="450"/>
      <c r="D73" s="450" t="s">
        <v>182</v>
      </c>
      <c r="E73" s="450"/>
      <c r="F73" s="450" t="s">
        <v>119</v>
      </c>
      <c r="G73" s="450"/>
      <c r="H73" s="450" t="s">
        <v>182</v>
      </c>
      <c r="I73" s="450"/>
      <c r="J73" s="450" t="s">
        <v>115</v>
      </c>
      <c r="K73" s="450"/>
      <c r="L73" s="450" t="s">
        <v>242</v>
      </c>
      <c r="M73" s="450"/>
      <c r="N73" s="450" t="s">
        <v>125</v>
      </c>
      <c r="O73" s="450"/>
      <c r="P73" s="450" t="s">
        <v>185</v>
      </c>
      <c r="Q73" s="450"/>
      <c r="R73" s="450" t="s">
        <v>182</v>
      </c>
      <c r="S73" s="450"/>
      <c r="T73" s="450" t="s">
        <v>185</v>
      </c>
      <c r="U73" s="450"/>
      <c r="V73" s="450" t="s">
        <v>115</v>
      </c>
      <c r="W73" s="450"/>
      <c r="X73" s="450" t="s">
        <v>182</v>
      </c>
      <c r="Y73" s="450"/>
      <c r="Z73" s="450" t="s">
        <v>182</v>
      </c>
      <c r="AA73" s="450"/>
      <c r="AB73" s="450" t="s">
        <v>182</v>
      </c>
      <c r="AC73" s="473"/>
      <c r="AF73" s="474"/>
      <c r="AG73" s="475"/>
      <c r="AH73" s="475"/>
      <c r="AI73" s="475"/>
      <c r="AJ73" s="475"/>
      <c r="AK73" s="476"/>
    </row>
    <row r="74" spans="1:37">
      <c r="A74" s="467"/>
      <c r="B74" s="450"/>
      <c r="C74" s="450"/>
      <c r="D74" s="450"/>
      <c r="E74" s="450"/>
      <c r="F74" s="450"/>
      <c r="G74" s="450"/>
      <c r="H74" s="450"/>
      <c r="I74" s="450"/>
      <c r="J74" s="450"/>
      <c r="K74" s="450"/>
      <c r="L74" s="450"/>
      <c r="M74" s="450"/>
      <c r="N74" s="450"/>
      <c r="O74" s="450"/>
      <c r="P74" s="450"/>
      <c r="Q74" s="450"/>
      <c r="R74" s="450"/>
      <c r="S74" s="450"/>
      <c r="T74" s="450"/>
      <c r="U74" s="450"/>
      <c r="V74" s="450"/>
      <c r="W74" s="450"/>
      <c r="X74" s="450"/>
      <c r="Y74" s="450"/>
      <c r="Z74" s="450"/>
      <c r="AA74" s="450"/>
      <c r="AB74" s="450"/>
      <c r="AC74" s="473"/>
      <c r="AF74" s="474"/>
      <c r="AG74" s="475"/>
      <c r="AH74" s="475"/>
      <c r="AI74" s="475"/>
      <c r="AJ74" s="475"/>
      <c r="AK74" s="476"/>
    </row>
    <row r="75" spans="1:37">
      <c r="A75" s="467"/>
      <c r="C75" s="473"/>
      <c r="E75" s="473"/>
      <c r="G75" s="473"/>
      <c r="I75" s="473"/>
      <c r="K75" s="473"/>
      <c r="M75" s="473"/>
      <c r="O75" s="473"/>
      <c r="Q75" s="473"/>
      <c r="S75" s="473"/>
      <c r="U75" s="473"/>
      <c r="W75" s="473"/>
      <c r="Y75" s="473"/>
      <c r="AA75" s="473"/>
      <c r="AC75" s="473"/>
      <c r="AF75" s="474"/>
      <c r="AG75" s="475"/>
      <c r="AH75" s="475"/>
      <c r="AI75" s="475"/>
      <c r="AJ75" s="475"/>
      <c r="AK75" s="476"/>
    </row>
    <row r="76" spans="1:37">
      <c r="A76" s="467"/>
      <c r="B76" s="468" t="s">
        <v>1256</v>
      </c>
      <c r="C76" s="443"/>
      <c r="D76" s="468" t="s">
        <v>1257</v>
      </c>
      <c r="E76" s="443"/>
      <c r="F76" s="468" t="s">
        <v>1258</v>
      </c>
      <c r="G76" s="443"/>
      <c r="H76" s="468" t="s">
        <v>616</v>
      </c>
      <c r="I76" s="443"/>
      <c r="J76" s="468" t="s">
        <v>1259</v>
      </c>
      <c r="K76" s="443"/>
      <c r="L76" s="468" t="s">
        <v>1260</v>
      </c>
      <c r="M76" s="443"/>
      <c r="N76" s="468" t="s">
        <v>620</v>
      </c>
      <c r="O76" s="443"/>
      <c r="P76" s="468" t="s">
        <v>623</v>
      </c>
      <c r="Q76" s="443"/>
      <c r="R76" s="468" t="s">
        <v>1261</v>
      </c>
      <c r="S76" s="443"/>
      <c r="T76" s="468" t="s">
        <v>1262</v>
      </c>
      <c r="U76" s="443"/>
      <c r="V76" s="468" t="s">
        <v>1263</v>
      </c>
      <c r="W76" s="443"/>
      <c r="X76" s="468" t="s">
        <v>624</v>
      </c>
      <c r="Y76" s="443"/>
      <c r="Z76" s="468" t="s">
        <v>1264</v>
      </c>
      <c r="AA76" s="443"/>
      <c r="AB76" s="468" t="s">
        <v>625</v>
      </c>
      <c r="AC76" s="473"/>
      <c r="AF76" s="474"/>
      <c r="AG76" s="475"/>
      <c r="AH76" s="475"/>
      <c r="AI76" s="475"/>
      <c r="AJ76" s="475"/>
      <c r="AK76" s="476"/>
    </row>
    <row r="77" spans="1:37">
      <c r="A77" s="467"/>
      <c r="B77" s="472"/>
      <c r="C77" s="473"/>
      <c r="D77" s="472"/>
      <c r="E77" s="473"/>
      <c r="F77" s="472"/>
      <c r="G77" s="473"/>
      <c r="H77" s="472"/>
      <c r="I77" s="473"/>
      <c r="J77" s="472"/>
      <c r="K77" s="473"/>
      <c r="L77" s="472"/>
      <c r="M77" s="473"/>
      <c r="N77" s="472"/>
      <c r="O77" s="473"/>
      <c r="P77" s="472"/>
      <c r="Q77" s="473"/>
      <c r="R77" s="472"/>
      <c r="S77" s="481"/>
      <c r="T77" s="472"/>
      <c r="U77" s="481"/>
      <c r="V77" s="472"/>
      <c r="W77" s="473"/>
      <c r="X77" s="472"/>
      <c r="Y77" s="473"/>
      <c r="Z77" s="472"/>
      <c r="AA77" s="473"/>
      <c r="AB77" s="472"/>
      <c r="AC77" s="473"/>
      <c r="AF77" s="470" t="s">
        <v>1191</v>
      </c>
      <c r="AG77" s="470" t="s">
        <v>354</v>
      </c>
      <c r="AH77" s="470" t="s">
        <v>1192</v>
      </c>
      <c r="AI77" s="470" t="s">
        <v>1193</v>
      </c>
      <c r="AJ77" s="470" t="s">
        <v>303</v>
      </c>
      <c r="AK77" s="471" t="s">
        <v>1194</v>
      </c>
    </row>
    <row r="78" spans="1:37" ht="12.5" thickBot="1">
      <c r="A78" s="467"/>
      <c r="B78" s="444"/>
      <c r="C78" s="473"/>
      <c r="D78" s="444"/>
      <c r="E78" s="473"/>
      <c r="F78" s="444"/>
      <c r="G78" s="473"/>
      <c r="H78" s="444"/>
      <c r="I78" s="473"/>
      <c r="J78" s="444"/>
      <c r="K78" s="473"/>
      <c r="L78" s="444"/>
      <c r="M78" s="473"/>
      <c r="N78" s="444"/>
      <c r="O78" s="473"/>
      <c r="P78" s="444"/>
      <c r="Q78" s="473"/>
      <c r="R78" s="444"/>
      <c r="S78" s="473"/>
      <c r="T78" s="444"/>
      <c r="U78" s="473"/>
      <c r="V78" s="444"/>
      <c r="W78" s="473"/>
      <c r="X78" s="444"/>
      <c r="Y78" s="473"/>
      <c r="Z78" s="444"/>
      <c r="AA78" s="473"/>
      <c r="AB78" s="444"/>
      <c r="AC78" s="473"/>
      <c r="AF78" s="474"/>
      <c r="AG78" s="475"/>
      <c r="AH78" s="475"/>
      <c r="AI78" s="475"/>
      <c r="AJ78" s="475"/>
      <c r="AK78" s="476"/>
    </row>
    <row r="79" spans="1:37" ht="42" customHeight="1" thickBot="1">
      <c r="A79" s="467"/>
      <c r="B79" s="446"/>
      <c r="C79" s="477">
        <v>348.29199999999997</v>
      </c>
      <c r="D79" s="446"/>
      <c r="E79" s="477">
        <v>418.83499999999998</v>
      </c>
      <c r="F79" s="446"/>
      <c r="G79" s="477">
        <v>408.96300000000002</v>
      </c>
      <c r="H79" s="446"/>
      <c r="I79" s="477">
        <v>365.46699999999998</v>
      </c>
      <c r="J79" s="446"/>
      <c r="K79" s="477">
        <v>437.07400000000001</v>
      </c>
      <c r="L79" s="446"/>
      <c r="M79" s="477">
        <v>363.142</v>
      </c>
      <c r="N79" s="446"/>
      <c r="O79" s="477">
        <v>159.78899999999999</v>
      </c>
      <c r="P79" s="446"/>
      <c r="Q79" s="477">
        <v>300.15800000000002</v>
      </c>
      <c r="R79" s="446"/>
      <c r="S79" s="477">
        <v>293.13099999999997</v>
      </c>
      <c r="T79" s="446"/>
      <c r="U79" s="477">
        <v>357.37700000000001</v>
      </c>
      <c r="V79" s="446"/>
      <c r="W79" s="477">
        <v>341.40899999999999</v>
      </c>
      <c r="X79" s="446"/>
      <c r="Y79" s="477">
        <v>362.90499999999997</v>
      </c>
      <c r="Z79" s="446"/>
      <c r="AA79" s="477">
        <v>421.05200000000002</v>
      </c>
      <c r="AB79" s="446"/>
      <c r="AC79" s="477">
        <v>216.44800000000001</v>
      </c>
      <c r="AF79" s="470">
        <v>14</v>
      </c>
      <c r="AG79" s="470"/>
      <c r="AH79" s="470"/>
      <c r="AI79" s="470"/>
      <c r="AJ79" s="470"/>
      <c r="AK79" s="471"/>
    </row>
    <row r="80" spans="1:37" ht="12.5" thickBot="1">
      <c r="A80" s="467"/>
      <c r="B80" s="479"/>
      <c r="C80" s="473"/>
      <c r="D80" s="479"/>
      <c r="E80" s="473"/>
      <c r="F80" s="479"/>
      <c r="G80" s="473"/>
      <c r="H80" s="479"/>
      <c r="I80" s="473"/>
      <c r="J80" s="479"/>
      <c r="K80" s="473"/>
      <c r="L80" s="479"/>
      <c r="M80" s="473"/>
      <c r="N80" s="479"/>
      <c r="O80" s="473"/>
      <c r="P80" s="479"/>
      <c r="Q80" s="473"/>
      <c r="R80" s="479"/>
      <c r="S80" s="473"/>
      <c r="T80" s="479"/>
      <c r="U80" s="473"/>
      <c r="V80" s="479"/>
      <c r="W80" s="473"/>
      <c r="X80" s="479"/>
      <c r="Y80" s="473"/>
      <c r="Z80" s="479"/>
      <c r="AA80" s="473"/>
      <c r="AB80" s="479"/>
      <c r="AC80" s="473"/>
      <c r="AF80" s="474"/>
      <c r="AG80" s="475"/>
      <c r="AH80" s="475"/>
      <c r="AI80" s="475"/>
      <c r="AJ80" s="475"/>
      <c r="AK80" s="476"/>
    </row>
    <row r="81" spans="1:37">
      <c r="A81" s="467"/>
      <c r="B81" s="450" t="s">
        <v>182</v>
      </c>
      <c r="C81" s="450"/>
      <c r="D81" s="450" t="s">
        <v>185</v>
      </c>
      <c r="E81" s="450"/>
      <c r="F81" s="450" t="s">
        <v>248</v>
      </c>
      <c r="G81" s="450"/>
      <c r="H81" s="450" t="s">
        <v>143</v>
      </c>
      <c r="I81" s="450"/>
      <c r="J81" s="450" t="s">
        <v>182</v>
      </c>
      <c r="K81" s="450"/>
      <c r="L81" s="450" t="s">
        <v>242</v>
      </c>
      <c r="M81" s="450"/>
      <c r="N81" s="450" t="s">
        <v>188</v>
      </c>
      <c r="O81" s="450"/>
      <c r="P81" s="450" t="s">
        <v>125</v>
      </c>
      <c r="Q81" s="450"/>
      <c r="R81" s="450" t="s">
        <v>188</v>
      </c>
      <c r="S81" s="450"/>
      <c r="T81" s="450" t="s">
        <v>182</v>
      </c>
      <c r="U81" s="450"/>
      <c r="V81" s="450" t="s">
        <v>182</v>
      </c>
      <c r="W81" s="450"/>
      <c r="X81" s="450" t="s">
        <v>123</v>
      </c>
      <c r="Y81" s="450"/>
      <c r="Z81" s="450" t="s">
        <v>248</v>
      </c>
      <c r="AA81" s="450"/>
      <c r="AB81" s="450" t="s">
        <v>201</v>
      </c>
      <c r="AC81" s="473"/>
      <c r="AF81" s="474"/>
      <c r="AG81" s="475"/>
      <c r="AH81" s="475"/>
      <c r="AI81" s="475"/>
      <c r="AJ81" s="475"/>
      <c r="AK81" s="476"/>
    </row>
    <row r="82" spans="1:37">
      <c r="A82" s="467"/>
      <c r="B82" s="450"/>
      <c r="C82" s="450"/>
      <c r="D82" s="450"/>
      <c r="E82" s="450"/>
      <c r="F82" s="450"/>
      <c r="G82" s="450"/>
      <c r="H82" s="450"/>
      <c r="I82" s="450"/>
      <c r="J82" s="450"/>
      <c r="K82" s="450"/>
      <c r="L82" s="450"/>
      <c r="M82" s="450"/>
      <c r="N82" s="450"/>
      <c r="O82" s="450"/>
      <c r="P82" s="450"/>
      <c r="Q82" s="450"/>
      <c r="R82" s="450"/>
      <c r="S82" s="450"/>
      <c r="T82" s="450"/>
      <c r="U82" s="450"/>
      <c r="V82" s="450"/>
      <c r="W82" s="450"/>
      <c r="X82" s="450"/>
      <c r="Y82" s="450"/>
      <c r="Z82" s="450"/>
      <c r="AA82" s="450"/>
      <c r="AB82" s="450"/>
      <c r="AC82" s="473"/>
      <c r="AF82" s="474"/>
      <c r="AG82" s="475"/>
      <c r="AH82" s="475"/>
      <c r="AI82" s="475"/>
      <c r="AJ82" s="475"/>
      <c r="AK82" s="476"/>
    </row>
    <row r="83" spans="1:37">
      <c r="A83" s="467"/>
      <c r="C83" s="473"/>
      <c r="E83" s="473"/>
      <c r="G83" s="473"/>
      <c r="I83" s="473"/>
      <c r="K83" s="473"/>
      <c r="M83" s="473"/>
      <c r="O83" s="473"/>
      <c r="Q83" s="473"/>
      <c r="S83" s="473"/>
      <c r="U83" s="473"/>
      <c r="W83" s="473"/>
      <c r="Y83" s="473"/>
      <c r="AA83" s="473"/>
      <c r="AC83" s="473"/>
      <c r="AF83" s="474"/>
      <c r="AG83" s="475"/>
      <c r="AH83" s="475"/>
      <c r="AI83" s="475"/>
      <c r="AJ83" s="475"/>
      <c r="AK83" s="476"/>
    </row>
    <row r="84" spans="1:37">
      <c r="A84" s="467"/>
      <c r="B84" s="468" t="s">
        <v>627</v>
      </c>
      <c r="C84" s="443"/>
      <c r="D84" s="468" t="s">
        <v>634</v>
      </c>
      <c r="E84" s="443"/>
      <c r="F84" s="468" t="s">
        <v>1265</v>
      </c>
      <c r="G84" s="443"/>
      <c r="H84" s="468" t="s">
        <v>1266</v>
      </c>
      <c r="I84" s="443"/>
      <c r="J84" s="468" t="s">
        <v>1267</v>
      </c>
      <c r="K84" s="443"/>
      <c r="L84" s="468" t="s">
        <v>1268</v>
      </c>
      <c r="M84" s="443"/>
      <c r="N84" s="468" t="s">
        <v>1269</v>
      </c>
      <c r="O84" s="443"/>
      <c r="P84" s="468" t="s">
        <v>1270</v>
      </c>
      <c r="Q84" s="443"/>
      <c r="R84" s="468" t="s">
        <v>1271</v>
      </c>
      <c r="S84" s="443"/>
      <c r="T84" s="468" t="s">
        <v>1272</v>
      </c>
      <c r="U84" s="443"/>
      <c r="V84" s="468" t="s">
        <v>637</v>
      </c>
      <c r="W84" s="443"/>
      <c r="X84" s="468" t="s">
        <v>638</v>
      </c>
      <c r="Y84" s="443"/>
      <c r="Z84" s="468" t="s">
        <v>639</v>
      </c>
      <c r="AA84" s="443"/>
      <c r="AB84" s="468" t="s">
        <v>642</v>
      </c>
      <c r="AC84" s="473"/>
      <c r="AF84" s="474"/>
      <c r="AG84" s="475"/>
      <c r="AH84" s="475"/>
      <c r="AI84" s="475"/>
      <c r="AJ84" s="475"/>
      <c r="AK84" s="476"/>
    </row>
    <row r="85" spans="1:37">
      <c r="A85" s="467"/>
      <c r="B85" s="472"/>
      <c r="C85" s="473"/>
      <c r="D85" s="472"/>
      <c r="E85" s="473"/>
      <c r="F85" s="472"/>
      <c r="G85" s="473"/>
      <c r="H85" s="472"/>
      <c r="I85" s="473"/>
      <c r="J85" s="472"/>
      <c r="K85" s="473"/>
      <c r="L85" s="472"/>
      <c r="M85" s="473"/>
      <c r="N85" s="472"/>
      <c r="O85" s="473"/>
      <c r="P85" s="472"/>
      <c r="Q85" s="473"/>
      <c r="R85" s="472"/>
      <c r="S85" s="473"/>
      <c r="T85" s="472"/>
      <c r="U85" s="473"/>
      <c r="V85" s="472"/>
      <c r="W85" s="473"/>
      <c r="X85" s="472"/>
      <c r="Y85" s="473"/>
      <c r="Z85" s="472"/>
      <c r="AA85" s="473"/>
      <c r="AB85" s="472"/>
      <c r="AC85" s="473"/>
      <c r="AF85" s="470" t="s">
        <v>1191</v>
      </c>
      <c r="AG85" s="470" t="s">
        <v>354</v>
      </c>
      <c r="AH85" s="470" t="s">
        <v>1192</v>
      </c>
      <c r="AI85" s="470" t="s">
        <v>1193</v>
      </c>
      <c r="AJ85" s="470" t="s">
        <v>303</v>
      </c>
      <c r="AK85" s="471" t="s">
        <v>1194</v>
      </c>
    </row>
    <row r="86" spans="1:37" ht="12.5" thickBot="1">
      <c r="A86" s="467"/>
      <c r="B86" s="444"/>
      <c r="C86" s="473"/>
      <c r="D86" s="444"/>
      <c r="E86" s="473"/>
      <c r="F86" s="444"/>
      <c r="G86" s="473"/>
      <c r="H86" s="444"/>
      <c r="I86" s="473"/>
      <c r="J86" s="444"/>
      <c r="K86" s="473"/>
      <c r="L86" s="444"/>
      <c r="M86" s="473"/>
      <c r="N86" s="444"/>
      <c r="O86" s="473"/>
      <c r="P86" s="444"/>
      <c r="Q86" s="473"/>
      <c r="R86" s="444"/>
      <c r="S86" s="473"/>
      <c r="T86" s="444"/>
      <c r="U86" s="473"/>
      <c r="V86" s="444"/>
      <c r="W86" s="473"/>
      <c r="X86" s="444"/>
      <c r="Y86" s="473"/>
      <c r="Z86" s="444"/>
      <c r="AA86" s="473"/>
      <c r="AB86" s="444"/>
      <c r="AC86" s="473"/>
      <c r="AF86" s="474"/>
      <c r="AG86" s="475"/>
      <c r="AH86" s="475"/>
      <c r="AI86" s="475"/>
      <c r="AJ86" s="475"/>
      <c r="AK86" s="476"/>
    </row>
    <row r="87" spans="1:37" ht="42.75" customHeight="1" thickBot="1">
      <c r="A87" s="467"/>
      <c r="B87" s="446"/>
      <c r="C87" s="477">
        <v>439.69499999999999</v>
      </c>
      <c r="D87" s="446"/>
      <c r="E87" s="477">
        <v>243.18799999999999</v>
      </c>
      <c r="F87" s="446"/>
      <c r="G87" s="477">
        <v>333.21899999999999</v>
      </c>
      <c r="H87" s="446"/>
      <c r="I87" s="477">
        <v>363.00099999999998</v>
      </c>
      <c r="J87" s="446"/>
      <c r="K87" s="477">
        <v>356.12400000000002</v>
      </c>
      <c r="L87" s="446"/>
      <c r="M87" s="477">
        <v>511.69200000000001</v>
      </c>
      <c r="N87" s="446"/>
      <c r="O87" s="477">
        <v>376.245</v>
      </c>
      <c r="P87" s="446"/>
      <c r="Q87" s="477">
        <v>381.12200000000001</v>
      </c>
      <c r="R87" s="446"/>
      <c r="S87" s="477">
        <v>364.43299999999999</v>
      </c>
      <c r="T87" s="446"/>
      <c r="U87" s="477">
        <v>263.077</v>
      </c>
      <c r="V87" s="446"/>
      <c r="W87" s="477">
        <v>356.19299999999998</v>
      </c>
      <c r="X87" s="446"/>
      <c r="Y87" s="477">
        <v>352.42</v>
      </c>
      <c r="Z87" s="446"/>
      <c r="AA87" s="477">
        <v>460.56400000000002</v>
      </c>
      <c r="AB87" s="446"/>
      <c r="AC87" s="477">
        <v>381.02800000000002</v>
      </c>
      <c r="AF87" s="470">
        <v>14</v>
      </c>
      <c r="AG87" s="470"/>
      <c r="AH87" s="470"/>
      <c r="AI87" s="470"/>
      <c r="AJ87" s="470"/>
      <c r="AK87" s="471"/>
    </row>
    <row r="88" spans="1:37" ht="12.5" thickBot="1">
      <c r="A88" s="467"/>
      <c r="B88" s="479"/>
      <c r="C88" s="473"/>
      <c r="D88" s="479"/>
      <c r="E88" s="473"/>
      <c r="F88" s="479"/>
      <c r="G88" s="473"/>
      <c r="H88" s="479"/>
      <c r="I88" s="473"/>
      <c r="J88" s="479"/>
      <c r="K88" s="473"/>
      <c r="L88" s="479"/>
      <c r="M88" s="473"/>
      <c r="N88" s="479"/>
      <c r="O88" s="473"/>
      <c r="P88" s="479"/>
      <c r="Q88" s="473"/>
      <c r="R88" s="479"/>
      <c r="S88" s="473"/>
      <c r="T88" s="479"/>
      <c r="U88" s="473"/>
      <c r="V88" s="479"/>
      <c r="W88" s="473"/>
      <c r="X88" s="479"/>
      <c r="Y88" s="473"/>
      <c r="Z88" s="479"/>
      <c r="AA88" s="473"/>
      <c r="AB88" s="479"/>
      <c r="AC88" s="473"/>
      <c r="AF88" s="474"/>
      <c r="AG88" s="475"/>
      <c r="AH88" s="475"/>
      <c r="AI88" s="475"/>
      <c r="AJ88" s="475"/>
      <c r="AK88" s="476"/>
    </row>
    <row r="89" spans="1:37">
      <c r="A89" s="467"/>
      <c r="B89" s="450" t="s">
        <v>201</v>
      </c>
      <c r="C89" s="450"/>
      <c r="D89" s="450" t="s">
        <v>115</v>
      </c>
      <c r="E89" s="450"/>
      <c r="F89" s="450" t="s">
        <v>125</v>
      </c>
      <c r="G89" s="450"/>
      <c r="H89" s="450" t="s">
        <v>185</v>
      </c>
      <c r="I89" s="450"/>
      <c r="J89" s="450" t="s">
        <v>185</v>
      </c>
      <c r="K89" s="450"/>
      <c r="L89" s="450" t="s">
        <v>119</v>
      </c>
      <c r="M89" s="450"/>
      <c r="N89" s="450" t="s">
        <v>119</v>
      </c>
      <c r="O89" s="450"/>
      <c r="P89" s="450" t="s">
        <v>182</v>
      </c>
      <c r="Q89" s="450"/>
      <c r="R89" s="450" t="s">
        <v>185</v>
      </c>
      <c r="S89" s="450"/>
      <c r="T89" s="450" t="s">
        <v>248</v>
      </c>
      <c r="U89" s="450"/>
      <c r="V89" s="450" t="s">
        <v>192</v>
      </c>
      <c r="W89" s="450"/>
      <c r="X89" s="450" t="s">
        <v>182</v>
      </c>
      <c r="Y89" s="450"/>
      <c r="Z89" s="450" t="s">
        <v>132</v>
      </c>
      <c r="AA89" s="450"/>
      <c r="AB89" s="450" t="s">
        <v>128</v>
      </c>
      <c r="AC89" s="473"/>
      <c r="AF89" s="474"/>
      <c r="AG89" s="475"/>
      <c r="AH89" s="475"/>
      <c r="AI89" s="475"/>
      <c r="AJ89" s="475"/>
      <c r="AK89" s="476"/>
    </row>
    <row r="90" spans="1:37">
      <c r="A90" s="467"/>
      <c r="B90" s="450"/>
      <c r="C90" s="450"/>
      <c r="D90" s="450"/>
      <c r="E90" s="450"/>
      <c r="F90" s="450"/>
      <c r="G90" s="450"/>
      <c r="H90" s="450"/>
      <c r="I90" s="450"/>
      <c r="J90" s="450"/>
      <c r="K90" s="450"/>
      <c r="L90" s="450"/>
      <c r="M90" s="450"/>
      <c r="N90" s="450"/>
      <c r="O90" s="450"/>
      <c r="P90" s="450"/>
      <c r="Q90" s="450"/>
      <c r="R90" s="450"/>
      <c r="S90" s="450"/>
      <c r="T90" s="450"/>
      <c r="U90" s="450"/>
      <c r="V90" s="450"/>
      <c r="W90" s="450"/>
      <c r="X90" s="450"/>
      <c r="Y90" s="450"/>
      <c r="Z90" s="450"/>
      <c r="AA90" s="450"/>
      <c r="AB90" s="450"/>
      <c r="AC90" s="473"/>
      <c r="AF90" s="474"/>
      <c r="AG90" s="475"/>
      <c r="AH90" s="475"/>
      <c r="AI90" s="475"/>
      <c r="AJ90" s="475"/>
      <c r="AK90" s="476"/>
    </row>
    <row r="91" spans="1:37">
      <c r="A91" s="467"/>
      <c r="C91" s="473"/>
      <c r="E91" s="473"/>
      <c r="G91" s="473"/>
      <c r="I91" s="473"/>
      <c r="K91" s="473"/>
      <c r="M91" s="473"/>
      <c r="O91" s="473"/>
      <c r="Q91" s="473"/>
      <c r="S91" s="473"/>
      <c r="U91" s="473"/>
      <c r="W91" s="473"/>
      <c r="Y91" s="473"/>
      <c r="AA91" s="473"/>
      <c r="AC91" s="473"/>
      <c r="AF91" s="474"/>
      <c r="AG91" s="475"/>
      <c r="AH91" s="475"/>
      <c r="AI91" s="475"/>
      <c r="AJ91" s="475"/>
      <c r="AK91" s="476"/>
    </row>
    <row r="92" spans="1:37">
      <c r="A92" s="467"/>
      <c r="B92" s="468" t="s">
        <v>643</v>
      </c>
      <c r="C92" s="443"/>
      <c r="D92" s="468" t="s">
        <v>644</v>
      </c>
      <c r="E92" s="443"/>
      <c r="F92" s="468" t="s">
        <v>645</v>
      </c>
      <c r="G92" s="443"/>
      <c r="H92" s="468" t="s">
        <v>646</v>
      </c>
      <c r="I92" s="443"/>
      <c r="J92" s="468" t="s">
        <v>647</v>
      </c>
      <c r="K92" s="443"/>
      <c r="L92" s="468" t="s">
        <v>648</v>
      </c>
      <c r="M92" s="443"/>
      <c r="N92" s="468" t="s">
        <v>649</v>
      </c>
      <c r="O92" s="443"/>
      <c r="P92" s="468" t="s">
        <v>650</v>
      </c>
      <c r="Q92" s="443"/>
      <c r="R92" s="468" t="s">
        <v>651</v>
      </c>
      <c r="S92" s="443"/>
      <c r="T92" s="468" t="s">
        <v>652</v>
      </c>
      <c r="U92" s="443"/>
      <c r="V92" s="468" t="s">
        <v>653</v>
      </c>
      <c r="W92" s="443"/>
      <c r="X92" s="468" t="s">
        <v>654</v>
      </c>
      <c r="Y92" s="443"/>
      <c r="Z92" s="468" t="s">
        <v>655</v>
      </c>
      <c r="AA92" s="443"/>
      <c r="AB92" s="468" t="s">
        <v>656</v>
      </c>
      <c r="AC92" s="473"/>
      <c r="AF92" s="474"/>
      <c r="AG92" s="475"/>
      <c r="AH92" s="475"/>
      <c r="AI92" s="475"/>
      <c r="AJ92" s="475"/>
      <c r="AK92" s="476"/>
    </row>
    <row r="93" spans="1:37">
      <c r="A93" s="467"/>
      <c r="B93" s="472"/>
      <c r="C93" s="473"/>
      <c r="D93" s="472"/>
      <c r="E93" s="473"/>
      <c r="F93" s="472"/>
      <c r="G93" s="473"/>
      <c r="H93" s="472"/>
      <c r="I93" s="481"/>
      <c r="J93" s="472"/>
      <c r="K93" s="473"/>
      <c r="L93" s="472"/>
      <c r="M93" s="473"/>
      <c r="N93" s="472"/>
      <c r="O93" s="473"/>
      <c r="P93" s="472"/>
      <c r="Q93" s="473"/>
      <c r="R93" s="472"/>
      <c r="S93" s="473"/>
      <c r="T93" s="472"/>
      <c r="U93" s="473"/>
      <c r="V93" s="472"/>
      <c r="W93" s="473"/>
      <c r="X93" s="472"/>
      <c r="Y93" s="473"/>
      <c r="Z93" s="472"/>
      <c r="AA93" s="481"/>
      <c r="AB93" s="472"/>
      <c r="AC93" s="473"/>
      <c r="AF93" s="470" t="s">
        <v>1191</v>
      </c>
      <c r="AG93" s="470" t="s">
        <v>354</v>
      </c>
      <c r="AH93" s="470" t="s">
        <v>1192</v>
      </c>
      <c r="AI93" s="470" t="s">
        <v>1193</v>
      </c>
      <c r="AJ93" s="470" t="s">
        <v>303</v>
      </c>
      <c r="AK93" s="471" t="s">
        <v>1194</v>
      </c>
    </row>
    <row r="94" spans="1:37" ht="12.5" thickBot="1">
      <c r="A94" s="467"/>
      <c r="B94" s="444"/>
      <c r="C94" s="473"/>
      <c r="D94" s="444"/>
      <c r="E94" s="473"/>
      <c r="F94" s="444"/>
      <c r="G94" s="473"/>
      <c r="H94" s="444"/>
      <c r="I94" s="473"/>
      <c r="J94" s="444"/>
      <c r="K94" s="473"/>
      <c r="L94" s="444"/>
      <c r="M94" s="473"/>
      <c r="N94" s="444"/>
      <c r="O94" s="473"/>
      <c r="P94" s="444"/>
      <c r="Q94" s="473"/>
      <c r="R94" s="444"/>
      <c r="S94" s="473"/>
      <c r="T94" s="444"/>
      <c r="U94" s="473"/>
      <c r="V94" s="444"/>
      <c r="W94" s="473"/>
      <c r="X94" s="444"/>
      <c r="Y94" s="473"/>
      <c r="Z94" s="444"/>
      <c r="AA94" s="473"/>
      <c r="AB94" s="444"/>
      <c r="AC94" s="473"/>
      <c r="AF94" s="474"/>
      <c r="AG94" s="475"/>
      <c r="AH94" s="475"/>
      <c r="AI94" s="475"/>
      <c r="AJ94" s="475"/>
      <c r="AK94" s="476"/>
    </row>
    <row r="95" spans="1:37" ht="42" customHeight="1" thickBot="1">
      <c r="A95" s="467"/>
      <c r="B95" s="446"/>
      <c r="C95" s="477">
        <v>419.60300000000001</v>
      </c>
      <c r="D95" s="446"/>
      <c r="E95" s="477">
        <v>425.18</v>
      </c>
      <c r="F95" s="446"/>
      <c r="G95" s="477">
        <v>287.53699999999998</v>
      </c>
      <c r="H95" s="446"/>
      <c r="I95" s="477">
        <v>336.512</v>
      </c>
      <c r="J95" s="446"/>
      <c r="K95" s="477">
        <v>325.30399999999997</v>
      </c>
      <c r="L95" s="446"/>
      <c r="M95" s="477">
        <v>214.25299999999999</v>
      </c>
      <c r="N95" s="446"/>
      <c r="O95" s="477">
        <v>455.94600000000003</v>
      </c>
      <c r="P95" s="446"/>
      <c r="Q95" s="477">
        <v>421</v>
      </c>
      <c r="R95" s="446"/>
      <c r="S95" s="477">
        <v>419</v>
      </c>
      <c r="T95" s="446"/>
      <c r="U95" s="477">
        <v>408</v>
      </c>
      <c r="V95" s="446"/>
      <c r="W95" s="477">
        <v>409.74900000000002</v>
      </c>
      <c r="X95" s="446"/>
      <c r="Y95" s="477">
        <v>324.02999999999997</v>
      </c>
      <c r="Z95" s="446"/>
      <c r="AA95" s="477">
        <v>366.7</v>
      </c>
      <c r="AB95" s="446"/>
      <c r="AC95" s="482">
        <v>473.30500000000001</v>
      </c>
      <c r="AF95" s="470">
        <v>14</v>
      </c>
      <c r="AG95" s="470"/>
      <c r="AH95" s="470"/>
      <c r="AI95" s="470"/>
      <c r="AJ95" s="470"/>
      <c r="AK95" s="471"/>
    </row>
    <row r="96" spans="1:37" ht="12.5" thickBot="1">
      <c r="A96" s="467"/>
      <c r="B96" s="479"/>
      <c r="C96" s="473"/>
      <c r="D96" s="479"/>
      <c r="E96" s="473"/>
      <c r="F96" s="479"/>
      <c r="G96" s="473"/>
      <c r="H96" s="479"/>
      <c r="I96" s="473"/>
      <c r="J96" s="479"/>
      <c r="K96" s="473"/>
      <c r="L96" s="479"/>
      <c r="M96" s="473"/>
      <c r="N96" s="479"/>
      <c r="O96" s="473"/>
      <c r="P96" s="479"/>
      <c r="Q96" s="473"/>
      <c r="R96" s="479"/>
      <c r="S96" s="473"/>
      <c r="T96" s="479"/>
      <c r="U96" s="473"/>
      <c r="V96" s="479"/>
      <c r="W96" s="473"/>
      <c r="X96" s="479"/>
      <c r="Y96" s="473"/>
      <c r="Z96" s="479"/>
      <c r="AA96" s="473"/>
      <c r="AB96" s="479"/>
      <c r="AC96" s="473"/>
      <c r="AF96" s="474"/>
      <c r="AG96" s="475"/>
      <c r="AH96" s="475"/>
      <c r="AI96" s="475"/>
      <c r="AJ96" s="475"/>
      <c r="AK96" s="476"/>
    </row>
    <row r="97" spans="1:37">
      <c r="A97" s="467"/>
      <c r="B97" s="450" t="s">
        <v>185</v>
      </c>
      <c r="C97" s="450"/>
      <c r="D97" s="450" t="s">
        <v>248</v>
      </c>
      <c r="E97" s="450"/>
      <c r="F97" s="450" t="s">
        <v>115</v>
      </c>
      <c r="G97" s="450"/>
      <c r="H97" s="450" t="s">
        <v>182</v>
      </c>
      <c r="I97" s="450"/>
      <c r="J97" s="450" t="s">
        <v>182</v>
      </c>
      <c r="K97" s="450"/>
      <c r="L97" s="450" t="s">
        <v>182</v>
      </c>
      <c r="M97" s="450"/>
      <c r="N97" s="450" t="s">
        <v>123</v>
      </c>
      <c r="O97" s="450"/>
      <c r="P97" s="450" t="s">
        <v>123</v>
      </c>
      <c r="Q97" s="450"/>
      <c r="R97" s="450" t="s">
        <v>185</v>
      </c>
      <c r="S97" s="450"/>
      <c r="T97" s="450" t="s">
        <v>185</v>
      </c>
      <c r="U97" s="450"/>
      <c r="V97" s="450" t="s">
        <v>248</v>
      </c>
      <c r="W97" s="450"/>
      <c r="X97" s="450" t="s">
        <v>119</v>
      </c>
      <c r="Y97" s="450"/>
      <c r="Z97" s="450" t="s">
        <v>128</v>
      </c>
      <c r="AA97" s="450"/>
      <c r="AB97" s="450" t="s">
        <v>248</v>
      </c>
      <c r="AC97" s="473"/>
      <c r="AF97" s="474"/>
      <c r="AG97" s="475"/>
      <c r="AH97" s="475"/>
      <c r="AI97" s="475"/>
      <c r="AJ97" s="475"/>
      <c r="AK97" s="476"/>
    </row>
    <row r="98" spans="1:37">
      <c r="A98" s="467"/>
      <c r="B98" s="450"/>
      <c r="C98" s="450"/>
      <c r="D98" s="450"/>
      <c r="E98" s="450"/>
      <c r="F98" s="450"/>
      <c r="G98" s="450"/>
      <c r="H98" s="450"/>
      <c r="I98" s="450"/>
      <c r="J98" s="450"/>
      <c r="K98" s="450"/>
      <c r="L98" s="450"/>
      <c r="M98" s="473"/>
      <c r="N98" s="450"/>
      <c r="O98" s="450"/>
      <c r="P98" s="450"/>
      <c r="Q98" s="450"/>
      <c r="R98" s="450"/>
      <c r="S98" s="450"/>
      <c r="T98" s="450"/>
      <c r="U98" s="450"/>
      <c r="V98" s="450"/>
      <c r="W98" s="450"/>
      <c r="X98" s="450"/>
      <c r="Y98" s="450"/>
      <c r="Z98" s="450"/>
      <c r="AA98" s="450"/>
      <c r="AB98" s="450"/>
      <c r="AC98" s="473"/>
      <c r="AF98" s="474"/>
      <c r="AG98" s="475"/>
      <c r="AH98" s="475"/>
      <c r="AI98" s="475"/>
      <c r="AJ98" s="475"/>
      <c r="AK98" s="476"/>
    </row>
    <row r="99" spans="1:37" ht="9.75" customHeight="1">
      <c r="A99" s="467"/>
      <c r="C99" s="473"/>
      <c r="E99" s="473"/>
      <c r="G99" s="473"/>
      <c r="I99" s="473"/>
      <c r="K99" s="473"/>
      <c r="M99" s="473"/>
      <c r="O99" s="473"/>
      <c r="Q99" s="473"/>
      <c r="S99" s="473"/>
      <c r="U99" s="473"/>
      <c r="W99" s="473"/>
      <c r="Y99" s="473"/>
      <c r="AA99" s="473"/>
      <c r="AC99" s="473"/>
      <c r="AF99" s="474"/>
      <c r="AG99" s="475"/>
      <c r="AH99" s="475"/>
      <c r="AI99" s="475"/>
      <c r="AJ99" s="475"/>
      <c r="AK99" s="476"/>
    </row>
    <row r="100" spans="1:37" ht="23.25" customHeight="1">
      <c r="A100" s="467"/>
      <c r="B100" s="468" t="s">
        <v>657</v>
      </c>
      <c r="C100" s="443"/>
      <c r="D100" s="468" t="s">
        <v>658</v>
      </c>
      <c r="E100" s="443"/>
      <c r="F100" s="468" t="s">
        <v>659</v>
      </c>
      <c r="G100" s="443"/>
      <c r="H100" s="468" t="s">
        <v>660</v>
      </c>
      <c r="I100" s="443"/>
      <c r="J100" s="468" t="s">
        <v>661</v>
      </c>
      <c r="K100" s="443"/>
      <c r="L100" s="468" t="s">
        <v>1421</v>
      </c>
      <c r="N100" s="468" t="s">
        <v>662</v>
      </c>
      <c r="O100" s="443"/>
      <c r="P100" s="468" t="s">
        <v>663</v>
      </c>
      <c r="Q100" s="443"/>
      <c r="R100" s="468" t="s">
        <v>664</v>
      </c>
      <c r="S100" s="443"/>
      <c r="T100" s="468" t="s">
        <v>665</v>
      </c>
      <c r="U100" s="443"/>
      <c r="V100" s="468" t="s">
        <v>666</v>
      </c>
      <c r="W100" s="443"/>
      <c r="X100" s="468" t="s">
        <v>667</v>
      </c>
      <c r="Y100" s="443"/>
      <c r="Z100" s="468" t="s">
        <v>668</v>
      </c>
      <c r="AA100" s="443"/>
      <c r="AB100" s="468" t="s">
        <v>669</v>
      </c>
      <c r="AC100" s="443"/>
      <c r="AD100" s="468" t="s">
        <v>670</v>
      </c>
      <c r="AE100" s="473"/>
      <c r="AF100" s="474"/>
      <c r="AG100" s="475"/>
      <c r="AH100" s="475"/>
      <c r="AI100" s="475"/>
      <c r="AJ100" s="475"/>
      <c r="AK100" s="476"/>
    </row>
    <row r="101" spans="1:37">
      <c r="A101" s="467"/>
      <c r="B101" s="472"/>
      <c r="C101" s="473"/>
      <c r="D101" s="472"/>
      <c r="E101" s="473"/>
      <c r="F101" s="472"/>
      <c r="G101" s="473"/>
      <c r="H101" s="472"/>
      <c r="I101" s="473"/>
      <c r="J101" s="472"/>
      <c r="K101" s="473"/>
      <c r="L101" s="472"/>
      <c r="N101" s="472"/>
      <c r="O101" s="473"/>
      <c r="P101" s="472"/>
      <c r="Q101" s="473"/>
      <c r="R101" s="472"/>
      <c r="S101" s="473"/>
      <c r="T101" s="472"/>
      <c r="U101" s="473"/>
      <c r="V101" s="472"/>
      <c r="W101" s="473"/>
      <c r="X101" s="472"/>
      <c r="Y101" s="473"/>
      <c r="Z101" s="472"/>
      <c r="AA101" s="473"/>
      <c r="AB101" s="472"/>
      <c r="AC101" s="473"/>
      <c r="AD101" s="472"/>
      <c r="AE101" s="473"/>
      <c r="AF101" s="470" t="s">
        <v>1191</v>
      </c>
      <c r="AG101" s="470" t="s">
        <v>354</v>
      </c>
      <c r="AH101" s="470" t="s">
        <v>1192</v>
      </c>
      <c r="AI101" s="470" t="s">
        <v>1193</v>
      </c>
      <c r="AJ101" s="470" t="s">
        <v>303</v>
      </c>
      <c r="AK101" s="471" t="s">
        <v>1194</v>
      </c>
    </row>
    <row r="102" spans="1:37" ht="12.5" thickBot="1">
      <c r="A102" s="467"/>
      <c r="B102" s="444"/>
      <c r="C102" s="473"/>
      <c r="D102" s="444"/>
      <c r="E102" s="473"/>
      <c r="F102" s="444"/>
      <c r="G102" s="473"/>
      <c r="H102" s="444"/>
      <c r="I102" s="473"/>
      <c r="J102" s="444"/>
      <c r="K102" s="473"/>
      <c r="L102" s="444"/>
      <c r="N102" s="444"/>
      <c r="O102" s="473"/>
      <c r="P102" s="444"/>
      <c r="Q102" s="473"/>
      <c r="R102" s="444"/>
      <c r="S102" s="473"/>
      <c r="T102" s="444"/>
      <c r="U102" s="473"/>
      <c r="V102" s="444"/>
      <c r="W102" s="473"/>
      <c r="X102" s="444"/>
      <c r="Y102" s="473"/>
      <c r="Z102" s="444"/>
      <c r="AA102" s="473"/>
      <c r="AB102" s="444"/>
      <c r="AC102" s="473"/>
      <c r="AD102" s="444"/>
      <c r="AE102" s="473"/>
      <c r="AF102" s="474"/>
      <c r="AG102" s="475"/>
      <c r="AH102" s="475"/>
      <c r="AI102" s="475"/>
      <c r="AJ102" s="475"/>
      <c r="AK102" s="476"/>
    </row>
    <row r="103" spans="1:37" ht="42.75" customHeight="1" thickBot="1">
      <c r="A103" s="467"/>
      <c r="B103" s="446"/>
      <c r="C103" s="477">
        <v>358.32100000000003</v>
      </c>
      <c r="D103" s="446"/>
      <c r="E103" s="477">
        <v>477.815</v>
      </c>
      <c r="F103" s="446"/>
      <c r="G103" s="477">
        <v>415.464</v>
      </c>
      <c r="H103" s="446"/>
      <c r="I103" s="477">
        <v>402.22899999999998</v>
      </c>
      <c r="J103" s="446"/>
      <c r="K103" s="477">
        <v>437.43400000000003</v>
      </c>
      <c r="L103" s="446"/>
      <c r="N103" s="446"/>
      <c r="O103" s="477">
        <v>455.92200000000003</v>
      </c>
      <c r="P103" s="446"/>
      <c r="Q103" s="477">
        <v>368.5</v>
      </c>
      <c r="R103" s="446"/>
      <c r="S103" s="477">
        <v>419.76499999999999</v>
      </c>
      <c r="T103" s="446"/>
      <c r="U103" s="477">
        <v>418.91699999999997</v>
      </c>
      <c r="V103" s="446"/>
      <c r="W103" s="477">
        <v>386.48599999999999</v>
      </c>
      <c r="X103" s="446"/>
      <c r="Y103" s="477">
        <v>376.53</v>
      </c>
      <c r="Z103" s="446"/>
      <c r="AA103" s="477">
        <v>404.73899999999998</v>
      </c>
      <c r="AB103" s="446"/>
      <c r="AC103" s="477">
        <v>366.72899999999998</v>
      </c>
      <c r="AD103" s="446"/>
      <c r="AE103" s="477">
        <v>274.58699999999999</v>
      </c>
      <c r="AF103" s="470">
        <v>14</v>
      </c>
      <c r="AG103" s="470"/>
      <c r="AH103" s="470"/>
      <c r="AI103" s="470"/>
      <c r="AJ103" s="470"/>
      <c r="AK103" s="471"/>
    </row>
    <row r="104" spans="1:37" ht="12.5" thickBot="1">
      <c r="A104" s="467"/>
      <c r="B104" s="479"/>
      <c r="C104" s="473"/>
      <c r="D104" s="479"/>
      <c r="E104" s="473"/>
      <c r="F104" s="479"/>
      <c r="G104" s="473"/>
      <c r="H104" s="479"/>
      <c r="I104" s="473"/>
      <c r="J104" s="479"/>
      <c r="K104" s="473"/>
      <c r="L104" s="479"/>
      <c r="N104" s="479"/>
      <c r="O104" s="473"/>
      <c r="P104" s="479"/>
      <c r="Q104" s="473"/>
      <c r="R104" s="479"/>
      <c r="S104" s="473"/>
      <c r="T104" s="479"/>
      <c r="U104" s="473"/>
      <c r="V104" s="479"/>
      <c r="W104" s="473"/>
      <c r="X104" s="479"/>
      <c r="Y104" s="473"/>
      <c r="Z104" s="479"/>
      <c r="AA104" s="473"/>
      <c r="AB104" s="479"/>
      <c r="AC104" s="473"/>
      <c r="AD104" s="479"/>
      <c r="AE104" s="473"/>
      <c r="AF104" s="474"/>
      <c r="AG104" s="475"/>
      <c r="AH104" s="475"/>
      <c r="AI104" s="475"/>
      <c r="AJ104" s="475"/>
      <c r="AK104" s="476"/>
    </row>
    <row r="105" spans="1:37">
      <c r="A105" s="467"/>
      <c r="B105" s="450" t="s">
        <v>123</v>
      </c>
      <c r="C105" s="450"/>
      <c r="D105" s="450" t="s">
        <v>248</v>
      </c>
      <c r="E105" s="450"/>
      <c r="F105" s="450" t="s">
        <v>123</v>
      </c>
      <c r="G105" s="450"/>
      <c r="H105" s="450" t="s">
        <v>248</v>
      </c>
      <c r="I105" s="450"/>
      <c r="J105" s="450" t="s">
        <v>248</v>
      </c>
      <c r="K105" s="450"/>
      <c r="L105" s="450" t="s">
        <v>125</v>
      </c>
      <c r="N105" s="450" t="s">
        <v>125</v>
      </c>
      <c r="O105" s="450"/>
      <c r="P105" s="450" t="s">
        <v>242</v>
      </c>
      <c r="Q105" s="450"/>
      <c r="R105" s="450" t="s">
        <v>119</v>
      </c>
      <c r="S105" s="450"/>
      <c r="T105" s="450" t="s">
        <v>242</v>
      </c>
      <c r="U105" s="450"/>
      <c r="V105" s="450" t="s">
        <v>248</v>
      </c>
      <c r="W105" s="450"/>
      <c r="X105" s="450" t="s">
        <v>185</v>
      </c>
      <c r="Y105" s="450"/>
      <c r="Z105" s="450" t="s">
        <v>188</v>
      </c>
      <c r="AA105" s="450"/>
      <c r="AB105" s="450" t="s">
        <v>242</v>
      </c>
      <c r="AC105" s="450"/>
      <c r="AD105" s="450" t="s">
        <v>182</v>
      </c>
      <c r="AE105" s="473"/>
      <c r="AF105" s="474"/>
      <c r="AG105" s="475"/>
      <c r="AH105" s="475"/>
      <c r="AI105" s="475"/>
      <c r="AJ105" s="475"/>
      <c r="AK105" s="476"/>
    </row>
    <row r="106" spans="1:37">
      <c r="A106" s="467"/>
      <c r="B106" s="450"/>
      <c r="C106" s="450"/>
      <c r="D106" s="450"/>
      <c r="E106" s="450"/>
      <c r="F106" s="450"/>
      <c r="G106" s="450"/>
      <c r="H106" s="450"/>
      <c r="I106" s="450"/>
      <c r="J106" s="450"/>
      <c r="K106" s="450"/>
      <c r="L106" s="450"/>
      <c r="M106" s="450"/>
      <c r="N106" s="450"/>
      <c r="O106" s="450"/>
      <c r="P106" s="450"/>
      <c r="Q106" s="450"/>
      <c r="R106" s="450"/>
      <c r="S106" s="450"/>
      <c r="T106" s="450"/>
      <c r="U106" s="450"/>
      <c r="V106" s="450"/>
      <c r="W106" s="450"/>
      <c r="X106" s="450"/>
      <c r="Y106" s="450"/>
      <c r="Z106" s="450"/>
      <c r="AA106" s="450"/>
      <c r="AB106" s="450"/>
      <c r="AC106" s="473"/>
      <c r="AF106" s="474"/>
      <c r="AG106" s="475"/>
      <c r="AH106" s="475"/>
      <c r="AI106" s="475"/>
      <c r="AJ106" s="475"/>
      <c r="AK106" s="476"/>
    </row>
    <row r="107" spans="1:37">
      <c r="A107" s="467"/>
      <c r="C107" s="473"/>
      <c r="E107" s="473"/>
      <c r="G107" s="473"/>
      <c r="I107" s="473"/>
      <c r="K107" s="473"/>
      <c r="M107" s="473"/>
      <c r="O107" s="473"/>
      <c r="Q107" s="473"/>
      <c r="S107" s="473"/>
      <c r="U107" s="473"/>
      <c r="W107" s="473"/>
      <c r="Y107" s="473"/>
      <c r="AA107" s="473"/>
      <c r="AC107" s="473"/>
      <c r="AF107" s="474"/>
      <c r="AG107" s="475"/>
      <c r="AH107" s="475"/>
      <c r="AI107" s="475"/>
      <c r="AJ107" s="475"/>
      <c r="AK107" s="476"/>
    </row>
    <row r="108" spans="1:37">
      <c r="A108" s="467"/>
      <c r="B108" s="468" t="s">
        <v>671</v>
      </c>
      <c r="C108" s="443"/>
      <c r="D108" s="468" t="s">
        <v>672</v>
      </c>
      <c r="E108" s="443"/>
      <c r="F108" s="468" t="s">
        <v>673</v>
      </c>
      <c r="G108" s="443"/>
      <c r="H108" s="468" t="s">
        <v>674</v>
      </c>
      <c r="I108" s="443"/>
      <c r="J108" s="468" t="s">
        <v>675</v>
      </c>
      <c r="K108" s="443"/>
      <c r="L108" s="468" t="s">
        <v>676</v>
      </c>
      <c r="M108" s="443"/>
      <c r="N108" s="468" t="s">
        <v>677</v>
      </c>
      <c r="O108" s="443"/>
      <c r="P108" s="468" t="s">
        <v>678</v>
      </c>
      <c r="Q108" s="443"/>
      <c r="R108" s="468" t="s">
        <v>679</v>
      </c>
      <c r="S108" s="443"/>
      <c r="T108" s="468" t="s">
        <v>680</v>
      </c>
      <c r="U108" s="443"/>
      <c r="V108" s="468" t="s">
        <v>681</v>
      </c>
      <c r="W108" s="443"/>
      <c r="X108" s="468" t="s">
        <v>682</v>
      </c>
      <c r="Y108" s="443"/>
      <c r="Z108" s="468" t="s">
        <v>683</v>
      </c>
      <c r="AA108" s="443"/>
      <c r="AB108" s="468" t="s">
        <v>684</v>
      </c>
      <c r="AC108" s="473"/>
      <c r="AF108" s="474"/>
      <c r="AG108" s="475"/>
      <c r="AH108" s="475"/>
      <c r="AI108" s="475"/>
      <c r="AJ108" s="475"/>
      <c r="AK108" s="476"/>
    </row>
    <row r="109" spans="1:37">
      <c r="A109" s="467"/>
      <c r="B109" s="472"/>
      <c r="C109" s="450"/>
      <c r="D109" s="472"/>
      <c r="E109" s="473"/>
      <c r="F109" s="472"/>
      <c r="G109" s="473"/>
      <c r="H109" s="472"/>
      <c r="I109" s="473"/>
      <c r="J109" s="472"/>
      <c r="K109" s="473"/>
      <c r="L109" s="472"/>
      <c r="M109" s="473"/>
      <c r="N109" s="472"/>
      <c r="O109" s="473"/>
      <c r="P109" s="472"/>
      <c r="Q109" s="481"/>
      <c r="R109" s="472"/>
      <c r="S109" s="481"/>
      <c r="T109" s="472"/>
      <c r="U109" s="473"/>
      <c r="V109" s="472"/>
      <c r="W109" s="473"/>
      <c r="X109" s="472"/>
      <c r="Y109" s="473"/>
      <c r="Z109" s="472"/>
      <c r="AA109" s="473"/>
      <c r="AB109" s="472"/>
      <c r="AC109" s="473"/>
      <c r="AF109" s="470" t="s">
        <v>1191</v>
      </c>
      <c r="AG109" s="470" t="s">
        <v>354</v>
      </c>
      <c r="AH109" s="470" t="s">
        <v>1192</v>
      </c>
      <c r="AI109" s="470" t="s">
        <v>1193</v>
      </c>
      <c r="AJ109" s="470" t="s">
        <v>303</v>
      </c>
      <c r="AK109" s="471" t="s">
        <v>1194</v>
      </c>
    </row>
    <row r="110" spans="1:37" ht="12.5" thickBot="1">
      <c r="A110" s="467"/>
      <c r="B110" s="444"/>
      <c r="C110" s="473"/>
      <c r="D110" s="444"/>
      <c r="E110" s="473"/>
      <c r="F110" s="444"/>
      <c r="G110" s="473"/>
      <c r="H110" s="444"/>
      <c r="I110" s="473"/>
      <c r="J110" s="444"/>
      <c r="K110" s="473"/>
      <c r="L110" s="444"/>
      <c r="M110" s="473"/>
      <c r="N110" s="444"/>
      <c r="O110" s="473"/>
      <c r="P110" s="444"/>
      <c r="Q110" s="473"/>
      <c r="R110" s="444"/>
      <c r="S110" s="473"/>
      <c r="T110" s="444"/>
      <c r="U110" s="473"/>
      <c r="V110" s="444"/>
      <c r="W110" s="473"/>
      <c r="X110" s="444"/>
      <c r="Y110" s="473"/>
      <c r="Z110" s="444"/>
      <c r="AA110" s="473"/>
      <c r="AB110" s="444"/>
      <c r="AC110" s="473"/>
      <c r="AF110" s="474"/>
      <c r="AG110" s="475"/>
      <c r="AH110" s="475"/>
      <c r="AI110" s="475"/>
      <c r="AJ110" s="475"/>
      <c r="AK110" s="476"/>
    </row>
    <row r="111" spans="1:37" ht="42.75" customHeight="1" thickBot="1">
      <c r="A111" s="467"/>
      <c r="B111" s="446"/>
      <c r="C111" s="477">
        <v>341.66800000000001</v>
      </c>
      <c r="D111" s="446"/>
      <c r="E111" s="477">
        <v>425.863</v>
      </c>
      <c r="F111" s="446"/>
      <c r="G111" s="477">
        <v>394.30700000000002</v>
      </c>
      <c r="H111" s="446"/>
      <c r="I111" s="477">
        <v>370.45</v>
      </c>
      <c r="J111" s="446"/>
      <c r="K111" s="477">
        <v>436.75400000000002</v>
      </c>
      <c r="L111" s="446"/>
      <c r="M111" s="477">
        <v>397.60500000000002</v>
      </c>
      <c r="N111" s="446"/>
      <c r="O111" s="477">
        <v>413.40100000000001</v>
      </c>
      <c r="P111" s="446"/>
      <c r="Q111" s="482">
        <v>423.64499999999998</v>
      </c>
      <c r="R111" s="446"/>
      <c r="S111" s="477">
        <v>415.96800000000002</v>
      </c>
      <c r="T111" s="446"/>
      <c r="U111" s="477">
        <v>415.34899999999999</v>
      </c>
      <c r="V111" s="446"/>
      <c r="W111" s="477">
        <v>394.875</v>
      </c>
      <c r="X111" s="446"/>
      <c r="Y111" s="477">
        <v>429.62</v>
      </c>
      <c r="Z111" s="446"/>
      <c r="AA111" s="477">
        <v>381.90499999999997</v>
      </c>
      <c r="AB111" s="446"/>
      <c r="AC111" s="477">
        <v>405.26</v>
      </c>
      <c r="AF111" s="470">
        <v>14</v>
      </c>
      <c r="AG111" s="470"/>
      <c r="AH111" s="470"/>
      <c r="AI111" s="470"/>
      <c r="AJ111" s="470"/>
      <c r="AK111" s="471"/>
    </row>
    <row r="112" spans="1:37" ht="12.5" thickBot="1">
      <c r="A112" s="467"/>
      <c r="B112" s="479"/>
      <c r="C112" s="473"/>
      <c r="D112" s="479"/>
      <c r="E112" s="473"/>
      <c r="F112" s="479"/>
      <c r="G112" s="473"/>
      <c r="H112" s="479"/>
      <c r="I112" s="473"/>
      <c r="J112" s="479"/>
      <c r="K112" s="473"/>
      <c r="L112" s="479"/>
      <c r="M112" s="473"/>
      <c r="N112" s="479"/>
      <c r="O112" s="473"/>
      <c r="P112" s="479"/>
      <c r="Q112" s="473"/>
      <c r="R112" s="479"/>
      <c r="S112" s="473"/>
      <c r="T112" s="479"/>
      <c r="U112" s="473"/>
      <c r="V112" s="479"/>
      <c r="W112" s="473"/>
      <c r="X112" s="479"/>
      <c r="Y112" s="473"/>
      <c r="Z112" s="479"/>
      <c r="AA112" s="473"/>
      <c r="AB112" s="479"/>
      <c r="AC112" s="473"/>
      <c r="AF112" s="474"/>
      <c r="AG112" s="475"/>
      <c r="AH112" s="475"/>
      <c r="AI112" s="475"/>
      <c r="AJ112" s="475"/>
      <c r="AK112" s="476"/>
    </row>
    <row r="113" spans="1:37">
      <c r="A113" s="467"/>
      <c r="B113" s="450" t="s">
        <v>182</v>
      </c>
      <c r="C113" s="450"/>
      <c r="D113" s="450" t="s">
        <v>182</v>
      </c>
      <c r="E113" s="450"/>
      <c r="F113" s="450" t="s">
        <v>242</v>
      </c>
      <c r="G113" s="450"/>
      <c r="H113" s="450" t="s">
        <v>143</v>
      </c>
      <c r="I113" s="450"/>
      <c r="J113" s="450" t="s">
        <v>167</v>
      </c>
      <c r="K113" s="450"/>
      <c r="L113" s="450" t="s">
        <v>242</v>
      </c>
      <c r="M113" s="450"/>
      <c r="N113" s="450" t="s">
        <v>119</v>
      </c>
      <c r="O113" s="450"/>
      <c r="P113" s="450" t="s">
        <v>248</v>
      </c>
      <c r="Q113" s="450"/>
      <c r="R113" s="450" t="s">
        <v>182</v>
      </c>
      <c r="S113" s="450"/>
      <c r="T113" s="450" t="s">
        <v>248</v>
      </c>
      <c r="U113" s="450"/>
      <c r="V113" s="450" t="s">
        <v>137</v>
      </c>
      <c r="W113" s="450"/>
      <c r="X113" s="450" t="s">
        <v>248</v>
      </c>
      <c r="Y113" s="450"/>
      <c r="Z113" s="450" t="s">
        <v>1273</v>
      </c>
      <c r="AA113" s="450"/>
      <c r="AB113" s="450" t="s">
        <v>248</v>
      </c>
      <c r="AC113" s="473"/>
      <c r="AF113" s="474"/>
      <c r="AG113" s="475"/>
      <c r="AH113" s="475"/>
      <c r="AI113" s="475"/>
      <c r="AJ113" s="475"/>
      <c r="AK113" s="476"/>
    </row>
    <row r="114" spans="1:37">
      <c r="A114" s="467"/>
      <c r="B114" s="450"/>
      <c r="C114" s="450"/>
      <c r="D114" s="450"/>
      <c r="E114" s="450"/>
      <c r="F114" s="450"/>
      <c r="G114" s="450"/>
      <c r="H114" s="450"/>
      <c r="I114" s="450"/>
      <c r="J114" s="450"/>
      <c r="K114" s="450"/>
      <c r="L114" s="450"/>
      <c r="M114" s="450"/>
      <c r="N114" s="450"/>
      <c r="O114" s="450"/>
      <c r="P114" s="450"/>
      <c r="Q114" s="450"/>
      <c r="R114" s="450"/>
      <c r="S114" s="450"/>
      <c r="T114" s="450"/>
      <c r="U114" s="450"/>
      <c r="V114" s="450"/>
      <c r="W114" s="450"/>
      <c r="X114" s="450"/>
      <c r="Y114" s="450"/>
      <c r="Z114" s="450"/>
      <c r="AA114" s="450"/>
      <c r="AB114" s="450"/>
      <c r="AC114" s="473"/>
      <c r="AF114" s="474"/>
      <c r="AG114" s="475"/>
      <c r="AH114" s="475"/>
      <c r="AI114" s="475"/>
      <c r="AJ114" s="475"/>
      <c r="AK114" s="476"/>
    </row>
    <row r="115" spans="1:37">
      <c r="A115" s="467"/>
      <c r="C115" s="473"/>
      <c r="E115" s="473"/>
      <c r="G115" s="473"/>
      <c r="I115" s="473"/>
      <c r="K115" s="473"/>
      <c r="M115" s="473"/>
      <c r="O115" s="473"/>
      <c r="Q115" s="473"/>
      <c r="S115" s="473"/>
      <c r="U115" s="473"/>
      <c r="W115" s="473"/>
      <c r="Y115" s="473"/>
      <c r="AA115" s="473"/>
      <c r="AC115" s="473"/>
      <c r="AF115" s="474"/>
      <c r="AG115" s="475"/>
      <c r="AH115" s="475"/>
      <c r="AI115" s="475"/>
      <c r="AJ115" s="475"/>
      <c r="AK115" s="476"/>
    </row>
    <row r="116" spans="1:37">
      <c r="A116" s="467"/>
      <c r="B116" s="468" t="s">
        <v>685</v>
      </c>
      <c r="C116" s="443"/>
      <c r="D116" s="468" t="s">
        <v>686</v>
      </c>
      <c r="E116" s="443"/>
      <c r="F116" s="468" t="s">
        <v>687</v>
      </c>
      <c r="G116" s="443"/>
      <c r="H116" s="468" t="s">
        <v>688</v>
      </c>
      <c r="I116" s="443"/>
      <c r="J116" s="468" t="s">
        <v>689</v>
      </c>
      <c r="K116" s="443"/>
      <c r="L116" s="468" t="s">
        <v>690</v>
      </c>
      <c r="M116" s="443"/>
      <c r="N116" s="468" t="s">
        <v>691</v>
      </c>
      <c r="O116" s="443"/>
      <c r="P116" s="468" t="s">
        <v>692</v>
      </c>
      <c r="Q116" s="443"/>
      <c r="R116" s="468" t="s">
        <v>693</v>
      </c>
      <c r="S116" s="443"/>
      <c r="T116" s="468" t="s">
        <v>694</v>
      </c>
      <c r="U116" s="443"/>
      <c r="V116" s="468" t="s">
        <v>695</v>
      </c>
      <c r="W116" s="443"/>
      <c r="X116" s="468" t="s">
        <v>696</v>
      </c>
      <c r="Y116" s="443"/>
      <c r="Z116" s="468" t="s">
        <v>697</v>
      </c>
      <c r="AA116" s="443"/>
      <c r="AB116" s="468" t="s">
        <v>698</v>
      </c>
      <c r="AC116" s="473"/>
      <c r="AF116" s="474"/>
      <c r="AG116" s="475"/>
      <c r="AH116" s="475"/>
      <c r="AI116" s="475"/>
      <c r="AJ116" s="475"/>
      <c r="AK116" s="476"/>
    </row>
    <row r="117" spans="1:37">
      <c r="A117" s="467"/>
      <c r="B117" s="472"/>
      <c r="C117" s="473"/>
      <c r="D117" s="472"/>
      <c r="E117" s="473"/>
      <c r="F117" s="472"/>
      <c r="G117" s="473"/>
      <c r="H117" s="472"/>
      <c r="I117" s="473"/>
      <c r="J117" s="472"/>
      <c r="K117" s="473"/>
      <c r="L117" s="472"/>
      <c r="M117" s="473"/>
      <c r="N117" s="472"/>
      <c r="O117" s="473"/>
      <c r="P117" s="472"/>
      <c r="Q117" s="473"/>
      <c r="R117" s="472"/>
      <c r="S117" s="473"/>
      <c r="T117" s="472"/>
      <c r="U117" s="473"/>
      <c r="V117" s="472"/>
      <c r="W117" s="473"/>
      <c r="X117" s="472"/>
      <c r="Y117" s="473"/>
      <c r="Z117" s="472"/>
      <c r="AA117" s="473"/>
      <c r="AB117" s="472"/>
      <c r="AC117" s="473"/>
      <c r="AF117" s="470" t="s">
        <v>1191</v>
      </c>
      <c r="AG117" s="470" t="s">
        <v>354</v>
      </c>
      <c r="AH117" s="470" t="s">
        <v>1192</v>
      </c>
      <c r="AI117" s="470" t="s">
        <v>1193</v>
      </c>
      <c r="AJ117" s="470" t="s">
        <v>303</v>
      </c>
      <c r="AK117" s="471" t="s">
        <v>1194</v>
      </c>
    </row>
    <row r="118" spans="1:37" ht="12.5" thickBot="1">
      <c r="A118" s="467"/>
      <c r="B118" s="444"/>
      <c r="C118" s="473"/>
      <c r="D118" s="444"/>
      <c r="E118" s="473"/>
      <c r="F118" s="444"/>
      <c r="G118" s="473"/>
      <c r="H118" s="444"/>
      <c r="I118" s="473"/>
      <c r="J118" s="444"/>
      <c r="K118" s="473"/>
      <c r="L118" s="444"/>
      <c r="M118" s="473"/>
      <c r="N118" s="444"/>
      <c r="O118" s="473"/>
      <c r="P118" s="444"/>
      <c r="Q118" s="473"/>
      <c r="R118" s="444"/>
      <c r="S118" s="473"/>
      <c r="T118" s="444"/>
      <c r="U118" s="473"/>
      <c r="V118" s="444"/>
      <c r="W118" s="473"/>
      <c r="X118" s="444"/>
      <c r="Y118" s="473"/>
      <c r="Z118" s="444"/>
      <c r="AA118" s="473"/>
      <c r="AB118" s="444"/>
      <c r="AC118" s="473"/>
      <c r="AF118" s="474"/>
      <c r="AG118" s="475"/>
      <c r="AH118" s="475" t="s">
        <v>1274</v>
      </c>
      <c r="AI118" s="475"/>
      <c r="AJ118" s="475"/>
      <c r="AK118" s="476"/>
    </row>
    <row r="119" spans="1:37" ht="42.75" customHeight="1" thickBot="1">
      <c r="A119" s="467"/>
      <c r="B119" s="446"/>
      <c r="C119" s="477">
        <v>338.15600000000001</v>
      </c>
      <c r="D119" s="446"/>
      <c r="E119" s="477">
        <v>288.303</v>
      </c>
      <c r="F119" s="446"/>
      <c r="G119" s="477">
        <v>297.14800000000002</v>
      </c>
      <c r="H119" s="446"/>
      <c r="I119" s="477">
        <v>195.90299999999999</v>
      </c>
      <c r="J119" s="446"/>
      <c r="K119" s="477">
        <v>249.66</v>
      </c>
      <c r="L119" s="446"/>
      <c r="M119" s="477">
        <v>374.47500000000002</v>
      </c>
      <c r="N119" s="446"/>
      <c r="O119" s="477">
        <v>443.95</v>
      </c>
      <c r="P119" s="446"/>
      <c r="Q119" s="477">
        <v>404.38600000000002</v>
      </c>
      <c r="R119" s="446"/>
      <c r="S119" s="477">
        <v>341.423</v>
      </c>
      <c r="T119" s="446"/>
      <c r="U119" s="477">
        <v>305.40100000000001</v>
      </c>
      <c r="V119" s="446"/>
      <c r="W119" s="477">
        <v>319.98099999999999</v>
      </c>
      <c r="X119" s="446"/>
      <c r="Y119" s="477">
        <v>345.62099999999998</v>
      </c>
      <c r="Z119" s="446"/>
      <c r="AA119" s="477">
        <v>223.15100000000001</v>
      </c>
      <c r="AB119" s="446"/>
      <c r="AC119" s="477">
        <v>393.81700000000001</v>
      </c>
      <c r="AF119" s="470">
        <v>14</v>
      </c>
      <c r="AG119" s="470"/>
      <c r="AH119" s="470"/>
      <c r="AI119" s="470"/>
      <c r="AJ119" s="470"/>
      <c r="AK119" s="471"/>
    </row>
    <row r="120" spans="1:37" ht="12.5" thickBot="1">
      <c r="A120" s="467"/>
      <c r="B120" s="479"/>
      <c r="C120" s="473"/>
      <c r="D120" s="479"/>
      <c r="E120" s="473"/>
      <c r="F120" s="479"/>
      <c r="G120" s="473"/>
      <c r="H120" s="479"/>
      <c r="I120" s="473"/>
      <c r="J120" s="479"/>
      <c r="K120" s="473"/>
      <c r="L120" s="479"/>
      <c r="M120" s="473"/>
      <c r="N120" s="479"/>
      <c r="O120" s="473"/>
      <c r="P120" s="479"/>
      <c r="Q120" s="473"/>
      <c r="R120" s="479"/>
      <c r="S120" s="473"/>
      <c r="T120" s="479"/>
      <c r="U120" s="473"/>
      <c r="V120" s="479"/>
      <c r="W120" s="473"/>
      <c r="X120" s="479"/>
      <c r="Y120" s="473"/>
      <c r="Z120" s="479"/>
      <c r="AA120" s="473"/>
      <c r="AB120" s="479"/>
      <c r="AC120" s="473"/>
      <c r="AF120" s="474"/>
      <c r="AG120" s="475"/>
      <c r="AH120" s="475"/>
      <c r="AI120" s="475"/>
      <c r="AJ120" s="475"/>
      <c r="AK120" s="476"/>
    </row>
    <row r="121" spans="1:37">
      <c r="A121" s="467"/>
      <c r="B121" s="450" t="s">
        <v>248</v>
      </c>
      <c r="C121" s="450"/>
      <c r="D121" s="450" t="s">
        <v>182</v>
      </c>
      <c r="E121" s="450"/>
      <c r="F121" s="450" t="s">
        <v>185</v>
      </c>
      <c r="G121" s="450"/>
      <c r="H121" s="450" t="s">
        <v>182</v>
      </c>
      <c r="I121" s="450"/>
      <c r="J121" s="450" t="s">
        <v>128</v>
      </c>
      <c r="K121" s="450"/>
      <c r="L121" s="450" t="s">
        <v>132</v>
      </c>
      <c r="M121" s="450"/>
      <c r="N121" s="450" t="s">
        <v>248</v>
      </c>
      <c r="O121" s="450"/>
      <c r="P121" s="450" t="s">
        <v>147</v>
      </c>
      <c r="Q121" s="450"/>
      <c r="R121" s="450" t="s">
        <v>182</v>
      </c>
      <c r="S121" s="450"/>
      <c r="T121" s="450" t="s">
        <v>185</v>
      </c>
      <c r="U121" s="450"/>
      <c r="V121" s="450" t="s">
        <v>182</v>
      </c>
      <c r="W121" s="450"/>
      <c r="X121" s="450" t="s">
        <v>242</v>
      </c>
      <c r="Y121" s="450"/>
      <c r="Z121" s="450" t="s">
        <v>143</v>
      </c>
      <c r="AA121" s="450"/>
      <c r="AB121" s="450" t="s">
        <v>147</v>
      </c>
      <c r="AC121" s="473"/>
      <c r="AF121" s="474"/>
      <c r="AG121" s="475"/>
      <c r="AH121" s="475"/>
      <c r="AI121" s="475"/>
      <c r="AJ121" s="475"/>
      <c r="AK121" s="476"/>
    </row>
    <row r="122" spans="1:37">
      <c r="A122" s="467"/>
      <c r="B122" s="450"/>
      <c r="C122" s="450"/>
      <c r="D122" s="450"/>
      <c r="E122" s="450"/>
      <c r="F122" s="450"/>
      <c r="G122" s="450"/>
      <c r="H122" s="450"/>
      <c r="I122" s="450"/>
      <c r="J122" s="450"/>
      <c r="K122" s="450"/>
      <c r="L122" s="450"/>
      <c r="M122" s="450"/>
      <c r="N122" s="450"/>
      <c r="O122" s="450"/>
      <c r="P122" s="450"/>
      <c r="Q122" s="450"/>
      <c r="R122" s="450"/>
      <c r="S122" s="450"/>
      <c r="T122" s="450"/>
      <c r="U122" s="450"/>
      <c r="V122" s="450"/>
      <c r="W122" s="450"/>
      <c r="X122" s="450"/>
      <c r="Y122" s="450"/>
      <c r="Z122" s="450"/>
      <c r="AA122" s="450"/>
      <c r="AB122" s="450"/>
      <c r="AC122" s="473"/>
      <c r="AF122" s="474"/>
      <c r="AG122" s="475"/>
      <c r="AH122" s="475"/>
      <c r="AI122" s="475"/>
      <c r="AJ122" s="475"/>
      <c r="AK122" s="476"/>
    </row>
    <row r="123" spans="1:37">
      <c r="A123" s="467"/>
      <c r="C123" s="473"/>
      <c r="E123" s="473"/>
      <c r="G123" s="473"/>
      <c r="I123" s="473"/>
      <c r="K123" s="473"/>
      <c r="M123" s="473"/>
      <c r="O123" s="473"/>
      <c r="Q123" s="473"/>
      <c r="S123" s="473"/>
      <c r="U123" s="473"/>
      <c r="W123" s="473"/>
      <c r="Y123" s="473"/>
      <c r="AA123" s="473"/>
      <c r="AC123" s="473"/>
      <c r="AF123" s="474"/>
      <c r="AG123" s="475"/>
      <c r="AH123" s="475"/>
      <c r="AI123" s="475"/>
      <c r="AJ123" s="475"/>
      <c r="AK123" s="476"/>
    </row>
    <row r="124" spans="1:37">
      <c r="A124" s="467"/>
      <c r="B124" s="468" t="s">
        <v>699</v>
      </c>
      <c r="C124" s="443"/>
      <c r="D124" s="468" t="s">
        <v>700</v>
      </c>
      <c r="E124" s="443"/>
      <c r="F124" s="468" t="s">
        <v>701</v>
      </c>
      <c r="G124" s="443"/>
      <c r="H124" s="468" t="s">
        <v>702</v>
      </c>
      <c r="I124" s="443"/>
      <c r="J124" s="468" t="s">
        <v>1275</v>
      </c>
      <c r="K124" s="443"/>
      <c r="L124" s="468" t="s">
        <v>310</v>
      </c>
      <c r="M124" s="443"/>
      <c r="N124" s="468" t="s">
        <v>272</v>
      </c>
      <c r="O124" s="443"/>
      <c r="P124" s="468" t="s">
        <v>273</v>
      </c>
      <c r="Q124" s="443"/>
      <c r="R124" s="468" t="s">
        <v>311</v>
      </c>
      <c r="S124" s="443"/>
      <c r="T124" s="468" t="s">
        <v>312</v>
      </c>
      <c r="U124" s="443"/>
      <c r="V124" s="468" t="s">
        <v>313</v>
      </c>
      <c r="W124" s="443"/>
      <c r="X124" s="468" t="s">
        <v>314</v>
      </c>
      <c r="Y124" s="443"/>
      <c r="Z124" s="468" t="s">
        <v>315</v>
      </c>
      <c r="AA124" s="443"/>
      <c r="AB124" s="468" t="s">
        <v>316</v>
      </c>
      <c r="AC124" s="473"/>
      <c r="AF124" s="474"/>
      <c r="AG124" s="475"/>
      <c r="AH124" s="475"/>
      <c r="AI124" s="475"/>
      <c r="AJ124" s="475"/>
      <c r="AK124" s="476"/>
    </row>
    <row r="125" spans="1:37">
      <c r="A125" s="467"/>
      <c r="B125" s="472"/>
      <c r="C125" s="473"/>
      <c r="D125" s="472"/>
      <c r="E125" s="473"/>
      <c r="F125" s="472"/>
      <c r="G125" s="473"/>
      <c r="H125" s="472"/>
      <c r="I125" s="473"/>
      <c r="J125" s="472"/>
      <c r="K125" s="473"/>
      <c r="L125" s="472"/>
      <c r="M125" s="473"/>
      <c r="N125" s="472"/>
      <c r="O125" s="473"/>
      <c r="P125" s="472"/>
      <c r="Q125" s="473"/>
      <c r="R125" s="472"/>
      <c r="S125" s="473"/>
      <c r="T125" s="472"/>
      <c r="U125" s="473"/>
      <c r="V125" s="472"/>
      <c r="W125" s="473"/>
      <c r="X125" s="472"/>
      <c r="Y125" s="481"/>
      <c r="Z125" s="472"/>
      <c r="AA125" s="481"/>
      <c r="AB125" s="472"/>
      <c r="AC125" s="473"/>
      <c r="AF125" s="470" t="s">
        <v>1191</v>
      </c>
      <c r="AG125" s="470" t="s">
        <v>354</v>
      </c>
      <c r="AH125" s="470" t="s">
        <v>1192</v>
      </c>
      <c r="AI125" s="470" t="s">
        <v>1193</v>
      </c>
      <c r="AJ125" s="470" t="s">
        <v>303</v>
      </c>
      <c r="AK125" s="471" t="s">
        <v>1194</v>
      </c>
    </row>
    <row r="126" spans="1:37" ht="12.5" thickBot="1">
      <c r="A126" s="467"/>
      <c r="B126" s="444"/>
      <c r="C126" s="473"/>
      <c r="D126" s="444"/>
      <c r="E126" s="473"/>
      <c r="F126" s="444"/>
      <c r="G126" s="473"/>
      <c r="H126" s="444"/>
      <c r="I126" s="473"/>
      <c r="J126" s="444"/>
      <c r="K126" s="473"/>
      <c r="L126" s="444"/>
      <c r="M126" s="473"/>
      <c r="N126" s="444"/>
      <c r="O126" s="473"/>
      <c r="P126" s="444"/>
      <c r="Q126" s="473"/>
      <c r="R126" s="444"/>
      <c r="S126" s="473"/>
      <c r="T126" s="444"/>
      <c r="U126" s="473"/>
      <c r="V126" s="444"/>
      <c r="W126" s="473"/>
      <c r="X126" s="444"/>
      <c r="Y126" s="473"/>
      <c r="Z126" s="444"/>
      <c r="AA126" s="473"/>
      <c r="AB126" s="444"/>
      <c r="AC126" s="473"/>
      <c r="AF126" s="474"/>
      <c r="AG126" s="475"/>
      <c r="AH126" s="475"/>
      <c r="AI126" s="475"/>
      <c r="AJ126" s="475"/>
      <c r="AK126" s="476"/>
    </row>
    <row r="127" spans="1:37" ht="42.75" customHeight="1" thickBot="1">
      <c r="A127" s="467"/>
      <c r="B127" s="446"/>
      <c r="C127" s="477">
        <v>435.13600000000002</v>
      </c>
      <c r="D127" s="446"/>
      <c r="E127" s="477">
        <v>403.209</v>
      </c>
      <c r="F127" s="446"/>
      <c r="G127" s="477">
        <v>422.55399999999997</v>
      </c>
      <c r="H127" s="446"/>
      <c r="I127" s="477">
        <v>353.48399999999998</v>
      </c>
      <c r="J127" s="446"/>
      <c r="K127" s="477">
        <v>274.899</v>
      </c>
      <c r="L127" s="446"/>
      <c r="M127" s="477">
        <v>465.03300000000002</v>
      </c>
      <c r="N127" s="446"/>
      <c r="O127" s="477">
        <v>373.97699999999998</v>
      </c>
      <c r="P127" s="447"/>
      <c r="Q127" s="477">
        <v>416.86399999999998</v>
      </c>
      <c r="R127" s="447"/>
      <c r="S127" s="477">
        <v>381.01900000000001</v>
      </c>
      <c r="T127" s="446"/>
      <c r="U127" s="477">
        <v>391.51900000000001</v>
      </c>
      <c r="V127" s="446"/>
      <c r="W127" s="477">
        <v>374.93400000000003</v>
      </c>
      <c r="X127" s="446"/>
      <c r="Y127" s="482">
        <v>248.56700000000001</v>
      </c>
      <c r="Z127" s="446"/>
      <c r="AA127" s="477">
        <v>384.17</v>
      </c>
      <c r="AB127" s="446"/>
      <c r="AC127" s="482">
        <v>330.76400000000001</v>
      </c>
      <c r="AF127" s="470">
        <v>14</v>
      </c>
      <c r="AG127" s="470">
        <v>1</v>
      </c>
      <c r="AH127" s="470"/>
      <c r="AI127" s="470"/>
      <c r="AJ127" s="470"/>
      <c r="AK127" s="471"/>
    </row>
    <row r="128" spans="1:37" ht="12.5" thickBot="1">
      <c r="A128" s="467"/>
      <c r="B128" s="479"/>
      <c r="C128" s="473"/>
      <c r="D128" s="479"/>
      <c r="E128" s="473"/>
      <c r="F128" s="479"/>
      <c r="G128" s="473"/>
      <c r="H128" s="479"/>
      <c r="I128" s="473"/>
      <c r="J128" s="479"/>
      <c r="K128" s="473"/>
      <c r="L128" s="479"/>
      <c r="M128" s="473"/>
      <c r="N128" s="479"/>
      <c r="O128" s="473"/>
      <c r="P128" s="479"/>
      <c r="Q128" s="473"/>
      <c r="R128" s="479"/>
      <c r="S128" s="473"/>
      <c r="T128" s="479"/>
      <c r="U128" s="473"/>
      <c r="V128" s="479"/>
      <c r="W128" s="473"/>
      <c r="X128" s="479"/>
      <c r="Y128" s="473"/>
      <c r="Z128" s="479"/>
      <c r="AA128" s="473"/>
      <c r="AB128" s="479"/>
      <c r="AC128" s="473"/>
      <c r="AF128" s="474"/>
      <c r="AG128" s="475"/>
      <c r="AH128" s="475"/>
      <c r="AI128" s="475"/>
      <c r="AJ128" s="475"/>
      <c r="AK128" s="476"/>
    </row>
    <row r="129" spans="1:37">
      <c r="A129" s="467"/>
      <c r="B129" s="483" t="s">
        <v>248</v>
      </c>
      <c r="C129" s="450"/>
      <c r="D129" s="483" t="s">
        <v>248</v>
      </c>
      <c r="E129" s="450"/>
      <c r="F129" s="483" t="s">
        <v>143</v>
      </c>
      <c r="G129" s="450"/>
      <c r="H129" s="483" t="s">
        <v>143</v>
      </c>
      <c r="I129" s="450"/>
      <c r="J129" s="483" t="s">
        <v>147</v>
      </c>
      <c r="K129" s="450"/>
      <c r="L129" s="483" t="s">
        <v>117</v>
      </c>
      <c r="M129" s="450"/>
      <c r="N129" s="483" t="s">
        <v>185</v>
      </c>
      <c r="O129" s="450"/>
      <c r="P129" s="483" t="s">
        <v>182</v>
      </c>
      <c r="Q129" s="450"/>
      <c r="R129" s="483" t="s">
        <v>185</v>
      </c>
      <c r="S129" s="450"/>
      <c r="T129" s="483" t="s">
        <v>119</v>
      </c>
      <c r="U129" s="450"/>
      <c r="V129" s="483" t="s">
        <v>242</v>
      </c>
      <c r="W129" s="450"/>
      <c r="X129" s="483" t="s">
        <v>125</v>
      </c>
      <c r="Y129" s="450"/>
      <c r="Z129" s="483" t="s">
        <v>115</v>
      </c>
      <c r="AA129" s="450"/>
      <c r="AB129" s="483" t="s">
        <v>185</v>
      </c>
      <c r="AC129" s="473"/>
      <c r="AF129" s="474"/>
      <c r="AG129" s="475"/>
      <c r="AH129" s="475"/>
      <c r="AI129" s="475"/>
      <c r="AJ129" s="475"/>
      <c r="AK129" s="476"/>
    </row>
    <row r="130" spans="1:37">
      <c r="A130" s="467"/>
      <c r="B130" s="483"/>
      <c r="C130" s="450"/>
      <c r="D130" s="483"/>
      <c r="E130" s="450"/>
      <c r="F130" s="483"/>
      <c r="G130" s="450"/>
      <c r="H130" s="483"/>
      <c r="I130" s="450"/>
      <c r="J130" s="483"/>
      <c r="K130" s="450"/>
      <c r="L130" s="483"/>
      <c r="M130" s="450"/>
      <c r="N130" s="483"/>
      <c r="O130" s="450"/>
      <c r="P130" s="483"/>
      <c r="Q130" s="450"/>
      <c r="R130" s="483"/>
      <c r="S130" s="450"/>
      <c r="T130" s="483" t="s">
        <v>1276</v>
      </c>
      <c r="U130" s="450"/>
      <c r="V130" s="483" t="s">
        <v>1277</v>
      </c>
      <c r="W130" s="450"/>
      <c r="X130" s="483"/>
      <c r="Y130" s="450"/>
      <c r="Z130" s="483"/>
      <c r="AA130" s="450"/>
      <c r="AB130" s="483"/>
      <c r="AC130" s="473"/>
      <c r="AF130" s="474"/>
      <c r="AG130" s="475"/>
      <c r="AH130" s="475"/>
      <c r="AI130" s="475"/>
      <c r="AJ130" s="475"/>
      <c r="AK130" s="476"/>
    </row>
    <row r="131" spans="1:37" ht="12.5" thickBot="1">
      <c r="A131" s="485"/>
      <c r="B131" s="486"/>
      <c r="C131" s="487"/>
      <c r="D131" s="486"/>
      <c r="E131" s="487"/>
      <c r="F131" s="486"/>
      <c r="G131" s="487"/>
      <c r="H131" s="486"/>
      <c r="I131" s="487"/>
      <c r="J131" s="486"/>
      <c r="K131" s="487"/>
      <c r="L131" s="486"/>
      <c r="M131" s="487"/>
      <c r="N131" s="486"/>
      <c r="O131" s="487"/>
      <c r="P131" s="486"/>
      <c r="Q131" s="487"/>
      <c r="R131" s="486"/>
      <c r="S131" s="487"/>
      <c r="T131" s="486"/>
      <c r="U131" s="487"/>
      <c r="V131" s="486"/>
      <c r="W131" s="487"/>
      <c r="X131" s="486"/>
      <c r="Y131" s="487"/>
      <c r="Z131" s="486"/>
      <c r="AA131" s="487"/>
      <c r="AB131" s="486"/>
      <c r="AC131" s="487"/>
      <c r="AD131" s="488"/>
      <c r="AE131" s="488"/>
      <c r="AF131" s="489"/>
      <c r="AG131" s="490"/>
      <c r="AH131" s="490"/>
      <c r="AI131" s="490"/>
      <c r="AJ131" s="490"/>
      <c r="AK131" s="491"/>
    </row>
    <row r="132" spans="1:37">
      <c r="A132" s="492"/>
      <c r="B132" s="493" t="s">
        <v>320</v>
      </c>
      <c r="C132" s="448"/>
      <c r="D132" s="493" t="s">
        <v>321</v>
      </c>
      <c r="E132" s="448"/>
      <c r="F132" s="493" t="s">
        <v>322</v>
      </c>
      <c r="G132" s="448"/>
      <c r="H132" s="493" t="s">
        <v>323</v>
      </c>
      <c r="I132" s="493"/>
      <c r="J132" s="493" t="s">
        <v>324</v>
      </c>
      <c r="K132" s="448"/>
      <c r="L132" s="493" t="s">
        <v>325</v>
      </c>
      <c r="M132" s="448"/>
      <c r="N132" s="493" t="s">
        <v>326</v>
      </c>
      <c r="O132" s="448"/>
      <c r="P132" s="493" t="s">
        <v>327</v>
      </c>
      <c r="Q132" s="448"/>
      <c r="R132" s="493" t="s">
        <v>328</v>
      </c>
      <c r="S132" s="448"/>
      <c r="T132" s="493" t="s">
        <v>329</v>
      </c>
      <c r="U132" s="448"/>
      <c r="V132" s="493" t="s">
        <v>333</v>
      </c>
      <c r="W132" s="448"/>
      <c r="X132" s="493" t="s">
        <v>334</v>
      </c>
      <c r="Y132" s="448"/>
      <c r="Z132" s="493" t="s">
        <v>335</v>
      </c>
      <c r="AA132" s="448"/>
      <c r="AB132" s="493" t="s">
        <v>336</v>
      </c>
      <c r="AC132" s="494"/>
      <c r="AD132" s="453"/>
      <c r="AE132" s="453"/>
      <c r="AF132" s="495"/>
      <c r="AG132" s="496"/>
      <c r="AH132" s="496"/>
      <c r="AI132" s="496"/>
      <c r="AJ132" s="496"/>
      <c r="AK132" s="497"/>
    </row>
    <row r="133" spans="1:37">
      <c r="A133" s="467"/>
      <c r="B133" s="472"/>
      <c r="C133" s="481"/>
      <c r="D133" s="472"/>
      <c r="E133" s="481"/>
      <c r="F133" s="472"/>
      <c r="G133" s="481"/>
      <c r="H133" s="472"/>
      <c r="I133" s="498"/>
      <c r="J133" s="472"/>
      <c r="K133" s="499"/>
      <c r="L133" s="472"/>
      <c r="M133" s="450"/>
      <c r="N133" s="472"/>
      <c r="O133" s="473"/>
      <c r="P133" s="472"/>
      <c r="Q133" s="450"/>
      <c r="R133" s="472"/>
      <c r="S133" s="473"/>
      <c r="T133" s="472"/>
      <c r="U133" s="473"/>
      <c r="V133" s="472"/>
      <c r="W133" s="473"/>
      <c r="X133" s="472"/>
      <c r="Y133" s="450"/>
      <c r="Z133" s="472"/>
      <c r="AA133" s="450"/>
      <c r="AB133" s="472"/>
      <c r="AC133" s="473"/>
      <c r="AF133" s="470" t="s">
        <v>1191</v>
      </c>
      <c r="AG133" s="470" t="s">
        <v>354</v>
      </c>
      <c r="AH133" s="470" t="s">
        <v>1192</v>
      </c>
      <c r="AI133" s="470" t="s">
        <v>1193</v>
      </c>
      <c r="AJ133" s="470" t="s">
        <v>303</v>
      </c>
      <c r="AK133" s="471" t="s">
        <v>1194</v>
      </c>
    </row>
    <row r="134" spans="1:37" ht="12.5" thickBot="1">
      <c r="A134" s="467"/>
      <c r="B134" s="444"/>
      <c r="C134" s="473"/>
      <c r="D134" s="444"/>
      <c r="E134" s="473"/>
      <c r="F134" s="444"/>
      <c r="G134" s="473"/>
      <c r="H134" s="444"/>
      <c r="I134" s="473"/>
      <c r="J134" s="444"/>
      <c r="K134" s="473"/>
      <c r="L134" s="444"/>
      <c r="M134" s="473"/>
      <c r="N134" s="444"/>
      <c r="O134" s="473"/>
      <c r="P134" s="444"/>
      <c r="Q134" s="473"/>
      <c r="R134" s="444"/>
      <c r="S134" s="473"/>
      <c r="T134" s="444"/>
      <c r="U134" s="473"/>
      <c r="V134" s="444"/>
      <c r="W134" s="473"/>
      <c r="X134" s="444"/>
      <c r="Y134" s="473"/>
      <c r="Z134" s="444"/>
      <c r="AA134" s="473"/>
      <c r="AB134" s="444"/>
      <c r="AC134" s="473"/>
      <c r="AF134" s="474"/>
      <c r="AG134" s="475"/>
      <c r="AH134" s="475"/>
      <c r="AI134" s="475"/>
      <c r="AJ134" s="475"/>
      <c r="AK134" s="476"/>
    </row>
    <row r="135" spans="1:37" ht="42.75" customHeight="1" thickBot="1">
      <c r="A135" s="467"/>
      <c r="B135" s="446"/>
      <c r="C135" s="477">
        <v>285.31900000000002</v>
      </c>
      <c r="D135" s="446"/>
      <c r="E135" s="477">
        <v>354.7</v>
      </c>
      <c r="F135" s="446"/>
      <c r="G135" s="477">
        <v>420.541</v>
      </c>
      <c r="H135" s="446"/>
      <c r="I135" s="477">
        <v>340.55900000000003</v>
      </c>
      <c r="J135" s="446"/>
      <c r="K135" s="477">
        <v>336.51900000000001</v>
      </c>
      <c r="L135" s="446"/>
      <c r="M135" s="477">
        <v>375.99200000000002</v>
      </c>
      <c r="N135" s="446"/>
      <c r="O135" s="482">
        <v>308.40699999999998</v>
      </c>
      <c r="P135" s="446"/>
      <c r="Q135" s="500">
        <v>444.83800000000002</v>
      </c>
      <c r="R135" s="446"/>
      <c r="S135" s="477">
        <v>392.01600000000002</v>
      </c>
      <c r="T135" s="446"/>
      <c r="U135" s="477">
        <v>407.803</v>
      </c>
      <c r="V135" s="446"/>
      <c r="W135" s="477">
        <v>206.06200000000001</v>
      </c>
      <c r="X135" s="446"/>
      <c r="Y135" s="482">
        <v>417.38400000000001</v>
      </c>
      <c r="Z135" s="446"/>
      <c r="AA135" s="477">
        <v>304.56400000000002</v>
      </c>
      <c r="AB135" s="446"/>
      <c r="AC135" s="482">
        <v>395.50900000000001</v>
      </c>
      <c r="AF135" s="470">
        <v>14</v>
      </c>
      <c r="AG135" s="470"/>
      <c r="AH135" s="470"/>
      <c r="AI135" s="470"/>
      <c r="AJ135" s="470"/>
      <c r="AK135" s="471"/>
    </row>
    <row r="136" spans="1:37" ht="12.5" thickBot="1">
      <c r="A136" s="467"/>
      <c r="B136" s="479"/>
      <c r="C136" s="473"/>
      <c r="D136" s="479"/>
      <c r="E136" s="473"/>
      <c r="F136" s="479"/>
      <c r="G136" s="473"/>
      <c r="H136" s="479"/>
      <c r="I136" s="473"/>
      <c r="J136" s="479"/>
      <c r="K136" s="473"/>
      <c r="L136" s="479"/>
      <c r="M136" s="473"/>
      <c r="N136" s="479"/>
      <c r="O136" s="473"/>
      <c r="P136" s="479"/>
      <c r="Q136" s="473"/>
      <c r="R136" s="479"/>
      <c r="S136" s="473"/>
      <c r="T136" s="479"/>
      <c r="U136" s="473"/>
      <c r="V136" s="479"/>
      <c r="W136" s="473"/>
      <c r="X136" s="479"/>
      <c r="Y136" s="473"/>
      <c r="Z136" s="479"/>
      <c r="AA136" s="473"/>
      <c r="AB136" s="479"/>
      <c r="AC136" s="473"/>
      <c r="AF136" s="474"/>
      <c r="AG136" s="475"/>
      <c r="AH136" s="475"/>
      <c r="AI136" s="475"/>
      <c r="AJ136" s="475"/>
      <c r="AK136" s="476"/>
    </row>
    <row r="137" spans="1:37">
      <c r="A137" s="467"/>
      <c r="B137" s="450" t="s">
        <v>242</v>
      </c>
      <c r="C137" s="450"/>
      <c r="D137" s="450" t="s">
        <v>185</v>
      </c>
      <c r="E137" s="450"/>
      <c r="F137" s="450" t="s">
        <v>117</v>
      </c>
      <c r="G137" s="450"/>
      <c r="H137" s="450" t="s">
        <v>132</v>
      </c>
      <c r="I137" s="450"/>
      <c r="J137" s="450" t="s">
        <v>132</v>
      </c>
      <c r="K137" s="450"/>
      <c r="L137" s="450" t="s">
        <v>182</v>
      </c>
      <c r="M137" s="450"/>
      <c r="N137" s="450" t="s">
        <v>132</v>
      </c>
      <c r="O137" s="450"/>
      <c r="P137" s="450" t="s">
        <v>242</v>
      </c>
      <c r="Q137" s="450"/>
      <c r="R137" s="450" t="s">
        <v>242</v>
      </c>
      <c r="S137" s="450"/>
      <c r="T137" s="450" t="s">
        <v>132</v>
      </c>
      <c r="U137" s="450"/>
      <c r="V137" s="450" t="s">
        <v>132</v>
      </c>
      <c r="W137" s="450"/>
      <c r="X137" s="450" t="s">
        <v>123</v>
      </c>
      <c r="Y137" s="450"/>
      <c r="Z137" s="444" t="s">
        <v>182</v>
      </c>
      <c r="AA137" s="450"/>
      <c r="AB137" s="450" t="s">
        <v>125</v>
      </c>
      <c r="AC137" s="473"/>
      <c r="AF137" s="474"/>
      <c r="AG137" s="475"/>
      <c r="AH137" s="475"/>
      <c r="AI137" s="475"/>
      <c r="AJ137" s="475"/>
      <c r="AK137" s="476"/>
    </row>
    <row r="138" spans="1:37">
      <c r="A138" s="467"/>
      <c r="B138" s="450" t="s">
        <v>1277</v>
      </c>
      <c r="C138" s="450"/>
      <c r="D138" s="450" t="s">
        <v>1277</v>
      </c>
      <c r="E138" s="450"/>
      <c r="F138" s="450" t="s">
        <v>1276</v>
      </c>
      <c r="G138" s="450"/>
      <c r="H138" s="450" t="s">
        <v>1276</v>
      </c>
      <c r="I138" s="450"/>
      <c r="J138" s="450"/>
      <c r="K138" s="450"/>
      <c r="L138" s="450"/>
      <c r="M138" s="450"/>
      <c r="N138" s="450"/>
      <c r="O138" s="450"/>
      <c r="P138" s="450"/>
      <c r="Q138" s="450"/>
      <c r="R138" s="450"/>
      <c r="S138" s="450"/>
      <c r="T138" s="450" t="s">
        <v>1278</v>
      </c>
      <c r="U138" s="450"/>
      <c r="V138" s="450"/>
      <c r="W138" s="450"/>
      <c r="X138" s="450"/>
      <c r="Y138" s="450"/>
      <c r="Z138" s="450"/>
      <c r="AA138" s="450"/>
      <c r="AB138" s="450"/>
      <c r="AC138" s="473"/>
      <c r="AF138" s="474"/>
      <c r="AG138" s="475"/>
      <c r="AH138" s="475"/>
      <c r="AI138" s="475"/>
      <c r="AJ138" s="475"/>
      <c r="AK138" s="476"/>
    </row>
    <row r="139" spans="1:37">
      <c r="A139" s="467"/>
      <c r="C139" s="473"/>
      <c r="E139" s="473"/>
      <c r="G139" s="473"/>
      <c r="I139" s="473"/>
      <c r="K139" s="473"/>
      <c r="M139" s="473"/>
      <c r="O139" s="473"/>
      <c r="Q139" s="473"/>
      <c r="S139" s="473"/>
      <c r="U139" s="473"/>
      <c r="W139" s="473"/>
      <c r="Y139" s="473"/>
      <c r="AA139" s="473"/>
      <c r="AC139" s="473"/>
      <c r="AF139" s="474"/>
      <c r="AG139" s="475"/>
      <c r="AH139" s="475"/>
      <c r="AI139" s="475"/>
      <c r="AJ139" s="475"/>
      <c r="AK139" s="476"/>
    </row>
    <row r="140" spans="1:37">
      <c r="A140" s="467"/>
      <c r="B140" s="468" t="s">
        <v>337</v>
      </c>
      <c r="C140" s="443"/>
      <c r="D140" s="468" t="s">
        <v>338</v>
      </c>
      <c r="E140" s="443"/>
      <c r="F140" s="468" t="s">
        <v>339</v>
      </c>
      <c r="G140" s="449"/>
      <c r="H140" s="468" t="s">
        <v>340</v>
      </c>
      <c r="I140" s="443"/>
      <c r="J140" s="468" t="s">
        <v>281</v>
      </c>
      <c r="K140" s="443"/>
      <c r="L140" s="468" t="s">
        <v>341</v>
      </c>
      <c r="M140" s="443"/>
      <c r="N140" s="468" t="s">
        <v>346</v>
      </c>
      <c r="O140" s="443"/>
      <c r="P140" s="468" t="s">
        <v>347</v>
      </c>
      <c r="Q140" s="443"/>
      <c r="R140" s="468" t="s">
        <v>348</v>
      </c>
      <c r="S140" s="443"/>
      <c r="T140" s="468" t="s">
        <v>282</v>
      </c>
      <c r="U140" s="443"/>
      <c r="V140" s="468" t="s">
        <v>283</v>
      </c>
      <c r="W140" s="443"/>
      <c r="X140" s="468" t="s">
        <v>349</v>
      </c>
      <c r="Y140" s="443"/>
      <c r="Z140" s="468" t="s">
        <v>350</v>
      </c>
      <c r="AA140" s="443"/>
      <c r="AB140" s="468" t="s">
        <v>351</v>
      </c>
      <c r="AC140" s="473"/>
      <c r="AF140" s="474"/>
      <c r="AG140" s="475"/>
      <c r="AH140" s="475"/>
      <c r="AI140" s="475"/>
      <c r="AJ140" s="475"/>
      <c r="AK140" s="476"/>
    </row>
    <row r="141" spans="1:37">
      <c r="A141" s="467"/>
      <c r="B141" s="472"/>
      <c r="C141" s="473"/>
      <c r="D141" s="472"/>
      <c r="E141" s="450"/>
      <c r="F141" s="472"/>
      <c r="G141" s="501"/>
      <c r="H141" s="472"/>
      <c r="I141" s="473"/>
      <c r="J141" s="472"/>
      <c r="K141" s="473"/>
      <c r="L141" s="472"/>
      <c r="M141" s="473"/>
      <c r="N141" s="472"/>
      <c r="O141" s="473"/>
      <c r="P141" s="472"/>
      <c r="Q141" s="502"/>
      <c r="R141" s="472"/>
      <c r="S141" s="473"/>
      <c r="T141" s="472"/>
      <c r="U141" s="473"/>
      <c r="V141" s="472"/>
      <c r="W141" s="473"/>
      <c r="X141" s="472"/>
      <c r="Y141" s="473"/>
      <c r="Z141" s="472"/>
      <c r="AA141" s="473"/>
      <c r="AB141" s="472"/>
      <c r="AC141" s="473"/>
      <c r="AF141" s="470" t="s">
        <v>1191</v>
      </c>
      <c r="AG141" s="470" t="s">
        <v>354</v>
      </c>
      <c r="AH141" s="470" t="s">
        <v>1192</v>
      </c>
      <c r="AI141" s="470" t="s">
        <v>1193</v>
      </c>
      <c r="AJ141" s="470" t="s">
        <v>303</v>
      </c>
      <c r="AK141" s="471" t="s">
        <v>1194</v>
      </c>
    </row>
    <row r="142" spans="1:37" ht="12.5" thickBot="1">
      <c r="A142" s="467"/>
      <c r="B142" s="444"/>
      <c r="C142" s="473"/>
      <c r="D142" s="444"/>
      <c r="E142" s="473"/>
      <c r="F142" s="444"/>
      <c r="G142" s="473"/>
      <c r="H142" s="444"/>
      <c r="I142" s="473"/>
      <c r="J142" s="444"/>
      <c r="K142" s="473"/>
      <c r="L142" s="444"/>
      <c r="M142" s="473"/>
      <c r="N142" s="444"/>
      <c r="O142" s="473"/>
      <c r="P142" s="444"/>
      <c r="Q142" s="473"/>
      <c r="R142" s="444"/>
      <c r="S142" s="473"/>
      <c r="T142" s="444"/>
      <c r="U142" s="473"/>
      <c r="V142" s="444"/>
      <c r="W142" s="473"/>
      <c r="X142" s="444"/>
      <c r="Y142" s="473"/>
      <c r="Z142" s="444"/>
      <c r="AA142" s="473"/>
      <c r="AB142" s="444"/>
      <c r="AC142" s="473"/>
      <c r="AF142" s="474"/>
      <c r="AG142" s="475"/>
      <c r="AH142" s="475"/>
      <c r="AI142" s="475"/>
      <c r="AJ142" s="475"/>
      <c r="AK142" s="476"/>
    </row>
    <row r="143" spans="1:37" ht="42.75" customHeight="1" thickBot="1">
      <c r="A143" s="467"/>
      <c r="B143" s="446"/>
      <c r="C143" s="477">
        <v>431.017</v>
      </c>
      <c r="D143" s="446"/>
      <c r="E143" s="477">
        <v>403.42599999999999</v>
      </c>
      <c r="F143" s="446"/>
      <c r="G143" s="477">
        <v>420.35700000000003</v>
      </c>
      <c r="H143" s="446"/>
      <c r="I143" s="477">
        <v>446.37</v>
      </c>
      <c r="J143" s="446"/>
      <c r="K143" s="477">
        <v>297.577</v>
      </c>
      <c r="L143" s="446"/>
      <c r="M143" s="477">
        <v>240.47300000000001</v>
      </c>
      <c r="N143" s="446"/>
      <c r="O143" s="477">
        <v>312.68700000000001</v>
      </c>
      <c r="P143" s="446"/>
      <c r="Q143" s="477">
        <v>347.88400000000001</v>
      </c>
      <c r="R143" s="446"/>
      <c r="S143" s="477">
        <v>379.24900000000002</v>
      </c>
      <c r="T143" s="447"/>
      <c r="U143" s="477">
        <v>398.697</v>
      </c>
      <c r="V143" s="447"/>
      <c r="W143" s="477">
        <v>439.06200000000001</v>
      </c>
      <c r="X143" s="446"/>
      <c r="Y143" s="482">
        <v>360.21</v>
      </c>
      <c r="Z143" s="446"/>
      <c r="AA143" s="477">
        <v>399.57900000000001</v>
      </c>
      <c r="AB143" s="446"/>
      <c r="AC143" s="477">
        <v>364</v>
      </c>
      <c r="AF143" s="470">
        <v>14</v>
      </c>
      <c r="AG143" s="470"/>
      <c r="AH143" s="470"/>
      <c r="AI143" s="470"/>
      <c r="AJ143" s="470"/>
      <c r="AK143" s="471"/>
    </row>
    <row r="144" spans="1:37" ht="14.25" customHeight="1" thickBot="1">
      <c r="A144" s="467"/>
      <c r="B144" s="479"/>
      <c r="C144" s="473"/>
      <c r="D144" s="479"/>
      <c r="E144" s="473"/>
      <c r="F144" s="479"/>
      <c r="G144" s="473"/>
      <c r="H144" s="479"/>
      <c r="I144" s="473"/>
      <c r="J144" s="479"/>
      <c r="K144" s="473"/>
      <c r="L144" s="479"/>
      <c r="M144" s="473"/>
      <c r="N144" s="479"/>
      <c r="O144" s="473"/>
      <c r="P144" s="479"/>
      <c r="Q144" s="473"/>
      <c r="R144" s="479"/>
      <c r="S144" s="473"/>
      <c r="T144" s="479"/>
      <c r="U144" s="473"/>
      <c r="V144" s="479"/>
      <c r="W144" s="473"/>
      <c r="X144" s="479"/>
      <c r="Y144" s="473"/>
      <c r="Z144" s="479"/>
      <c r="AA144" s="473"/>
      <c r="AB144" s="479"/>
      <c r="AC144" s="473"/>
      <c r="AF144" s="474"/>
      <c r="AG144" s="475"/>
      <c r="AH144" s="475"/>
      <c r="AI144" s="475"/>
      <c r="AJ144" s="475"/>
      <c r="AK144" s="476"/>
    </row>
    <row r="145" spans="1:37">
      <c r="A145" s="467"/>
      <c r="B145" s="503" t="s">
        <v>248</v>
      </c>
      <c r="C145" s="450"/>
      <c r="D145" s="455" t="s">
        <v>185</v>
      </c>
      <c r="E145" s="450"/>
      <c r="F145" s="503" t="s">
        <v>248</v>
      </c>
      <c r="G145" s="450"/>
      <c r="H145" s="503" t="s">
        <v>115</v>
      </c>
      <c r="I145" s="450"/>
      <c r="J145" s="503" t="s">
        <v>248</v>
      </c>
      <c r="K145" s="450"/>
      <c r="L145" s="503" t="s">
        <v>119</v>
      </c>
      <c r="M145" s="450"/>
      <c r="N145" s="503" t="s">
        <v>182</v>
      </c>
      <c r="O145" s="450"/>
      <c r="P145" s="503" t="s">
        <v>182</v>
      </c>
      <c r="Q145" s="450"/>
      <c r="R145" s="503" t="s">
        <v>248</v>
      </c>
      <c r="S145" s="450"/>
      <c r="T145" s="503" t="s">
        <v>242</v>
      </c>
      <c r="U145" s="450"/>
      <c r="V145" s="503" t="s">
        <v>242</v>
      </c>
      <c r="W145" s="450"/>
      <c r="X145" s="503" t="s">
        <v>115</v>
      </c>
      <c r="Y145" s="450"/>
      <c r="Z145" s="503" t="s">
        <v>182</v>
      </c>
      <c r="AA145" s="450"/>
      <c r="AB145" s="503" t="s">
        <v>123</v>
      </c>
      <c r="AC145" s="473"/>
      <c r="AF145" s="474"/>
      <c r="AG145" s="475"/>
      <c r="AH145" s="475"/>
      <c r="AI145" s="475"/>
      <c r="AJ145" s="475"/>
      <c r="AK145" s="476"/>
    </row>
    <row r="146" spans="1:37">
      <c r="A146" s="467"/>
      <c r="B146" s="503"/>
      <c r="C146" s="450"/>
      <c r="E146" s="450"/>
      <c r="F146" s="503" t="s">
        <v>1276</v>
      </c>
      <c r="G146" s="450"/>
      <c r="H146" s="503"/>
      <c r="I146" s="450"/>
      <c r="J146" s="503"/>
      <c r="K146" s="450"/>
      <c r="L146" s="503"/>
      <c r="M146" s="450"/>
      <c r="N146" s="503" t="s">
        <v>1277</v>
      </c>
      <c r="O146" s="450"/>
      <c r="P146" s="503"/>
      <c r="Q146" s="450"/>
      <c r="R146" s="503" t="s">
        <v>1276</v>
      </c>
      <c r="S146" s="450"/>
      <c r="T146" s="503"/>
      <c r="U146" s="450"/>
      <c r="V146" s="503"/>
      <c r="W146" s="450"/>
      <c r="X146" s="503"/>
      <c r="Y146" s="450"/>
      <c r="Z146" s="503"/>
      <c r="AA146" s="450"/>
      <c r="AB146" s="503" t="s">
        <v>1277</v>
      </c>
      <c r="AC146" s="473"/>
      <c r="AF146" s="474"/>
      <c r="AG146" s="475"/>
      <c r="AH146" s="475"/>
      <c r="AI146" s="475"/>
      <c r="AJ146" s="475"/>
      <c r="AK146" s="476"/>
    </row>
    <row r="147" spans="1:37">
      <c r="A147" s="467"/>
      <c r="B147" s="503"/>
      <c r="C147" s="473"/>
      <c r="D147" s="503"/>
      <c r="E147" s="473"/>
      <c r="F147" s="503"/>
      <c r="G147" s="473"/>
      <c r="H147" s="503"/>
      <c r="I147" s="473"/>
      <c r="J147" s="503"/>
      <c r="K147" s="473"/>
      <c r="L147" s="503"/>
      <c r="M147" s="473"/>
      <c r="N147" s="503"/>
      <c r="O147" s="473"/>
      <c r="P147" s="503"/>
      <c r="Q147" s="473"/>
      <c r="R147" s="503"/>
      <c r="S147" s="473"/>
      <c r="T147" s="503"/>
      <c r="U147" s="473"/>
      <c r="V147" s="503"/>
      <c r="W147" s="473"/>
      <c r="X147" s="503"/>
      <c r="Y147" s="473"/>
      <c r="Z147" s="503"/>
      <c r="AA147" s="473"/>
      <c r="AB147" s="503"/>
      <c r="AC147" s="473"/>
      <c r="AF147" s="474"/>
      <c r="AG147" s="475"/>
      <c r="AH147" s="475"/>
      <c r="AI147" s="475"/>
      <c r="AJ147" s="475"/>
      <c r="AK147" s="476"/>
    </row>
    <row r="148" spans="1:37">
      <c r="A148" s="467"/>
      <c r="B148" s="468" t="s">
        <v>352</v>
      </c>
      <c r="C148" s="443"/>
      <c r="D148" s="468" t="s">
        <v>353</v>
      </c>
      <c r="E148" s="443"/>
      <c r="F148" s="468" t="s">
        <v>274</v>
      </c>
      <c r="G148" s="443"/>
      <c r="H148" s="468" t="s">
        <v>275</v>
      </c>
      <c r="I148" s="443"/>
      <c r="J148" s="468" t="s">
        <v>355</v>
      </c>
      <c r="K148" s="443"/>
      <c r="L148" s="468" t="s">
        <v>284</v>
      </c>
      <c r="M148" s="443"/>
      <c r="N148" s="468" t="s">
        <v>285</v>
      </c>
      <c r="O148" s="443"/>
      <c r="P148" s="468" t="s">
        <v>705</v>
      </c>
      <c r="Q148" s="443"/>
      <c r="R148" s="468" t="s">
        <v>357</v>
      </c>
      <c r="S148" s="443"/>
      <c r="T148" s="468" t="s">
        <v>706</v>
      </c>
      <c r="U148" s="443"/>
      <c r="V148" s="468" t="s">
        <v>247</v>
      </c>
      <c r="W148" s="443"/>
      <c r="X148" s="468" t="s">
        <v>260</v>
      </c>
      <c r="Y148" s="443"/>
      <c r="Z148" s="468" t="s">
        <v>261</v>
      </c>
      <c r="AA148" s="443"/>
      <c r="AB148" s="468" t="s">
        <v>286</v>
      </c>
      <c r="AC148" s="473"/>
      <c r="AF148" s="474"/>
      <c r="AG148" s="475"/>
      <c r="AH148" s="475"/>
      <c r="AI148" s="475"/>
      <c r="AJ148" s="475"/>
      <c r="AK148" s="476"/>
    </row>
    <row r="149" spans="1:37">
      <c r="A149" s="467"/>
      <c r="B149" s="472"/>
      <c r="C149" s="473"/>
      <c r="D149" s="472"/>
      <c r="E149" s="473"/>
      <c r="F149" s="472"/>
      <c r="G149" s="473"/>
      <c r="H149" s="472"/>
      <c r="I149" s="481"/>
      <c r="J149" s="472"/>
      <c r="K149" s="450"/>
      <c r="L149" s="472"/>
      <c r="M149" s="473"/>
      <c r="N149" s="472"/>
      <c r="O149" s="473"/>
      <c r="P149" s="472"/>
      <c r="Q149" s="450"/>
      <c r="R149" s="472"/>
      <c r="S149" s="481"/>
      <c r="T149" s="472"/>
      <c r="U149" s="473"/>
      <c r="V149" s="472"/>
      <c r="W149" s="473"/>
      <c r="X149" s="472"/>
      <c r="Y149" s="477"/>
      <c r="Z149" s="472"/>
      <c r="AA149" s="450"/>
      <c r="AB149" s="472"/>
      <c r="AC149" s="473"/>
      <c r="AF149" s="470" t="s">
        <v>1191</v>
      </c>
      <c r="AG149" s="470" t="s">
        <v>354</v>
      </c>
      <c r="AH149" s="470" t="s">
        <v>1192</v>
      </c>
      <c r="AI149" s="470" t="s">
        <v>1193</v>
      </c>
      <c r="AJ149" s="470" t="s">
        <v>303</v>
      </c>
      <c r="AK149" s="471" t="s">
        <v>1194</v>
      </c>
    </row>
    <row r="150" spans="1:37" ht="12.5" thickBot="1">
      <c r="A150" s="467"/>
      <c r="B150" s="444"/>
      <c r="C150" s="473"/>
      <c r="D150" s="444"/>
      <c r="E150" s="473"/>
      <c r="F150" s="444"/>
      <c r="G150" s="473"/>
      <c r="H150" s="444"/>
      <c r="I150" s="473"/>
      <c r="J150" s="444"/>
      <c r="K150" s="473"/>
      <c r="L150" s="444"/>
      <c r="M150" s="473"/>
      <c r="N150" s="444"/>
      <c r="O150" s="473"/>
      <c r="P150" s="444"/>
      <c r="Q150" s="473"/>
      <c r="R150" s="444"/>
      <c r="S150" s="473"/>
      <c r="T150" s="444"/>
      <c r="U150" s="473"/>
      <c r="V150" s="444"/>
      <c r="W150" s="473"/>
      <c r="X150" s="444"/>
      <c r="Y150" s="473"/>
      <c r="Z150" s="444"/>
      <c r="AA150" s="473"/>
      <c r="AB150" s="444"/>
      <c r="AC150" s="473"/>
      <c r="AF150" s="474"/>
      <c r="AG150" s="475"/>
      <c r="AH150" s="475"/>
      <c r="AI150" s="475"/>
      <c r="AJ150" s="475"/>
      <c r="AK150" s="476"/>
    </row>
    <row r="151" spans="1:37" ht="42" customHeight="1" thickBot="1">
      <c r="A151" s="467"/>
      <c r="B151" s="446"/>
      <c r="C151" s="477">
        <v>442</v>
      </c>
      <c r="D151" s="446"/>
      <c r="E151" s="477">
        <v>397</v>
      </c>
      <c r="F151" s="447"/>
      <c r="G151" s="477">
        <v>395</v>
      </c>
      <c r="H151" s="447"/>
      <c r="I151" s="477">
        <v>432</v>
      </c>
      <c r="J151" s="447"/>
      <c r="K151" s="477">
        <v>408</v>
      </c>
      <c r="L151" s="447"/>
      <c r="M151" s="477">
        <v>426</v>
      </c>
      <c r="N151" s="447"/>
      <c r="O151" s="477">
        <v>392.95400000000001</v>
      </c>
      <c r="P151" s="446"/>
      <c r="Q151" s="477">
        <v>431.95699999999999</v>
      </c>
      <c r="R151" s="446"/>
      <c r="S151" s="477">
        <v>426.02</v>
      </c>
      <c r="T151" s="446"/>
      <c r="U151" s="477">
        <v>401</v>
      </c>
      <c r="V151" s="447"/>
      <c r="W151" s="477">
        <v>437</v>
      </c>
      <c r="X151" s="447"/>
      <c r="Y151" s="482">
        <v>402</v>
      </c>
      <c r="Z151" s="447"/>
      <c r="AA151" s="477">
        <v>436</v>
      </c>
      <c r="AB151" s="446"/>
      <c r="AC151" s="482">
        <v>392.28300000000002</v>
      </c>
      <c r="AF151" s="470">
        <v>14</v>
      </c>
      <c r="AG151" s="470">
        <v>8</v>
      </c>
      <c r="AH151" s="470">
        <v>2</v>
      </c>
      <c r="AI151" s="470"/>
      <c r="AJ151" s="470"/>
      <c r="AK151" s="471"/>
    </row>
    <row r="152" spans="1:37" ht="12.5" thickBot="1">
      <c r="A152" s="467"/>
      <c r="B152" s="479"/>
      <c r="C152" s="473"/>
      <c r="D152" s="479"/>
      <c r="E152" s="473"/>
      <c r="F152" s="479"/>
      <c r="G152" s="473"/>
      <c r="H152" s="479"/>
      <c r="I152" s="473"/>
      <c r="J152" s="479"/>
      <c r="K152" s="473"/>
      <c r="L152" s="479"/>
      <c r="M152" s="473"/>
      <c r="N152" s="479"/>
      <c r="O152" s="473"/>
      <c r="P152" s="479"/>
      <c r="Q152" s="473"/>
      <c r="R152" s="479"/>
      <c r="S152" s="473"/>
      <c r="T152" s="479"/>
      <c r="U152" s="473"/>
      <c r="V152" s="479"/>
      <c r="W152" s="473"/>
      <c r="X152" s="479"/>
      <c r="Y152" s="473"/>
      <c r="Z152" s="479"/>
      <c r="AA152" s="473"/>
      <c r="AB152" s="479"/>
      <c r="AC152" s="473"/>
      <c r="AF152" s="474"/>
      <c r="AG152" s="475"/>
      <c r="AH152" s="475"/>
      <c r="AI152" s="475"/>
      <c r="AJ152" s="475"/>
      <c r="AK152" s="476"/>
    </row>
    <row r="153" spans="1:37">
      <c r="A153" s="467"/>
      <c r="B153" s="450" t="s">
        <v>248</v>
      </c>
      <c r="C153" s="450"/>
      <c r="D153" s="450" t="s">
        <v>248</v>
      </c>
      <c r="E153" s="450"/>
      <c r="F153" s="450" t="s">
        <v>248</v>
      </c>
      <c r="G153" s="450"/>
      <c r="H153" s="450" t="s">
        <v>248</v>
      </c>
      <c r="I153" s="450"/>
      <c r="J153" s="450" t="s">
        <v>248</v>
      </c>
      <c r="K153" s="450"/>
      <c r="L153" s="450" t="s">
        <v>185</v>
      </c>
      <c r="M153" s="450"/>
      <c r="N153" s="450" t="s">
        <v>185</v>
      </c>
      <c r="O153" s="450"/>
      <c r="P153" s="450" t="s">
        <v>125</v>
      </c>
      <c r="Q153" s="450"/>
      <c r="R153" s="450" t="s">
        <v>132</v>
      </c>
      <c r="S153" s="450"/>
      <c r="T153" s="450" t="s">
        <v>125</v>
      </c>
      <c r="U153" s="450"/>
      <c r="V153" s="450" t="s">
        <v>248</v>
      </c>
      <c r="W153" s="450"/>
      <c r="X153" s="450" t="s">
        <v>182</v>
      </c>
      <c r="Y153" s="450"/>
      <c r="Z153" s="450" t="s">
        <v>185</v>
      </c>
      <c r="AA153" s="450"/>
      <c r="AB153" s="450" t="s">
        <v>248</v>
      </c>
      <c r="AC153" s="473"/>
      <c r="AF153" s="474"/>
      <c r="AG153" s="475"/>
      <c r="AH153" s="475"/>
      <c r="AI153" s="475"/>
      <c r="AJ153" s="475"/>
      <c r="AK153" s="476"/>
    </row>
    <row r="154" spans="1:37">
      <c r="A154" s="467"/>
      <c r="B154" s="450" t="s">
        <v>1276</v>
      </c>
      <c r="C154" s="450"/>
      <c r="D154" s="450" t="s">
        <v>1277</v>
      </c>
      <c r="E154" s="450"/>
      <c r="F154" s="450"/>
      <c r="G154" s="450"/>
      <c r="H154" s="450"/>
      <c r="I154" s="450"/>
      <c r="J154" s="450"/>
      <c r="K154" s="450"/>
      <c r="L154" s="450"/>
      <c r="M154" s="450"/>
      <c r="N154" s="450"/>
      <c r="O154" s="450"/>
      <c r="P154" s="450"/>
      <c r="Q154" s="450"/>
      <c r="R154" s="450"/>
      <c r="S154" s="450"/>
      <c r="T154" s="450" t="s">
        <v>1277</v>
      </c>
      <c r="U154" s="450"/>
      <c r="V154" s="450"/>
      <c r="W154" s="450"/>
      <c r="X154" s="450"/>
      <c r="Y154" s="450"/>
      <c r="Z154" s="450"/>
      <c r="AA154" s="450"/>
      <c r="AB154" s="450"/>
      <c r="AC154" s="473"/>
      <c r="AF154" s="474"/>
      <c r="AG154" s="475"/>
      <c r="AH154" s="475"/>
      <c r="AI154" s="475"/>
      <c r="AJ154" s="475"/>
      <c r="AK154" s="476"/>
    </row>
    <row r="155" spans="1:37">
      <c r="A155" s="467"/>
      <c r="C155" s="473"/>
      <c r="E155" s="473"/>
      <c r="G155" s="473"/>
      <c r="I155" s="473"/>
      <c r="K155" s="473"/>
      <c r="M155" s="473"/>
      <c r="N155" s="468"/>
      <c r="O155" s="473"/>
      <c r="Q155" s="473"/>
      <c r="S155" s="473"/>
      <c r="U155" s="473"/>
      <c r="W155" s="473"/>
      <c r="Y155" s="473"/>
      <c r="AA155" s="473"/>
      <c r="AC155" s="473"/>
      <c r="AF155" s="474"/>
      <c r="AG155" s="475"/>
      <c r="AH155" s="475"/>
      <c r="AI155" s="475"/>
      <c r="AJ155" s="475"/>
      <c r="AK155" s="476"/>
    </row>
    <row r="156" spans="1:37">
      <c r="A156" s="467"/>
      <c r="B156" s="468" t="s">
        <v>707</v>
      </c>
      <c r="C156" s="443"/>
      <c r="D156" s="468" t="s">
        <v>359</v>
      </c>
      <c r="E156" s="443"/>
      <c r="F156" s="468" t="s">
        <v>360</v>
      </c>
      <c r="G156" s="443"/>
      <c r="H156" s="468" t="s">
        <v>361</v>
      </c>
      <c r="I156" s="443"/>
      <c r="J156" s="468" t="s">
        <v>362</v>
      </c>
      <c r="K156" s="443"/>
      <c r="L156" s="468" t="s">
        <v>363</v>
      </c>
      <c r="M156" s="443"/>
      <c r="N156" s="468" t="s">
        <v>364</v>
      </c>
      <c r="O156" s="443"/>
      <c r="P156" s="468" t="s">
        <v>365</v>
      </c>
      <c r="Q156" s="443"/>
      <c r="R156" s="468" t="s">
        <v>711</v>
      </c>
      <c r="S156" s="443"/>
      <c r="T156" s="468" t="s">
        <v>367</v>
      </c>
      <c r="U156" s="443"/>
      <c r="V156" s="468" t="s">
        <v>287</v>
      </c>
      <c r="W156" s="443"/>
      <c r="X156" s="468" t="s">
        <v>368</v>
      </c>
      <c r="Y156" s="443"/>
      <c r="Z156" s="468" t="s">
        <v>369</v>
      </c>
      <c r="AA156" s="468"/>
      <c r="AB156" s="504" t="s">
        <v>370</v>
      </c>
      <c r="AC156" s="473"/>
      <c r="AF156" s="474"/>
      <c r="AG156" s="475"/>
      <c r="AH156" s="475"/>
      <c r="AI156" s="475"/>
      <c r="AJ156" s="475"/>
      <c r="AK156" s="476"/>
    </row>
    <row r="157" spans="1:37">
      <c r="A157" s="467"/>
      <c r="B157" s="472"/>
      <c r="C157" s="473"/>
      <c r="D157" s="472"/>
      <c r="E157" s="473"/>
      <c r="F157" s="472"/>
      <c r="G157" s="473"/>
      <c r="H157" s="472"/>
      <c r="I157" s="473"/>
      <c r="J157" s="472"/>
      <c r="K157" s="473"/>
      <c r="L157" s="472"/>
      <c r="M157" s="473"/>
      <c r="N157" s="472"/>
      <c r="O157" s="473"/>
      <c r="P157" s="472"/>
      <c r="Q157" s="473"/>
      <c r="R157" s="472"/>
      <c r="S157" s="473"/>
      <c r="T157" s="472"/>
      <c r="U157" s="473"/>
      <c r="V157" s="472"/>
      <c r="W157" s="473"/>
      <c r="X157" s="472"/>
      <c r="Y157" s="473"/>
      <c r="Z157" s="472"/>
      <c r="AA157" s="473"/>
      <c r="AB157" s="472"/>
      <c r="AC157" s="473"/>
      <c r="AF157" s="470" t="s">
        <v>1191</v>
      </c>
      <c r="AG157" s="470" t="s">
        <v>354</v>
      </c>
      <c r="AH157" s="470" t="s">
        <v>1192</v>
      </c>
      <c r="AI157" s="470" t="s">
        <v>1193</v>
      </c>
      <c r="AJ157" s="470" t="s">
        <v>303</v>
      </c>
      <c r="AK157" s="471" t="s">
        <v>1194</v>
      </c>
    </row>
    <row r="158" spans="1:37" ht="12.5" thickBot="1">
      <c r="A158" s="467"/>
      <c r="B158" s="444"/>
      <c r="C158" s="473"/>
      <c r="D158" s="444"/>
      <c r="E158" s="473"/>
      <c r="F158" s="444"/>
      <c r="G158" s="473"/>
      <c r="H158" s="444"/>
      <c r="I158" s="473"/>
      <c r="J158" s="444"/>
      <c r="K158" s="473"/>
      <c r="L158" s="444"/>
      <c r="M158" s="473"/>
      <c r="N158" s="444"/>
      <c r="O158" s="473"/>
      <c r="P158" s="444"/>
      <c r="Q158" s="473"/>
      <c r="R158" s="444"/>
      <c r="S158" s="473"/>
      <c r="T158" s="444"/>
      <c r="U158" s="473"/>
      <c r="V158" s="444"/>
      <c r="W158" s="473"/>
      <c r="X158" s="444"/>
      <c r="Y158" s="473"/>
      <c r="Z158" s="444"/>
      <c r="AA158" s="473"/>
      <c r="AB158" s="444"/>
      <c r="AC158" s="473"/>
      <c r="AF158" s="474"/>
      <c r="AG158" s="475"/>
      <c r="AH158" s="475"/>
      <c r="AI158" s="475"/>
      <c r="AJ158" s="475"/>
      <c r="AK158" s="476"/>
    </row>
    <row r="159" spans="1:37" ht="42.75" customHeight="1" thickBot="1">
      <c r="A159" s="467"/>
      <c r="B159" s="446"/>
      <c r="C159" s="477">
        <v>402.5</v>
      </c>
      <c r="D159" s="446"/>
      <c r="E159" s="477">
        <v>411.55700000000002</v>
      </c>
      <c r="F159" s="446"/>
      <c r="G159" s="477">
        <v>438.46100000000001</v>
      </c>
      <c r="H159" s="446"/>
      <c r="I159" s="477">
        <v>410.35599999999999</v>
      </c>
      <c r="J159" s="446"/>
      <c r="K159" s="477">
        <v>379.755</v>
      </c>
      <c r="L159" s="446"/>
      <c r="M159" s="477">
        <v>396.947</v>
      </c>
      <c r="N159" s="446"/>
      <c r="O159" s="477">
        <v>414.59399999999999</v>
      </c>
      <c r="P159" s="446"/>
      <c r="Q159" s="477">
        <v>352.99400000000003</v>
      </c>
      <c r="R159" s="446"/>
      <c r="S159" s="477">
        <v>389.303</v>
      </c>
      <c r="T159" s="446"/>
      <c r="U159" s="477">
        <v>237.59</v>
      </c>
      <c r="V159" s="447"/>
      <c r="W159" s="477">
        <v>290.87700000000001</v>
      </c>
      <c r="X159" s="446"/>
      <c r="Y159" s="482">
        <v>345.60500000000002</v>
      </c>
      <c r="Z159" s="446"/>
      <c r="AA159" s="477">
        <v>318.63</v>
      </c>
      <c r="AB159" s="446"/>
      <c r="AC159" s="477">
        <v>307.017</v>
      </c>
      <c r="AF159" s="470">
        <v>14</v>
      </c>
      <c r="AG159" s="470"/>
      <c r="AH159" s="470"/>
      <c r="AI159" s="470"/>
      <c r="AJ159" s="470"/>
      <c r="AK159" s="471"/>
    </row>
    <row r="160" spans="1:37" ht="12.5" thickBot="1">
      <c r="A160" s="467"/>
      <c r="B160" s="479"/>
      <c r="C160" s="505"/>
      <c r="D160" s="479"/>
      <c r="E160" s="505"/>
      <c r="F160" s="479"/>
      <c r="G160" s="473"/>
      <c r="H160" s="479"/>
      <c r="I160" s="473"/>
      <c r="J160" s="479"/>
      <c r="K160" s="473"/>
      <c r="L160" s="479"/>
      <c r="M160" s="505"/>
      <c r="N160" s="479"/>
      <c r="O160" s="505"/>
      <c r="P160" s="479"/>
      <c r="Q160" s="505"/>
      <c r="R160" s="479"/>
      <c r="S160" s="505"/>
      <c r="T160" s="479"/>
      <c r="U160" s="505"/>
      <c r="V160" s="479"/>
      <c r="W160" s="505"/>
      <c r="X160" s="479"/>
      <c r="Y160" s="473"/>
      <c r="Z160" s="479"/>
      <c r="AA160" s="473"/>
      <c r="AB160" s="479"/>
      <c r="AC160" s="473"/>
      <c r="AF160" s="474"/>
      <c r="AG160" s="475"/>
      <c r="AH160" s="475"/>
      <c r="AI160" s="475"/>
      <c r="AJ160" s="475"/>
      <c r="AK160" s="476"/>
    </row>
    <row r="161" spans="1:37">
      <c r="A161" s="467"/>
      <c r="B161" s="450" t="s">
        <v>128</v>
      </c>
      <c r="C161" s="450"/>
      <c r="D161" s="450" t="s">
        <v>242</v>
      </c>
      <c r="E161" s="450"/>
      <c r="F161" s="450" t="s">
        <v>119</v>
      </c>
      <c r="G161" s="450"/>
      <c r="H161" s="450" t="s">
        <v>132</v>
      </c>
      <c r="I161" s="450"/>
      <c r="J161" s="450" t="s">
        <v>143</v>
      </c>
      <c r="K161" s="450"/>
      <c r="L161" s="450" t="s">
        <v>242</v>
      </c>
      <c r="M161" s="450"/>
      <c r="N161" s="450" t="s">
        <v>182</v>
      </c>
      <c r="O161" s="450"/>
      <c r="P161" s="450" t="s">
        <v>182</v>
      </c>
      <c r="Q161" s="450"/>
      <c r="R161" s="450" t="s">
        <v>125</v>
      </c>
      <c r="S161" s="450"/>
      <c r="T161" s="450" t="s">
        <v>119</v>
      </c>
      <c r="U161" s="450"/>
      <c r="V161" s="450" t="s">
        <v>248</v>
      </c>
      <c r="W161" s="450"/>
      <c r="X161" s="450" t="s">
        <v>182</v>
      </c>
      <c r="Y161" s="450"/>
      <c r="Z161" s="450" t="s">
        <v>182</v>
      </c>
      <c r="AA161" s="450"/>
      <c r="AB161" s="450" t="s">
        <v>125</v>
      </c>
      <c r="AC161" s="473"/>
      <c r="AF161" s="474"/>
      <c r="AG161" s="475"/>
      <c r="AH161" s="475"/>
      <c r="AI161" s="475"/>
      <c r="AJ161" s="475"/>
      <c r="AK161" s="476"/>
    </row>
    <row r="162" spans="1:37">
      <c r="A162" s="467"/>
      <c r="B162" s="450" t="s">
        <v>1277</v>
      </c>
      <c r="C162" s="450"/>
      <c r="D162" s="450"/>
      <c r="E162" s="450"/>
      <c r="F162" s="450"/>
      <c r="G162" s="450"/>
      <c r="H162" s="450"/>
      <c r="I162" s="450"/>
      <c r="J162" s="450"/>
      <c r="K162" s="450"/>
      <c r="L162" s="450"/>
      <c r="M162" s="450"/>
      <c r="N162" s="450"/>
      <c r="O162" s="450"/>
      <c r="P162" s="450" t="s">
        <v>1277</v>
      </c>
      <c r="Q162" s="450"/>
      <c r="R162" s="450"/>
      <c r="S162" s="450"/>
      <c r="T162" s="450"/>
      <c r="U162" s="450"/>
      <c r="V162" s="450"/>
      <c r="W162" s="450"/>
      <c r="X162" s="450"/>
      <c r="Y162" s="450"/>
      <c r="Z162" s="450" t="s">
        <v>1277</v>
      </c>
      <c r="AA162" s="450"/>
      <c r="AB162" s="450" t="s">
        <v>1278</v>
      </c>
      <c r="AC162" s="473"/>
      <c r="AF162" s="474"/>
      <c r="AG162" s="475"/>
      <c r="AH162" s="475"/>
      <c r="AI162" s="475"/>
      <c r="AJ162" s="475"/>
      <c r="AK162" s="476"/>
    </row>
    <row r="163" spans="1:37">
      <c r="A163" s="467"/>
      <c r="C163" s="473"/>
      <c r="E163" s="473"/>
      <c r="G163" s="473"/>
      <c r="I163" s="473"/>
      <c r="K163" s="473"/>
      <c r="M163" s="473"/>
      <c r="O163" s="473"/>
      <c r="Q163" s="473"/>
      <c r="S163" s="473"/>
      <c r="U163" s="473"/>
      <c r="W163" s="473"/>
      <c r="Y163" s="473"/>
      <c r="AA163" s="473"/>
      <c r="AC163" s="473"/>
      <c r="AF163" s="474"/>
      <c r="AG163" s="475"/>
      <c r="AH163" s="475"/>
      <c r="AI163" s="475"/>
      <c r="AJ163" s="475"/>
      <c r="AK163" s="476"/>
    </row>
    <row r="164" spans="1:37">
      <c r="A164" s="467"/>
      <c r="B164" s="468" t="s">
        <v>371</v>
      </c>
      <c r="C164" s="443"/>
      <c r="D164" s="468" t="s">
        <v>372</v>
      </c>
      <c r="E164" s="443"/>
      <c r="F164" s="468" t="s">
        <v>373</v>
      </c>
      <c r="G164" s="443"/>
      <c r="H164" s="468" t="s">
        <v>288</v>
      </c>
      <c r="I164" s="443"/>
      <c r="J164" s="468" t="s">
        <v>259</v>
      </c>
      <c r="K164" s="443"/>
      <c r="L164" s="468" t="s">
        <v>251</v>
      </c>
      <c r="M164" s="443"/>
      <c r="N164" s="468" t="s">
        <v>377</v>
      </c>
      <c r="O164" s="443"/>
      <c r="P164" s="468" t="s">
        <v>297</v>
      </c>
      <c r="Q164" s="443"/>
      <c r="R164" s="468" t="s">
        <v>378</v>
      </c>
      <c r="S164" s="443"/>
      <c r="T164" s="468" t="s">
        <v>236</v>
      </c>
      <c r="U164" s="443"/>
      <c r="V164" s="468" t="s">
        <v>237</v>
      </c>
      <c r="W164" s="443"/>
      <c r="X164" s="468" t="s">
        <v>214</v>
      </c>
      <c r="Y164" s="443"/>
      <c r="Z164" s="468" t="s">
        <v>213</v>
      </c>
      <c r="AA164" s="443"/>
      <c r="AB164" s="468" t="s">
        <v>212</v>
      </c>
      <c r="AC164" s="473"/>
      <c r="AF164" s="474"/>
      <c r="AG164" s="475"/>
      <c r="AH164" s="475"/>
      <c r="AI164" s="475"/>
      <c r="AJ164" s="475"/>
      <c r="AK164" s="476"/>
    </row>
    <row r="165" spans="1:37">
      <c r="A165" s="467"/>
      <c r="B165" s="472"/>
      <c r="C165" s="473"/>
      <c r="D165" s="472"/>
      <c r="E165" s="473"/>
      <c r="F165" s="472"/>
      <c r="G165" s="473"/>
      <c r="H165" s="472"/>
      <c r="I165" s="473"/>
      <c r="J165" s="472"/>
      <c r="K165" s="473"/>
      <c r="L165" s="472"/>
      <c r="M165" s="473"/>
      <c r="N165" s="472"/>
      <c r="O165" s="473"/>
      <c r="P165" s="472"/>
      <c r="Q165" s="473"/>
      <c r="R165" s="472"/>
      <c r="S165" s="473"/>
      <c r="T165" s="472"/>
      <c r="U165" s="473"/>
      <c r="V165" s="472"/>
      <c r="W165" s="473"/>
      <c r="X165" s="472"/>
      <c r="Y165" s="473"/>
      <c r="Z165" s="472"/>
      <c r="AA165" s="498"/>
      <c r="AB165" s="472"/>
      <c r="AC165" s="473"/>
      <c r="AF165" s="470" t="s">
        <v>1191</v>
      </c>
      <c r="AG165" s="470" t="s">
        <v>354</v>
      </c>
      <c r="AH165" s="470" t="s">
        <v>1192</v>
      </c>
      <c r="AI165" s="470" t="s">
        <v>1193</v>
      </c>
      <c r="AJ165" s="470" t="s">
        <v>303</v>
      </c>
      <c r="AK165" s="471" t="s">
        <v>1194</v>
      </c>
    </row>
    <row r="166" spans="1:37" ht="12.5" thickBot="1">
      <c r="A166" s="467"/>
      <c r="B166" s="444"/>
      <c r="C166" s="473"/>
      <c r="D166" s="444"/>
      <c r="E166" s="473"/>
      <c r="F166" s="444"/>
      <c r="G166" s="473"/>
      <c r="H166" s="444"/>
      <c r="I166" s="473"/>
      <c r="J166" s="444"/>
      <c r="K166" s="473"/>
      <c r="L166" s="444"/>
      <c r="M166" s="473"/>
      <c r="N166" s="444"/>
      <c r="O166" s="473"/>
      <c r="P166" s="444"/>
      <c r="Q166" s="473"/>
      <c r="R166" s="444"/>
      <c r="S166" s="473"/>
      <c r="T166" s="444"/>
      <c r="U166" s="473"/>
      <c r="V166" s="444"/>
      <c r="W166" s="473"/>
      <c r="X166" s="444"/>
      <c r="Y166" s="473"/>
      <c r="Z166" s="444"/>
      <c r="AA166" s="473"/>
      <c r="AB166" s="444"/>
      <c r="AC166" s="473"/>
      <c r="AF166" s="474"/>
      <c r="AG166" s="475"/>
      <c r="AH166" s="475"/>
      <c r="AI166" s="475"/>
      <c r="AJ166" s="475"/>
      <c r="AK166" s="476"/>
    </row>
    <row r="167" spans="1:37" ht="42.75" customHeight="1" thickBot="1">
      <c r="A167" s="467"/>
      <c r="B167" s="446"/>
      <c r="C167" s="477">
        <v>346.846</v>
      </c>
      <c r="D167" s="446" t="s">
        <v>1376</v>
      </c>
      <c r="E167" s="477">
        <v>300.19299999999998</v>
      </c>
      <c r="F167" s="446" t="s">
        <v>1376</v>
      </c>
      <c r="G167" s="477">
        <v>317</v>
      </c>
      <c r="H167" s="446"/>
      <c r="I167" s="477">
        <v>454</v>
      </c>
      <c r="J167" s="447"/>
      <c r="K167" s="477">
        <v>385</v>
      </c>
      <c r="L167" s="447"/>
      <c r="M167" s="477">
        <v>417.68799999999999</v>
      </c>
      <c r="N167" s="447"/>
      <c r="O167" s="477">
        <v>409.505</v>
      </c>
      <c r="P167" s="447"/>
      <c r="Q167" s="477">
        <v>385.16899999999998</v>
      </c>
      <c r="R167" s="447"/>
      <c r="S167" s="477">
        <v>345.19099999999997</v>
      </c>
      <c r="T167" s="447"/>
      <c r="U167" s="477">
        <v>332.38299999999998</v>
      </c>
      <c r="V167" s="447"/>
      <c r="W167" s="477">
        <v>393.62200000000001</v>
      </c>
      <c r="X167" s="447"/>
      <c r="Y167" s="477">
        <v>387.94799999999998</v>
      </c>
      <c r="Z167" s="447"/>
      <c r="AA167" s="477">
        <v>340.34800000000001</v>
      </c>
      <c r="AB167" s="447"/>
      <c r="AC167" s="477">
        <v>393.12099999999998</v>
      </c>
      <c r="AF167" s="470">
        <v>14</v>
      </c>
      <c r="AG167" s="470">
        <v>8</v>
      </c>
      <c r="AH167" s="470">
        <v>7</v>
      </c>
      <c r="AI167" s="470"/>
      <c r="AJ167" s="470"/>
      <c r="AK167" s="471"/>
    </row>
    <row r="168" spans="1:37" ht="12.5" thickBot="1">
      <c r="A168" s="467"/>
      <c r="B168" s="479"/>
      <c r="C168" s="473"/>
      <c r="D168" s="479"/>
      <c r="E168" s="473"/>
      <c r="F168" s="479"/>
      <c r="G168" s="473"/>
      <c r="H168" s="479"/>
      <c r="I168" s="473"/>
      <c r="J168" s="479"/>
      <c r="K168" s="473"/>
      <c r="L168" s="479"/>
      <c r="M168" s="473"/>
      <c r="N168" s="479"/>
      <c r="O168" s="473"/>
      <c r="P168" s="479"/>
      <c r="Q168" s="473"/>
      <c r="R168" s="479"/>
      <c r="S168" s="473"/>
      <c r="T168" s="479"/>
      <c r="U168" s="473"/>
      <c r="V168" s="479"/>
      <c r="W168" s="473"/>
      <c r="X168" s="479"/>
      <c r="Y168" s="473"/>
      <c r="Z168" s="479"/>
      <c r="AA168" s="473"/>
      <c r="AB168" s="479"/>
      <c r="AC168" s="473"/>
      <c r="AF168" s="474"/>
      <c r="AG168" s="475"/>
      <c r="AH168" s="475"/>
      <c r="AI168" s="475"/>
      <c r="AJ168" s="475"/>
      <c r="AK168" s="476"/>
    </row>
    <row r="169" spans="1:37">
      <c r="A169" s="467"/>
      <c r="B169" s="450" t="s">
        <v>185</v>
      </c>
      <c r="C169" s="450"/>
      <c r="D169" s="450" t="s">
        <v>185</v>
      </c>
      <c r="E169" s="450"/>
      <c r="F169" s="450" t="s">
        <v>119</v>
      </c>
      <c r="G169" s="450"/>
      <c r="H169" s="450" t="s">
        <v>182</v>
      </c>
      <c r="I169" s="450"/>
      <c r="J169" s="450" t="s">
        <v>248</v>
      </c>
      <c r="K169" s="450"/>
      <c r="L169" s="450" t="s">
        <v>248</v>
      </c>
      <c r="M169" s="450"/>
      <c r="N169" s="450" t="s">
        <v>132</v>
      </c>
      <c r="O169" s="450"/>
      <c r="P169" s="450" t="s">
        <v>182</v>
      </c>
      <c r="Q169" s="450"/>
      <c r="R169" s="450" t="s">
        <v>115</v>
      </c>
      <c r="S169" s="450"/>
      <c r="T169" s="450" t="s">
        <v>182</v>
      </c>
      <c r="U169" s="450"/>
      <c r="V169" s="450" t="s">
        <v>182</v>
      </c>
      <c r="W169" s="450"/>
      <c r="X169" s="450" t="s">
        <v>185</v>
      </c>
      <c r="Y169" s="450"/>
      <c r="Z169" s="450" t="s">
        <v>182</v>
      </c>
      <c r="AA169" s="450"/>
      <c r="AB169" s="450" t="s">
        <v>182</v>
      </c>
      <c r="AC169" s="473"/>
      <c r="AF169" s="474"/>
      <c r="AG169" s="475"/>
      <c r="AH169" s="475"/>
      <c r="AI169" s="475"/>
      <c r="AJ169" s="475"/>
      <c r="AK169" s="476"/>
    </row>
    <row r="170" spans="1:37">
      <c r="A170" s="467"/>
      <c r="B170" s="450" t="s">
        <v>1278</v>
      </c>
      <c r="C170" s="450"/>
      <c r="D170" s="450"/>
      <c r="E170" s="450"/>
      <c r="F170" s="450"/>
      <c r="G170" s="450"/>
      <c r="H170" s="450" t="s">
        <v>1276</v>
      </c>
      <c r="I170" s="450"/>
      <c r="J170" s="450"/>
      <c r="K170" s="450"/>
      <c r="L170" s="450"/>
      <c r="M170" s="450"/>
      <c r="N170" s="450"/>
      <c r="O170" s="450"/>
      <c r="P170" s="450"/>
      <c r="Q170" s="450"/>
      <c r="R170" s="450"/>
      <c r="S170" s="450"/>
      <c r="T170" s="450"/>
      <c r="U170" s="450"/>
      <c r="V170" s="450"/>
      <c r="W170" s="450"/>
      <c r="X170" s="450"/>
      <c r="Y170" s="450"/>
      <c r="Z170" s="450"/>
      <c r="AA170" s="450"/>
      <c r="AB170" s="450"/>
      <c r="AC170" s="473"/>
      <c r="AF170" s="474"/>
      <c r="AG170" s="475"/>
      <c r="AH170" s="475"/>
      <c r="AI170" s="475"/>
      <c r="AJ170" s="475"/>
      <c r="AK170" s="476"/>
    </row>
    <row r="171" spans="1:37">
      <c r="A171" s="467"/>
      <c r="C171" s="473"/>
      <c r="E171" s="473"/>
      <c r="G171" s="473"/>
      <c r="I171" s="473"/>
      <c r="K171" s="473"/>
      <c r="M171" s="473"/>
      <c r="O171" s="473"/>
      <c r="Q171" s="473"/>
      <c r="S171" s="473"/>
      <c r="U171" s="473"/>
      <c r="W171" s="473"/>
      <c r="Y171" s="473"/>
      <c r="AA171" s="473"/>
      <c r="AC171" s="473"/>
      <c r="AF171" s="474"/>
      <c r="AG171" s="475"/>
      <c r="AH171" s="475"/>
      <c r="AI171" s="475"/>
      <c r="AJ171" s="475"/>
      <c r="AK171" s="476"/>
    </row>
    <row r="172" spans="1:37">
      <c r="A172" s="467"/>
      <c r="B172" s="468" t="s">
        <v>209</v>
      </c>
      <c r="C172" s="443"/>
      <c r="D172" s="468" t="s">
        <v>231</v>
      </c>
      <c r="E172" s="443"/>
      <c r="F172" s="468" t="s">
        <v>379</v>
      </c>
      <c r="G172" s="443"/>
      <c r="H172" s="468" t="s">
        <v>263</v>
      </c>
      <c r="I172" s="443"/>
      <c r="J172" s="468" t="s">
        <v>1279</v>
      </c>
      <c r="K172" s="443"/>
      <c r="L172" s="468" t="s">
        <v>215</v>
      </c>
      <c r="M172" s="443"/>
      <c r="N172" s="468" t="s">
        <v>216</v>
      </c>
      <c r="O172" s="443"/>
      <c r="P172" s="468" t="s">
        <v>239</v>
      </c>
      <c r="Q172" s="443"/>
      <c r="R172" s="468" t="s">
        <v>240</v>
      </c>
      <c r="S172" s="443"/>
      <c r="T172" s="468" t="s">
        <v>241</v>
      </c>
      <c r="U172" s="443"/>
      <c r="V172" s="468" t="s">
        <v>381</v>
      </c>
      <c r="W172" s="468"/>
      <c r="X172" s="468" t="s">
        <v>383</v>
      </c>
      <c r="Y172" s="443"/>
      <c r="Z172" s="468" t="s">
        <v>384</v>
      </c>
      <c r="AA172" s="443"/>
      <c r="AB172" s="468" t="s">
        <v>253</v>
      </c>
      <c r="AC172" s="473"/>
      <c r="AF172" s="474"/>
      <c r="AG172" s="475"/>
      <c r="AH172" s="475"/>
      <c r="AI172" s="475"/>
      <c r="AJ172" s="475"/>
      <c r="AK172" s="476"/>
    </row>
    <row r="173" spans="1:37">
      <c r="A173" s="467"/>
      <c r="B173" s="472"/>
      <c r="C173" s="450"/>
      <c r="D173" s="472"/>
      <c r="E173" s="473"/>
      <c r="F173" s="472"/>
      <c r="G173" s="477"/>
      <c r="H173" s="472"/>
      <c r="I173" s="477"/>
      <c r="J173" s="472"/>
      <c r="K173" s="477"/>
      <c r="L173" s="472"/>
      <c r="M173" s="473"/>
      <c r="N173" s="472"/>
      <c r="O173" s="473"/>
      <c r="P173" s="472"/>
      <c r="Q173" s="473"/>
      <c r="R173" s="472"/>
      <c r="S173" s="473"/>
      <c r="T173" s="472"/>
      <c r="U173" s="473"/>
      <c r="V173" s="472"/>
      <c r="W173" s="481"/>
      <c r="X173" s="472"/>
      <c r="Y173" s="481"/>
      <c r="Z173" s="472"/>
      <c r="AA173" s="473"/>
      <c r="AB173" s="472"/>
      <c r="AC173" s="473"/>
      <c r="AF173" s="470" t="s">
        <v>1191</v>
      </c>
      <c r="AG173" s="470" t="s">
        <v>354</v>
      </c>
      <c r="AH173" s="470" t="s">
        <v>1192</v>
      </c>
      <c r="AI173" s="470" t="s">
        <v>1193</v>
      </c>
      <c r="AJ173" s="470" t="s">
        <v>303</v>
      </c>
      <c r="AK173" s="471" t="s">
        <v>1194</v>
      </c>
    </row>
    <row r="174" spans="1:37" ht="12.5" thickBot="1">
      <c r="A174" s="467"/>
      <c r="B174" s="444"/>
      <c r="C174" s="473"/>
      <c r="D174" s="444"/>
      <c r="E174" s="473"/>
      <c r="F174" s="444"/>
      <c r="G174" s="473"/>
      <c r="H174" s="444"/>
      <c r="I174" s="473"/>
      <c r="J174" s="444"/>
      <c r="K174" s="473"/>
      <c r="L174" s="444"/>
      <c r="M174" s="473"/>
      <c r="N174" s="444"/>
      <c r="O174" s="473"/>
      <c r="P174" s="444"/>
      <c r="Q174" s="473"/>
      <c r="R174" s="444"/>
      <c r="S174" s="473"/>
      <c r="T174" s="444"/>
      <c r="U174" s="473"/>
      <c r="V174" s="444"/>
      <c r="W174" s="473"/>
      <c r="X174" s="444"/>
      <c r="Y174" s="473"/>
      <c r="Z174" s="444"/>
      <c r="AA174" s="473"/>
      <c r="AB174" s="444"/>
      <c r="AC174" s="473"/>
      <c r="AF174" s="474"/>
      <c r="AG174" s="475"/>
      <c r="AH174" s="475"/>
      <c r="AI174" s="475"/>
      <c r="AJ174" s="475"/>
      <c r="AK174" s="476"/>
    </row>
    <row r="175" spans="1:37" ht="42.75" customHeight="1" thickBot="1">
      <c r="A175" s="467"/>
      <c r="B175" s="447"/>
      <c r="C175" s="477">
        <v>328.536</v>
      </c>
      <c r="D175" s="447"/>
      <c r="E175" s="477">
        <v>398.51499999999999</v>
      </c>
      <c r="F175" s="446"/>
      <c r="G175" s="477">
        <v>425.84800000000001</v>
      </c>
      <c r="H175" s="447"/>
      <c r="I175" s="477">
        <v>409.36900000000003</v>
      </c>
      <c r="J175" s="446"/>
      <c r="K175" s="477">
        <v>388.45499999999998</v>
      </c>
      <c r="L175" s="447"/>
      <c r="M175" s="477">
        <v>380.96100000000001</v>
      </c>
      <c r="N175" s="447"/>
      <c r="O175" s="477">
        <v>381.38900000000001</v>
      </c>
      <c r="P175" s="447"/>
      <c r="Q175" s="477">
        <v>344.59500000000003</v>
      </c>
      <c r="R175" s="447"/>
      <c r="S175" s="477">
        <v>395.64100000000002</v>
      </c>
      <c r="T175" s="447"/>
      <c r="U175" s="477">
        <v>414.76299999999998</v>
      </c>
      <c r="V175" s="447"/>
      <c r="W175" s="477">
        <v>401.92899999999997</v>
      </c>
      <c r="X175" s="446"/>
      <c r="Y175" s="477">
        <v>354.94900000000001</v>
      </c>
      <c r="Z175" s="451"/>
      <c r="AA175" s="477">
        <v>425</v>
      </c>
      <c r="AB175" s="451"/>
      <c r="AC175" s="482">
        <v>414</v>
      </c>
      <c r="AF175" s="470">
        <v>14</v>
      </c>
      <c r="AG175" s="470">
        <v>9</v>
      </c>
      <c r="AH175" s="470">
        <v>9</v>
      </c>
      <c r="AI175" s="470"/>
      <c r="AJ175" s="470"/>
      <c r="AK175" s="471"/>
    </row>
    <row r="176" spans="1:37" ht="12.5" thickBot="1">
      <c r="A176" s="467"/>
      <c r="B176" s="479"/>
      <c r="C176" s="473"/>
      <c r="D176" s="479"/>
      <c r="E176" s="473"/>
      <c r="F176" s="479"/>
      <c r="G176" s="473"/>
      <c r="H176" s="479"/>
      <c r="I176" s="473"/>
      <c r="J176" s="479"/>
      <c r="K176" s="473"/>
      <c r="L176" s="479"/>
      <c r="M176" s="473"/>
      <c r="N176" s="479"/>
      <c r="O176" s="473"/>
      <c r="P176" s="479"/>
      <c r="Q176" s="473"/>
      <c r="R176" s="479"/>
      <c r="S176" s="473"/>
      <c r="T176" s="479"/>
      <c r="U176" s="473"/>
      <c r="V176" s="479"/>
      <c r="W176" s="473"/>
      <c r="X176" s="479"/>
      <c r="Y176" s="473"/>
      <c r="Z176" s="479"/>
      <c r="AA176" s="473"/>
      <c r="AB176" s="479"/>
      <c r="AC176" s="473"/>
      <c r="AF176" s="474"/>
      <c r="AG176" s="475"/>
      <c r="AH176" s="475"/>
      <c r="AI176" s="475"/>
      <c r="AJ176" s="475"/>
      <c r="AK176" s="476"/>
    </row>
    <row r="177" spans="1:37">
      <c r="A177" s="467"/>
      <c r="B177" s="450" t="s">
        <v>182</v>
      </c>
      <c r="C177" s="450"/>
      <c r="D177" s="450" t="s">
        <v>182</v>
      </c>
      <c r="E177" s="450"/>
      <c r="F177" s="450" t="s">
        <v>115</v>
      </c>
      <c r="G177" s="450"/>
      <c r="H177" s="450" t="s">
        <v>242</v>
      </c>
      <c r="I177" s="450"/>
      <c r="J177" s="450" t="s">
        <v>119</v>
      </c>
      <c r="K177" s="450"/>
      <c r="L177" s="450" t="s">
        <v>182</v>
      </c>
      <c r="M177" s="450"/>
      <c r="N177" s="450" t="s">
        <v>185</v>
      </c>
      <c r="O177" s="450"/>
      <c r="P177" s="450" t="s">
        <v>182</v>
      </c>
      <c r="Q177" s="450"/>
      <c r="R177" s="450" t="s">
        <v>185</v>
      </c>
      <c r="S177" s="450"/>
      <c r="T177" s="450" t="s">
        <v>242</v>
      </c>
      <c r="U177" s="450"/>
      <c r="V177" s="450" t="s">
        <v>115</v>
      </c>
      <c r="W177" s="450"/>
      <c r="X177" s="450" t="s">
        <v>185</v>
      </c>
      <c r="Y177" s="450"/>
      <c r="Z177" s="450" t="s">
        <v>125</v>
      </c>
      <c r="AA177" s="450"/>
      <c r="AB177" s="450" t="s">
        <v>248</v>
      </c>
      <c r="AC177" s="473"/>
      <c r="AF177" s="474"/>
      <c r="AG177" s="475"/>
      <c r="AH177" s="475"/>
      <c r="AI177" s="475"/>
      <c r="AJ177" s="475"/>
      <c r="AK177" s="476"/>
    </row>
    <row r="178" spans="1:37">
      <c r="A178" s="467"/>
      <c r="B178" s="450"/>
      <c r="C178" s="450"/>
      <c r="D178" s="450"/>
      <c r="E178" s="450"/>
      <c r="F178" s="450"/>
      <c r="G178" s="450"/>
      <c r="H178" s="450"/>
      <c r="I178" s="450"/>
      <c r="J178" s="450"/>
      <c r="K178" s="450"/>
      <c r="L178" s="450"/>
      <c r="M178" s="450"/>
      <c r="N178" s="450"/>
      <c r="O178" s="450"/>
      <c r="P178" s="450"/>
      <c r="Q178" s="450"/>
      <c r="R178" s="450"/>
      <c r="S178" s="450"/>
      <c r="T178" s="450"/>
      <c r="U178" s="450"/>
      <c r="V178" s="450"/>
      <c r="W178" s="450"/>
      <c r="X178" s="450" t="s">
        <v>1277</v>
      </c>
      <c r="Y178" s="450"/>
      <c r="Z178" s="450"/>
      <c r="AA178" s="450"/>
      <c r="AB178" s="450"/>
      <c r="AC178" s="473"/>
      <c r="AF178" s="474"/>
      <c r="AG178" s="475"/>
      <c r="AH178" s="475"/>
      <c r="AI178" s="475"/>
      <c r="AJ178" s="475"/>
      <c r="AK178" s="476"/>
    </row>
    <row r="179" spans="1:37">
      <c r="A179" s="467"/>
      <c r="C179" s="473"/>
      <c r="E179" s="473"/>
      <c r="G179" s="473"/>
      <c r="I179" s="473"/>
      <c r="K179" s="473"/>
      <c r="M179" s="473"/>
      <c r="O179" s="473"/>
      <c r="Q179" s="473"/>
      <c r="S179" s="473"/>
      <c r="U179" s="473"/>
      <c r="W179" s="473"/>
      <c r="Y179" s="473"/>
      <c r="AA179" s="473"/>
      <c r="AC179" s="473"/>
      <c r="AF179" s="474"/>
      <c r="AG179" s="475"/>
      <c r="AH179" s="475"/>
      <c r="AI179" s="475"/>
      <c r="AJ179" s="475"/>
      <c r="AK179" s="476"/>
    </row>
    <row r="180" spans="1:37" ht="21.75" customHeight="1">
      <c r="A180" s="467"/>
      <c r="B180" s="468" t="s">
        <v>385</v>
      </c>
      <c r="C180" s="443"/>
      <c r="D180" s="468" t="s">
        <v>386</v>
      </c>
      <c r="E180" s="443"/>
      <c r="F180" s="468" t="s">
        <v>257</v>
      </c>
      <c r="G180" s="443"/>
      <c r="H180" s="468" t="s">
        <v>387</v>
      </c>
      <c r="I180" s="443"/>
      <c r="J180" s="468" t="s">
        <v>267</v>
      </c>
      <c r="K180" s="443"/>
      <c r="L180" s="468" t="s">
        <v>268</v>
      </c>
      <c r="M180" s="443"/>
      <c r="N180" s="468" t="s">
        <v>269</v>
      </c>
      <c r="O180" s="443"/>
      <c r="P180" s="468" t="s">
        <v>227</v>
      </c>
      <c r="Q180" s="443"/>
      <c r="R180" s="468" t="s">
        <v>271</v>
      </c>
      <c r="S180" s="443"/>
      <c r="T180" s="468" t="s">
        <v>391</v>
      </c>
      <c r="U180" s="443"/>
      <c r="V180" s="468" t="s">
        <v>392</v>
      </c>
      <c r="W180" s="443"/>
      <c r="X180" s="468" t="s">
        <v>393</v>
      </c>
      <c r="Y180" s="443"/>
      <c r="Z180" s="468" t="s">
        <v>394</v>
      </c>
      <c r="AA180" s="443"/>
      <c r="AB180" s="468" t="s">
        <v>225</v>
      </c>
      <c r="AC180" s="473"/>
      <c r="AF180" s="474"/>
      <c r="AG180" s="475"/>
      <c r="AH180" s="475"/>
      <c r="AI180" s="475"/>
      <c r="AJ180" s="475"/>
      <c r="AK180" s="476"/>
    </row>
    <row r="181" spans="1:37">
      <c r="A181" s="467"/>
      <c r="B181" s="472"/>
      <c r="C181" s="450"/>
      <c r="D181" s="472"/>
      <c r="E181" s="473"/>
      <c r="F181" s="472"/>
      <c r="G181" s="473"/>
      <c r="H181" s="472"/>
      <c r="I181" s="473"/>
      <c r="J181" s="472"/>
      <c r="K181" s="473"/>
      <c r="L181" s="472"/>
      <c r="M181" s="473"/>
      <c r="N181" s="472"/>
      <c r="O181" s="473"/>
      <c r="P181" s="472"/>
      <c r="Q181" s="473"/>
      <c r="R181" s="472"/>
      <c r="S181" s="473"/>
      <c r="T181" s="472"/>
      <c r="U181" s="473"/>
      <c r="V181" s="472"/>
      <c r="W181" s="473"/>
      <c r="X181" s="472"/>
      <c r="Y181" s="473"/>
      <c r="Z181" s="472"/>
      <c r="AA181" s="473"/>
      <c r="AB181" s="472"/>
      <c r="AC181" s="473"/>
      <c r="AF181" s="470" t="s">
        <v>1191</v>
      </c>
      <c r="AG181" s="470" t="s">
        <v>354</v>
      </c>
      <c r="AH181" s="470" t="s">
        <v>1192</v>
      </c>
      <c r="AI181" s="470" t="s">
        <v>1193</v>
      </c>
      <c r="AJ181" s="470" t="s">
        <v>303</v>
      </c>
      <c r="AK181" s="471" t="s">
        <v>1194</v>
      </c>
    </row>
    <row r="182" spans="1:37" ht="12.5" thickBot="1">
      <c r="A182" s="467"/>
      <c r="B182" s="444"/>
      <c r="C182" s="473"/>
      <c r="D182" s="444"/>
      <c r="E182" s="473"/>
      <c r="F182" s="444"/>
      <c r="G182" s="473"/>
      <c r="H182" s="444"/>
      <c r="I182" s="473"/>
      <c r="J182" s="444"/>
      <c r="K182" s="473"/>
      <c r="L182" s="444"/>
      <c r="M182" s="473"/>
      <c r="N182" s="444"/>
      <c r="O182" s="473"/>
      <c r="P182" s="444"/>
      <c r="Q182" s="473"/>
      <c r="R182" s="444"/>
      <c r="S182" s="473"/>
      <c r="T182" s="444"/>
      <c r="U182" s="473"/>
      <c r="V182" s="444"/>
      <c r="W182" s="473"/>
      <c r="X182" s="444"/>
      <c r="Y182" s="473"/>
      <c r="Z182" s="444"/>
      <c r="AA182" s="473"/>
      <c r="AB182" s="444"/>
      <c r="AC182" s="473"/>
      <c r="AF182" s="474"/>
      <c r="AG182" s="475"/>
      <c r="AH182" s="475"/>
      <c r="AI182" s="475"/>
      <c r="AJ182" s="475"/>
      <c r="AK182" s="476"/>
    </row>
    <row r="183" spans="1:37" ht="42.75" customHeight="1" thickBot="1">
      <c r="A183" s="467"/>
      <c r="B183" s="446"/>
      <c r="C183" s="477">
        <v>353.05200000000002</v>
      </c>
      <c r="D183" s="446"/>
      <c r="E183" s="477">
        <v>441.05500000000001</v>
      </c>
      <c r="F183" s="447"/>
      <c r="G183" s="477">
        <v>387.495</v>
      </c>
      <c r="H183" s="446"/>
      <c r="I183" s="477">
        <v>372.62700000000001</v>
      </c>
      <c r="J183" s="446"/>
      <c r="K183" s="477">
        <v>415.30399999999997</v>
      </c>
      <c r="L183" s="447"/>
      <c r="M183" s="477">
        <v>424.584</v>
      </c>
      <c r="N183" s="447"/>
      <c r="O183" s="477">
        <v>391.70400000000001</v>
      </c>
      <c r="P183" s="447"/>
      <c r="Q183" s="477">
        <v>410.46600000000001</v>
      </c>
      <c r="R183" s="447"/>
      <c r="S183" s="477">
        <v>385.541</v>
      </c>
      <c r="T183" s="446"/>
      <c r="U183" s="477">
        <v>418.31299999999999</v>
      </c>
      <c r="V183" s="447"/>
      <c r="W183" s="477">
        <v>421.47300000000001</v>
      </c>
      <c r="X183" s="447"/>
      <c r="Y183" s="477">
        <v>401.97899999999998</v>
      </c>
      <c r="Z183" s="562" t="s">
        <v>228</v>
      </c>
      <c r="AA183" s="477">
        <v>429.37900000000002</v>
      </c>
      <c r="AB183" s="447"/>
      <c r="AC183" s="477">
        <v>403.83199999999999</v>
      </c>
      <c r="AF183" s="470">
        <v>14</v>
      </c>
      <c r="AG183" s="470">
        <v>2</v>
      </c>
      <c r="AH183" s="470">
        <v>2</v>
      </c>
      <c r="AI183" s="470"/>
      <c r="AJ183" s="470"/>
      <c r="AK183" s="471"/>
    </row>
    <row r="184" spans="1:37" ht="12.5" thickBot="1">
      <c r="A184" s="467"/>
      <c r="B184" s="479"/>
      <c r="C184" s="473"/>
      <c r="D184" s="479"/>
      <c r="E184" s="473"/>
      <c r="F184" s="479"/>
      <c r="G184" s="473"/>
      <c r="H184" s="479"/>
      <c r="I184" s="473"/>
      <c r="J184" s="479"/>
      <c r="K184" s="473"/>
      <c r="L184" s="479"/>
      <c r="M184" s="473"/>
      <c r="N184" s="479"/>
      <c r="O184" s="473"/>
      <c r="P184" s="479"/>
      <c r="Q184" s="473"/>
      <c r="R184" s="479"/>
      <c r="S184" s="473"/>
      <c r="T184" s="479"/>
      <c r="U184" s="473"/>
      <c r="V184" s="479"/>
      <c r="W184" s="473"/>
      <c r="X184" s="479"/>
      <c r="Y184" s="473"/>
      <c r="Z184" s="479"/>
      <c r="AA184" s="473"/>
      <c r="AB184" s="479"/>
      <c r="AC184" s="473"/>
      <c r="AF184" s="474"/>
      <c r="AG184" s="475"/>
      <c r="AH184" s="475"/>
      <c r="AI184" s="475"/>
      <c r="AJ184" s="475"/>
      <c r="AK184" s="476"/>
    </row>
    <row r="185" spans="1:37">
      <c r="A185" s="467"/>
      <c r="B185" s="450" t="s">
        <v>182</v>
      </c>
      <c r="C185" s="450"/>
      <c r="D185" s="450" t="s">
        <v>188</v>
      </c>
      <c r="E185" s="450"/>
      <c r="F185" s="450" t="s">
        <v>248</v>
      </c>
      <c r="G185" s="450"/>
      <c r="H185" s="450" t="s">
        <v>132</v>
      </c>
      <c r="I185" s="450"/>
      <c r="J185" s="450" t="s">
        <v>182</v>
      </c>
      <c r="K185" s="450"/>
      <c r="L185" s="450" t="s">
        <v>185</v>
      </c>
      <c r="M185" s="450"/>
      <c r="N185" s="450" t="s">
        <v>182</v>
      </c>
      <c r="O185" s="450"/>
      <c r="P185" s="450" t="s">
        <v>182</v>
      </c>
      <c r="Q185" s="450"/>
      <c r="R185" s="556" t="s">
        <v>242</v>
      </c>
      <c r="S185" s="450"/>
      <c r="T185" s="556" t="s">
        <v>188</v>
      </c>
      <c r="U185" s="450"/>
      <c r="V185" s="450" t="s">
        <v>242</v>
      </c>
      <c r="W185" s="450"/>
      <c r="X185" s="450" t="s">
        <v>182</v>
      </c>
      <c r="Y185" s="450"/>
      <c r="Z185" s="450" t="s">
        <v>115</v>
      </c>
      <c r="AA185" s="450"/>
      <c r="AB185" s="450" t="s">
        <v>185</v>
      </c>
      <c r="AC185" s="473"/>
      <c r="AF185" s="474"/>
      <c r="AG185" s="475"/>
      <c r="AH185" s="475"/>
      <c r="AI185" s="475"/>
      <c r="AJ185" s="475"/>
      <c r="AK185" s="476"/>
    </row>
    <row r="186" spans="1:37">
      <c r="A186" s="467"/>
      <c r="B186" s="450" t="s">
        <v>1277</v>
      </c>
      <c r="C186" s="450"/>
      <c r="D186" s="450" t="s">
        <v>1277</v>
      </c>
      <c r="E186" s="450"/>
      <c r="F186" s="450"/>
      <c r="G186" s="450"/>
      <c r="H186" s="450"/>
      <c r="I186" s="450"/>
      <c r="J186" s="450" t="s">
        <v>1276</v>
      </c>
      <c r="K186" s="450"/>
      <c r="L186" s="450"/>
      <c r="M186" s="450"/>
      <c r="N186" s="450"/>
      <c r="O186" s="450"/>
      <c r="P186" s="450"/>
      <c r="Q186" s="450"/>
      <c r="R186" s="450"/>
      <c r="S186" s="450"/>
      <c r="T186" s="450"/>
      <c r="U186" s="450"/>
      <c r="V186" s="450"/>
      <c r="W186" s="450"/>
      <c r="X186" s="450"/>
      <c r="Y186" s="450"/>
      <c r="Z186" s="450"/>
      <c r="AA186" s="450"/>
      <c r="AB186" s="450"/>
      <c r="AC186" s="473"/>
      <c r="AF186" s="474"/>
      <c r="AG186" s="475"/>
      <c r="AH186" s="475"/>
      <c r="AI186" s="475"/>
      <c r="AJ186" s="475"/>
      <c r="AK186" s="476"/>
    </row>
    <row r="187" spans="1:37">
      <c r="A187" s="467"/>
      <c r="C187" s="473"/>
      <c r="E187" s="473"/>
      <c r="G187" s="473"/>
      <c r="I187" s="473"/>
      <c r="K187" s="473"/>
      <c r="M187" s="473"/>
      <c r="O187" s="473"/>
      <c r="Q187" s="473"/>
      <c r="S187" s="473"/>
      <c r="U187" s="473"/>
      <c r="W187" s="473"/>
      <c r="Y187" s="473"/>
      <c r="AA187" s="473"/>
      <c r="AC187" s="473"/>
      <c r="AF187" s="474"/>
      <c r="AG187" s="475"/>
      <c r="AH187" s="475"/>
      <c r="AI187" s="475"/>
      <c r="AJ187" s="475"/>
      <c r="AK187" s="476"/>
    </row>
    <row r="188" spans="1:37">
      <c r="A188" s="467"/>
      <c r="B188" s="468" t="s">
        <v>395</v>
      </c>
      <c r="C188" s="443"/>
      <c r="D188" s="468" t="s">
        <v>396</v>
      </c>
      <c r="E188" s="443"/>
      <c r="F188" s="468" t="s">
        <v>258</v>
      </c>
      <c r="G188" s="443"/>
      <c r="H188" s="468" t="s">
        <v>398</v>
      </c>
      <c r="I188" s="443"/>
      <c r="J188" s="468" t="s">
        <v>262</v>
      </c>
      <c r="K188" s="443"/>
      <c r="L188" s="468" t="s">
        <v>244</v>
      </c>
      <c r="M188" s="443"/>
      <c r="N188" s="468" t="s">
        <v>399</v>
      </c>
      <c r="O188" s="443"/>
      <c r="P188" s="468" t="s">
        <v>277</v>
      </c>
      <c r="Q188" s="443"/>
      <c r="R188" s="468" t="s">
        <v>280</v>
      </c>
      <c r="S188" s="443"/>
      <c r="T188" s="468" t="s">
        <v>400</v>
      </c>
      <c r="U188" s="443"/>
      <c r="V188" s="468" t="s">
        <v>401</v>
      </c>
      <c r="W188" s="443"/>
      <c r="X188" s="468" t="s">
        <v>402</v>
      </c>
      <c r="Y188" s="443"/>
      <c r="Z188" s="468" t="s">
        <v>403</v>
      </c>
      <c r="AA188" s="443"/>
      <c r="AB188" s="468" t="s">
        <v>404</v>
      </c>
      <c r="AC188" s="473"/>
      <c r="AF188" s="474"/>
      <c r="AG188" s="475"/>
      <c r="AH188" s="475"/>
      <c r="AI188" s="475"/>
      <c r="AJ188" s="475"/>
      <c r="AK188" s="476"/>
    </row>
    <row r="189" spans="1:37">
      <c r="A189" s="467"/>
      <c r="B189" s="472"/>
      <c r="C189" s="473"/>
      <c r="D189" s="472"/>
      <c r="E189" s="473"/>
      <c r="F189" s="472"/>
      <c r="G189" s="473"/>
      <c r="H189" s="472"/>
      <c r="I189" s="473"/>
      <c r="J189" s="472"/>
      <c r="K189" s="450"/>
      <c r="L189" s="472"/>
      <c r="M189" s="473"/>
      <c r="N189" s="472"/>
      <c r="O189" s="473"/>
      <c r="P189" s="472"/>
      <c r="Q189" s="450"/>
      <c r="R189" s="472"/>
      <c r="S189" s="450"/>
      <c r="T189" s="472"/>
      <c r="U189" s="473"/>
      <c r="V189" s="472"/>
      <c r="W189" s="473"/>
      <c r="X189" s="472"/>
      <c r="Y189" s="473"/>
      <c r="Z189" s="472"/>
      <c r="AA189" s="473"/>
      <c r="AB189" s="472"/>
      <c r="AC189" s="473"/>
      <c r="AF189" s="470" t="s">
        <v>1191</v>
      </c>
      <c r="AG189" s="470" t="s">
        <v>354</v>
      </c>
      <c r="AH189" s="470" t="s">
        <v>1192</v>
      </c>
      <c r="AI189" s="470" t="s">
        <v>1193</v>
      </c>
      <c r="AJ189" s="470" t="s">
        <v>303</v>
      </c>
      <c r="AK189" s="471" t="s">
        <v>1194</v>
      </c>
    </row>
    <row r="190" spans="1:37" ht="12.5" thickBot="1">
      <c r="A190" s="467"/>
      <c r="B190" s="444"/>
      <c r="C190" s="473"/>
      <c r="D190" s="444"/>
      <c r="E190" s="473"/>
      <c r="F190" s="444"/>
      <c r="G190" s="473"/>
      <c r="H190" s="444"/>
      <c r="I190" s="473"/>
      <c r="J190" s="444"/>
      <c r="K190" s="473"/>
      <c r="L190" s="444"/>
      <c r="M190" s="473"/>
      <c r="N190" s="444"/>
      <c r="O190" s="473"/>
      <c r="P190" s="444"/>
      <c r="Q190" s="473"/>
      <c r="R190" s="444"/>
      <c r="S190" s="473"/>
      <c r="T190" s="444"/>
      <c r="U190" s="473"/>
      <c r="V190" s="444"/>
      <c r="W190" s="473"/>
      <c r="X190" s="444"/>
      <c r="Y190" s="473"/>
      <c r="Z190" s="444"/>
      <c r="AA190" s="473"/>
      <c r="AB190" s="444"/>
      <c r="AC190" s="473"/>
      <c r="AF190" s="474"/>
      <c r="AG190" s="475"/>
      <c r="AH190" s="475"/>
      <c r="AI190" s="475"/>
      <c r="AJ190" s="475"/>
      <c r="AK190" s="476"/>
    </row>
    <row r="191" spans="1:37" ht="42.75" customHeight="1" thickBot="1">
      <c r="A191" s="467"/>
      <c r="B191" s="562"/>
      <c r="C191" s="477">
        <v>384.63</v>
      </c>
      <c r="D191" s="446"/>
      <c r="E191" s="477">
        <v>380.68200000000002</v>
      </c>
      <c r="F191" s="447"/>
      <c r="G191" s="477">
        <v>354.52600000000001</v>
      </c>
      <c r="H191" s="446" t="s">
        <v>1376</v>
      </c>
      <c r="I191" s="477">
        <v>405.57400000000001</v>
      </c>
      <c r="J191" s="447"/>
      <c r="K191" s="477">
        <v>416.87400000000002</v>
      </c>
      <c r="L191" s="447"/>
      <c r="M191" s="477">
        <v>380.76600000000002</v>
      </c>
      <c r="N191" s="446"/>
      <c r="O191" s="477">
        <v>411.81400000000002</v>
      </c>
      <c r="P191" s="447"/>
      <c r="Q191" s="482">
        <v>392.08</v>
      </c>
      <c r="R191" s="447"/>
      <c r="S191" s="477">
        <v>296.87299999999999</v>
      </c>
      <c r="T191" s="446"/>
      <c r="U191" s="477">
        <v>412.399</v>
      </c>
      <c r="V191" s="446"/>
      <c r="W191" s="477">
        <v>382.173</v>
      </c>
      <c r="X191" s="446"/>
      <c r="Y191" s="477">
        <v>452.73700000000002</v>
      </c>
      <c r="Z191" s="446"/>
      <c r="AA191" s="477">
        <v>420.20699999999999</v>
      </c>
      <c r="AB191" s="446"/>
      <c r="AC191" s="477">
        <v>395.01100000000002</v>
      </c>
      <c r="AF191" s="470">
        <v>14</v>
      </c>
      <c r="AG191" s="470">
        <v>5</v>
      </c>
      <c r="AH191" s="470"/>
      <c r="AI191" s="470"/>
      <c r="AJ191" s="470"/>
      <c r="AK191" s="471"/>
    </row>
    <row r="192" spans="1:37" ht="12.5" thickBot="1">
      <c r="A192" s="467"/>
      <c r="B192" s="568" t="s">
        <v>228</v>
      </c>
      <c r="C192" s="473"/>
      <c r="D192" s="568" t="s">
        <v>228</v>
      </c>
      <c r="E192" s="473"/>
      <c r="F192" s="479"/>
      <c r="G192" s="473"/>
      <c r="H192" s="479"/>
      <c r="I192" s="473"/>
      <c r="J192" s="479"/>
      <c r="K192" s="473"/>
      <c r="L192" s="479"/>
      <c r="M192" s="473"/>
      <c r="N192" s="479"/>
      <c r="O192" s="473"/>
      <c r="P192" s="479"/>
      <c r="Q192" s="473"/>
      <c r="R192" s="479"/>
      <c r="S192" s="473"/>
      <c r="T192" s="479"/>
      <c r="U192" s="473"/>
      <c r="V192" s="479"/>
      <c r="W192" s="473"/>
      <c r="X192" s="479"/>
      <c r="Y192" s="473"/>
      <c r="Z192" s="479"/>
      <c r="AA192" s="473"/>
      <c r="AB192" s="479"/>
      <c r="AF192" s="474"/>
      <c r="AG192" s="475"/>
      <c r="AH192" s="475"/>
      <c r="AI192" s="475"/>
      <c r="AJ192" s="475"/>
      <c r="AK192" s="476"/>
    </row>
    <row r="193" spans="1:37">
      <c r="A193" s="467"/>
      <c r="B193" s="450" t="s">
        <v>128</v>
      </c>
      <c r="C193" s="450"/>
      <c r="D193" s="450" t="s">
        <v>115</v>
      </c>
      <c r="E193" s="450"/>
      <c r="F193" s="450" t="s">
        <v>182</v>
      </c>
      <c r="G193" s="450"/>
      <c r="H193" s="450" t="s">
        <v>125</v>
      </c>
      <c r="I193" s="450"/>
      <c r="J193" s="450" t="s">
        <v>242</v>
      </c>
      <c r="K193" s="450"/>
      <c r="L193" s="450" t="s">
        <v>182</v>
      </c>
      <c r="M193" s="450"/>
      <c r="N193" s="450" t="s">
        <v>115</v>
      </c>
      <c r="O193" s="450"/>
      <c r="P193" s="450" t="s">
        <v>185</v>
      </c>
      <c r="Q193" s="450"/>
      <c r="R193" s="450" t="s">
        <v>248</v>
      </c>
      <c r="S193" s="450"/>
      <c r="T193" s="450" t="s">
        <v>115</v>
      </c>
      <c r="U193" s="450"/>
      <c r="V193" s="450" t="s">
        <v>115</v>
      </c>
      <c r="W193" s="450"/>
      <c r="X193" s="450" t="s">
        <v>248</v>
      </c>
      <c r="Y193" s="450"/>
      <c r="Z193" s="450" t="s">
        <v>115</v>
      </c>
      <c r="AA193" s="450"/>
      <c r="AB193" s="450" t="s">
        <v>248</v>
      </c>
      <c r="AF193" s="474"/>
      <c r="AG193" s="475"/>
      <c r="AH193" s="475"/>
      <c r="AI193" s="475"/>
      <c r="AJ193" s="475"/>
      <c r="AK193" s="476"/>
    </row>
    <row r="194" spans="1:37">
      <c r="A194" s="467"/>
      <c r="B194" s="450"/>
      <c r="C194" s="450"/>
      <c r="D194" s="450"/>
      <c r="E194" s="450"/>
      <c r="F194" s="450"/>
      <c r="G194" s="450"/>
      <c r="H194" s="450"/>
      <c r="I194" s="450"/>
      <c r="J194" s="450"/>
      <c r="K194" s="450"/>
      <c r="L194" s="450"/>
      <c r="M194" s="450"/>
      <c r="N194" s="450"/>
      <c r="O194" s="450"/>
      <c r="P194" s="450"/>
      <c r="Q194" s="450"/>
      <c r="R194" s="450"/>
      <c r="S194" s="450"/>
      <c r="T194" s="450"/>
      <c r="U194" s="450"/>
      <c r="V194" s="450"/>
      <c r="W194" s="450"/>
      <c r="X194" s="450"/>
      <c r="Y194" s="450"/>
      <c r="Z194" s="450"/>
      <c r="AA194" s="450"/>
      <c r="AB194" s="450"/>
      <c r="AF194" s="474"/>
      <c r="AG194" s="475"/>
      <c r="AH194" s="475"/>
      <c r="AI194" s="475"/>
      <c r="AJ194" s="475"/>
      <c r="AK194" s="476"/>
    </row>
    <row r="195" spans="1:37">
      <c r="A195" s="467"/>
      <c r="C195" s="473"/>
      <c r="E195" s="473"/>
      <c r="G195" s="473"/>
      <c r="I195" s="473"/>
      <c r="K195" s="473"/>
      <c r="M195" s="473"/>
      <c r="O195" s="473"/>
      <c r="Q195" s="473"/>
      <c r="S195" s="473"/>
      <c r="U195" s="473"/>
      <c r="W195" s="473"/>
      <c r="Y195" s="473"/>
      <c r="AA195" s="473"/>
      <c r="AF195" s="474"/>
      <c r="AG195" s="475"/>
      <c r="AH195" s="475"/>
      <c r="AI195" s="475"/>
      <c r="AJ195" s="475"/>
      <c r="AK195" s="476"/>
    </row>
    <row r="196" spans="1:37" ht="25.5" customHeight="1">
      <c r="A196" s="467"/>
      <c r="B196" s="468" t="s">
        <v>405</v>
      </c>
      <c r="C196" s="443"/>
      <c r="D196" s="468" t="s">
        <v>406</v>
      </c>
      <c r="E196" s="443"/>
      <c r="F196" s="468" t="s">
        <v>290</v>
      </c>
      <c r="G196" s="443"/>
      <c r="H196" s="468" t="s">
        <v>407</v>
      </c>
      <c r="I196" s="443"/>
      <c r="J196" s="468" t="s">
        <v>408</v>
      </c>
      <c r="K196" s="443"/>
      <c r="L196" s="468" t="s">
        <v>409</v>
      </c>
      <c r="M196" s="443"/>
      <c r="N196" s="468" t="s">
        <v>410</v>
      </c>
      <c r="O196" s="443"/>
      <c r="P196" s="468" t="s">
        <v>411</v>
      </c>
      <c r="Q196" s="443"/>
      <c r="R196" s="468" t="s">
        <v>412</v>
      </c>
      <c r="S196" s="443"/>
      <c r="T196" s="468" t="s">
        <v>414</v>
      </c>
      <c r="U196" s="443"/>
      <c r="V196" s="468" t="s">
        <v>1280</v>
      </c>
      <c r="W196" s="443"/>
      <c r="X196" s="468" t="s">
        <v>217</v>
      </c>
      <c r="Y196" s="443"/>
      <c r="Z196" s="468" t="s">
        <v>416</v>
      </c>
      <c r="AA196" s="443"/>
      <c r="AB196" s="468" t="s">
        <v>294</v>
      </c>
      <c r="AF196" s="474"/>
      <c r="AG196" s="475"/>
      <c r="AH196" s="475"/>
      <c r="AI196" s="475"/>
      <c r="AJ196" s="475"/>
      <c r="AK196" s="476"/>
    </row>
    <row r="197" spans="1:37">
      <c r="A197" s="467"/>
      <c r="B197" s="472"/>
      <c r="C197" s="473"/>
      <c r="D197" s="472"/>
      <c r="E197" s="473"/>
      <c r="F197" s="472"/>
      <c r="G197" s="473"/>
      <c r="H197" s="472"/>
      <c r="I197" s="473"/>
      <c r="J197" s="472"/>
      <c r="K197" s="473"/>
      <c r="L197" s="472"/>
      <c r="M197" s="473"/>
      <c r="N197" s="472"/>
      <c r="O197" s="473"/>
      <c r="P197" s="472"/>
      <c r="Q197" s="473"/>
      <c r="R197" s="472"/>
      <c r="S197" s="473"/>
      <c r="T197" s="472"/>
      <c r="U197" s="473"/>
      <c r="V197" s="472"/>
      <c r="W197" s="473"/>
      <c r="X197" s="472"/>
      <c r="Y197" s="473"/>
      <c r="Z197" s="472"/>
      <c r="AA197" s="473"/>
      <c r="AB197" s="472"/>
      <c r="AF197" s="470" t="s">
        <v>1191</v>
      </c>
      <c r="AG197" s="470" t="s">
        <v>354</v>
      </c>
      <c r="AH197" s="470" t="s">
        <v>1192</v>
      </c>
      <c r="AI197" s="470" t="s">
        <v>1193</v>
      </c>
      <c r="AJ197" s="470" t="s">
        <v>303</v>
      </c>
      <c r="AK197" s="471" t="s">
        <v>1194</v>
      </c>
    </row>
    <row r="198" spans="1:37" ht="12.5" thickBot="1">
      <c r="A198" s="467"/>
      <c r="B198" s="444"/>
      <c r="C198" s="473"/>
      <c r="D198" s="444"/>
      <c r="E198" s="473"/>
      <c r="F198" s="444"/>
      <c r="G198" s="473"/>
      <c r="H198" s="444"/>
      <c r="I198" s="473"/>
      <c r="J198" s="444"/>
      <c r="K198" s="473"/>
      <c r="L198" s="444"/>
      <c r="M198" s="473"/>
      <c r="N198" s="444"/>
      <c r="O198" s="473"/>
      <c r="P198" s="444"/>
      <c r="Q198" s="473"/>
      <c r="R198" s="444"/>
      <c r="S198" s="473"/>
      <c r="T198" s="444"/>
      <c r="U198" s="473"/>
      <c r="V198" s="444"/>
      <c r="W198" s="473"/>
      <c r="X198" s="444"/>
      <c r="Y198" s="473"/>
      <c r="Z198" s="444"/>
      <c r="AA198" s="473"/>
      <c r="AB198" s="444"/>
      <c r="AF198" s="474"/>
      <c r="AG198" s="475"/>
      <c r="AH198" s="475"/>
      <c r="AI198" s="475"/>
      <c r="AJ198" s="475"/>
      <c r="AK198" s="476"/>
    </row>
    <row r="199" spans="1:37" ht="43.5" customHeight="1" thickBot="1">
      <c r="A199" s="467"/>
      <c r="B199" s="446"/>
      <c r="C199" s="477">
        <v>386.73500000000001</v>
      </c>
      <c r="D199" s="447"/>
      <c r="E199" s="477">
        <v>378.62400000000002</v>
      </c>
      <c r="F199" s="447"/>
      <c r="G199" s="477">
        <v>350.21499999999997</v>
      </c>
      <c r="H199" s="446"/>
      <c r="I199" s="477">
        <v>357.90600000000001</v>
      </c>
      <c r="J199" s="446"/>
      <c r="K199" s="477">
        <v>237.476</v>
      </c>
      <c r="L199" s="446"/>
      <c r="M199" s="477">
        <v>440.03</v>
      </c>
      <c r="N199" s="446"/>
      <c r="O199" s="477">
        <v>503.74</v>
      </c>
      <c r="P199" s="446" t="s">
        <v>1376</v>
      </c>
      <c r="Q199" s="477">
        <v>437</v>
      </c>
      <c r="R199" s="446" t="s">
        <v>390</v>
      </c>
      <c r="S199" s="477">
        <v>430</v>
      </c>
      <c r="T199" s="447"/>
      <c r="U199" s="477">
        <v>409.27300000000002</v>
      </c>
      <c r="V199" s="447"/>
      <c r="W199" s="477">
        <v>312.44600000000003</v>
      </c>
      <c r="X199" s="447"/>
      <c r="Y199" s="477">
        <v>314.24700000000001</v>
      </c>
      <c r="Z199" s="447"/>
      <c r="AA199" s="477">
        <v>361.96</v>
      </c>
      <c r="AB199" s="447"/>
      <c r="AC199" s="483">
        <v>329.48599999999999</v>
      </c>
      <c r="AF199" s="470">
        <v>14</v>
      </c>
      <c r="AG199" s="470">
        <v>2</v>
      </c>
      <c r="AH199" s="470">
        <v>2</v>
      </c>
      <c r="AI199" s="470"/>
      <c r="AJ199" s="470"/>
      <c r="AK199" s="471"/>
    </row>
    <row r="200" spans="1:37" ht="12.5" thickBot="1">
      <c r="A200" s="467"/>
      <c r="B200" s="479"/>
      <c r="C200" s="473"/>
      <c r="D200" s="479"/>
      <c r="E200" s="473"/>
      <c r="F200" s="479"/>
      <c r="G200" s="473"/>
      <c r="H200" s="479"/>
      <c r="I200" s="473"/>
      <c r="J200" s="479"/>
      <c r="K200" s="473"/>
      <c r="L200" s="479"/>
      <c r="M200" s="473"/>
      <c r="N200" s="479"/>
      <c r="O200" s="473"/>
      <c r="P200" s="479"/>
      <c r="Q200" s="473"/>
      <c r="R200" s="479"/>
      <c r="S200" s="473"/>
      <c r="T200" s="479"/>
      <c r="U200" s="473"/>
      <c r="V200" s="479"/>
      <c r="W200" s="473"/>
      <c r="X200" s="479"/>
      <c r="Y200" s="473"/>
      <c r="Z200" s="479"/>
      <c r="AA200" s="473"/>
      <c r="AB200" s="479"/>
      <c r="AF200" s="474"/>
      <c r="AG200" s="475"/>
      <c r="AH200" s="475"/>
      <c r="AI200" s="475"/>
      <c r="AJ200" s="475"/>
      <c r="AK200" s="476"/>
    </row>
    <row r="201" spans="1:37">
      <c r="A201" s="467"/>
      <c r="B201" s="450" t="s">
        <v>125</v>
      </c>
      <c r="C201" s="450"/>
      <c r="D201" s="450" t="s">
        <v>182</v>
      </c>
      <c r="E201" s="450"/>
      <c r="F201" s="450" t="s">
        <v>182</v>
      </c>
      <c r="G201" s="450"/>
      <c r="H201" s="450" t="s">
        <v>182</v>
      </c>
      <c r="I201" s="450"/>
      <c r="J201" s="450" t="s">
        <v>115</v>
      </c>
      <c r="K201" s="450"/>
      <c r="L201" s="450" t="s">
        <v>115</v>
      </c>
      <c r="M201" s="450"/>
      <c r="N201" s="450" t="s">
        <v>167</v>
      </c>
      <c r="O201" s="450"/>
      <c r="P201" s="450" t="s">
        <v>167</v>
      </c>
      <c r="Q201" s="450"/>
      <c r="R201" s="450" t="s">
        <v>119</v>
      </c>
      <c r="S201" s="450"/>
      <c r="T201" s="450" t="s">
        <v>248</v>
      </c>
      <c r="U201" s="450"/>
      <c r="V201" s="450" t="s">
        <v>119</v>
      </c>
      <c r="W201" s="450"/>
      <c r="X201" s="450" t="s">
        <v>182</v>
      </c>
      <c r="Y201" s="450"/>
      <c r="Z201" s="450" t="s">
        <v>115</v>
      </c>
      <c r="AA201" s="450"/>
      <c r="AB201" s="450" t="s">
        <v>182</v>
      </c>
      <c r="AF201" s="474"/>
      <c r="AG201" s="475"/>
      <c r="AH201" s="475"/>
      <c r="AI201" s="475"/>
      <c r="AJ201" s="475"/>
      <c r="AK201" s="476"/>
    </row>
    <row r="202" spans="1:37">
      <c r="A202" s="467"/>
      <c r="B202" s="450"/>
      <c r="C202" s="450"/>
      <c r="D202" s="450"/>
      <c r="E202" s="450"/>
      <c r="F202" s="450"/>
      <c r="G202" s="450"/>
      <c r="H202" s="450"/>
      <c r="I202" s="450"/>
      <c r="J202" s="450"/>
      <c r="K202" s="450"/>
      <c r="L202" s="450"/>
      <c r="M202" s="450"/>
      <c r="N202" s="450"/>
      <c r="O202" s="450"/>
      <c r="P202" s="450"/>
      <c r="Q202" s="450"/>
      <c r="R202" s="450"/>
      <c r="S202" s="450"/>
      <c r="T202" s="450"/>
      <c r="U202" s="450"/>
      <c r="V202" s="450"/>
      <c r="W202" s="450"/>
      <c r="X202" s="450"/>
      <c r="Y202" s="450"/>
      <c r="Z202" s="450"/>
      <c r="AA202" s="450"/>
      <c r="AB202" s="450"/>
      <c r="AF202" s="474"/>
      <c r="AG202" s="475"/>
      <c r="AH202" s="475"/>
      <c r="AI202" s="475"/>
      <c r="AJ202" s="475"/>
      <c r="AK202" s="476"/>
    </row>
    <row r="203" spans="1:37">
      <c r="A203" s="467"/>
      <c r="C203" s="450"/>
      <c r="E203" s="450"/>
      <c r="G203" s="473"/>
      <c r="I203" s="473"/>
      <c r="K203" s="473"/>
      <c r="M203" s="473"/>
      <c r="O203" s="473"/>
      <c r="Q203" s="473"/>
      <c r="S203" s="473"/>
      <c r="U203" s="473"/>
      <c r="W203" s="473"/>
      <c r="Y203" s="473"/>
      <c r="AA203" s="473"/>
      <c r="AF203" s="474"/>
      <c r="AG203" s="475"/>
      <c r="AH203" s="475"/>
      <c r="AI203" s="475"/>
      <c r="AJ203" s="475"/>
      <c r="AK203" s="476"/>
    </row>
    <row r="204" spans="1:37">
      <c r="A204" s="467"/>
      <c r="B204" s="468" t="s">
        <v>276</v>
      </c>
      <c r="C204" s="443"/>
      <c r="D204" s="468" t="s">
        <v>417</v>
      </c>
      <c r="E204" s="443"/>
      <c r="F204" s="468" t="s">
        <v>418</v>
      </c>
      <c r="G204" s="443"/>
      <c r="H204" s="468" t="s">
        <v>419</v>
      </c>
      <c r="I204" s="443"/>
      <c r="J204" s="468" t="s">
        <v>169</v>
      </c>
      <c r="K204" s="443"/>
      <c r="L204" s="468" t="s">
        <v>1281</v>
      </c>
      <c r="M204" s="443"/>
      <c r="N204" s="468" t="s">
        <v>289</v>
      </c>
      <c r="O204" s="443"/>
      <c r="P204" s="468" t="s">
        <v>1282</v>
      </c>
      <c r="Q204" s="443"/>
      <c r="R204" s="468" t="s">
        <v>423</v>
      </c>
      <c r="S204" s="443"/>
      <c r="T204" s="468" t="s">
        <v>424</v>
      </c>
      <c r="U204" s="443"/>
      <c r="V204" s="468" t="s">
        <v>718</v>
      </c>
      <c r="W204" s="468"/>
      <c r="X204" s="468" t="s">
        <v>279</v>
      </c>
      <c r="Y204" s="468"/>
      <c r="Z204" s="468" t="s">
        <v>426</v>
      </c>
      <c r="AA204" s="468"/>
      <c r="AB204" s="468" t="s">
        <v>427</v>
      </c>
      <c r="AF204" s="474"/>
      <c r="AG204" s="475"/>
      <c r="AH204" s="475"/>
      <c r="AI204" s="475"/>
      <c r="AJ204" s="475"/>
      <c r="AK204" s="476"/>
    </row>
    <row r="205" spans="1:37">
      <c r="A205" s="467"/>
      <c r="B205" s="472"/>
      <c r="C205" s="473"/>
      <c r="D205" s="472"/>
      <c r="E205" s="473"/>
      <c r="F205" s="472"/>
      <c r="G205" s="473"/>
      <c r="H205" s="472"/>
      <c r="I205" s="473"/>
      <c r="J205" s="472"/>
      <c r="K205" s="473"/>
      <c r="L205" s="472"/>
      <c r="M205" s="473"/>
      <c r="N205" s="472"/>
      <c r="O205" s="473"/>
      <c r="P205" s="472"/>
      <c r="Q205" s="473"/>
      <c r="R205" s="472"/>
      <c r="S205" s="473"/>
      <c r="T205" s="472"/>
      <c r="U205" s="473"/>
      <c r="V205" s="472"/>
      <c r="W205" s="473"/>
      <c r="X205" s="472"/>
      <c r="Y205" s="473"/>
      <c r="Z205" s="472"/>
      <c r="AA205" s="473"/>
      <c r="AB205" s="472"/>
      <c r="AF205" s="470" t="s">
        <v>1191</v>
      </c>
      <c r="AG205" s="470" t="s">
        <v>354</v>
      </c>
      <c r="AH205" s="470" t="s">
        <v>1192</v>
      </c>
      <c r="AI205" s="470" t="s">
        <v>1193</v>
      </c>
      <c r="AJ205" s="470" t="s">
        <v>303</v>
      </c>
      <c r="AK205" s="471" t="s">
        <v>1194</v>
      </c>
    </row>
    <row r="206" spans="1:37" ht="12.5" thickBot="1">
      <c r="A206" s="467"/>
      <c r="B206" s="444"/>
      <c r="C206" s="473"/>
      <c r="D206" s="444"/>
      <c r="E206" s="473"/>
      <c r="F206" s="444"/>
      <c r="G206" s="473"/>
      <c r="H206" s="444"/>
      <c r="I206" s="473"/>
      <c r="J206" s="444"/>
      <c r="K206" s="473"/>
      <c r="L206" s="444"/>
      <c r="M206" s="473"/>
      <c r="N206" s="444"/>
      <c r="O206" s="473"/>
      <c r="P206" s="444"/>
      <c r="Q206" s="473"/>
      <c r="R206" s="444"/>
      <c r="S206" s="473"/>
      <c r="T206" s="444"/>
      <c r="U206" s="473"/>
      <c r="V206" s="444"/>
      <c r="W206" s="473"/>
      <c r="X206" s="444"/>
      <c r="Y206" s="473"/>
      <c r="Z206" s="444"/>
      <c r="AA206" s="473"/>
      <c r="AB206" s="444"/>
      <c r="AF206" s="474"/>
      <c r="AG206" s="475"/>
      <c r="AH206" s="475"/>
      <c r="AI206" s="475"/>
      <c r="AJ206" s="475"/>
      <c r="AK206" s="476"/>
    </row>
    <row r="207" spans="1:37" ht="42.75" customHeight="1" thickBot="1">
      <c r="A207" s="467"/>
      <c r="B207" s="447"/>
      <c r="C207" s="477">
        <v>371.327</v>
      </c>
      <c r="D207" s="447"/>
      <c r="E207" s="477">
        <v>417.91699999999997</v>
      </c>
      <c r="F207" s="446"/>
      <c r="G207" s="477">
        <v>376.988</v>
      </c>
      <c r="H207" s="446" t="s">
        <v>390</v>
      </c>
      <c r="I207" s="477">
        <v>343.79700000000003</v>
      </c>
      <c r="J207" s="447"/>
      <c r="K207" s="477">
        <v>318.69600000000003</v>
      </c>
      <c r="L207" s="447"/>
      <c r="M207" s="477">
        <v>308</v>
      </c>
      <c r="N207" s="447"/>
      <c r="O207" s="477">
        <v>324.87400000000002</v>
      </c>
      <c r="P207" s="446" t="s">
        <v>390</v>
      </c>
      <c r="Q207" s="477">
        <v>365.39100000000002</v>
      </c>
      <c r="R207" s="446"/>
      <c r="S207" s="477">
        <v>269.52499999999998</v>
      </c>
      <c r="T207" s="446"/>
      <c r="U207" s="477">
        <v>350.32600000000002</v>
      </c>
      <c r="V207" s="446"/>
      <c r="W207" s="477">
        <v>414</v>
      </c>
      <c r="X207" s="447"/>
      <c r="Y207" s="477">
        <v>424</v>
      </c>
      <c r="Z207" s="447"/>
      <c r="AA207" s="477">
        <v>405</v>
      </c>
      <c r="AB207" s="446"/>
      <c r="AC207" s="455">
        <v>426</v>
      </c>
      <c r="AF207" s="470">
        <v>14</v>
      </c>
      <c r="AG207" s="470">
        <v>4</v>
      </c>
      <c r="AH207" s="470">
        <v>2</v>
      </c>
      <c r="AI207" s="470"/>
      <c r="AJ207" s="470"/>
      <c r="AK207" s="471"/>
    </row>
    <row r="208" spans="1:37" ht="16.5" customHeight="1" thickBot="1">
      <c r="A208" s="467"/>
      <c r="B208" s="479"/>
      <c r="C208" s="473"/>
      <c r="D208" s="479"/>
      <c r="E208" s="473"/>
      <c r="F208" s="479"/>
      <c r="G208" s="473"/>
      <c r="H208" s="568" t="s">
        <v>228</v>
      </c>
      <c r="I208" s="473"/>
      <c r="J208" s="479"/>
      <c r="K208" s="473"/>
      <c r="L208" s="479"/>
      <c r="M208" s="473"/>
      <c r="N208" s="479"/>
      <c r="O208" s="473"/>
      <c r="P208" s="568" t="s">
        <v>228</v>
      </c>
      <c r="R208" s="479"/>
      <c r="T208" s="479"/>
      <c r="V208" s="479"/>
      <c r="X208" s="479"/>
      <c r="Z208" s="479"/>
      <c r="AB208" s="479"/>
      <c r="AF208" s="474"/>
      <c r="AG208" s="475"/>
      <c r="AH208" s="475"/>
      <c r="AI208" s="475"/>
      <c r="AJ208" s="475"/>
      <c r="AK208" s="476"/>
    </row>
    <row r="209" spans="1:37" ht="18" customHeight="1">
      <c r="A209" s="467"/>
      <c r="B209" s="450" t="s">
        <v>182</v>
      </c>
      <c r="C209" s="450"/>
      <c r="D209" s="450" t="s">
        <v>115</v>
      </c>
      <c r="E209" s="450"/>
      <c r="F209" s="450" t="s">
        <v>185</v>
      </c>
      <c r="G209" s="450"/>
      <c r="H209" s="450" t="s">
        <v>115</v>
      </c>
      <c r="I209" s="450"/>
      <c r="J209" s="450" t="s">
        <v>182</v>
      </c>
      <c r="K209" s="450"/>
      <c r="L209" s="450" t="s">
        <v>115</v>
      </c>
      <c r="M209" s="450"/>
      <c r="N209" s="450" t="s">
        <v>182</v>
      </c>
      <c r="O209" s="450"/>
      <c r="P209" s="450" t="s">
        <v>125</v>
      </c>
      <c r="Q209" s="450"/>
      <c r="R209" s="450" t="s">
        <v>182</v>
      </c>
      <c r="S209" s="450"/>
      <c r="T209" s="450" t="s">
        <v>170</v>
      </c>
      <c r="U209" s="450"/>
      <c r="V209" s="450" t="s">
        <v>115</v>
      </c>
      <c r="W209" s="450"/>
      <c r="X209" s="450" t="s">
        <v>242</v>
      </c>
      <c r="Y209" s="450"/>
      <c r="Z209" s="450" t="s">
        <v>182</v>
      </c>
      <c r="AA209" s="450"/>
      <c r="AB209" s="450" t="s">
        <v>185</v>
      </c>
      <c r="AF209" s="474"/>
      <c r="AG209" s="475"/>
      <c r="AH209" s="475"/>
      <c r="AI209" s="475"/>
      <c r="AJ209" s="475"/>
      <c r="AK209" s="476"/>
    </row>
    <row r="210" spans="1:37" ht="17.399999999999999" customHeight="1">
      <c r="A210" s="467"/>
      <c r="B210" s="450"/>
      <c r="C210" s="450"/>
      <c r="D210" s="450"/>
      <c r="E210" s="450"/>
      <c r="F210" s="450" t="s">
        <v>1277</v>
      </c>
      <c r="G210" s="473"/>
      <c r="H210" s="473"/>
      <c r="I210" s="473"/>
      <c r="J210" s="473"/>
      <c r="K210" s="473"/>
      <c r="L210" s="473"/>
      <c r="M210" s="473"/>
      <c r="N210" s="473"/>
      <c r="O210" s="473"/>
      <c r="P210" s="473"/>
      <c r="Q210" s="473"/>
      <c r="R210" s="450" t="s">
        <v>1277</v>
      </c>
      <c r="S210" s="473"/>
      <c r="T210" s="473"/>
      <c r="U210" s="473"/>
      <c r="V210" s="473"/>
      <c r="W210" s="473"/>
      <c r="X210" s="473"/>
      <c r="Y210" s="473"/>
      <c r="Z210" s="473"/>
      <c r="AA210" s="473"/>
      <c r="AB210" s="450" t="s">
        <v>1276</v>
      </c>
      <c r="AF210" s="474"/>
      <c r="AG210" s="475"/>
      <c r="AH210" s="475"/>
      <c r="AI210" s="475"/>
      <c r="AJ210" s="475"/>
      <c r="AK210" s="476"/>
    </row>
    <row r="211" spans="1:37">
      <c r="A211" s="467"/>
      <c r="C211" s="450"/>
      <c r="E211" s="450"/>
      <c r="G211" s="473"/>
      <c r="I211" s="473"/>
      <c r="K211" s="473"/>
      <c r="M211" s="473"/>
      <c r="O211" s="473"/>
      <c r="AF211" s="474"/>
      <c r="AG211" s="475"/>
      <c r="AH211" s="475"/>
      <c r="AI211" s="475"/>
      <c r="AJ211" s="475"/>
      <c r="AK211" s="476"/>
    </row>
    <row r="212" spans="1:37">
      <c r="A212" s="467"/>
      <c r="B212" s="468" t="s">
        <v>428</v>
      </c>
      <c r="C212" s="468"/>
      <c r="D212" s="468" t="s">
        <v>171</v>
      </c>
      <c r="E212" s="468"/>
      <c r="F212" s="468" t="s">
        <v>1328</v>
      </c>
      <c r="G212" s="468"/>
      <c r="H212" s="468" t="s">
        <v>1329</v>
      </c>
      <c r="I212" s="468"/>
      <c r="J212" s="468" t="s">
        <v>1330</v>
      </c>
      <c r="K212" s="468"/>
      <c r="L212" s="468" t="s">
        <v>1331</v>
      </c>
      <c r="M212" s="468"/>
      <c r="N212" s="468" t="s">
        <v>434</v>
      </c>
      <c r="O212" s="443"/>
      <c r="P212" s="468" t="s">
        <v>435</v>
      </c>
      <c r="R212" s="468" t="s">
        <v>436</v>
      </c>
      <c r="T212" s="468" t="s">
        <v>437</v>
      </c>
      <c r="V212" s="468" t="s">
        <v>438</v>
      </c>
      <c r="X212" s="468" t="s">
        <v>439</v>
      </c>
      <c r="Z212" s="468" t="s">
        <v>440</v>
      </c>
      <c r="AB212" s="468" t="s">
        <v>441</v>
      </c>
      <c r="AF212" s="474"/>
      <c r="AG212" s="475"/>
      <c r="AH212" s="475"/>
      <c r="AI212" s="475"/>
      <c r="AJ212" s="475"/>
      <c r="AK212" s="476"/>
    </row>
    <row r="213" spans="1:37">
      <c r="A213" s="467"/>
      <c r="B213" s="472"/>
      <c r="C213" s="473"/>
      <c r="D213" s="472"/>
      <c r="E213" s="473"/>
      <c r="F213" s="472"/>
      <c r="G213" s="473"/>
      <c r="H213" s="472"/>
      <c r="I213" s="473"/>
      <c r="J213" s="472"/>
      <c r="K213" s="473"/>
      <c r="L213" s="472"/>
      <c r="M213" s="473"/>
      <c r="N213" s="472"/>
      <c r="O213" s="473"/>
      <c r="P213" s="472"/>
      <c r="R213" s="472"/>
      <c r="S213" s="473"/>
      <c r="T213" s="472"/>
      <c r="U213" s="473"/>
      <c r="V213" s="472"/>
      <c r="W213" s="473"/>
      <c r="X213" s="472"/>
      <c r="Y213" s="473"/>
      <c r="Z213" s="472"/>
      <c r="AA213" s="473"/>
      <c r="AB213" s="472"/>
      <c r="AF213" s="470" t="s">
        <v>1191</v>
      </c>
      <c r="AG213" s="470" t="s">
        <v>354</v>
      </c>
      <c r="AH213" s="470" t="s">
        <v>1192</v>
      </c>
      <c r="AI213" s="470" t="s">
        <v>1193</v>
      </c>
      <c r="AJ213" s="470" t="s">
        <v>303</v>
      </c>
      <c r="AK213" s="471" t="s">
        <v>1194</v>
      </c>
    </row>
    <row r="214" spans="1:37" ht="16.5" customHeight="1" thickBot="1">
      <c r="A214" s="467"/>
      <c r="B214" s="444"/>
      <c r="C214" s="473"/>
      <c r="D214" s="444"/>
      <c r="E214" s="473"/>
      <c r="F214" s="444"/>
      <c r="G214" s="473"/>
      <c r="H214" s="444"/>
      <c r="I214" s="473"/>
      <c r="J214" s="444"/>
      <c r="K214" s="473"/>
      <c r="L214" s="444"/>
      <c r="M214" s="473"/>
      <c r="N214" s="444"/>
      <c r="O214" s="473"/>
      <c r="P214" s="444"/>
      <c r="R214" s="444"/>
      <c r="S214" s="473"/>
      <c r="T214" s="444"/>
      <c r="U214" s="473"/>
      <c r="V214" s="444"/>
      <c r="W214" s="473"/>
      <c r="X214" s="444"/>
      <c r="Y214" s="473"/>
      <c r="Z214" s="444"/>
      <c r="AA214" s="473"/>
      <c r="AB214" s="444"/>
      <c r="AF214" s="474"/>
      <c r="AG214" s="475"/>
      <c r="AH214" s="475"/>
      <c r="AI214" s="475"/>
      <c r="AJ214" s="475"/>
      <c r="AK214" s="476"/>
    </row>
    <row r="215" spans="1:37" ht="42.75" customHeight="1" thickBot="1">
      <c r="A215" s="467"/>
      <c r="B215" s="446"/>
      <c r="C215" s="477">
        <v>410</v>
      </c>
      <c r="D215" s="446"/>
      <c r="E215" s="477">
        <v>421</v>
      </c>
      <c r="F215" s="446"/>
      <c r="G215" s="477">
        <v>407.60700000000003</v>
      </c>
      <c r="H215" s="446"/>
      <c r="I215" s="477">
        <v>364.36399999999998</v>
      </c>
      <c r="J215" s="446"/>
      <c r="K215" s="477">
        <v>332.44799999999998</v>
      </c>
      <c r="L215" s="447"/>
      <c r="M215" s="477">
        <v>348.85300000000001</v>
      </c>
      <c r="N215" s="446"/>
      <c r="O215" s="477">
        <v>387.34800000000001</v>
      </c>
      <c r="P215" s="447"/>
      <c r="Q215" s="477">
        <v>452.637</v>
      </c>
      <c r="R215" s="446"/>
      <c r="S215" s="477">
        <v>386.95699999999999</v>
      </c>
      <c r="T215" s="446"/>
      <c r="U215" s="477">
        <v>382.14299999999997</v>
      </c>
      <c r="V215" s="446"/>
      <c r="W215" s="477">
        <v>336.46899999999999</v>
      </c>
      <c r="X215" s="446"/>
      <c r="Y215" s="477">
        <v>389.14</v>
      </c>
      <c r="Z215" s="446"/>
      <c r="AA215" s="477">
        <v>334.55399999999997</v>
      </c>
      <c r="AB215" s="446"/>
      <c r="AC215" s="477">
        <v>396.19799999999998</v>
      </c>
      <c r="AF215" s="470">
        <v>14</v>
      </c>
      <c r="AG215" s="470"/>
      <c r="AH215" s="470"/>
      <c r="AI215" s="470"/>
      <c r="AJ215" s="470"/>
      <c r="AK215" s="471"/>
    </row>
    <row r="216" spans="1:37" ht="16.5" customHeight="1" thickBot="1">
      <c r="A216" s="467"/>
      <c r="B216" s="479"/>
      <c r="D216" s="479"/>
      <c r="F216" s="479"/>
      <c r="H216" s="479"/>
      <c r="J216" s="479"/>
      <c r="L216" s="479"/>
      <c r="N216" s="479"/>
      <c r="P216" s="479"/>
      <c r="R216" s="479"/>
      <c r="T216" s="479"/>
      <c r="V216" s="479"/>
      <c r="X216" s="479"/>
      <c r="Z216" s="479"/>
      <c r="AB216" s="479"/>
      <c r="AF216" s="474"/>
      <c r="AG216" s="475"/>
      <c r="AH216" s="475"/>
      <c r="AI216" s="475"/>
      <c r="AJ216" s="475"/>
      <c r="AK216" s="476"/>
    </row>
    <row r="217" spans="1:37">
      <c r="A217" s="467"/>
      <c r="B217" s="450" t="s">
        <v>185</v>
      </c>
      <c r="C217" s="450"/>
      <c r="D217" s="450" t="s">
        <v>167</v>
      </c>
      <c r="E217" s="450"/>
      <c r="F217" s="450" t="s">
        <v>125</v>
      </c>
      <c r="G217" s="450"/>
      <c r="H217" s="450" t="s">
        <v>125</v>
      </c>
      <c r="I217" s="450"/>
      <c r="J217" s="450" t="s">
        <v>242</v>
      </c>
      <c r="K217" s="450"/>
      <c r="L217" s="450" t="s">
        <v>185</v>
      </c>
      <c r="M217" s="450"/>
      <c r="N217" s="450" t="s">
        <v>115</v>
      </c>
      <c r="O217" s="473"/>
      <c r="P217" s="450" t="s">
        <v>242</v>
      </c>
      <c r="R217" s="450" t="s">
        <v>125</v>
      </c>
      <c r="T217" s="450" t="s">
        <v>143</v>
      </c>
      <c r="V217" s="450" t="s">
        <v>182</v>
      </c>
      <c r="X217" s="450" t="s">
        <v>182</v>
      </c>
      <c r="Z217" s="450" t="s">
        <v>115</v>
      </c>
      <c r="AB217" s="450" t="s">
        <v>242</v>
      </c>
      <c r="AF217" s="474"/>
      <c r="AG217" s="475"/>
      <c r="AH217" s="475"/>
      <c r="AI217" s="475"/>
      <c r="AJ217" s="475"/>
      <c r="AK217" s="476"/>
    </row>
    <row r="218" spans="1:37" ht="14.4" customHeight="1">
      <c r="A218" s="467"/>
      <c r="AF218" s="474"/>
      <c r="AG218" s="475"/>
      <c r="AH218" s="475"/>
      <c r="AI218" s="475"/>
      <c r="AJ218" s="475"/>
      <c r="AK218" s="476"/>
    </row>
    <row r="219" spans="1:37" ht="26" customHeight="1">
      <c r="A219" s="467"/>
      <c r="AF219" s="474"/>
      <c r="AG219" s="475"/>
      <c r="AH219" s="475"/>
      <c r="AI219" s="475"/>
      <c r="AJ219" s="475"/>
      <c r="AK219" s="476"/>
    </row>
    <row r="220" spans="1:37">
      <c r="A220" s="467"/>
      <c r="B220" s="468" t="s">
        <v>443</v>
      </c>
      <c r="C220" s="443"/>
      <c r="D220" s="468" t="s">
        <v>444</v>
      </c>
      <c r="E220" s="443"/>
      <c r="F220" s="468" t="s">
        <v>445</v>
      </c>
      <c r="G220" s="443"/>
      <c r="H220" s="468" t="s">
        <v>446</v>
      </c>
      <c r="I220" s="443"/>
      <c r="J220" s="468" t="s">
        <v>447</v>
      </c>
      <c r="K220" s="443"/>
      <c r="L220" s="468" t="s">
        <v>448</v>
      </c>
      <c r="M220" s="468"/>
      <c r="N220" s="468" t="s">
        <v>449</v>
      </c>
      <c r="O220" s="443"/>
      <c r="P220" s="468" t="s">
        <v>450</v>
      </c>
      <c r="R220" s="468" t="s">
        <v>451</v>
      </c>
      <c r="T220" s="468" t="s">
        <v>452</v>
      </c>
      <c r="V220" s="468" t="s">
        <v>728</v>
      </c>
      <c r="X220" s="468" t="s">
        <v>455</v>
      </c>
      <c r="Z220" s="468" t="s">
        <v>456</v>
      </c>
      <c r="AB220" s="468" t="s">
        <v>457</v>
      </c>
      <c r="AF220" s="474"/>
      <c r="AG220" s="475"/>
      <c r="AH220" s="475"/>
      <c r="AI220" s="475"/>
      <c r="AJ220" s="475"/>
      <c r="AK220" s="476"/>
    </row>
    <row r="221" spans="1:37">
      <c r="A221" s="467"/>
      <c r="B221" s="472"/>
      <c r="C221" s="473"/>
      <c r="D221" s="472"/>
      <c r="E221" s="473"/>
      <c r="F221" s="472"/>
      <c r="G221" s="473"/>
      <c r="H221" s="472"/>
      <c r="I221" s="473"/>
      <c r="J221" s="472"/>
      <c r="K221" s="473"/>
      <c r="L221" s="472"/>
      <c r="M221" s="473"/>
      <c r="N221" s="472"/>
      <c r="O221" s="473"/>
      <c r="P221" s="472"/>
      <c r="R221" s="472"/>
      <c r="S221" s="473"/>
      <c r="T221" s="472"/>
      <c r="U221" s="473"/>
      <c r="V221" s="472"/>
      <c r="W221" s="473"/>
      <c r="X221" s="472"/>
      <c r="Y221" s="473"/>
      <c r="Z221" s="472"/>
      <c r="AA221" s="473"/>
      <c r="AB221" s="472"/>
      <c r="AF221" s="470" t="s">
        <v>1191</v>
      </c>
      <c r="AG221" s="470" t="s">
        <v>354</v>
      </c>
      <c r="AH221" s="470" t="s">
        <v>1192</v>
      </c>
      <c r="AI221" s="470" t="s">
        <v>1193</v>
      </c>
      <c r="AJ221" s="470" t="s">
        <v>303</v>
      </c>
      <c r="AK221" s="471" t="s">
        <v>1194</v>
      </c>
    </row>
    <row r="222" spans="1:37" ht="16.5" customHeight="1" thickBot="1">
      <c r="A222" s="467"/>
      <c r="B222" s="444"/>
      <c r="C222" s="473"/>
      <c r="D222" s="444"/>
      <c r="E222" s="473"/>
      <c r="F222" s="444"/>
      <c r="G222" s="473"/>
      <c r="H222" s="444"/>
      <c r="I222" s="473"/>
      <c r="J222" s="444"/>
      <c r="K222" s="473"/>
      <c r="L222" s="444"/>
      <c r="M222" s="473"/>
      <c r="N222" s="444"/>
      <c r="O222" s="473"/>
      <c r="P222" s="444"/>
      <c r="R222" s="444"/>
      <c r="S222" s="473"/>
      <c r="T222" s="444"/>
      <c r="U222" s="473"/>
      <c r="V222" s="444"/>
      <c r="W222" s="473"/>
      <c r="X222" s="444"/>
      <c r="Y222" s="473"/>
      <c r="Z222" s="444"/>
      <c r="AA222" s="473"/>
      <c r="AB222" s="444"/>
      <c r="AF222" s="474"/>
      <c r="AG222" s="475"/>
      <c r="AH222" s="475"/>
      <c r="AI222" s="475"/>
      <c r="AJ222" s="475"/>
      <c r="AK222" s="476"/>
    </row>
    <row r="223" spans="1:37" ht="42.75" customHeight="1" thickBot="1">
      <c r="A223" s="467"/>
      <c r="B223" s="446"/>
      <c r="C223" s="477">
        <v>233.292</v>
      </c>
      <c r="D223" s="446"/>
      <c r="E223" s="477">
        <v>467.18900000000002</v>
      </c>
      <c r="F223" s="446"/>
      <c r="G223" s="477">
        <v>423.01799999999997</v>
      </c>
      <c r="H223" s="447"/>
      <c r="I223" s="477">
        <v>248.691</v>
      </c>
      <c r="J223" s="447"/>
      <c r="K223" s="477">
        <v>282.02499999999998</v>
      </c>
      <c r="L223" s="447"/>
      <c r="M223" s="477">
        <v>398</v>
      </c>
      <c r="N223" s="447"/>
      <c r="O223" s="477">
        <v>370.48</v>
      </c>
      <c r="P223" s="446" t="s">
        <v>1376</v>
      </c>
      <c r="Q223" s="477">
        <v>437.33300000000003</v>
      </c>
      <c r="R223" s="446"/>
      <c r="S223" s="477">
        <v>435</v>
      </c>
      <c r="T223" s="446"/>
      <c r="U223" s="477">
        <v>406.61500000000001</v>
      </c>
      <c r="V223" s="446"/>
      <c r="W223" s="477">
        <v>388.49400000000003</v>
      </c>
      <c r="X223" s="446"/>
      <c r="Y223" s="477">
        <v>440.62599999999998</v>
      </c>
      <c r="Z223" s="446"/>
      <c r="AA223" s="477">
        <v>410.34199999999998</v>
      </c>
      <c r="AB223" s="446"/>
      <c r="AC223" s="477">
        <v>444.33100000000002</v>
      </c>
      <c r="AF223" s="470">
        <v>14</v>
      </c>
      <c r="AG223" s="470"/>
      <c r="AH223" s="470"/>
      <c r="AI223" s="470"/>
      <c r="AJ223" s="470"/>
      <c r="AK223" s="471"/>
    </row>
    <row r="224" spans="1:37" ht="16.5" customHeight="1" thickBot="1">
      <c r="A224" s="467"/>
      <c r="B224" s="479"/>
      <c r="D224" s="479"/>
      <c r="F224" s="479"/>
      <c r="H224" s="479"/>
      <c r="J224" s="479"/>
      <c r="L224" s="479"/>
      <c r="N224" s="479"/>
      <c r="P224" s="479"/>
      <c r="R224" s="479"/>
      <c r="T224" s="479"/>
      <c r="V224" s="479"/>
      <c r="X224" s="479"/>
      <c r="Z224" s="479"/>
      <c r="AB224" s="479"/>
      <c r="AF224" s="506"/>
      <c r="AG224" s="475"/>
      <c r="AH224" s="475"/>
      <c r="AI224" s="475"/>
      <c r="AJ224" s="475"/>
      <c r="AK224" s="476"/>
    </row>
    <row r="225" spans="1:37">
      <c r="A225" s="467"/>
      <c r="B225" s="450" t="s">
        <v>125</v>
      </c>
      <c r="C225" s="450"/>
      <c r="D225" s="450" t="s">
        <v>123</v>
      </c>
      <c r="E225" s="450"/>
      <c r="F225" s="450" t="s">
        <v>132</v>
      </c>
      <c r="G225" s="450"/>
      <c r="H225" s="450" t="s">
        <v>182</v>
      </c>
      <c r="I225" s="450"/>
      <c r="J225" s="450" t="s">
        <v>182</v>
      </c>
      <c r="K225" s="450"/>
      <c r="L225" s="450" t="s">
        <v>125</v>
      </c>
      <c r="M225" s="450"/>
      <c r="N225" s="450" t="s">
        <v>185</v>
      </c>
      <c r="O225" s="473"/>
      <c r="P225" s="450" t="s">
        <v>128</v>
      </c>
      <c r="R225" s="450" t="s">
        <v>143</v>
      </c>
      <c r="T225" s="450" t="s">
        <v>248</v>
      </c>
      <c r="V225" s="450" t="s">
        <v>115</v>
      </c>
      <c r="X225" s="450" t="s">
        <v>137</v>
      </c>
      <c r="Z225" s="450" t="s">
        <v>167</v>
      </c>
      <c r="AB225" s="450" t="s">
        <v>115</v>
      </c>
      <c r="AF225" s="474"/>
      <c r="AG225" s="475"/>
      <c r="AH225" s="475"/>
      <c r="AI225" s="475"/>
      <c r="AJ225" s="475"/>
      <c r="AK225" s="476"/>
    </row>
    <row r="226" spans="1:37">
      <c r="B226" s="450"/>
      <c r="C226" s="450"/>
      <c r="D226" s="450" t="s">
        <v>1276</v>
      </c>
      <c r="E226" s="450"/>
      <c r="F226" s="450" t="s">
        <v>1276</v>
      </c>
      <c r="G226" s="450"/>
      <c r="H226" s="450"/>
      <c r="I226" s="450"/>
      <c r="J226" s="450"/>
      <c r="K226" s="450"/>
      <c r="L226" s="450"/>
      <c r="M226" s="450"/>
      <c r="N226" s="450"/>
      <c r="O226" s="473"/>
      <c r="P226" s="450"/>
      <c r="R226" s="450"/>
      <c r="T226" s="450"/>
      <c r="V226" s="450" t="s">
        <v>1277</v>
      </c>
      <c r="X226" s="450"/>
      <c r="Z226" s="450"/>
      <c r="AB226" s="450"/>
      <c r="AF226" s="474"/>
      <c r="AG226" s="475"/>
      <c r="AH226" s="475"/>
      <c r="AI226" s="475"/>
      <c r="AJ226" s="475"/>
      <c r="AK226" s="475"/>
    </row>
    <row r="227" spans="1:37">
      <c r="AF227" s="507"/>
    </row>
    <row r="228" spans="1:37">
      <c r="B228" s="468" t="s">
        <v>458</v>
      </c>
      <c r="D228" s="468" t="s">
        <v>459</v>
      </c>
      <c r="F228" s="468" t="s">
        <v>460</v>
      </c>
      <c r="H228" s="468" t="s">
        <v>461</v>
      </c>
      <c r="J228" s="468" t="s">
        <v>462</v>
      </c>
      <c r="L228" s="468" t="s">
        <v>463</v>
      </c>
      <c r="N228" s="468" t="s">
        <v>464</v>
      </c>
      <c r="P228" s="468" t="s">
        <v>465</v>
      </c>
      <c r="R228" s="468" t="s">
        <v>467</v>
      </c>
      <c r="T228" s="468" t="s">
        <v>468</v>
      </c>
      <c r="V228" s="468" t="s">
        <v>469</v>
      </c>
      <c r="X228" s="468" t="s">
        <v>470</v>
      </c>
      <c r="Z228" s="468" t="s">
        <v>471</v>
      </c>
      <c r="AB228" s="468" t="s">
        <v>472</v>
      </c>
      <c r="AF228" s="507"/>
    </row>
    <row r="229" spans="1:37">
      <c r="A229" s="467"/>
      <c r="B229" s="472"/>
      <c r="C229" s="473"/>
      <c r="D229" s="472"/>
      <c r="E229" s="473"/>
      <c r="F229" s="472"/>
      <c r="G229" s="473"/>
      <c r="H229" s="472"/>
      <c r="I229" s="473"/>
      <c r="J229" s="472"/>
      <c r="K229" s="473"/>
      <c r="L229" s="472"/>
      <c r="M229" s="473"/>
      <c r="N229" s="472"/>
      <c r="O229" s="473"/>
      <c r="P229" s="472"/>
      <c r="R229" s="472"/>
      <c r="S229" s="473"/>
      <c r="T229" s="472"/>
      <c r="U229" s="473"/>
      <c r="V229" s="472"/>
      <c r="W229" s="473"/>
      <c r="X229" s="472"/>
      <c r="Y229" s="473"/>
      <c r="Z229" s="472"/>
      <c r="AA229" s="473"/>
      <c r="AB229" s="472"/>
      <c r="AF229" s="470" t="s">
        <v>1191</v>
      </c>
      <c r="AG229" s="470" t="s">
        <v>354</v>
      </c>
      <c r="AH229" s="470" t="s">
        <v>1192</v>
      </c>
      <c r="AI229" s="470" t="s">
        <v>1193</v>
      </c>
      <c r="AJ229" s="470" t="s">
        <v>303</v>
      </c>
      <c r="AK229" s="471" t="s">
        <v>1194</v>
      </c>
    </row>
    <row r="230" spans="1:37" ht="16.5" customHeight="1" thickBot="1">
      <c r="A230" s="467"/>
      <c r="B230" s="444"/>
      <c r="C230" s="473"/>
      <c r="D230" s="444"/>
      <c r="E230" s="473"/>
      <c r="F230" s="444"/>
      <c r="G230" s="473"/>
      <c r="H230" s="444"/>
      <c r="I230" s="473"/>
      <c r="J230" s="444"/>
      <c r="K230" s="473"/>
      <c r="L230" s="444"/>
      <c r="M230" s="473"/>
      <c r="N230" s="444"/>
      <c r="O230" s="473"/>
      <c r="P230" s="444"/>
      <c r="R230" s="444"/>
      <c r="S230" s="473"/>
      <c r="T230" s="444"/>
      <c r="U230" s="473"/>
      <c r="V230" s="444"/>
      <c r="W230" s="473"/>
      <c r="X230" s="444"/>
      <c r="Y230" s="473"/>
      <c r="Z230" s="444"/>
      <c r="AA230" s="473"/>
      <c r="AB230" s="444"/>
      <c r="AF230" s="474"/>
      <c r="AG230" s="475"/>
      <c r="AH230" s="475"/>
      <c r="AI230" s="475"/>
      <c r="AJ230" s="475"/>
      <c r="AK230" s="476"/>
    </row>
    <row r="231" spans="1:37" ht="42.75" customHeight="1" thickBot="1">
      <c r="A231" s="467"/>
      <c r="B231" s="446"/>
      <c r="C231" s="477">
        <v>189.80500000000001</v>
      </c>
      <c r="D231" s="446"/>
      <c r="E231" s="477">
        <v>157.88300000000001</v>
      </c>
      <c r="F231" s="446"/>
      <c r="G231" s="477">
        <v>200.685</v>
      </c>
      <c r="H231" s="446"/>
      <c r="I231" s="477">
        <v>165.49</v>
      </c>
      <c r="J231" s="446" t="s">
        <v>390</v>
      </c>
      <c r="K231" s="477">
        <v>403.85899999999998</v>
      </c>
      <c r="L231" s="446"/>
      <c r="M231" s="477">
        <v>434.78800000000001</v>
      </c>
      <c r="N231" s="446"/>
      <c r="O231" s="477">
        <v>425.38400000000001</v>
      </c>
      <c r="P231" s="446"/>
      <c r="Q231" s="477">
        <v>441.34500000000003</v>
      </c>
      <c r="R231" s="446"/>
      <c r="S231" s="477">
        <v>357.54300000000001</v>
      </c>
      <c r="T231" s="446"/>
      <c r="U231" s="477">
        <v>438.29300000000001</v>
      </c>
      <c r="V231" s="446"/>
      <c r="W231" s="477">
        <v>430</v>
      </c>
      <c r="X231" s="446"/>
      <c r="Y231" s="477">
        <v>410</v>
      </c>
      <c r="Z231" s="446"/>
      <c r="AA231" s="477">
        <v>439.976</v>
      </c>
      <c r="AB231" s="446"/>
      <c r="AC231" s="477">
        <v>424.44</v>
      </c>
      <c r="AF231" s="470">
        <v>14</v>
      </c>
      <c r="AG231" s="470"/>
      <c r="AH231" s="470"/>
      <c r="AI231" s="470"/>
      <c r="AJ231" s="470"/>
      <c r="AK231" s="471"/>
    </row>
    <row r="232" spans="1:37" ht="16.5" customHeight="1" thickBot="1">
      <c r="A232" s="467"/>
      <c r="B232" s="479"/>
      <c r="D232" s="479"/>
      <c r="F232" s="479"/>
      <c r="H232" s="479"/>
      <c r="J232" s="479"/>
      <c r="L232" s="479"/>
      <c r="N232" s="479"/>
      <c r="P232" s="479"/>
      <c r="R232" s="479"/>
      <c r="T232" s="479"/>
      <c r="V232" s="479"/>
      <c r="X232" s="479"/>
      <c r="Z232" s="479"/>
      <c r="AB232" s="479"/>
      <c r="AF232" s="474"/>
      <c r="AG232" s="475"/>
      <c r="AH232" s="475"/>
      <c r="AI232" s="475"/>
      <c r="AJ232" s="475"/>
      <c r="AK232" s="476"/>
    </row>
    <row r="233" spans="1:37">
      <c r="A233" s="467"/>
      <c r="B233" s="450" t="s">
        <v>132</v>
      </c>
      <c r="C233" s="450"/>
      <c r="D233" s="450" t="s">
        <v>123</v>
      </c>
      <c r="E233" s="450"/>
      <c r="F233" s="450" t="s">
        <v>125</v>
      </c>
      <c r="G233" s="450"/>
      <c r="H233" s="450" t="s">
        <v>115</v>
      </c>
      <c r="I233" s="450"/>
      <c r="J233" s="450" t="s">
        <v>115</v>
      </c>
      <c r="K233" s="450"/>
      <c r="L233" s="450" t="s">
        <v>248</v>
      </c>
      <c r="M233" s="450"/>
      <c r="N233" s="450" t="s">
        <v>115</v>
      </c>
      <c r="O233" s="473"/>
      <c r="P233" s="450" t="s">
        <v>132</v>
      </c>
      <c r="R233" s="450" t="s">
        <v>125</v>
      </c>
      <c r="T233" s="450" t="s">
        <v>182</v>
      </c>
      <c r="V233" s="450" t="s">
        <v>125</v>
      </c>
      <c r="X233" s="450" t="s">
        <v>185</v>
      </c>
      <c r="Z233" s="450" t="s">
        <v>132</v>
      </c>
      <c r="AB233" s="450" t="s">
        <v>137</v>
      </c>
      <c r="AF233" s="474"/>
      <c r="AG233" s="475"/>
      <c r="AH233" s="475"/>
      <c r="AI233" s="475"/>
      <c r="AJ233" s="475"/>
      <c r="AK233" s="476"/>
    </row>
    <row r="234" spans="1:37">
      <c r="B234" s="450" t="s">
        <v>1276</v>
      </c>
      <c r="C234" s="450"/>
      <c r="D234" s="450" t="s">
        <v>1276</v>
      </c>
      <c r="E234" s="450"/>
      <c r="F234" s="450"/>
      <c r="G234" s="450"/>
      <c r="H234" s="450"/>
      <c r="I234" s="450"/>
      <c r="J234" s="450"/>
      <c r="K234" s="450"/>
      <c r="L234" s="450"/>
      <c r="M234" s="450"/>
      <c r="N234" s="450" t="s">
        <v>1277</v>
      </c>
      <c r="O234" s="473"/>
      <c r="P234" s="450"/>
      <c r="R234" s="450"/>
      <c r="T234" s="450"/>
      <c r="V234" s="450"/>
      <c r="X234" s="450"/>
      <c r="Z234" s="450"/>
      <c r="AB234" s="450"/>
      <c r="AF234" s="474"/>
      <c r="AG234" s="475"/>
      <c r="AH234" s="475"/>
      <c r="AI234" s="475"/>
      <c r="AJ234" s="475"/>
      <c r="AK234" s="475"/>
    </row>
    <row r="235" spans="1:37">
      <c r="AF235" s="507"/>
    </row>
    <row r="236" spans="1:37">
      <c r="B236" s="468" t="s">
        <v>473</v>
      </c>
      <c r="D236" s="468" t="s">
        <v>474</v>
      </c>
      <c r="F236" s="468" t="s">
        <v>475</v>
      </c>
      <c r="H236" s="468" t="s">
        <v>476</v>
      </c>
      <c r="J236" s="468" t="s">
        <v>477</v>
      </c>
      <c r="L236" s="468" t="s">
        <v>478</v>
      </c>
      <c r="N236" s="468" t="s">
        <v>733</v>
      </c>
      <c r="P236" s="468" t="s">
        <v>734</v>
      </c>
      <c r="R236" s="468" t="s">
        <v>735</v>
      </c>
      <c r="T236" s="468" t="s">
        <v>736</v>
      </c>
      <c r="V236" s="468" t="s">
        <v>737</v>
      </c>
      <c r="X236" s="468" t="s">
        <v>738</v>
      </c>
      <c r="Z236" s="468" t="s">
        <v>739</v>
      </c>
      <c r="AB236" s="468" t="s">
        <v>740</v>
      </c>
      <c r="AF236" s="507"/>
    </row>
    <row r="237" spans="1:37">
      <c r="A237" s="467"/>
      <c r="B237" s="472"/>
      <c r="C237" s="473"/>
      <c r="D237" s="472"/>
      <c r="E237" s="473"/>
      <c r="F237" s="472"/>
      <c r="G237" s="473"/>
      <c r="H237" s="472"/>
      <c r="I237" s="473"/>
      <c r="J237" s="472"/>
      <c r="K237" s="473"/>
      <c r="L237" s="472"/>
      <c r="M237" s="473"/>
      <c r="N237" s="472"/>
      <c r="O237" s="473"/>
      <c r="P237" s="472"/>
      <c r="R237" s="472"/>
      <c r="S237" s="473"/>
      <c r="T237" s="472"/>
      <c r="U237" s="473"/>
      <c r="V237" s="472"/>
      <c r="W237" s="473"/>
      <c r="X237" s="472"/>
      <c r="Y237" s="473"/>
      <c r="Z237" s="472"/>
      <c r="AA237" s="473"/>
      <c r="AB237" s="472"/>
      <c r="AF237" s="470" t="s">
        <v>1191</v>
      </c>
      <c r="AG237" s="470"/>
      <c r="AH237" s="470"/>
      <c r="AI237" s="470"/>
      <c r="AJ237" s="470"/>
      <c r="AK237" s="471"/>
    </row>
    <row r="238" spans="1:37" ht="16.5" customHeight="1" thickBot="1">
      <c r="A238" s="467"/>
      <c r="B238" s="444"/>
      <c r="C238" s="473"/>
      <c r="D238" s="444"/>
      <c r="E238" s="473"/>
      <c r="F238" s="444"/>
      <c r="G238" s="473"/>
      <c r="H238" s="444"/>
      <c r="I238" s="473"/>
      <c r="J238" s="444"/>
      <c r="K238" s="473"/>
      <c r="L238" s="444"/>
      <c r="M238" s="473"/>
      <c r="N238" s="444"/>
      <c r="O238" s="473"/>
      <c r="P238" s="444"/>
      <c r="R238" s="444"/>
      <c r="S238" s="473"/>
      <c r="T238" s="444"/>
      <c r="U238" s="473"/>
      <c r="V238" s="444"/>
      <c r="W238" s="473"/>
      <c r="X238" s="444"/>
      <c r="Y238" s="473"/>
      <c r="Z238" s="444"/>
      <c r="AA238" s="473"/>
      <c r="AB238" s="444"/>
      <c r="AF238" s="474"/>
      <c r="AG238" s="475"/>
      <c r="AH238" s="475"/>
      <c r="AI238" s="475"/>
      <c r="AJ238" s="475"/>
      <c r="AK238" s="476"/>
    </row>
    <row r="239" spans="1:37" ht="42.75" customHeight="1" thickBot="1">
      <c r="A239" s="467"/>
      <c r="B239" s="447"/>
      <c r="C239" s="477">
        <v>439</v>
      </c>
      <c r="D239" s="447"/>
      <c r="E239" s="477">
        <v>395</v>
      </c>
      <c r="F239" s="447"/>
      <c r="G239" s="477">
        <v>401.113</v>
      </c>
      <c r="H239" s="446"/>
      <c r="I239" s="477">
        <v>413</v>
      </c>
      <c r="J239" s="447"/>
      <c r="K239" s="477">
        <v>402.25299999999999</v>
      </c>
      <c r="L239" s="446"/>
      <c r="M239" s="477">
        <v>250.69399999999999</v>
      </c>
      <c r="N239" s="446"/>
      <c r="O239" s="477">
        <v>425.61200000000002</v>
      </c>
      <c r="P239" s="446"/>
      <c r="Q239" s="477">
        <v>381.67500000000001</v>
      </c>
      <c r="R239" s="446"/>
      <c r="S239" s="477">
        <v>351.86900000000003</v>
      </c>
      <c r="T239" s="446"/>
      <c r="U239" s="477">
        <v>419.36099999999999</v>
      </c>
      <c r="V239" s="446"/>
      <c r="W239" s="477">
        <v>421.73899999999998</v>
      </c>
      <c r="X239" s="446"/>
      <c r="Y239" s="477">
        <v>403</v>
      </c>
      <c r="Z239" s="446"/>
      <c r="AA239" s="477">
        <v>355</v>
      </c>
      <c r="AB239" s="446"/>
      <c r="AC239" s="477">
        <v>355</v>
      </c>
      <c r="AF239" s="470">
        <v>14</v>
      </c>
      <c r="AG239" s="470"/>
      <c r="AH239" s="470"/>
      <c r="AI239" s="470"/>
      <c r="AJ239" s="470"/>
      <c r="AK239" s="471"/>
    </row>
    <row r="240" spans="1:37" ht="16.5" customHeight="1" thickBot="1">
      <c r="A240" s="467"/>
      <c r="B240" s="568"/>
      <c r="D240" s="479"/>
      <c r="F240" s="479"/>
      <c r="H240" s="479"/>
      <c r="J240" s="479"/>
      <c r="L240" s="479"/>
      <c r="N240" s="479"/>
      <c r="P240" s="479"/>
      <c r="R240" s="479"/>
      <c r="T240" s="479"/>
      <c r="V240" s="479"/>
      <c r="X240" s="479"/>
      <c r="Z240" s="479"/>
      <c r="AB240" s="479"/>
      <c r="AF240" s="474"/>
      <c r="AG240" s="475"/>
      <c r="AH240" s="475"/>
      <c r="AI240" s="475"/>
      <c r="AJ240" s="475"/>
      <c r="AK240" s="476"/>
    </row>
    <row r="241" spans="1:37">
      <c r="A241" s="467"/>
      <c r="B241" s="450" t="s">
        <v>143</v>
      </c>
      <c r="C241" s="450"/>
      <c r="D241" s="450" t="s">
        <v>185</v>
      </c>
      <c r="E241" s="450"/>
      <c r="F241" s="450" t="s">
        <v>185</v>
      </c>
      <c r="G241" s="450"/>
      <c r="H241" s="450" t="s">
        <v>115</v>
      </c>
      <c r="I241" s="450"/>
      <c r="J241" s="450" t="s">
        <v>242</v>
      </c>
      <c r="K241" s="450"/>
      <c r="L241" s="450" t="s">
        <v>125</v>
      </c>
      <c r="M241" s="450"/>
      <c r="N241" s="450" t="s">
        <v>128</v>
      </c>
      <c r="O241" s="473"/>
      <c r="P241" s="450" t="s">
        <v>185</v>
      </c>
      <c r="R241" s="450" t="s">
        <v>185</v>
      </c>
      <c r="T241" s="450" t="s">
        <v>115</v>
      </c>
      <c r="V241" s="450" t="s">
        <v>137</v>
      </c>
      <c r="X241" s="450" t="s">
        <v>137</v>
      </c>
      <c r="Z241" s="450" t="s">
        <v>182</v>
      </c>
      <c r="AB241" s="450" t="s">
        <v>182</v>
      </c>
      <c r="AF241" s="474"/>
      <c r="AG241" s="475"/>
      <c r="AH241" s="475"/>
      <c r="AI241" s="475"/>
      <c r="AJ241" s="475"/>
      <c r="AK241" s="476"/>
    </row>
    <row r="242" spans="1:37">
      <c r="B242" s="450"/>
      <c r="C242" s="450"/>
      <c r="D242" s="450"/>
      <c r="E242" s="450"/>
      <c r="F242" s="450"/>
      <c r="G242" s="450"/>
      <c r="H242" s="450"/>
      <c r="I242" s="450"/>
      <c r="J242" s="450"/>
      <c r="K242" s="450"/>
      <c r="L242" s="450"/>
      <c r="M242" s="450"/>
      <c r="N242" s="450"/>
      <c r="O242" s="473"/>
      <c r="P242" s="450"/>
      <c r="R242" s="450"/>
      <c r="T242" s="450"/>
      <c r="V242" s="450"/>
      <c r="X242" s="450"/>
      <c r="Z242" s="450"/>
      <c r="AB242" s="450"/>
      <c r="AF242" s="474"/>
      <c r="AG242" s="475"/>
      <c r="AH242" s="475"/>
      <c r="AI242" s="475"/>
      <c r="AJ242" s="475"/>
      <c r="AK242" s="475"/>
    </row>
    <row r="243" spans="1:37">
      <c r="AF243" s="507"/>
    </row>
    <row r="244" spans="1:37">
      <c r="B244" s="468" t="s">
        <v>741</v>
      </c>
      <c r="C244" s="468"/>
      <c r="D244" s="468" t="s">
        <v>742</v>
      </c>
      <c r="E244" s="468"/>
      <c r="F244" s="468" t="s">
        <v>743</v>
      </c>
      <c r="G244" s="468"/>
      <c r="H244" s="468" t="s">
        <v>744</v>
      </c>
      <c r="I244" s="468"/>
      <c r="J244" s="468" t="s">
        <v>745</v>
      </c>
      <c r="K244" s="468"/>
      <c r="L244" s="468" t="s">
        <v>746</v>
      </c>
      <c r="M244" s="468"/>
      <c r="N244" s="468" t="s">
        <v>747</v>
      </c>
      <c r="O244" s="468"/>
      <c r="P244" s="468" t="s">
        <v>748</v>
      </c>
      <c r="Q244" s="468"/>
      <c r="R244" s="468" t="s">
        <v>749</v>
      </c>
      <c r="T244" s="468" t="s">
        <v>750</v>
      </c>
      <c r="V244" s="468" t="s">
        <v>751</v>
      </c>
      <c r="X244" s="483" t="s">
        <v>752</v>
      </c>
      <c r="Z244" s="483" t="s">
        <v>753</v>
      </c>
      <c r="AB244" s="483" t="s">
        <v>754</v>
      </c>
      <c r="AF244" s="507"/>
    </row>
    <row r="245" spans="1:37">
      <c r="A245" s="467"/>
      <c r="B245" s="472"/>
      <c r="C245" s="473"/>
      <c r="D245" s="472"/>
      <c r="E245" s="473"/>
      <c r="F245" s="472"/>
      <c r="G245" s="473"/>
      <c r="H245" s="472"/>
      <c r="I245" s="473"/>
      <c r="J245" s="472"/>
      <c r="K245" s="473"/>
      <c r="L245" s="472"/>
      <c r="M245" s="473"/>
      <c r="N245" s="472"/>
      <c r="O245" s="473"/>
      <c r="P245" s="472"/>
      <c r="R245" s="472"/>
      <c r="S245" s="473"/>
      <c r="T245" s="472"/>
      <c r="U245" s="473"/>
      <c r="V245" s="472"/>
      <c r="W245" s="473"/>
      <c r="X245" s="472"/>
      <c r="Y245" s="473"/>
      <c r="Z245" s="472"/>
      <c r="AA245" s="473"/>
      <c r="AB245" s="472"/>
      <c r="AF245" s="470" t="s">
        <v>1191</v>
      </c>
      <c r="AG245" s="470" t="s">
        <v>354</v>
      </c>
      <c r="AH245" s="470" t="s">
        <v>1192</v>
      </c>
      <c r="AI245" s="470" t="s">
        <v>1193</v>
      </c>
      <c r="AJ245" s="470" t="s">
        <v>303</v>
      </c>
      <c r="AK245" s="471" t="s">
        <v>1194</v>
      </c>
    </row>
    <row r="246" spans="1:37" ht="16.5" customHeight="1" thickBot="1">
      <c r="A246" s="467"/>
      <c r="B246" s="444"/>
      <c r="C246" s="473"/>
      <c r="D246" s="444"/>
      <c r="E246" s="473"/>
      <c r="F246" s="444"/>
      <c r="G246" s="473"/>
      <c r="H246" s="444"/>
      <c r="I246" s="473"/>
      <c r="J246" s="444"/>
      <c r="K246" s="473"/>
      <c r="L246" s="444"/>
      <c r="M246" s="473"/>
      <c r="N246" s="444"/>
      <c r="O246" s="473"/>
      <c r="P246" s="444"/>
      <c r="R246" s="444"/>
      <c r="S246" s="473"/>
      <c r="T246" s="444"/>
      <c r="U246" s="473"/>
      <c r="V246" s="444"/>
      <c r="W246" s="473"/>
      <c r="X246" s="444"/>
      <c r="Y246" s="473"/>
      <c r="Z246" s="444"/>
      <c r="AA246" s="473"/>
      <c r="AB246" s="444"/>
      <c r="AF246" s="474"/>
      <c r="AG246" s="475"/>
      <c r="AH246" s="475"/>
      <c r="AI246" s="475"/>
      <c r="AJ246" s="475"/>
      <c r="AK246" s="476"/>
    </row>
    <row r="247" spans="1:37" ht="42.75" customHeight="1" thickBot="1">
      <c r="A247" s="467"/>
      <c r="B247" s="446"/>
      <c r="C247" s="477">
        <v>373.77100000000002</v>
      </c>
      <c r="D247" s="446"/>
      <c r="E247" s="477">
        <v>364</v>
      </c>
      <c r="F247" s="446"/>
      <c r="G247" s="477">
        <v>421</v>
      </c>
      <c r="H247" s="446"/>
      <c r="I247" s="477">
        <v>334</v>
      </c>
      <c r="J247" s="446"/>
      <c r="K247" s="477">
        <v>388.22</v>
      </c>
      <c r="L247" s="446"/>
      <c r="M247" s="477">
        <v>398</v>
      </c>
      <c r="N247" s="446"/>
      <c r="O247" s="477">
        <v>442.51499999999999</v>
      </c>
      <c r="P247" s="446"/>
      <c r="Q247" s="477">
        <v>415</v>
      </c>
      <c r="R247" s="446"/>
      <c r="S247" s="477">
        <v>417.96800000000002</v>
      </c>
      <c r="T247" s="446"/>
      <c r="U247" s="477">
        <v>424</v>
      </c>
      <c r="V247" s="446"/>
      <c r="W247" s="477">
        <v>415</v>
      </c>
      <c r="X247" s="446"/>
      <c r="Y247" s="477">
        <v>412.20499999999998</v>
      </c>
      <c r="Z247" s="446"/>
      <c r="AA247" s="477">
        <v>278</v>
      </c>
      <c r="AB247" s="446"/>
      <c r="AC247" s="503">
        <v>249.27199999999999</v>
      </c>
      <c r="AF247" s="470">
        <v>14</v>
      </c>
      <c r="AG247" s="470"/>
      <c r="AH247" s="470"/>
      <c r="AI247" s="470"/>
      <c r="AJ247" s="470"/>
      <c r="AK247" s="471"/>
    </row>
    <row r="248" spans="1:37" ht="16.5" customHeight="1" thickBot="1">
      <c r="A248" s="467"/>
      <c r="B248" s="479"/>
      <c r="D248" s="479"/>
      <c r="F248" s="479"/>
      <c r="H248" s="479"/>
      <c r="J248" s="479"/>
      <c r="L248" s="479"/>
      <c r="N248" s="479"/>
      <c r="P248" s="479"/>
      <c r="R248" s="479"/>
      <c r="T248" s="479"/>
      <c r="V248" s="479"/>
      <c r="X248" s="479"/>
      <c r="Z248" s="479"/>
      <c r="AB248" s="479"/>
      <c r="AF248" s="474"/>
      <c r="AG248" s="475"/>
      <c r="AH248" s="475"/>
      <c r="AI248" s="475"/>
      <c r="AJ248" s="475"/>
      <c r="AK248" s="476"/>
    </row>
    <row r="249" spans="1:37">
      <c r="A249" s="467"/>
      <c r="B249" s="450" t="s">
        <v>182</v>
      </c>
      <c r="C249" s="450"/>
      <c r="D249" s="450" t="s">
        <v>115</v>
      </c>
      <c r="E249" s="450"/>
      <c r="F249" s="450" t="s">
        <v>242</v>
      </c>
      <c r="G249" s="450"/>
      <c r="H249" s="450" t="s">
        <v>185</v>
      </c>
      <c r="I249" s="450"/>
      <c r="J249" s="450" t="s">
        <v>242</v>
      </c>
      <c r="K249" s="450"/>
      <c r="L249" s="450" t="s">
        <v>192</v>
      </c>
      <c r="M249" s="450"/>
      <c r="N249" s="450" t="s">
        <v>248</v>
      </c>
      <c r="O249" s="473"/>
      <c r="P249" s="450" t="s">
        <v>137</v>
      </c>
      <c r="Q249" s="450"/>
      <c r="R249" s="450" t="s">
        <v>242</v>
      </c>
      <c r="T249" s="450" t="s">
        <v>115</v>
      </c>
      <c r="V249" s="450" t="s">
        <v>185</v>
      </c>
      <c r="X249" s="483" t="s">
        <v>248</v>
      </c>
      <c r="Z249" s="483" t="s">
        <v>128</v>
      </c>
      <c r="AB249" s="483" t="s">
        <v>182</v>
      </c>
      <c r="AF249" s="474"/>
      <c r="AG249" s="475"/>
      <c r="AH249" s="475"/>
      <c r="AI249" s="475"/>
      <c r="AJ249" s="475"/>
      <c r="AK249" s="476"/>
    </row>
    <row r="250" spans="1:37">
      <c r="B250" s="450"/>
      <c r="C250" s="450"/>
      <c r="D250" s="450"/>
      <c r="E250" s="450"/>
      <c r="F250" s="450"/>
      <c r="G250" s="450"/>
      <c r="H250" s="450"/>
      <c r="I250" s="450"/>
      <c r="J250" s="450"/>
      <c r="K250" s="450"/>
      <c r="L250" s="450"/>
      <c r="M250" s="450"/>
      <c r="N250" s="450"/>
      <c r="O250" s="473"/>
      <c r="P250" s="450"/>
      <c r="Q250" s="450"/>
      <c r="R250" s="450"/>
      <c r="T250" s="450"/>
      <c r="V250" s="450"/>
      <c r="X250" s="483"/>
      <c r="Z250" s="483"/>
      <c r="AB250" s="483"/>
      <c r="AF250" s="474"/>
      <c r="AG250" s="475"/>
      <c r="AH250" s="475"/>
      <c r="AI250" s="475"/>
      <c r="AJ250" s="475"/>
      <c r="AK250" s="475"/>
    </row>
    <row r="251" spans="1:37">
      <c r="AF251" s="507"/>
    </row>
    <row r="252" spans="1:37">
      <c r="B252" s="483" t="s">
        <v>1283</v>
      </c>
      <c r="C252" s="483"/>
      <c r="D252" s="483" t="s">
        <v>755</v>
      </c>
      <c r="F252" s="483" t="s">
        <v>756</v>
      </c>
      <c r="H252" s="483" t="s">
        <v>1284</v>
      </c>
      <c r="J252" s="483" t="s">
        <v>758</v>
      </c>
      <c r="L252" s="483" t="s">
        <v>759</v>
      </c>
      <c r="N252" s="483" t="s">
        <v>760</v>
      </c>
      <c r="P252" s="483" t="s">
        <v>761</v>
      </c>
      <c r="R252" s="483" t="s">
        <v>762</v>
      </c>
      <c r="T252" s="483" t="s">
        <v>180</v>
      </c>
      <c r="V252" s="483" t="s">
        <v>181</v>
      </c>
      <c r="X252" s="483" t="s">
        <v>183</v>
      </c>
      <c r="Z252" s="483" t="s">
        <v>763</v>
      </c>
      <c r="AB252" s="483" t="s">
        <v>764</v>
      </c>
      <c r="AF252" s="507"/>
    </row>
    <row r="253" spans="1:37">
      <c r="A253" s="467"/>
      <c r="B253" s="472"/>
      <c r="C253" s="473"/>
      <c r="D253" s="472"/>
      <c r="E253" s="473"/>
      <c r="F253" s="472"/>
      <c r="G253" s="473"/>
      <c r="H253" s="472"/>
      <c r="I253" s="473"/>
      <c r="J253" s="472"/>
      <c r="K253" s="473"/>
      <c r="L253" s="472"/>
      <c r="M253" s="473"/>
      <c r="N253" s="472"/>
      <c r="O253" s="473"/>
      <c r="P253" s="472"/>
      <c r="R253" s="472"/>
      <c r="S253" s="473"/>
      <c r="T253" s="472"/>
      <c r="U253" s="473"/>
      <c r="V253" s="472"/>
      <c r="W253" s="473"/>
      <c r="X253" s="472"/>
      <c r="Y253" s="473"/>
      <c r="Z253" s="472"/>
      <c r="AA253" s="473"/>
      <c r="AB253" s="472"/>
      <c r="AF253" s="470" t="s">
        <v>1191</v>
      </c>
      <c r="AG253" s="470"/>
      <c r="AH253" s="470"/>
      <c r="AI253" s="470"/>
      <c r="AJ253" s="470"/>
      <c r="AK253" s="471"/>
    </row>
    <row r="254" spans="1:37" ht="16.5" customHeight="1" thickBot="1">
      <c r="A254" s="467"/>
      <c r="B254" s="444"/>
      <c r="C254" s="473"/>
      <c r="D254" s="444"/>
      <c r="E254" s="473"/>
      <c r="F254" s="444"/>
      <c r="G254" s="473"/>
      <c r="H254" s="444"/>
      <c r="I254" s="473"/>
      <c r="J254" s="444"/>
      <c r="K254" s="473"/>
      <c r="L254" s="444"/>
      <c r="M254" s="473"/>
      <c r="N254" s="444"/>
      <c r="O254" s="473"/>
      <c r="P254" s="444"/>
      <c r="R254" s="444"/>
      <c r="S254" s="473"/>
      <c r="T254" s="444"/>
      <c r="U254" s="473"/>
      <c r="V254" s="444"/>
      <c r="W254" s="473"/>
      <c r="X254" s="444"/>
      <c r="Y254" s="473"/>
      <c r="Z254" s="444"/>
      <c r="AA254" s="473"/>
      <c r="AB254" s="444"/>
      <c r="AF254" s="474"/>
      <c r="AG254" s="475"/>
      <c r="AH254" s="475"/>
      <c r="AI254" s="475"/>
      <c r="AJ254" s="475"/>
      <c r="AK254" s="476"/>
    </row>
    <row r="255" spans="1:37" ht="42.75" customHeight="1" thickBot="1">
      <c r="A255" s="467"/>
      <c r="B255" s="446"/>
      <c r="C255" s="477">
        <v>395</v>
      </c>
      <c r="D255" s="446"/>
      <c r="E255" s="477">
        <v>408</v>
      </c>
      <c r="F255" s="446"/>
      <c r="G255" s="477">
        <v>352.00200000000001</v>
      </c>
      <c r="H255" s="446"/>
      <c r="I255" s="477">
        <v>373.572</v>
      </c>
      <c r="J255" s="446"/>
      <c r="K255" s="477">
        <v>367</v>
      </c>
      <c r="L255" s="446"/>
      <c r="M255" s="477">
        <v>384</v>
      </c>
      <c r="N255" s="446"/>
      <c r="O255" s="477">
        <v>385</v>
      </c>
      <c r="P255" s="446"/>
      <c r="Q255" s="503">
        <v>419.36799999999999</v>
      </c>
      <c r="R255" s="446"/>
      <c r="S255" s="477">
        <v>288</v>
      </c>
      <c r="T255" s="446"/>
      <c r="U255" s="477">
        <v>404</v>
      </c>
      <c r="V255" s="446"/>
      <c r="W255" s="477">
        <v>413</v>
      </c>
      <c r="X255" s="446"/>
      <c r="Y255" s="477">
        <v>414</v>
      </c>
      <c r="Z255" s="446"/>
      <c r="AA255" s="477">
        <v>414</v>
      </c>
      <c r="AB255" s="446"/>
      <c r="AC255" s="503">
        <v>425</v>
      </c>
      <c r="AF255" s="470">
        <v>14</v>
      </c>
      <c r="AG255" s="470"/>
      <c r="AH255" s="470"/>
      <c r="AI255" s="470"/>
      <c r="AJ255" s="470"/>
      <c r="AK255" s="471"/>
    </row>
    <row r="256" spans="1:37" ht="16.5" customHeight="1" thickBot="1">
      <c r="A256" s="467"/>
      <c r="B256" s="479"/>
      <c r="D256" s="479"/>
      <c r="F256" s="479"/>
      <c r="H256" s="479"/>
      <c r="J256" s="479"/>
      <c r="L256" s="479"/>
      <c r="N256" s="479"/>
      <c r="P256" s="479"/>
      <c r="R256" s="479"/>
      <c r="T256" s="479"/>
      <c r="V256" s="479"/>
      <c r="X256" s="479"/>
      <c r="Z256" s="479"/>
      <c r="AB256" s="479"/>
      <c r="AF256" s="474"/>
      <c r="AG256" s="475"/>
      <c r="AH256" s="475"/>
      <c r="AI256" s="475"/>
      <c r="AJ256" s="475"/>
      <c r="AK256" s="476"/>
    </row>
    <row r="257" spans="1:37">
      <c r="A257" s="467"/>
      <c r="B257" s="450" t="s">
        <v>125</v>
      </c>
      <c r="C257" s="450"/>
      <c r="D257" s="450" t="s">
        <v>185</v>
      </c>
      <c r="E257" s="450"/>
      <c r="F257" s="450" t="s">
        <v>185</v>
      </c>
      <c r="G257" s="450"/>
      <c r="H257" s="450" t="s">
        <v>125</v>
      </c>
      <c r="I257" s="450"/>
      <c r="J257" s="450" t="s">
        <v>182</v>
      </c>
      <c r="K257" s="450"/>
      <c r="L257" s="450" t="s">
        <v>182</v>
      </c>
      <c r="M257" s="450"/>
      <c r="N257" s="450" t="s">
        <v>182</v>
      </c>
      <c r="O257" s="473"/>
      <c r="P257" s="450" t="s">
        <v>182</v>
      </c>
      <c r="R257" s="558" t="s">
        <v>115</v>
      </c>
      <c r="T257" s="558" t="s">
        <v>182</v>
      </c>
      <c r="V257" s="558" t="s">
        <v>182</v>
      </c>
      <c r="X257" s="558" t="s">
        <v>182</v>
      </c>
      <c r="Z257" s="558" t="s">
        <v>182</v>
      </c>
      <c r="AB257" s="558" t="s">
        <v>182</v>
      </c>
      <c r="AF257" s="474"/>
      <c r="AG257" s="475"/>
      <c r="AH257" s="475"/>
      <c r="AI257" s="475"/>
      <c r="AJ257" s="475"/>
      <c r="AK257" s="476"/>
    </row>
    <row r="258" spans="1:37">
      <c r="B258" s="450"/>
      <c r="C258" s="450"/>
      <c r="D258" s="450"/>
      <c r="E258" s="450"/>
      <c r="F258" s="450"/>
      <c r="G258" s="450"/>
      <c r="H258" s="450"/>
      <c r="I258" s="450"/>
      <c r="J258" s="450"/>
      <c r="K258" s="450"/>
      <c r="L258" s="450"/>
      <c r="M258" s="450"/>
      <c r="N258" s="450"/>
      <c r="O258" s="473"/>
      <c r="P258" s="450"/>
      <c r="R258" s="483"/>
      <c r="T258" s="483"/>
      <c r="V258" s="559" t="s">
        <v>454</v>
      </c>
      <c r="X258" s="483"/>
      <c r="Z258" s="483"/>
      <c r="AB258" s="483"/>
      <c r="AF258" s="474"/>
      <c r="AG258" s="475"/>
      <c r="AH258" s="475"/>
      <c r="AI258" s="475"/>
      <c r="AJ258" s="475"/>
      <c r="AK258" s="475"/>
    </row>
    <row r="259" spans="1:37">
      <c r="AF259" s="507"/>
    </row>
    <row r="260" spans="1:37">
      <c r="B260" s="483" t="s">
        <v>765</v>
      </c>
      <c r="C260" s="483"/>
      <c r="D260" s="483" t="s">
        <v>766</v>
      </c>
      <c r="E260" s="483"/>
      <c r="F260" s="483" t="s">
        <v>767</v>
      </c>
      <c r="G260" s="483"/>
      <c r="H260" s="483" t="s">
        <v>769</v>
      </c>
      <c r="I260" s="483"/>
      <c r="J260" s="483" t="s">
        <v>1361</v>
      </c>
      <c r="K260" s="483"/>
      <c r="L260" s="483" t="s">
        <v>1357</v>
      </c>
      <c r="M260" s="483"/>
      <c r="N260" s="483" t="s">
        <v>1358</v>
      </c>
      <c r="O260" s="483"/>
      <c r="P260" s="483" t="s">
        <v>1359</v>
      </c>
      <c r="Q260" s="483"/>
      <c r="R260" s="483" t="s">
        <v>1362</v>
      </c>
      <c r="S260" s="483"/>
      <c r="T260" s="483" t="s">
        <v>773</v>
      </c>
      <c r="U260" s="483"/>
      <c r="V260" s="483" t="s">
        <v>774</v>
      </c>
      <c r="W260" s="483"/>
      <c r="X260" s="483" t="s">
        <v>775</v>
      </c>
      <c r="Y260" s="483"/>
      <c r="Z260" s="483" t="s">
        <v>776</v>
      </c>
      <c r="AA260" s="483"/>
      <c r="AB260" s="483" t="s">
        <v>777</v>
      </c>
      <c r="AC260" s="483"/>
      <c r="AD260" s="483" t="s">
        <v>778</v>
      </c>
      <c r="AE260" s="483"/>
      <c r="AF260" s="507"/>
    </row>
    <row r="261" spans="1:37">
      <c r="A261" s="467"/>
      <c r="B261" s="472"/>
      <c r="C261" s="473"/>
      <c r="D261" s="472"/>
      <c r="E261" s="473"/>
      <c r="F261" s="472"/>
      <c r="G261" s="473"/>
      <c r="H261" s="472"/>
      <c r="I261" s="473"/>
      <c r="J261" s="472"/>
      <c r="K261" s="473"/>
      <c r="L261" s="472"/>
      <c r="M261" s="473"/>
      <c r="N261" s="472"/>
      <c r="O261" s="473"/>
      <c r="P261" s="472"/>
      <c r="R261" s="472"/>
      <c r="S261" s="473"/>
      <c r="T261" s="472"/>
      <c r="U261" s="473"/>
      <c r="V261" s="472"/>
      <c r="W261" s="473"/>
      <c r="X261" s="472"/>
      <c r="Y261" s="473"/>
      <c r="Z261" s="472"/>
      <c r="AA261" s="473"/>
      <c r="AB261" s="472"/>
      <c r="AD261" s="472"/>
      <c r="AF261" s="470" t="s">
        <v>1191</v>
      </c>
      <c r="AG261" s="470" t="s">
        <v>354</v>
      </c>
      <c r="AH261" s="470" t="s">
        <v>1192</v>
      </c>
      <c r="AI261" s="470" t="s">
        <v>1193</v>
      </c>
      <c r="AJ261" s="470" t="s">
        <v>303</v>
      </c>
      <c r="AK261" s="471" t="s">
        <v>1194</v>
      </c>
    </row>
    <row r="262" spans="1:37" ht="16.5" customHeight="1" thickBot="1">
      <c r="A262" s="467"/>
      <c r="B262" s="444"/>
      <c r="C262" s="473"/>
      <c r="D262" s="444"/>
      <c r="E262" s="473"/>
      <c r="F262" s="444"/>
      <c r="G262" s="473"/>
      <c r="H262" s="444"/>
      <c r="I262" s="473"/>
      <c r="J262" s="444"/>
      <c r="K262" s="473"/>
      <c r="L262" s="444"/>
      <c r="M262" s="473"/>
      <c r="N262" s="444"/>
      <c r="O262" s="473"/>
      <c r="P262" s="444"/>
      <c r="R262" s="444"/>
      <c r="S262" s="473"/>
      <c r="T262" s="444"/>
      <c r="U262" s="473"/>
      <c r="V262" s="444"/>
      <c r="W262" s="473"/>
      <c r="X262" s="444"/>
      <c r="Y262" s="473"/>
      <c r="Z262" s="444"/>
      <c r="AA262" s="473"/>
      <c r="AB262" s="444"/>
      <c r="AD262" s="444"/>
      <c r="AF262" s="474"/>
      <c r="AG262" s="475"/>
      <c r="AH262" s="475"/>
      <c r="AI262" s="475"/>
      <c r="AJ262" s="475"/>
      <c r="AK262" s="476"/>
    </row>
    <row r="263" spans="1:37" ht="32" customHeight="1" thickBot="1">
      <c r="A263" s="467"/>
      <c r="B263" s="446"/>
      <c r="C263" s="477">
        <v>410.108</v>
      </c>
      <c r="D263" s="560"/>
      <c r="E263" s="477">
        <v>414.82499999999999</v>
      </c>
      <c r="F263" s="560"/>
      <c r="G263" s="477">
        <v>360.43099999999998</v>
      </c>
      <c r="H263" s="560"/>
      <c r="I263" s="477">
        <v>226</v>
      </c>
      <c r="J263" s="560"/>
      <c r="K263" s="477">
        <v>438.03699999999998</v>
      </c>
      <c r="L263" s="560"/>
      <c r="M263" s="477">
        <v>402.73700000000002</v>
      </c>
      <c r="N263" s="560"/>
      <c r="O263" s="477">
        <v>433.49</v>
      </c>
      <c r="P263" s="560"/>
      <c r="Q263" s="477">
        <v>409.20600000000002</v>
      </c>
      <c r="R263" s="560"/>
      <c r="S263" s="477">
        <v>436.60500000000002</v>
      </c>
      <c r="T263" s="560"/>
      <c r="U263" s="477">
        <v>394.613</v>
      </c>
      <c r="V263" s="560"/>
      <c r="W263" s="477">
        <v>383.90100000000001</v>
      </c>
      <c r="X263" s="560"/>
      <c r="Y263" s="477">
        <v>356.322</v>
      </c>
      <c r="Z263" s="560"/>
      <c r="AA263" s="477">
        <v>378.30099999999999</v>
      </c>
      <c r="AB263" s="560"/>
      <c r="AC263" s="477">
        <v>356.02800000000002</v>
      </c>
      <c r="AD263" s="446"/>
      <c r="AF263" s="470">
        <v>14</v>
      </c>
      <c r="AG263" s="470"/>
      <c r="AH263" s="470"/>
      <c r="AI263" s="470"/>
      <c r="AJ263" s="470"/>
      <c r="AK263" s="471"/>
    </row>
    <row r="264" spans="1:37" ht="16.5" customHeight="1" thickBot="1">
      <c r="A264" s="467"/>
      <c r="B264" s="479"/>
      <c r="D264" s="479"/>
      <c r="F264" s="479"/>
      <c r="H264" s="479"/>
      <c r="J264" s="479"/>
      <c r="L264" s="479"/>
      <c r="N264" s="479"/>
      <c r="P264" s="479"/>
      <c r="R264" s="479"/>
      <c r="T264" s="479"/>
      <c r="V264" s="479"/>
      <c r="X264" s="479"/>
      <c r="Z264" s="479"/>
      <c r="AB264" s="479"/>
      <c r="AD264" s="479"/>
      <c r="AF264" s="474"/>
      <c r="AG264" s="475"/>
      <c r="AH264" s="475"/>
      <c r="AI264" s="475"/>
      <c r="AJ264" s="475"/>
      <c r="AK264" s="476"/>
    </row>
    <row r="265" spans="1:37">
      <c r="A265" s="467"/>
      <c r="B265" s="483" t="s">
        <v>185</v>
      </c>
      <c r="C265" s="483"/>
      <c r="D265" s="483" t="s">
        <v>182</v>
      </c>
      <c r="E265" s="483"/>
      <c r="F265" s="483" t="s">
        <v>242</v>
      </c>
      <c r="G265" s="483"/>
      <c r="H265" s="483" t="s">
        <v>125</v>
      </c>
      <c r="I265" s="483"/>
      <c r="J265" s="483" t="s">
        <v>125</v>
      </c>
      <c r="K265" s="483"/>
      <c r="L265" s="483" t="s">
        <v>248</v>
      </c>
      <c r="M265" s="483"/>
      <c r="N265" s="483" t="s">
        <v>185</v>
      </c>
      <c r="O265" s="483"/>
      <c r="P265" s="483" t="s">
        <v>242</v>
      </c>
      <c r="Q265" s="483"/>
      <c r="R265" s="483" t="s">
        <v>248</v>
      </c>
      <c r="S265" s="483"/>
      <c r="T265" s="483" t="s">
        <v>115</v>
      </c>
      <c r="U265" s="483"/>
      <c r="V265" s="483" t="s">
        <v>182</v>
      </c>
      <c r="W265" s="483"/>
      <c r="X265" s="483" t="s">
        <v>185</v>
      </c>
      <c r="Y265" s="483"/>
      <c r="Z265" s="483" t="s">
        <v>242</v>
      </c>
      <c r="AA265" s="483"/>
      <c r="AB265" s="483" t="s">
        <v>125</v>
      </c>
      <c r="AC265" s="483"/>
      <c r="AD265" s="483" t="s">
        <v>188</v>
      </c>
      <c r="AF265" s="474"/>
      <c r="AG265" s="475"/>
      <c r="AH265" s="475"/>
      <c r="AI265" s="475"/>
      <c r="AJ265" s="475"/>
      <c r="AK265" s="476"/>
    </row>
    <row r="266" spans="1:37">
      <c r="B266" s="450"/>
      <c r="C266" s="450"/>
      <c r="D266" s="450"/>
      <c r="E266" s="450"/>
      <c r="F266" s="450"/>
      <c r="G266" s="450"/>
      <c r="H266" s="450"/>
      <c r="I266" s="450"/>
      <c r="J266" s="450"/>
      <c r="K266" s="450"/>
      <c r="L266" s="450"/>
      <c r="M266" s="450"/>
      <c r="N266" s="450"/>
      <c r="O266" s="473"/>
      <c r="P266" s="450"/>
      <c r="R266" s="483"/>
      <c r="T266" s="483"/>
      <c r="V266" s="483"/>
      <c r="X266" s="483"/>
      <c r="Z266" s="483"/>
      <c r="AB266" s="483"/>
      <c r="AF266" s="474"/>
      <c r="AG266" s="475"/>
      <c r="AH266" s="475"/>
      <c r="AI266" s="475"/>
      <c r="AJ266" s="475"/>
      <c r="AK266" s="475"/>
    </row>
    <row r="267" spans="1:37">
      <c r="AF267" s="507"/>
    </row>
    <row r="268" spans="1:37">
      <c r="B268" s="483" t="s">
        <v>779</v>
      </c>
      <c r="D268" s="503" t="s">
        <v>780</v>
      </c>
      <c r="F268" s="503" t="s">
        <v>781</v>
      </c>
      <c r="H268" s="503" t="s">
        <v>782</v>
      </c>
      <c r="J268" s="483" t="s">
        <v>783</v>
      </c>
      <c r="L268" s="483" t="s">
        <v>784</v>
      </c>
      <c r="N268" s="483" t="s">
        <v>785</v>
      </c>
      <c r="P268" s="483" t="s">
        <v>786</v>
      </c>
      <c r="R268" s="483" t="s">
        <v>787</v>
      </c>
      <c r="T268" s="483" t="s">
        <v>788</v>
      </c>
      <c r="V268" s="483" t="s">
        <v>789</v>
      </c>
      <c r="X268" s="483" t="s">
        <v>790</v>
      </c>
      <c r="Z268" s="503" t="s">
        <v>791</v>
      </c>
      <c r="AB268" s="483" t="s">
        <v>792</v>
      </c>
      <c r="AF268" s="507"/>
    </row>
    <row r="269" spans="1:37">
      <c r="A269" s="467"/>
      <c r="B269" s="472"/>
      <c r="C269" s="473"/>
      <c r="D269" s="472"/>
      <c r="E269" s="473"/>
      <c r="F269" s="472"/>
      <c r="G269" s="473"/>
      <c r="H269" s="472"/>
      <c r="I269" s="473"/>
      <c r="J269" s="472"/>
      <c r="K269" s="473"/>
      <c r="L269" s="472"/>
      <c r="M269" s="473"/>
      <c r="N269" s="472"/>
      <c r="O269" s="473"/>
      <c r="P269" s="472"/>
      <c r="R269" s="472"/>
      <c r="S269" s="473"/>
      <c r="T269" s="472"/>
      <c r="U269" s="473"/>
      <c r="V269" s="472"/>
      <c r="W269" s="473"/>
      <c r="X269" s="472"/>
      <c r="Y269" s="473"/>
      <c r="Z269" s="472"/>
      <c r="AA269" s="473"/>
      <c r="AB269" s="472"/>
      <c r="AF269" s="470" t="s">
        <v>1191</v>
      </c>
      <c r="AG269" s="470"/>
      <c r="AH269" s="470"/>
      <c r="AI269" s="470"/>
      <c r="AJ269" s="470"/>
      <c r="AK269" s="471"/>
    </row>
    <row r="270" spans="1:37" ht="16.5" customHeight="1" thickBot="1">
      <c r="A270" s="467"/>
      <c r="B270" s="444"/>
      <c r="C270" s="473"/>
      <c r="D270" s="444"/>
      <c r="E270" s="473"/>
      <c r="F270" s="444"/>
      <c r="G270" s="473"/>
      <c r="H270" s="444"/>
      <c r="I270" s="473"/>
      <c r="J270" s="444"/>
      <c r="K270" s="473"/>
      <c r="L270" s="444"/>
      <c r="M270" s="473"/>
      <c r="N270" s="444"/>
      <c r="O270" s="473"/>
      <c r="P270" s="444"/>
      <c r="R270" s="444"/>
      <c r="S270" s="473"/>
      <c r="T270" s="444"/>
      <c r="U270" s="473"/>
      <c r="V270" s="444"/>
      <c r="W270" s="473"/>
      <c r="X270" s="444"/>
      <c r="Y270" s="473"/>
      <c r="Z270" s="444"/>
      <c r="AA270" s="473"/>
      <c r="AB270" s="444"/>
      <c r="AF270" s="474"/>
      <c r="AG270" s="475"/>
      <c r="AH270" s="475"/>
      <c r="AI270" s="475"/>
      <c r="AJ270" s="475"/>
      <c r="AK270" s="476"/>
    </row>
    <row r="271" spans="1:37" ht="32.5" customHeight="1" thickBot="1">
      <c r="A271" s="467"/>
      <c r="B271" s="446"/>
      <c r="C271" s="477">
        <v>381</v>
      </c>
      <c r="D271" s="446"/>
      <c r="E271" s="477">
        <v>334</v>
      </c>
      <c r="F271" s="446"/>
      <c r="G271" s="477">
        <v>347</v>
      </c>
      <c r="H271" s="446"/>
      <c r="I271" s="477">
        <v>375.54599999999999</v>
      </c>
      <c r="J271" s="446"/>
      <c r="K271" s="477">
        <v>392</v>
      </c>
      <c r="L271" s="446"/>
      <c r="M271" s="477">
        <v>407.97399999999999</v>
      </c>
      <c r="N271" s="446"/>
      <c r="O271" s="477">
        <v>392</v>
      </c>
      <c r="P271" s="446"/>
      <c r="Q271" s="503">
        <v>405</v>
      </c>
      <c r="R271" s="446"/>
      <c r="S271" s="477">
        <v>435</v>
      </c>
      <c r="T271" s="446"/>
      <c r="U271" s="477">
        <v>378.32799999999997</v>
      </c>
      <c r="V271" s="446"/>
      <c r="W271" s="477">
        <v>386</v>
      </c>
      <c r="X271" s="446"/>
      <c r="Y271" s="477">
        <v>391</v>
      </c>
      <c r="Z271" s="446"/>
      <c r="AA271" s="477">
        <v>399.827</v>
      </c>
      <c r="AB271" s="446"/>
      <c r="AC271" s="508">
        <v>437.00799999999998</v>
      </c>
      <c r="AF271" s="470">
        <v>14</v>
      </c>
      <c r="AG271" s="470"/>
      <c r="AH271" s="470"/>
      <c r="AI271" s="470"/>
      <c r="AJ271" s="470"/>
      <c r="AK271" s="471"/>
    </row>
    <row r="272" spans="1:37" ht="16.5" customHeight="1" thickBot="1">
      <c r="A272" s="467"/>
      <c r="B272" s="479"/>
      <c r="D272" s="479"/>
      <c r="F272" s="479"/>
      <c r="H272" s="479"/>
      <c r="J272" s="479"/>
      <c r="L272" s="479"/>
      <c r="N272" s="479"/>
      <c r="P272" s="479"/>
      <c r="R272" s="479"/>
      <c r="T272" s="479"/>
      <c r="V272" s="479"/>
      <c r="X272" s="479"/>
      <c r="Z272" s="479"/>
      <c r="AB272" s="479"/>
      <c r="AF272" s="474"/>
      <c r="AG272" s="475"/>
      <c r="AH272" s="475"/>
      <c r="AI272" s="475"/>
      <c r="AJ272" s="475"/>
      <c r="AK272" s="476"/>
    </row>
    <row r="273" spans="1:37">
      <c r="A273" s="467"/>
      <c r="B273" s="450" t="s">
        <v>188</v>
      </c>
      <c r="C273" s="450"/>
      <c r="D273" s="450" t="s">
        <v>182</v>
      </c>
      <c r="E273" s="450"/>
      <c r="F273" s="450" t="s">
        <v>182</v>
      </c>
      <c r="G273" s="450"/>
      <c r="H273" s="450" t="s">
        <v>182</v>
      </c>
      <c r="I273" s="450"/>
      <c r="J273" s="450" t="s">
        <v>137</v>
      </c>
      <c r="K273" s="450"/>
      <c r="L273" s="450" t="s">
        <v>248</v>
      </c>
      <c r="M273" s="450"/>
      <c r="N273" s="450" t="s">
        <v>119</v>
      </c>
      <c r="O273" s="473"/>
      <c r="P273" s="450" t="s">
        <v>185</v>
      </c>
      <c r="R273" s="483" t="s">
        <v>185</v>
      </c>
      <c r="T273" s="483" t="s">
        <v>185</v>
      </c>
      <c r="V273" s="483" t="s">
        <v>115</v>
      </c>
      <c r="X273" s="483" t="s">
        <v>182</v>
      </c>
      <c r="Z273" s="508" t="s">
        <v>242</v>
      </c>
      <c r="AB273" s="483" t="s">
        <v>137</v>
      </c>
      <c r="AF273" s="474"/>
      <c r="AG273" s="475"/>
      <c r="AH273" s="475"/>
      <c r="AI273" s="475"/>
      <c r="AJ273" s="475"/>
      <c r="AK273" s="476"/>
    </row>
    <row r="274" spans="1:37">
      <c r="B274" s="450"/>
      <c r="C274" s="450"/>
      <c r="D274" s="450"/>
      <c r="E274" s="450"/>
      <c r="F274" s="450"/>
      <c r="G274" s="450"/>
      <c r="H274" s="450"/>
      <c r="I274" s="450"/>
      <c r="J274" s="450"/>
      <c r="K274" s="450"/>
      <c r="L274" s="450"/>
      <c r="M274" s="450"/>
      <c r="N274" s="450"/>
      <c r="O274" s="473"/>
      <c r="P274" s="450"/>
      <c r="R274" s="483"/>
      <c r="T274" s="483"/>
      <c r="V274" s="483"/>
      <c r="X274" s="483"/>
      <c r="Z274" s="508"/>
      <c r="AB274" s="483"/>
      <c r="AF274" s="474"/>
      <c r="AG274" s="475"/>
      <c r="AH274" s="475"/>
      <c r="AI274" s="475"/>
      <c r="AJ274" s="475"/>
      <c r="AK274" s="475"/>
    </row>
    <row r="275" spans="1:37">
      <c r="AF275" s="507"/>
    </row>
    <row r="276" spans="1:37">
      <c r="B276" s="483" t="s">
        <v>793</v>
      </c>
      <c r="D276" s="503" t="s">
        <v>794</v>
      </c>
      <c r="F276" s="503" t="s">
        <v>795</v>
      </c>
      <c r="G276" s="503"/>
      <c r="H276" s="503" t="s">
        <v>796</v>
      </c>
      <c r="I276" s="503"/>
      <c r="J276" s="503" t="s">
        <v>797</v>
      </c>
      <c r="K276" s="503"/>
      <c r="L276" s="503" t="s">
        <v>798</v>
      </c>
      <c r="M276" s="503"/>
      <c r="N276" s="503" t="s">
        <v>799</v>
      </c>
      <c r="O276" s="503"/>
      <c r="P276" s="503" t="s">
        <v>800</v>
      </c>
      <c r="Q276" s="503"/>
      <c r="R276" s="503" t="s">
        <v>801</v>
      </c>
      <c r="S276" s="503"/>
      <c r="T276" s="503" t="s">
        <v>802</v>
      </c>
      <c r="U276" s="503"/>
      <c r="V276" s="503" t="s">
        <v>803</v>
      </c>
      <c r="W276" s="503"/>
      <c r="X276" s="503" t="s">
        <v>804</v>
      </c>
      <c r="Y276" s="503"/>
      <c r="Z276" s="503" t="s">
        <v>805</v>
      </c>
      <c r="AA276" s="503"/>
      <c r="AB276" s="503" t="s">
        <v>806</v>
      </c>
      <c r="AF276" s="507"/>
    </row>
    <row r="277" spans="1:37">
      <c r="A277" s="467"/>
      <c r="B277" s="472"/>
      <c r="C277" s="473"/>
      <c r="D277" s="472"/>
      <c r="E277" s="473"/>
      <c r="F277" s="472"/>
      <c r="G277" s="473"/>
      <c r="H277" s="472"/>
      <c r="I277" s="473"/>
      <c r="J277" s="472"/>
      <c r="K277" s="473"/>
      <c r="L277" s="472"/>
      <c r="M277" s="473"/>
      <c r="N277" s="472"/>
      <c r="O277" s="473"/>
      <c r="P277" s="472"/>
      <c r="R277" s="472"/>
      <c r="S277" s="473"/>
      <c r="T277" s="472"/>
      <c r="U277" s="473"/>
      <c r="V277" s="472"/>
      <c r="W277" s="473"/>
      <c r="X277" s="472"/>
      <c r="Y277" s="473"/>
      <c r="Z277" s="472"/>
      <c r="AA277" s="473"/>
      <c r="AB277" s="472"/>
      <c r="AF277" s="470" t="s">
        <v>1191</v>
      </c>
      <c r="AG277" s="470"/>
      <c r="AH277" s="470"/>
      <c r="AI277" s="470"/>
      <c r="AJ277" s="470"/>
      <c r="AK277" s="471"/>
    </row>
    <row r="278" spans="1:37" ht="16.5" customHeight="1" thickBot="1">
      <c r="A278" s="467"/>
      <c r="B278" s="444"/>
      <c r="C278" s="473"/>
      <c r="D278" s="444"/>
      <c r="E278" s="473"/>
      <c r="F278" s="444"/>
      <c r="G278" s="473"/>
      <c r="H278" s="444"/>
      <c r="I278" s="473"/>
      <c r="J278" s="444"/>
      <c r="K278" s="473"/>
      <c r="L278" s="444"/>
      <c r="M278" s="473"/>
      <c r="N278" s="444"/>
      <c r="O278" s="473"/>
      <c r="P278" s="444"/>
      <c r="R278" s="444"/>
      <c r="S278" s="473"/>
      <c r="T278" s="444"/>
      <c r="U278" s="473"/>
      <c r="V278" s="444"/>
      <c r="W278" s="473"/>
      <c r="X278" s="444"/>
      <c r="Y278" s="473"/>
      <c r="Z278" s="444"/>
      <c r="AA278" s="473"/>
      <c r="AB278" s="444"/>
      <c r="AF278" s="474"/>
      <c r="AG278" s="475"/>
      <c r="AH278" s="475"/>
      <c r="AI278" s="475"/>
      <c r="AJ278" s="475"/>
      <c r="AK278" s="476"/>
    </row>
    <row r="279" spans="1:37" ht="33" customHeight="1" thickBot="1">
      <c r="A279" s="467"/>
      <c r="B279" s="446"/>
      <c r="C279" s="477">
        <v>401.75700000000001</v>
      </c>
      <c r="D279" s="446"/>
      <c r="E279" s="477">
        <v>416.24299999999999</v>
      </c>
      <c r="F279" s="446"/>
      <c r="G279" s="477">
        <v>417</v>
      </c>
      <c r="H279" s="446"/>
      <c r="I279" s="477">
        <v>399</v>
      </c>
      <c r="J279" s="446"/>
      <c r="K279" s="477">
        <v>420</v>
      </c>
      <c r="L279" s="446"/>
      <c r="M279" s="477">
        <v>409</v>
      </c>
      <c r="N279" s="446"/>
      <c r="O279" s="477">
        <v>412</v>
      </c>
      <c r="P279" s="446"/>
      <c r="Q279" s="503">
        <v>400.40600000000001</v>
      </c>
      <c r="R279" s="446"/>
      <c r="S279" s="477">
        <v>232.12299999999999</v>
      </c>
      <c r="T279" s="446"/>
      <c r="U279" s="477">
        <v>442</v>
      </c>
      <c r="V279" s="446"/>
      <c r="W279" s="477">
        <v>385</v>
      </c>
      <c r="X279" s="446"/>
      <c r="Y279" s="477">
        <v>362</v>
      </c>
      <c r="Z279" s="446"/>
      <c r="AA279" s="477">
        <v>399</v>
      </c>
      <c r="AB279" s="446"/>
      <c r="AC279" s="503">
        <v>382.072</v>
      </c>
      <c r="AF279" s="470">
        <v>14</v>
      </c>
      <c r="AG279" s="470"/>
      <c r="AH279" s="470"/>
      <c r="AI279" s="470"/>
      <c r="AJ279" s="470"/>
      <c r="AK279" s="471"/>
    </row>
    <row r="280" spans="1:37" ht="16.5" customHeight="1" thickBot="1">
      <c r="A280" s="467"/>
      <c r="B280" s="479"/>
      <c r="D280" s="479"/>
      <c r="F280" s="479"/>
      <c r="H280" s="479"/>
      <c r="J280" s="479"/>
      <c r="L280" s="479"/>
      <c r="N280" s="479"/>
      <c r="P280" s="479"/>
      <c r="R280" s="479"/>
      <c r="T280" s="479"/>
      <c r="V280" s="479"/>
      <c r="X280" s="479"/>
      <c r="Z280" s="479"/>
      <c r="AB280" s="479"/>
      <c r="AF280" s="474"/>
      <c r="AG280" s="475"/>
      <c r="AH280" s="475"/>
      <c r="AI280" s="475"/>
      <c r="AJ280" s="475"/>
      <c r="AK280" s="476"/>
    </row>
    <row r="281" spans="1:37">
      <c r="A281" s="467"/>
      <c r="B281" s="450" t="s">
        <v>137</v>
      </c>
      <c r="C281" s="450"/>
      <c r="D281" s="450" t="s">
        <v>242</v>
      </c>
      <c r="E281" s="450"/>
      <c r="F281" s="450" t="s">
        <v>182</v>
      </c>
      <c r="G281" s="450"/>
      <c r="H281" s="450" t="s">
        <v>185</v>
      </c>
      <c r="I281" s="450"/>
      <c r="J281" s="450" t="s">
        <v>185</v>
      </c>
      <c r="K281" s="450"/>
      <c r="L281" s="450" t="s">
        <v>185</v>
      </c>
      <c r="M281" s="450"/>
      <c r="N281" s="450" t="s">
        <v>182</v>
      </c>
      <c r="O281" s="473"/>
      <c r="P281" s="450" t="s">
        <v>185</v>
      </c>
      <c r="R281" s="483" t="s">
        <v>192</v>
      </c>
      <c r="T281" s="483" t="s">
        <v>192</v>
      </c>
      <c r="U281" s="483"/>
      <c r="V281" s="483" t="s">
        <v>185</v>
      </c>
      <c r="X281" s="483" t="s">
        <v>182</v>
      </c>
      <c r="Z281" s="483" t="s">
        <v>182</v>
      </c>
      <c r="AB281" s="483" t="s">
        <v>185</v>
      </c>
      <c r="AF281" s="474"/>
      <c r="AG281" s="475"/>
      <c r="AH281" s="475"/>
      <c r="AI281" s="475"/>
      <c r="AJ281" s="475"/>
      <c r="AK281" s="476"/>
    </row>
    <row r="282" spans="1:37">
      <c r="B282" s="450"/>
      <c r="C282" s="450"/>
      <c r="D282" s="450"/>
      <c r="E282" s="450"/>
      <c r="F282" s="450"/>
      <c r="G282" s="450"/>
      <c r="H282" s="450"/>
      <c r="I282" s="450"/>
      <c r="J282" s="450"/>
      <c r="K282" s="450"/>
      <c r="L282" s="450"/>
      <c r="M282" s="450"/>
      <c r="N282" s="450"/>
      <c r="O282" s="473"/>
      <c r="P282" s="450"/>
      <c r="R282" s="483"/>
      <c r="T282" s="483"/>
      <c r="U282" s="483"/>
      <c r="V282" s="483"/>
      <c r="X282" s="483"/>
      <c r="Z282" s="483"/>
      <c r="AB282" s="483"/>
      <c r="AF282" s="474"/>
      <c r="AG282" s="475"/>
      <c r="AH282" s="475"/>
      <c r="AI282" s="475"/>
      <c r="AJ282" s="475"/>
      <c r="AK282" s="475"/>
    </row>
    <row r="283" spans="1:37">
      <c r="AF283" s="507"/>
    </row>
    <row r="284" spans="1:37">
      <c r="B284" s="483" t="s">
        <v>807</v>
      </c>
      <c r="D284" s="483" t="s">
        <v>808</v>
      </c>
      <c r="F284" s="503" t="s">
        <v>809</v>
      </c>
      <c r="H284" s="503" t="s">
        <v>1285</v>
      </c>
      <c r="J284" s="503" t="s">
        <v>810</v>
      </c>
      <c r="L284" s="503" t="s">
        <v>811</v>
      </c>
      <c r="N284" s="503" t="s">
        <v>812</v>
      </c>
      <c r="P284" s="503" t="s">
        <v>813</v>
      </c>
      <c r="R284" s="503" t="s">
        <v>814</v>
      </c>
      <c r="T284" s="503" t="s">
        <v>815</v>
      </c>
      <c r="U284" s="503"/>
      <c r="V284" s="503" t="s">
        <v>816</v>
      </c>
      <c r="W284" s="503"/>
      <c r="X284" s="503" t="s">
        <v>817</v>
      </c>
      <c r="Y284" s="503"/>
      <c r="Z284" s="503" t="s">
        <v>1286</v>
      </c>
      <c r="AA284" s="503"/>
      <c r="AB284" s="503" t="s">
        <v>1287</v>
      </c>
      <c r="AF284" s="507"/>
    </row>
    <row r="285" spans="1:37">
      <c r="A285" s="467"/>
      <c r="B285" s="472"/>
      <c r="C285" s="473"/>
      <c r="D285" s="472"/>
      <c r="E285" s="473"/>
      <c r="F285" s="472"/>
      <c r="G285" s="473"/>
      <c r="H285" s="472"/>
      <c r="I285" s="473"/>
      <c r="J285" s="472"/>
      <c r="K285" s="473"/>
      <c r="L285" s="472"/>
      <c r="M285" s="473"/>
      <c r="N285" s="472"/>
      <c r="O285" s="473"/>
      <c r="P285" s="472"/>
      <c r="R285" s="472"/>
      <c r="S285" s="473"/>
      <c r="T285" s="472"/>
      <c r="U285" s="473"/>
      <c r="V285" s="472"/>
      <c r="W285" s="473"/>
      <c r="X285" s="472"/>
      <c r="Y285" s="473"/>
      <c r="Z285" s="472"/>
      <c r="AA285" s="473"/>
      <c r="AB285" s="472"/>
      <c r="AF285" s="470" t="s">
        <v>1191</v>
      </c>
      <c r="AG285" s="470"/>
      <c r="AH285" s="470"/>
      <c r="AI285" s="470"/>
      <c r="AJ285" s="470"/>
      <c r="AK285" s="471"/>
    </row>
    <row r="286" spans="1:37" ht="16.5" customHeight="1" thickBot="1">
      <c r="A286" s="467"/>
      <c r="B286" s="444"/>
      <c r="C286" s="473"/>
      <c r="D286" s="444"/>
      <c r="E286" s="473"/>
      <c r="F286" s="444"/>
      <c r="G286" s="473"/>
      <c r="H286" s="444"/>
      <c r="I286" s="473"/>
      <c r="J286" s="444"/>
      <c r="K286" s="473"/>
      <c r="L286" s="444"/>
      <c r="M286" s="473"/>
      <c r="N286" s="444"/>
      <c r="O286" s="473"/>
      <c r="P286" s="444"/>
      <c r="R286" s="444"/>
      <c r="S286" s="473"/>
      <c r="T286" s="444"/>
      <c r="U286" s="473"/>
      <c r="V286" s="444"/>
      <c r="W286" s="473"/>
      <c r="X286" s="444"/>
      <c r="Y286" s="473"/>
      <c r="Z286" s="444"/>
      <c r="AA286" s="473"/>
      <c r="AB286" s="444"/>
      <c r="AF286" s="474"/>
      <c r="AG286" s="475"/>
      <c r="AH286" s="475"/>
      <c r="AI286" s="475"/>
      <c r="AJ286" s="475"/>
      <c r="AK286" s="476"/>
    </row>
    <row r="287" spans="1:37" ht="29.5" customHeight="1" thickBot="1">
      <c r="A287" s="467"/>
      <c r="B287" s="446"/>
      <c r="C287" s="477">
        <v>392</v>
      </c>
      <c r="D287" s="446" t="s">
        <v>1376</v>
      </c>
      <c r="E287" s="477">
        <v>422</v>
      </c>
      <c r="F287" s="451"/>
      <c r="G287" s="477">
        <v>409.45699999999999</v>
      </c>
      <c r="H287" s="451"/>
      <c r="I287" s="477">
        <v>373.69400000000002</v>
      </c>
      <c r="J287" s="451"/>
      <c r="K287" s="477">
        <v>381.61700000000002</v>
      </c>
      <c r="L287" s="451"/>
      <c r="M287" s="477">
        <v>381.822</v>
      </c>
      <c r="N287" s="451"/>
      <c r="O287" s="477">
        <v>391.43599999999998</v>
      </c>
      <c r="P287" s="451"/>
      <c r="Q287" s="503">
        <v>385.78399999999999</v>
      </c>
      <c r="R287" s="451"/>
      <c r="S287" s="477">
        <v>367.452</v>
      </c>
      <c r="T287" s="446"/>
      <c r="U287" s="477">
        <v>379.63</v>
      </c>
      <c r="V287" s="451"/>
      <c r="W287" s="477">
        <v>380.459</v>
      </c>
      <c r="X287" s="446" t="s">
        <v>390</v>
      </c>
      <c r="Y287" s="477">
        <v>382.97899999999998</v>
      </c>
      <c r="Z287" s="446"/>
      <c r="AA287" s="477">
        <v>241.49600000000001</v>
      </c>
      <c r="AB287" s="446"/>
      <c r="AC287" s="508">
        <v>403</v>
      </c>
      <c r="AF287" s="470">
        <v>14</v>
      </c>
      <c r="AG287" s="470"/>
      <c r="AH287" s="470"/>
      <c r="AI287" s="470"/>
      <c r="AJ287" s="470"/>
      <c r="AK287" s="471"/>
    </row>
    <row r="288" spans="1:37" ht="16.5" customHeight="1" thickBot="1">
      <c r="A288" s="467"/>
      <c r="B288" s="479"/>
      <c r="D288" s="479"/>
      <c r="F288" s="479"/>
      <c r="H288" s="479"/>
      <c r="J288" s="479"/>
      <c r="L288" s="479"/>
      <c r="N288" s="479"/>
      <c r="P288" s="479"/>
      <c r="R288" s="479"/>
      <c r="T288" s="479"/>
      <c r="V288" s="479"/>
      <c r="X288" s="479"/>
      <c r="Z288" s="479"/>
      <c r="AB288" s="479"/>
      <c r="AF288" s="474"/>
      <c r="AG288" s="475"/>
      <c r="AH288" s="475"/>
      <c r="AI288" s="475"/>
      <c r="AJ288" s="475"/>
      <c r="AK288" s="476"/>
    </row>
    <row r="289" spans="1:37">
      <c r="A289" s="467"/>
      <c r="B289" s="450" t="s">
        <v>115</v>
      </c>
      <c r="C289" s="450"/>
      <c r="D289" s="450" t="s">
        <v>185</v>
      </c>
      <c r="E289" s="450"/>
      <c r="F289" s="450" t="s">
        <v>182</v>
      </c>
      <c r="G289" s="450"/>
      <c r="H289" s="450" t="s">
        <v>115</v>
      </c>
      <c r="I289" s="450"/>
      <c r="J289" s="450" t="s">
        <v>182</v>
      </c>
      <c r="K289" s="450"/>
      <c r="L289" s="450" t="s">
        <v>182</v>
      </c>
      <c r="M289" s="450"/>
      <c r="N289" s="450" t="s">
        <v>182</v>
      </c>
      <c r="O289" s="473"/>
      <c r="P289" s="450" t="s">
        <v>182</v>
      </c>
      <c r="R289" s="483" t="s">
        <v>182</v>
      </c>
      <c r="T289" s="483" t="s">
        <v>182</v>
      </c>
      <c r="U289" s="483"/>
      <c r="V289" s="483" t="s">
        <v>182</v>
      </c>
      <c r="W289" s="483"/>
      <c r="X289" s="483" t="s">
        <v>182</v>
      </c>
      <c r="Y289" s="483"/>
      <c r="Z289" s="483" t="s">
        <v>182</v>
      </c>
      <c r="AA289" s="483"/>
      <c r="AB289" s="483" t="s">
        <v>119</v>
      </c>
      <c r="AF289" s="474"/>
      <c r="AG289" s="475"/>
      <c r="AH289" s="475"/>
      <c r="AI289" s="475"/>
      <c r="AJ289" s="475"/>
      <c r="AK289" s="476"/>
    </row>
    <row r="290" spans="1:37">
      <c r="B290" s="450"/>
      <c r="C290" s="450"/>
      <c r="D290" s="450"/>
      <c r="E290" s="450"/>
      <c r="F290" s="450"/>
      <c r="G290" s="450"/>
      <c r="H290" s="450"/>
      <c r="I290" s="450"/>
      <c r="J290" s="450"/>
      <c r="K290" s="450"/>
      <c r="L290" s="450"/>
      <c r="M290" s="450"/>
      <c r="N290" s="450"/>
      <c r="O290" s="473"/>
      <c r="P290" s="450"/>
      <c r="R290" s="483"/>
      <c r="T290" s="483"/>
      <c r="U290" s="483"/>
      <c r="V290" s="483"/>
      <c r="W290" s="483"/>
      <c r="X290" s="483"/>
      <c r="Y290" s="483"/>
      <c r="Z290" s="483"/>
      <c r="AA290" s="483"/>
      <c r="AB290" s="483"/>
      <c r="AF290" s="474"/>
      <c r="AG290" s="475"/>
      <c r="AH290" s="475"/>
      <c r="AI290" s="475"/>
      <c r="AJ290" s="475"/>
      <c r="AK290" s="475"/>
    </row>
    <row r="291" spans="1:37">
      <c r="AF291" s="507"/>
    </row>
    <row r="292" spans="1:37">
      <c r="A292" s="503"/>
      <c r="B292" s="483" t="s">
        <v>818</v>
      </c>
      <c r="C292" s="483"/>
      <c r="D292" s="483" t="s">
        <v>819</v>
      </c>
      <c r="E292" s="483"/>
      <c r="F292" s="483" t="s">
        <v>820</v>
      </c>
      <c r="G292" s="483"/>
      <c r="H292" s="483" t="s">
        <v>821</v>
      </c>
      <c r="I292" s="483"/>
      <c r="J292" s="483" t="s">
        <v>822</v>
      </c>
      <c r="K292" s="483"/>
      <c r="L292" s="483" t="s">
        <v>823</v>
      </c>
      <c r="M292" s="483"/>
      <c r="N292" s="483" t="s">
        <v>824</v>
      </c>
      <c r="O292" s="483"/>
      <c r="P292" s="483" t="s">
        <v>827</v>
      </c>
      <c r="Q292" s="483"/>
      <c r="R292" s="483" t="s">
        <v>1363</v>
      </c>
      <c r="S292" s="483"/>
      <c r="T292" s="483" t="s">
        <v>1364</v>
      </c>
      <c r="U292" s="483"/>
      <c r="V292" s="483" t="s">
        <v>1365</v>
      </c>
      <c r="W292" s="483"/>
      <c r="X292" s="483" t="s">
        <v>1366</v>
      </c>
      <c r="Y292" s="483"/>
      <c r="Z292" s="483" t="s">
        <v>1367</v>
      </c>
      <c r="AA292" s="483"/>
      <c r="AB292" s="483" t="s">
        <v>830</v>
      </c>
      <c r="AC292" s="483"/>
      <c r="AD292" s="483" t="s">
        <v>831</v>
      </c>
      <c r="AF292" s="507"/>
    </row>
    <row r="293" spans="1:37">
      <c r="A293" s="467"/>
      <c r="B293" s="472"/>
      <c r="C293" s="473"/>
      <c r="D293" s="472"/>
      <c r="E293" s="473"/>
      <c r="F293" s="472"/>
      <c r="G293" s="473"/>
      <c r="H293" s="472"/>
      <c r="I293" s="473"/>
      <c r="J293" s="472"/>
      <c r="K293" s="473"/>
      <c r="L293" s="472"/>
      <c r="M293" s="473"/>
      <c r="N293" s="472"/>
      <c r="O293" s="473"/>
      <c r="P293" s="472"/>
      <c r="R293" s="472"/>
      <c r="S293" s="473"/>
      <c r="T293" s="472"/>
      <c r="U293" s="473"/>
      <c r="V293" s="472"/>
      <c r="W293" s="473"/>
      <c r="X293" s="472"/>
      <c r="Y293" s="473"/>
      <c r="Z293" s="472"/>
      <c r="AA293" s="473"/>
      <c r="AB293" s="472"/>
      <c r="AF293" s="470" t="s">
        <v>1191</v>
      </c>
      <c r="AG293" s="470"/>
      <c r="AH293" s="470"/>
      <c r="AI293" s="470"/>
      <c r="AJ293" s="470"/>
      <c r="AK293" s="471"/>
    </row>
    <row r="294" spans="1:37" ht="16.5" customHeight="1" thickBot="1">
      <c r="A294" s="467"/>
      <c r="B294" s="444"/>
      <c r="C294" s="473"/>
      <c r="D294" s="444"/>
      <c r="E294" s="473"/>
      <c r="F294" s="444"/>
      <c r="G294" s="473"/>
      <c r="H294" s="444"/>
      <c r="I294" s="473"/>
      <c r="J294" s="444"/>
      <c r="K294" s="473"/>
      <c r="L294" s="444"/>
      <c r="M294" s="473"/>
      <c r="N294" s="444"/>
      <c r="O294" s="473"/>
      <c r="P294" s="444"/>
      <c r="R294" s="444"/>
      <c r="S294" s="473"/>
      <c r="T294" s="444"/>
      <c r="U294" s="473"/>
      <c r="V294" s="444"/>
      <c r="W294" s="473"/>
      <c r="X294" s="444"/>
      <c r="Y294" s="473"/>
      <c r="Z294" s="444"/>
      <c r="AA294" s="473"/>
      <c r="AB294" s="444"/>
      <c r="AD294" s="444"/>
      <c r="AF294" s="474"/>
      <c r="AG294" s="475"/>
      <c r="AH294" s="475"/>
      <c r="AI294" s="475"/>
      <c r="AJ294" s="475"/>
      <c r="AK294" s="476"/>
    </row>
    <row r="295" spans="1:37" ht="30" customHeight="1" thickBot="1">
      <c r="A295" s="467"/>
      <c r="B295" s="446"/>
      <c r="C295" s="508">
        <v>359.142</v>
      </c>
      <c r="D295" s="560"/>
      <c r="E295" s="508">
        <v>384.87799999999999</v>
      </c>
      <c r="F295" s="560"/>
      <c r="G295" s="508">
        <v>381.90499999999997</v>
      </c>
      <c r="H295" s="560"/>
      <c r="I295" s="508">
        <v>397.15199999999999</v>
      </c>
      <c r="J295" s="560"/>
      <c r="K295" s="508">
        <v>387.13099999999997</v>
      </c>
      <c r="L295" s="560"/>
      <c r="M295" s="508">
        <v>392.12400000000002</v>
      </c>
      <c r="N295" s="560"/>
      <c r="O295" s="508">
        <v>364.62299999999999</v>
      </c>
      <c r="P295" s="560"/>
      <c r="Q295" s="508">
        <v>188.369</v>
      </c>
      <c r="R295" s="560"/>
      <c r="S295" s="508">
        <v>396</v>
      </c>
      <c r="T295" s="560"/>
      <c r="U295" s="508">
        <v>425</v>
      </c>
      <c r="V295" s="560"/>
      <c r="W295" s="508">
        <v>407</v>
      </c>
      <c r="X295" s="560"/>
      <c r="Y295" s="508">
        <v>433</v>
      </c>
      <c r="Z295" s="560"/>
      <c r="AA295" s="508">
        <v>489.23</v>
      </c>
      <c r="AB295" s="446"/>
      <c r="AC295" s="508">
        <v>419.40300000000002</v>
      </c>
      <c r="AD295" s="446"/>
      <c r="AF295" s="470">
        <v>14</v>
      </c>
      <c r="AG295" s="470"/>
      <c r="AH295" s="470"/>
      <c r="AI295" s="470"/>
      <c r="AJ295" s="470"/>
      <c r="AK295" s="471"/>
    </row>
    <row r="296" spans="1:37" ht="16.5" customHeight="1" thickBot="1">
      <c r="A296" s="467"/>
      <c r="B296" s="479"/>
      <c r="D296" s="479"/>
      <c r="F296" s="479"/>
      <c r="H296" s="479"/>
      <c r="J296" s="479"/>
      <c r="L296" s="479"/>
      <c r="N296" s="479"/>
      <c r="P296" s="479"/>
      <c r="R296" s="479"/>
      <c r="T296" s="479"/>
      <c r="V296" s="479"/>
      <c r="X296" s="479"/>
      <c r="Z296" s="479"/>
      <c r="AB296" s="479"/>
      <c r="AD296" s="479"/>
      <c r="AF296" s="474"/>
      <c r="AG296" s="475"/>
      <c r="AH296" s="475"/>
      <c r="AI296" s="475"/>
      <c r="AJ296" s="475"/>
      <c r="AK296" s="476"/>
    </row>
    <row r="297" spans="1:37">
      <c r="A297" s="467"/>
      <c r="B297" s="450" t="s">
        <v>182</v>
      </c>
      <c r="C297" s="450"/>
      <c r="D297" s="450" t="s">
        <v>182</v>
      </c>
      <c r="E297" s="450"/>
      <c r="F297" s="450" t="s">
        <v>182</v>
      </c>
      <c r="G297" s="450"/>
      <c r="H297" s="450" t="s">
        <v>182</v>
      </c>
      <c r="I297" s="450"/>
      <c r="J297" s="450" t="s">
        <v>182</v>
      </c>
      <c r="K297" s="450"/>
      <c r="L297" s="450" t="s">
        <v>182</v>
      </c>
      <c r="M297" s="450"/>
      <c r="N297" s="450" t="s">
        <v>182</v>
      </c>
      <c r="O297" s="450"/>
      <c r="P297" s="450" t="s">
        <v>125</v>
      </c>
      <c r="Q297" s="450"/>
      <c r="R297" s="450" t="s">
        <v>125</v>
      </c>
      <c r="S297" s="450"/>
      <c r="T297" s="450" t="s">
        <v>188</v>
      </c>
      <c r="U297" s="450"/>
      <c r="V297" s="450" t="s">
        <v>185</v>
      </c>
      <c r="W297" s="450"/>
      <c r="X297" s="450" t="s">
        <v>182</v>
      </c>
      <c r="Y297" s="450"/>
      <c r="Z297" s="450" t="s">
        <v>132</v>
      </c>
      <c r="AA297" s="450"/>
      <c r="AB297" s="450" t="s">
        <v>147</v>
      </c>
      <c r="AC297" s="450"/>
      <c r="AD297" s="450" t="s">
        <v>147</v>
      </c>
      <c r="AF297" s="474"/>
      <c r="AG297" s="475"/>
      <c r="AH297" s="475"/>
      <c r="AI297" s="475"/>
      <c r="AJ297" s="475"/>
      <c r="AK297" s="476"/>
    </row>
    <row r="298" spans="1:37">
      <c r="AF298" s="507"/>
    </row>
    <row r="299" spans="1:37">
      <c r="AF299" s="507"/>
    </row>
    <row r="300" spans="1:37">
      <c r="A300" s="503"/>
      <c r="B300" s="503" t="s">
        <v>832</v>
      </c>
      <c r="C300" s="503"/>
      <c r="D300" s="503" t="s">
        <v>833</v>
      </c>
      <c r="E300" s="503"/>
      <c r="F300" s="503" t="s">
        <v>1288</v>
      </c>
      <c r="G300" s="503"/>
      <c r="H300" s="503" t="s">
        <v>835</v>
      </c>
      <c r="I300" s="503"/>
      <c r="J300" s="503" t="s">
        <v>836</v>
      </c>
      <c r="K300" s="503"/>
      <c r="L300" s="503" t="s">
        <v>837</v>
      </c>
      <c r="M300" s="503"/>
      <c r="N300" s="503" t="s">
        <v>838</v>
      </c>
      <c r="O300" s="503"/>
      <c r="P300" s="503" t="s">
        <v>1184</v>
      </c>
      <c r="AF300" s="507"/>
    </row>
    <row r="301" spans="1:37">
      <c r="A301" s="467"/>
      <c r="B301" s="472"/>
      <c r="C301" s="473"/>
      <c r="D301" s="472"/>
      <c r="E301" s="473"/>
      <c r="F301" s="472"/>
      <c r="G301" s="473"/>
      <c r="H301" s="472"/>
      <c r="I301" s="473"/>
      <c r="J301" s="472"/>
      <c r="K301" s="473"/>
      <c r="L301" s="472"/>
      <c r="M301" s="473"/>
      <c r="N301" s="472"/>
      <c r="O301" s="473"/>
      <c r="R301" s="472"/>
      <c r="S301" s="473"/>
      <c r="T301" s="472"/>
      <c r="U301" s="473"/>
      <c r="V301" s="472"/>
      <c r="W301" s="473"/>
      <c r="X301" s="472"/>
      <c r="Y301" s="473"/>
      <c r="Z301" s="472"/>
      <c r="AA301" s="473"/>
      <c r="AB301" s="472"/>
      <c r="AF301" s="470" t="s">
        <v>1191</v>
      </c>
      <c r="AG301" s="470"/>
      <c r="AH301" s="470"/>
      <c r="AI301" s="470"/>
      <c r="AJ301" s="470"/>
      <c r="AK301" s="471"/>
    </row>
    <row r="302" spans="1:37" ht="16.5" customHeight="1" thickBot="1">
      <c r="A302" s="467"/>
      <c r="B302" s="444"/>
      <c r="C302" s="473"/>
      <c r="D302" s="444"/>
      <c r="E302" s="473"/>
      <c r="F302" s="444"/>
      <c r="G302" s="473"/>
      <c r="H302" s="444"/>
      <c r="I302" s="473"/>
      <c r="J302" s="444"/>
      <c r="K302" s="473"/>
      <c r="L302" s="444"/>
      <c r="M302" s="473"/>
      <c r="N302" s="444"/>
      <c r="O302" s="473"/>
      <c r="P302" s="444"/>
      <c r="R302" s="444"/>
      <c r="S302" s="473"/>
      <c r="T302" s="444"/>
      <c r="U302" s="473"/>
      <c r="V302" s="444"/>
      <c r="W302" s="473"/>
      <c r="X302" s="444"/>
      <c r="Y302" s="473"/>
      <c r="Z302" s="444"/>
      <c r="AA302" s="473"/>
      <c r="AB302" s="444"/>
      <c r="AF302" s="474"/>
      <c r="AG302" s="475"/>
      <c r="AH302" s="475"/>
      <c r="AI302" s="475"/>
      <c r="AJ302" s="475"/>
      <c r="AK302" s="476"/>
    </row>
    <row r="303" spans="1:37" ht="32.5" customHeight="1" thickBot="1">
      <c r="A303" s="467"/>
      <c r="B303" s="446"/>
      <c r="C303" s="477">
        <v>242.63</v>
      </c>
      <c r="D303" s="560"/>
      <c r="E303" s="477">
        <v>342.72699999999998</v>
      </c>
      <c r="F303" s="560"/>
      <c r="G303" s="477">
        <v>389.221</v>
      </c>
      <c r="H303" s="560"/>
      <c r="I303" s="477">
        <v>220.25299999999999</v>
      </c>
      <c r="J303" s="560"/>
      <c r="K303" s="477">
        <v>241.31200000000001</v>
      </c>
      <c r="L303" s="560"/>
      <c r="M303" s="477">
        <v>214.90199999999999</v>
      </c>
      <c r="N303" s="560"/>
      <c r="O303" s="477">
        <v>113.742</v>
      </c>
      <c r="P303" s="446"/>
      <c r="R303" s="452"/>
      <c r="S303" s="477"/>
      <c r="T303" s="452"/>
      <c r="U303" s="477"/>
      <c r="V303" s="452"/>
      <c r="W303" s="477"/>
      <c r="X303" s="452"/>
      <c r="Y303" s="477"/>
      <c r="Z303" s="452"/>
      <c r="AA303" s="477"/>
      <c r="AB303" s="452"/>
      <c r="AF303" s="470">
        <v>7</v>
      </c>
      <c r="AG303" s="470"/>
      <c r="AH303" s="470"/>
      <c r="AI303" s="470"/>
      <c r="AJ303" s="470"/>
      <c r="AK303" s="471"/>
    </row>
    <row r="304" spans="1:37" ht="16.5" customHeight="1" thickBot="1">
      <c r="A304" s="467"/>
      <c r="B304" s="479"/>
      <c r="D304" s="479"/>
      <c r="F304" s="479"/>
      <c r="H304" s="479"/>
      <c r="J304" s="479"/>
      <c r="L304" s="479"/>
      <c r="N304" s="479"/>
      <c r="P304" s="479"/>
      <c r="R304" s="472"/>
      <c r="T304" s="472"/>
      <c r="V304" s="472"/>
      <c r="X304" s="472"/>
      <c r="Z304" s="472"/>
      <c r="AB304" s="472"/>
      <c r="AF304" s="474"/>
      <c r="AG304" s="475"/>
      <c r="AH304" s="475"/>
      <c r="AI304" s="475"/>
      <c r="AJ304" s="475"/>
      <c r="AK304" s="476"/>
    </row>
    <row r="305" spans="1:37">
      <c r="A305" s="467"/>
      <c r="B305" s="450" t="s">
        <v>117</v>
      </c>
      <c r="C305" s="450"/>
      <c r="D305" s="450" t="s">
        <v>117</v>
      </c>
      <c r="E305" s="450"/>
      <c r="F305" s="450" t="s">
        <v>167</v>
      </c>
      <c r="G305" s="450"/>
      <c r="H305" s="450" t="s">
        <v>201</v>
      </c>
      <c r="I305" s="450"/>
      <c r="J305" s="450" t="s">
        <v>201</v>
      </c>
      <c r="K305" s="450"/>
      <c r="L305" s="450" t="s">
        <v>147</v>
      </c>
      <c r="M305" s="450"/>
      <c r="N305" s="450" t="s">
        <v>125</v>
      </c>
      <c r="O305" s="473"/>
      <c r="P305" s="473"/>
      <c r="AF305" s="474"/>
      <c r="AG305" s="475"/>
      <c r="AH305" s="475"/>
      <c r="AI305" s="475"/>
      <c r="AJ305" s="475"/>
      <c r="AK305" s="476"/>
    </row>
    <row r="306" spans="1:37">
      <c r="AF306" s="507"/>
    </row>
    <row r="307" spans="1:37">
      <c r="AF307" s="507"/>
    </row>
    <row r="308" spans="1:37">
      <c r="A308" s="467"/>
      <c r="B308" s="472"/>
      <c r="C308" s="473"/>
      <c r="D308" s="472"/>
      <c r="E308" s="473"/>
      <c r="F308" s="472"/>
      <c r="G308" s="473"/>
      <c r="H308" s="472"/>
      <c r="I308" s="473"/>
      <c r="J308" s="472"/>
      <c r="K308" s="473"/>
      <c r="L308" s="472"/>
      <c r="M308" s="473"/>
      <c r="N308" s="472"/>
      <c r="O308" s="473"/>
      <c r="P308" s="472"/>
      <c r="R308" s="472"/>
      <c r="S308" s="473"/>
      <c r="T308" s="472"/>
      <c r="U308" s="473"/>
      <c r="V308" s="472"/>
      <c r="W308" s="473"/>
      <c r="X308" s="472"/>
      <c r="Y308" s="473"/>
      <c r="Z308" s="472"/>
      <c r="AA308" s="473"/>
      <c r="AB308" s="472"/>
      <c r="AF308" s="470" t="s">
        <v>1191</v>
      </c>
      <c r="AG308" s="470"/>
      <c r="AH308" s="470"/>
      <c r="AI308" s="470"/>
      <c r="AJ308" s="470"/>
      <c r="AK308" s="471"/>
    </row>
    <row r="309" spans="1:37" ht="16.5" customHeight="1">
      <c r="A309" s="467"/>
      <c r="B309" s="444"/>
      <c r="C309" s="473"/>
      <c r="D309" s="444"/>
      <c r="E309" s="473"/>
      <c r="F309" s="444"/>
      <c r="G309" s="473"/>
      <c r="H309" s="444"/>
      <c r="I309" s="473"/>
      <c r="J309" s="444"/>
      <c r="K309" s="473"/>
      <c r="L309" s="444"/>
      <c r="M309" s="473"/>
      <c r="N309" s="444"/>
      <c r="O309" s="473"/>
      <c r="P309" s="444"/>
      <c r="R309" s="444"/>
      <c r="S309" s="473"/>
      <c r="T309" s="444"/>
      <c r="U309" s="473"/>
      <c r="V309" s="444"/>
      <c r="W309" s="473"/>
      <c r="X309" s="444"/>
      <c r="Y309" s="473"/>
      <c r="Z309" s="444"/>
      <c r="AA309" s="473"/>
      <c r="AB309" s="444"/>
      <c r="AF309" s="474"/>
      <c r="AG309" s="475"/>
      <c r="AH309" s="475"/>
      <c r="AI309" s="475"/>
      <c r="AJ309" s="475"/>
      <c r="AK309" s="476"/>
    </row>
    <row r="310" spans="1:37" ht="42.75" customHeight="1">
      <c r="A310" s="467"/>
      <c r="B310" s="452"/>
      <c r="C310" s="477"/>
      <c r="D310" s="452"/>
      <c r="E310" s="477"/>
      <c r="F310" s="452"/>
      <c r="G310" s="477"/>
      <c r="H310" s="452"/>
      <c r="I310" s="477"/>
      <c r="J310" s="452"/>
      <c r="K310" s="477"/>
      <c r="L310" s="452"/>
      <c r="M310" s="477"/>
      <c r="N310" s="452"/>
      <c r="O310" s="473"/>
      <c r="P310" s="452"/>
      <c r="R310" s="452"/>
      <c r="S310" s="477"/>
      <c r="T310" s="452"/>
      <c r="U310" s="477"/>
      <c r="V310" s="452"/>
      <c r="W310" s="477"/>
      <c r="X310" s="452"/>
      <c r="Y310" s="477"/>
      <c r="Z310" s="452"/>
      <c r="AA310" s="477"/>
      <c r="AB310" s="452"/>
      <c r="AF310" s="470"/>
      <c r="AG310" s="470"/>
      <c r="AH310" s="470"/>
      <c r="AI310" s="470"/>
      <c r="AJ310" s="470"/>
      <c r="AK310" s="471"/>
    </row>
    <row r="311" spans="1:37" ht="16.5" customHeight="1">
      <c r="A311" s="467"/>
      <c r="B311" s="472"/>
      <c r="D311" s="472"/>
      <c r="F311" s="472"/>
      <c r="H311" s="472"/>
      <c r="J311" s="472"/>
      <c r="L311" s="472"/>
      <c r="N311" s="472"/>
      <c r="P311" s="472"/>
      <c r="R311" s="472"/>
      <c r="T311" s="472"/>
      <c r="V311" s="472"/>
      <c r="X311" s="472"/>
      <c r="Z311" s="472"/>
      <c r="AB311" s="472"/>
      <c r="AF311" s="474"/>
      <c r="AG311" s="475"/>
      <c r="AH311" s="475"/>
      <c r="AI311" s="475"/>
      <c r="AJ311" s="475"/>
      <c r="AK311" s="476"/>
    </row>
    <row r="312" spans="1:37">
      <c r="A312" s="467"/>
      <c r="B312" s="450"/>
      <c r="C312" s="450"/>
      <c r="D312" s="450"/>
      <c r="E312" s="450"/>
      <c r="F312" s="450"/>
      <c r="G312" s="450"/>
      <c r="H312" s="450"/>
      <c r="I312" s="450"/>
      <c r="J312" s="450"/>
      <c r="K312" s="450"/>
      <c r="L312" s="450"/>
      <c r="M312" s="450"/>
      <c r="N312" s="450"/>
      <c r="O312" s="473"/>
      <c r="P312" s="473"/>
      <c r="AF312" s="474"/>
      <c r="AG312" s="475"/>
      <c r="AH312" s="475"/>
      <c r="AI312" s="475"/>
      <c r="AJ312" s="475"/>
      <c r="AK312" s="476"/>
    </row>
    <row r="313" spans="1:37">
      <c r="AF313" s="507"/>
    </row>
    <row r="314" spans="1:37">
      <c r="AF314" s="470">
        <f>SUM(AF23:AF313)</f>
        <v>496</v>
      </c>
      <c r="AG314" s="470">
        <f>SUM(AG23:AG313)</f>
        <v>39</v>
      </c>
      <c r="AH314" s="470">
        <f>SUM(AH23:AH313)</f>
        <v>24</v>
      </c>
      <c r="AI314" s="470"/>
      <c r="AJ314" s="470"/>
      <c r="AK314" s="470"/>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23">
    <cfRule type="cellIs" dxfId="1647" priority="1803" operator="equal">
      <formula>"U/P"</formula>
    </cfRule>
    <cfRule type="cellIs" dxfId="1646" priority="1804" operator="equal">
      <formula>"F"</formula>
    </cfRule>
    <cfRule type="cellIs" dxfId="1645" priority="1805" operator="equal">
      <formula>"F"</formula>
    </cfRule>
  </conditionalFormatting>
  <conditionalFormatting sqref="B31">
    <cfRule type="cellIs" dxfId="1644" priority="1627" operator="equal">
      <formula>"U/P"</formula>
    </cfRule>
    <cfRule type="cellIs" dxfId="1643" priority="1628" operator="equal">
      <formula>"F"</formula>
    </cfRule>
    <cfRule type="cellIs" dxfId="1642" priority="1629" operator="equal">
      <formula>"F"</formula>
    </cfRule>
  </conditionalFormatting>
  <conditionalFormatting sqref="B34 D34 F34 H34 J34 L34 N34 P34 R34 T34 V34 X34 Z34 AB34">
    <cfRule type="cellIs" dxfId="1641" priority="1798" operator="equal">
      <formula>0</formula>
    </cfRule>
  </conditionalFormatting>
  <conditionalFormatting sqref="B39">
    <cfRule type="cellIs" dxfId="1640" priority="1585" operator="equal">
      <formula>"U/P"</formula>
    </cfRule>
    <cfRule type="cellIs" dxfId="1639" priority="1586" operator="equal">
      <formula>"F"</formula>
    </cfRule>
    <cfRule type="cellIs" dxfId="1638" priority="1587" operator="equal">
      <formula>"F"</formula>
    </cfRule>
  </conditionalFormatting>
  <conditionalFormatting sqref="B47">
    <cfRule type="cellIs" dxfId="1637" priority="1543" operator="equal">
      <formula>"U/P"</formula>
    </cfRule>
    <cfRule type="cellIs" dxfId="1636" priority="1544" operator="equal">
      <formula>"F"</formula>
    </cfRule>
    <cfRule type="cellIs" dxfId="1635" priority="1545" operator="equal">
      <formula>"F"</formula>
    </cfRule>
  </conditionalFormatting>
  <conditionalFormatting sqref="B50 D50 F50 H50 J50 L50 N50 P50 R50 T50 V50 X50 Z50 AB50">
    <cfRule type="cellIs" dxfId="1634" priority="1797" operator="equal">
      <formula>0</formula>
    </cfRule>
  </conditionalFormatting>
  <conditionalFormatting sqref="B55">
    <cfRule type="cellIs" dxfId="1633" priority="1501" operator="equal">
      <formula>"U/P"</formula>
    </cfRule>
    <cfRule type="cellIs" dxfId="1632" priority="1502" operator="equal">
      <formula>"F"</formula>
    </cfRule>
    <cfRule type="cellIs" dxfId="1631" priority="1503" operator="equal">
      <formula>"F"</formula>
    </cfRule>
  </conditionalFormatting>
  <conditionalFormatting sqref="B58 D58 F58 H58 J58 L58 N58 P58 R58 T58 V58 X58 Z58 AB58">
    <cfRule type="cellIs" dxfId="1630" priority="1796" operator="equal">
      <formula>0</formula>
    </cfRule>
  </conditionalFormatting>
  <conditionalFormatting sqref="B63">
    <cfRule type="cellIs" dxfId="1629" priority="1459" operator="equal">
      <formula>"U/P"</formula>
    </cfRule>
    <cfRule type="cellIs" dxfId="1628" priority="1460" operator="equal">
      <formula>"F"</formula>
    </cfRule>
    <cfRule type="cellIs" dxfId="1627" priority="1461" operator="equal">
      <formula>"F"</formula>
    </cfRule>
  </conditionalFormatting>
  <conditionalFormatting sqref="B66 D66 F66 H66 J66 L66 N66 P66 R66 T66 V66 X66 Z66 AB66">
    <cfRule type="cellIs" dxfId="1626" priority="1795" operator="equal">
      <formula>0</formula>
    </cfRule>
  </conditionalFormatting>
  <conditionalFormatting sqref="B71">
    <cfRule type="cellIs" dxfId="1625" priority="1417" operator="equal">
      <formula>"U/P"</formula>
    </cfRule>
    <cfRule type="cellIs" dxfId="1624" priority="1418" operator="equal">
      <formula>"F"</formula>
    </cfRule>
    <cfRule type="cellIs" dxfId="1623" priority="1419" operator="equal">
      <formula>"F"</formula>
    </cfRule>
  </conditionalFormatting>
  <conditionalFormatting sqref="B74 D74 F74 H74 J74 L74 N74 P74 R74 T74 V74 X74 Z74 AB74">
    <cfRule type="cellIs" dxfId="1622" priority="1794" operator="equal">
      <formula>0</formula>
    </cfRule>
  </conditionalFormatting>
  <conditionalFormatting sqref="B79">
    <cfRule type="cellIs" dxfId="1621" priority="1375" operator="equal">
      <formula>"U/P"</formula>
    </cfRule>
    <cfRule type="cellIs" dxfId="1620" priority="1376" operator="equal">
      <formula>"F"</formula>
    </cfRule>
    <cfRule type="cellIs" dxfId="1619" priority="1377" operator="equal">
      <formula>"F"</formula>
    </cfRule>
  </conditionalFormatting>
  <conditionalFormatting sqref="B82 D82 F82 H82 J82 L82 N82 P82 R82 T82 V82 X82 Z82 AB82">
    <cfRule type="cellIs" dxfId="1618" priority="1781" operator="equal">
      <formula>0</formula>
    </cfRule>
  </conditionalFormatting>
  <conditionalFormatting sqref="B87">
    <cfRule type="cellIs" dxfId="1617" priority="1333" operator="equal">
      <formula>"U/P"</formula>
    </cfRule>
    <cfRule type="cellIs" dxfId="1616" priority="1334" operator="equal">
      <formula>"F"</formula>
    </cfRule>
    <cfRule type="cellIs" dxfId="1615" priority="1335" operator="equal">
      <formula>"F"</formula>
    </cfRule>
  </conditionalFormatting>
  <conditionalFormatting sqref="B90 D90 F90 H90 J90 L90 N90 P90 R90 T90 V90 X90 Z90 AB90">
    <cfRule type="cellIs" dxfId="1614" priority="1780" operator="equal">
      <formula>0</formula>
    </cfRule>
  </conditionalFormatting>
  <conditionalFormatting sqref="B95">
    <cfRule type="cellIs" dxfId="1613" priority="1291" operator="equal">
      <formula>"U/P"</formula>
    </cfRule>
    <cfRule type="cellIs" dxfId="1612" priority="1292" operator="equal">
      <formula>"F"</formula>
    </cfRule>
    <cfRule type="cellIs" dxfId="1611" priority="1293" operator="equal">
      <formula>"F"</formula>
    </cfRule>
  </conditionalFormatting>
  <conditionalFormatting sqref="B98 D98 F98 H98 J98 L98 N98 P98 R98 T98 V98 X98 Z98 AB98">
    <cfRule type="cellIs" dxfId="1610" priority="1779" operator="equal">
      <formula>0</formula>
    </cfRule>
  </conditionalFormatting>
  <conditionalFormatting sqref="B103">
    <cfRule type="cellIs" dxfId="1609" priority="1249" operator="equal">
      <formula>"U/P"</formula>
    </cfRule>
    <cfRule type="cellIs" dxfId="1608" priority="1250" operator="equal">
      <formula>"F"</formula>
    </cfRule>
    <cfRule type="cellIs" dxfId="1607" priority="1251" operator="equal">
      <formula>"F"</formula>
    </cfRule>
  </conditionalFormatting>
  <conditionalFormatting sqref="B106 D106 F106 H106 J106 L106 N106 P106 R106 T106 V106 X106 Z106 AB106">
    <cfRule type="cellIs" dxfId="1606" priority="1778" operator="equal">
      <formula>0</formula>
    </cfRule>
  </conditionalFormatting>
  <conditionalFormatting sqref="B111">
    <cfRule type="cellIs" dxfId="1605" priority="1207" operator="equal">
      <formula>"U/P"</formula>
    </cfRule>
    <cfRule type="cellIs" dxfId="1604" priority="1208" operator="equal">
      <formula>"F"</formula>
    </cfRule>
    <cfRule type="cellIs" dxfId="1603" priority="1209" operator="equal">
      <formula>"F"</formula>
    </cfRule>
  </conditionalFormatting>
  <conditionalFormatting sqref="B114 D114 F114 H114 J114 L114 N114 P114 R114 T114 V114 X114 Z114 AB114">
    <cfRule type="cellIs" dxfId="1602" priority="1777" operator="equal">
      <formula>0</formula>
    </cfRule>
  </conditionalFormatting>
  <conditionalFormatting sqref="B119">
    <cfRule type="cellIs" dxfId="1601" priority="1171" operator="equal">
      <formula>"U/P"</formula>
    </cfRule>
    <cfRule type="cellIs" dxfId="1600" priority="1172" operator="equal">
      <formula>"F"</formula>
    </cfRule>
    <cfRule type="cellIs" dxfId="1599" priority="1173" operator="equal">
      <formula>"F"</formula>
    </cfRule>
  </conditionalFormatting>
  <conditionalFormatting sqref="B122 D122 F122 H122 J122 L122 N122 P122 R122 T122 V122 X122 Z122 AB122">
    <cfRule type="cellIs" dxfId="1598" priority="1734" operator="equal">
      <formula>0</formula>
    </cfRule>
  </conditionalFormatting>
  <conditionalFormatting sqref="B127">
    <cfRule type="cellIs" dxfId="1597" priority="1129" operator="equal">
      <formula>"U/P"</formula>
    </cfRule>
    <cfRule type="cellIs" dxfId="1596" priority="1130" operator="equal">
      <formula>"F"</formula>
    </cfRule>
    <cfRule type="cellIs" dxfId="1595" priority="1131" operator="equal">
      <formula>"F"</formula>
    </cfRule>
  </conditionalFormatting>
  <conditionalFormatting sqref="B135">
    <cfRule type="cellIs" dxfId="1594" priority="1093" operator="equal">
      <formula>"U/P"</formula>
    </cfRule>
    <cfRule type="cellIs" dxfId="1593" priority="1094" operator="equal">
      <formula>"F"</formula>
    </cfRule>
    <cfRule type="cellIs" dxfId="1592" priority="1095" operator="equal">
      <formula>"F"</formula>
    </cfRule>
  </conditionalFormatting>
  <conditionalFormatting sqref="B138 D138 F138 H138 J138 L138 N138 P138 R138 T138 V138 X138 Z138 AB138">
    <cfRule type="cellIs" dxfId="1591" priority="1733" operator="equal">
      <formula>0</formula>
    </cfRule>
  </conditionalFormatting>
  <conditionalFormatting sqref="B143">
    <cfRule type="cellIs" dxfId="1590" priority="1759" operator="equal">
      <formula>"U/P"</formula>
    </cfRule>
    <cfRule type="cellIs" dxfId="1589" priority="1760" operator="equal">
      <formula>"F"</formula>
    </cfRule>
    <cfRule type="cellIs" dxfId="1588" priority="1761" operator="equal">
      <formula>"F"</formula>
    </cfRule>
  </conditionalFormatting>
  <conditionalFormatting sqref="B151">
    <cfRule type="cellIs" dxfId="1587" priority="1045" operator="equal">
      <formula>"U/P"</formula>
    </cfRule>
    <cfRule type="cellIs" dxfId="1586" priority="1046" operator="equal">
      <formula>"F"</formula>
    </cfRule>
    <cfRule type="cellIs" dxfId="1585" priority="1047" operator="equal">
      <formula>"F"</formula>
    </cfRule>
  </conditionalFormatting>
  <conditionalFormatting sqref="B154 D154 F154 H154 J154 L154 N154 P154 R154 T154 V154 X154 Z154 AB154">
    <cfRule type="cellIs" dxfId="1584" priority="1732" operator="equal">
      <formula>0</formula>
    </cfRule>
  </conditionalFormatting>
  <conditionalFormatting sqref="B159">
    <cfRule type="cellIs" dxfId="1583" priority="1009" operator="equal">
      <formula>"U/P"</formula>
    </cfRule>
    <cfRule type="cellIs" dxfId="1582" priority="1010" operator="equal">
      <formula>"F"</formula>
    </cfRule>
    <cfRule type="cellIs" dxfId="1581" priority="1011" operator="equal">
      <formula>"F"</formula>
    </cfRule>
  </conditionalFormatting>
  <conditionalFormatting sqref="B162 D162 F162 H162 J162 L162 N162 P162 R162 T162 V162 X162 Z162 AB162">
    <cfRule type="cellIs" dxfId="1580" priority="1731" operator="equal">
      <formula>0</formula>
    </cfRule>
  </conditionalFormatting>
  <conditionalFormatting sqref="B167">
    <cfRule type="cellIs" dxfId="1579" priority="967" operator="equal">
      <formula>"U/P"</formula>
    </cfRule>
    <cfRule type="cellIs" dxfId="1578" priority="968" operator="equal">
      <formula>"F"</formula>
    </cfRule>
    <cfRule type="cellIs" dxfId="1577" priority="969" operator="equal">
      <formula>"F"</formula>
    </cfRule>
  </conditionalFormatting>
  <conditionalFormatting sqref="B170">
    <cfRule type="cellIs" dxfId="1576" priority="231" operator="equal">
      <formula>0</formula>
    </cfRule>
  </conditionalFormatting>
  <conditionalFormatting sqref="B175">
    <cfRule type="cellIs" dxfId="1575" priority="925" operator="equal">
      <formula>"U/P"</formula>
    </cfRule>
    <cfRule type="cellIs" dxfId="1574" priority="926" operator="equal">
      <formula>"F"</formula>
    </cfRule>
    <cfRule type="cellIs" dxfId="1573" priority="927" operator="equal">
      <formula>"F"</formula>
    </cfRule>
  </conditionalFormatting>
  <conditionalFormatting sqref="B178 D178 F178 H178 J178 L178 N178 P178 R178 T178 V178 X178 Z178 AB178">
    <cfRule type="cellIs" dxfId="1572" priority="1729" operator="equal">
      <formula>0</formula>
    </cfRule>
  </conditionalFormatting>
  <conditionalFormatting sqref="B183">
    <cfRule type="cellIs" dxfId="1571" priority="1744" operator="equal">
      <formula>"U/P"</formula>
    </cfRule>
    <cfRule type="cellIs" dxfId="1570" priority="1745" operator="equal">
      <formula>"F"</formula>
    </cfRule>
    <cfRule type="cellIs" dxfId="1569" priority="1746" operator="equal">
      <formula>"F"</formula>
    </cfRule>
  </conditionalFormatting>
  <conditionalFormatting sqref="B186 D186 F186 H186 J186 L186 N186 P186 R186 T186 V186 X186 Z186 AB186">
    <cfRule type="cellIs" dxfId="1568" priority="1668" operator="equal">
      <formula>0</formula>
    </cfRule>
  </conditionalFormatting>
  <conditionalFormatting sqref="B191">
    <cfRule type="cellIs" dxfId="1567" priority="853" operator="equal">
      <formula>"U/P"</formula>
    </cfRule>
    <cfRule type="cellIs" dxfId="1566" priority="854" operator="equal">
      <formula>"F"</formula>
    </cfRule>
    <cfRule type="cellIs" dxfId="1565" priority="855" operator="equal">
      <formula>"F"</formula>
    </cfRule>
  </conditionalFormatting>
  <conditionalFormatting sqref="B194">
    <cfRule type="cellIs" dxfId="1564" priority="166" operator="equal">
      <formula>0</formula>
    </cfRule>
  </conditionalFormatting>
  <conditionalFormatting sqref="B199">
    <cfRule type="cellIs" dxfId="1563" priority="1714" operator="equal">
      <formula>"U/P"</formula>
    </cfRule>
    <cfRule type="cellIs" dxfId="1562" priority="1715" operator="equal">
      <formula>"F"</formula>
    </cfRule>
    <cfRule type="cellIs" dxfId="1561" priority="1716" operator="equal">
      <formula>"F"</formula>
    </cfRule>
  </conditionalFormatting>
  <conditionalFormatting sqref="B202 D202 F202 H202 J202 L202 N202 P202 R202 T202 V202 X202 Z202 AB202">
    <cfRule type="cellIs" dxfId="1560" priority="1666" operator="equal">
      <formula>0</formula>
    </cfRule>
  </conditionalFormatting>
  <conditionalFormatting sqref="B207">
    <cfRule type="cellIs" dxfId="1559" priority="1696" operator="equal">
      <formula>"U/P"</formula>
    </cfRule>
    <cfRule type="cellIs" dxfId="1558" priority="1697" operator="equal">
      <formula>"F"</formula>
    </cfRule>
    <cfRule type="cellIs" dxfId="1557" priority="1698" operator="equal">
      <formula>"F"</formula>
    </cfRule>
  </conditionalFormatting>
  <conditionalFormatting sqref="B215">
    <cfRule type="cellIs" dxfId="1556" priority="1675" operator="equal">
      <formula>"U/P"</formula>
    </cfRule>
    <cfRule type="cellIs" dxfId="1555" priority="1676" operator="equal">
      <formula>"F"</formula>
    </cfRule>
    <cfRule type="cellIs" dxfId="1554" priority="1677" operator="equal">
      <formula>"F"</formula>
    </cfRule>
  </conditionalFormatting>
  <conditionalFormatting sqref="B223">
    <cfRule type="cellIs" dxfId="1553" priority="751" operator="equal">
      <formula>"U/P"</formula>
    </cfRule>
    <cfRule type="cellIs" dxfId="1552" priority="752" operator="equal">
      <formula>"F"</formula>
    </cfRule>
    <cfRule type="cellIs" dxfId="1551" priority="753" operator="equal">
      <formula>"F"</formula>
    </cfRule>
  </conditionalFormatting>
  <conditionalFormatting sqref="B231">
    <cfRule type="cellIs" dxfId="1550" priority="691" operator="equal">
      <formula>"U/P"</formula>
    </cfRule>
    <cfRule type="cellIs" dxfId="1549" priority="692" operator="equal">
      <formula>"F"</formula>
    </cfRule>
    <cfRule type="cellIs" dxfId="1548" priority="693" operator="equal">
      <formula>"F"</formula>
    </cfRule>
  </conditionalFormatting>
  <conditionalFormatting sqref="B239">
    <cfRule type="cellIs" dxfId="1547" priority="25" operator="equal">
      <formula>"U/P"</formula>
    </cfRule>
    <cfRule type="cellIs" dxfId="1546" priority="26" operator="equal">
      <formula>"F"</formula>
    </cfRule>
    <cfRule type="cellIs" dxfId="1545" priority="27" operator="equal">
      <formula>"F"</formula>
    </cfRule>
  </conditionalFormatting>
  <conditionalFormatting sqref="B247">
    <cfRule type="cellIs" dxfId="1544" priority="607" operator="equal">
      <formula>"U/P"</formula>
    </cfRule>
    <cfRule type="cellIs" dxfId="1543" priority="608" operator="equal">
      <formula>"F"</formula>
    </cfRule>
    <cfRule type="cellIs" dxfId="1542" priority="609" operator="equal">
      <formula>"F"</formula>
    </cfRule>
  </conditionalFormatting>
  <conditionalFormatting sqref="B255">
    <cfRule type="cellIs" dxfId="1541" priority="565" operator="equal">
      <formula>"U/P"</formula>
    </cfRule>
    <cfRule type="cellIs" dxfId="1540" priority="566" operator="equal">
      <formula>"F"</formula>
    </cfRule>
    <cfRule type="cellIs" dxfId="1539" priority="567" operator="equal">
      <formula>"F"</formula>
    </cfRule>
  </conditionalFormatting>
  <conditionalFormatting sqref="B263">
    <cfRule type="cellIs" dxfId="1538" priority="523" operator="equal">
      <formula>"U/P"</formula>
    </cfRule>
    <cfRule type="cellIs" dxfId="1537" priority="524" operator="equal">
      <formula>"F"</formula>
    </cfRule>
    <cfRule type="cellIs" dxfId="1536" priority="525" operator="equal">
      <formula>"F"</formula>
    </cfRule>
  </conditionalFormatting>
  <conditionalFormatting sqref="B271">
    <cfRule type="cellIs" dxfId="1535" priority="481" operator="equal">
      <formula>"U/P"</formula>
    </cfRule>
    <cfRule type="cellIs" dxfId="1534" priority="482" operator="equal">
      <formula>"F"</formula>
    </cfRule>
    <cfRule type="cellIs" dxfId="1533" priority="483" operator="equal">
      <formula>"F"</formula>
    </cfRule>
  </conditionalFormatting>
  <conditionalFormatting sqref="B279">
    <cfRule type="cellIs" dxfId="1532" priority="439" operator="equal">
      <formula>"U/P"</formula>
    </cfRule>
    <cfRule type="cellIs" dxfId="1531" priority="440" operator="equal">
      <formula>"F"</formula>
    </cfRule>
    <cfRule type="cellIs" dxfId="1530" priority="441" operator="equal">
      <formula>"F"</formula>
    </cfRule>
  </conditionalFormatting>
  <conditionalFormatting sqref="B287">
    <cfRule type="cellIs" dxfId="1529" priority="397" operator="equal">
      <formula>"U/P"</formula>
    </cfRule>
    <cfRule type="cellIs" dxfId="1528" priority="398" operator="equal">
      <formula>"F"</formula>
    </cfRule>
    <cfRule type="cellIs" dxfId="1527" priority="399" operator="equal">
      <formula>"F"</formula>
    </cfRule>
  </conditionalFormatting>
  <conditionalFormatting sqref="B295">
    <cfRule type="cellIs" dxfId="1526" priority="355" operator="equal">
      <formula>"U/P"</formula>
    </cfRule>
    <cfRule type="cellIs" dxfId="1525" priority="356" operator="equal">
      <formula>"F"</formula>
    </cfRule>
    <cfRule type="cellIs" dxfId="1524" priority="357" operator="equal">
      <formula>"F"</formula>
    </cfRule>
  </conditionalFormatting>
  <conditionalFormatting sqref="B303">
    <cfRule type="cellIs" dxfId="1523" priority="313" operator="equal">
      <formula>"U/P"</formula>
    </cfRule>
    <cfRule type="cellIs" dxfId="1522" priority="314" operator="equal">
      <formula>"F"</formula>
    </cfRule>
    <cfRule type="cellIs" dxfId="1521" priority="315" operator="equal">
      <formula>"F"</formula>
    </cfRule>
  </conditionalFormatting>
  <conditionalFormatting sqref="B310">
    <cfRule type="cellIs" dxfId="1520" priority="271" operator="equal">
      <formula>"U/P"</formula>
    </cfRule>
    <cfRule type="cellIs" dxfId="1519" priority="272" operator="equal">
      <formula>"F"</formula>
    </cfRule>
    <cfRule type="cellIs" dxfId="1518" priority="273" operator="equal">
      <formula>"F"</formula>
    </cfRule>
  </conditionalFormatting>
  <conditionalFormatting sqref="D23">
    <cfRule type="cellIs" dxfId="1517" priority="1800" operator="equal">
      <formula>"U/P"</formula>
    </cfRule>
    <cfRule type="cellIs" dxfId="1516" priority="1801" operator="equal">
      <formula>"F"</formula>
    </cfRule>
    <cfRule type="cellIs" dxfId="1515" priority="1802" operator="equal">
      <formula>"F"</formula>
    </cfRule>
  </conditionalFormatting>
  <conditionalFormatting sqref="D26 F26 H26 J26 L26 N26 P26 R26 T26 V26 X26 Z26 AB26">
    <cfRule type="cellIs" dxfId="1514" priority="1799" operator="equal">
      <formula>0</formula>
    </cfRule>
  </conditionalFormatting>
  <conditionalFormatting sqref="D31">
    <cfRule type="cellIs" dxfId="1513" priority="1624" operator="equal">
      <formula>"U/P"</formula>
    </cfRule>
    <cfRule type="cellIs" dxfId="1512" priority="1625" operator="equal">
      <formula>"F"</formula>
    </cfRule>
    <cfRule type="cellIs" dxfId="1511" priority="1626" operator="equal">
      <formula>"F"</formula>
    </cfRule>
  </conditionalFormatting>
  <conditionalFormatting sqref="D39">
    <cfRule type="cellIs" dxfId="1510" priority="1582" operator="equal">
      <formula>"U/P"</formula>
    </cfRule>
    <cfRule type="cellIs" dxfId="1509" priority="1583" operator="equal">
      <formula>"F"</formula>
    </cfRule>
    <cfRule type="cellIs" dxfId="1508" priority="1584" operator="equal">
      <formula>"F"</formula>
    </cfRule>
  </conditionalFormatting>
  <conditionalFormatting sqref="D47">
    <cfRule type="cellIs" dxfId="1507" priority="1540" operator="equal">
      <formula>"U/P"</formula>
    </cfRule>
    <cfRule type="cellIs" dxfId="1506" priority="1541" operator="equal">
      <formula>"F"</formula>
    </cfRule>
    <cfRule type="cellIs" dxfId="1505" priority="1542" operator="equal">
      <formula>"F"</formula>
    </cfRule>
  </conditionalFormatting>
  <conditionalFormatting sqref="D55">
    <cfRule type="cellIs" dxfId="1504" priority="1498" operator="equal">
      <formula>"U/P"</formula>
    </cfRule>
    <cfRule type="cellIs" dxfId="1503" priority="1499" operator="equal">
      <formula>"F"</formula>
    </cfRule>
    <cfRule type="cellIs" dxfId="1502" priority="1500" operator="equal">
      <formula>"F"</formula>
    </cfRule>
  </conditionalFormatting>
  <conditionalFormatting sqref="D63">
    <cfRule type="cellIs" dxfId="1501" priority="1456" operator="equal">
      <formula>"U/P"</formula>
    </cfRule>
    <cfRule type="cellIs" dxfId="1500" priority="1457" operator="equal">
      <formula>"F"</formula>
    </cfRule>
    <cfRule type="cellIs" dxfId="1499" priority="1458" operator="equal">
      <formula>"F"</formula>
    </cfRule>
  </conditionalFormatting>
  <conditionalFormatting sqref="D71">
    <cfRule type="cellIs" dxfId="1498" priority="1414" operator="equal">
      <formula>"U/P"</formula>
    </cfRule>
    <cfRule type="cellIs" dxfId="1497" priority="1415" operator="equal">
      <formula>"F"</formula>
    </cfRule>
    <cfRule type="cellIs" dxfId="1496" priority="1416" operator="equal">
      <formula>"F"</formula>
    </cfRule>
  </conditionalFormatting>
  <conditionalFormatting sqref="D79">
    <cfRule type="cellIs" dxfId="1495" priority="1372" operator="equal">
      <formula>"U/P"</formula>
    </cfRule>
    <cfRule type="cellIs" dxfId="1494" priority="1373" operator="equal">
      <formula>"F"</formula>
    </cfRule>
    <cfRule type="cellIs" dxfId="1493" priority="1374" operator="equal">
      <formula>"F"</formula>
    </cfRule>
  </conditionalFormatting>
  <conditionalFormatting sqref="D87">
    <cfRule type="cellIs" dxfId="1492" priority="1330" operator="equal">
      <formula>"U/P"</formula>
    </cfRule>
    <cfRule type="cellIs" dxfId="1491" priority="1331" operator="equal">
      <formula>"F"</formula>
    </cfRule>
    <cfRule type="cellIs" dxfId="1490" priority="1332" operator="equal">
      <formula>"F"</formula>
    </cfRule>
  </conditionalFormatting>
  <conditionalFormatting sqref="D95">
    <cfRule type="cellIs" dxfId="1489" priority="1288" operator="equal">
      <formula>"U/P"</formula>
    </cfRule>
    <cfRule type="cellIs" dxfId="1488" priority="1289" operator="equal">
      <formula>"F"</formula>
    </cfRule>
    <cfRule type="cellIs" dxfId="1487" priority="1290" operator="equal">
      <formula>"F"</formula>
    </cfRule>
  </conditionalFormatting>
  <conditionalFormatting sqref="D103">
    <cfRule type="cellIs" dxfId="1486" priority="1246" operator="equal">
      <formula>"U/P"</formula>
    </cfRule>
    <cfRule type="cellIs" dxfId="1485" priority="1247" operator="equal">
      <formula>"F"</formula>
    </cfRule>
    <cfRule type="cellIs" dxfId="1484" priority="1248" operator="equal">
      <formula>"F"</formula>
    </cfRule>
  </conditionalFormatting>
  <conditionalFormatting sqref="D111">
    <cfRule type="cellIs" dxfId="1483" priority="1204" operator="equal">
      <formula>"U/P"</formula>
    </cfRule>
    <cfRule type="cellIs" dxfId="1482" priority="1205" operator="equal">
      <formula>"F"</formula>
    </cfRule>
    <cfRule type="cellIs" dxfId="1481" priority="1206" operator="equal">
      <formula>"F"</formula>
    </cfRule>
  </conditionalFormatting>
  <conditionalFormatting sqref="D119">
    <cfRule type="cellIs" dxfId="1480" priority="1168" operator="equal">
      <formula>"U/P"</formula>
    </cfRule>
    <cfRule type="cellIs" dxfId="1479" priority="1169" operator="equal">
      <formula>"F"</formula>
    </cfRule>
    <cfRule type="cellIs" dxfId="1478" priority="1170" operator="equal">
      <formula>"F"</formula>
    </cfRule>
  </conditionalFormatting>
  <conditionalFormatting sqref="D127">
    <cfRule type="cellIs" dxfId="1477" priority="1785" operator="equal">
      <formula>"U/P"</formula>
    </cfRule>
    <cfRule type="cellIs" dxfId="1476" priority="1786" operator="equal">
      <formula>"F"</formula>
    </cfRule>
    <cfRule type="cellIs" dxfId="1475" priority="1787" operator="equal">
      <formula>"F"</formula>
    </cfRule>
  </conditionalFormatting>
  <conditionalFormatting sqref="D135">
    <cfRule type="cellIs" dxfId="1474" priority="1090" operator="equal">
      <formula>"U/P"</formula>
    </cfRule>
    <cfRule type="cellIs" dxfId="1473" priority="1091" operator="equal">
      <formula>"F"</formula>
    </cfRule>
    <cfRule type="cellIs" dxfId="1472" priority="1092" operator="equal">
      <formula>"F"</formula>
    </cfRule>
  </conditionalFormatting>
  <conditionalFormatting sqref="D143">
    <cfRule type="cellIs" dxfId="1471" priority="754" operator="equal">
      <formula>"U/P"</formula>
    </cfRule>
    <cfRule type="cellIs" dxfId="1470" priority="755" operator="equal">
      <formula>"F"</formula>
    </cfRule>
    <cfRule type="cellIs" dxfId="1469" priority="756" operator="equal">
      <formula>"F"</formula>
    </cfRule>
  </conditionalFormatting>
  <conditionalFormatting sqref="D151">
    <cfRule type="cellIs" dxfId="1468" priority="1042" operator="equal">
      <formula>"U/P"</formula>
    </cfRule>
    <cfRule type="cellIs" dxfId="1467" priority="1043" operator="equal">
      <formula>"F"</formula>
    </cfRule>
    <cfRule type="cellIs" dxfId="1466" priority="1044" operator="equal">
      <formula>"F"</formula>
    </cfRule>
  </conditionalFormatting>
  <conditionalFormatting sqref="D159">
    <cfRule type="cellIs" dxfId="1465" priority="1006" operator="equal">
      <formula>"U/P"</formula>
    </cfRule>
    <cfRule type="cellIs" dxfId="1464" priority="1007" operator="equal">
      <formula>"F"</formula>
    </cfRule>
    <cfRule type="cellIs" dxfId="1463" priority="1008" operator="equal">
      <formula>"F"</formula>
    </cfRule>
  </conditionalFormatting>
  <conditionalFormatting sqref="D167">
    <cfRule type="cellIs" dxfId="1462" priority="964" operator="equal">
      <formula>"U/P"</formula>
    </cfRule>
    <cfRule type="cellIs" dxfId="1461" priority="965" operator="equal">
      <formula>"F"</formula>
    </cfRule>
    <cfRule type="cellIs" dxfId="1460" priority="966" operator="equal">
      <formula>"F"</formula>
    </cfRule>
  </conditionalFormatting>
  <conditionalFormatting sqref="D170 F170 J170 L170 N170 P170 R170 T170 V170 X170 Z170 AB170">
    <cfRule type="cellIs" dxfId="1459" priority="1730" operator="equal">
      <formula>0</formula>
    </cfRule>
  </conditionalFormatting>
  <conditionalFormatting sqref="D175">
    <cfRule type="cellIs" dxfId="1458" priority="922" operator="equal">
      <formula>"U/P"</formula>
    </cfRule>
    <cfRule type="cellIs" dxfId="1457" priority="923" operator="equal">
      <formula>"F"</formula>
    </cfRule>
    <cfRule type="cellIs" dxfId="1456" priority="924" operator="equal">
      <formula>"F"</formula>
    </cfRule>
  </conditionalFormatting>
  <conditionalFormatting sqref="D183">
    <cfRule type="cellIs" dxfId="1455" priority="1741" operator="equal">
      <formula>"U/P"</formula>
    </cfRule>
    <cfRule type="cellIs" dxfId="1454" priority="1742" operator="equal">
      <formula>"F"</formula>
    </cfRule>
    <cfRule type="cellIs" dxfId="1453" priority="1743" operator="equal">
      <formula>"F"</formula>
    </cfRule>
  </conditionalFormatting>
  <conditionalFormatting sqref="D191">
    <cfRule type="cellIs" dxfId="1452" priority="850" operator="equal">
      <formula>"U/P"</formula>
    </cfRule>
    <cfRule type="cellIs" dxfId="1451" priority="851" operator="equal">
      <formula>"F"</formula>
    </cfRule>
    <cfRule type="cellIs" dxfId="1450" priority="852" operator="equal">
      <formula>"F"</formula>
    </cfRule>
  </conditionalFormatting>
  <conditionalFormatting sqref="D194 F194 H194 J194 L194 N194 P194 R194 T194 V194 X194 Z194 AB194">
    <cfRule type="cellIs" dxfId="1449" priority="1667" operator="equal">
      <formula>0</formula>
    </cfRule>
  </conditionalFormatting>
  <conditionalFormatting sqref="D199">
    <cfRule type="cellIs" dxfId="1448" priority="224" operator="equal">
      <formula>"U/P"</formula>
    </cfRule>
    <cfRule type="cellIs" dxfId="1447" priority="225" operator="equal">
      <formula>"F"</formula>
    </cfRule>
    <cfRule type="cellIs" dxfId="1446" priority="226" operator="equal">
      <formula>"F"</formula>
    </cfRule>
  </conditionalFormatting>
  <conditionalFormatting sqref="D207">
    <cfRule type="cellIs" dxfId="1445" priority="179" operator="equal">
      <formula>"U/P"</formula>
    </cfRule>
    <cfRule type="cellIs" dxfId="1444" priority="180" operator="equal">
      <formula>"F"</formula>
    </cfRule>
    <cfRule type="cellIs" dxfId="1443" priority="181" operator="equal">
      <formula>"F"</formula>
    </cfRule>
  </conditionalFormatting>
  <conditionalFormatting sqref="D215">
    <cfRule type="cellIs" dxfId="1442" priority="778" operator="equal">
      <formula>"U/P"</formula>
    </cfRule>
    <cfRule type="cellIs" dxfId="1441" priority="779" operator="equal">
      <formula>"F"</formula>
    </cfRule>
    <cfRule type="cellIs" dxfId="1440" priority="780" operator="equal">
      <formula>"F"</formula>
    </cfRule>
  </conditionalFormatting>
  <conditionalFormatting sqref="D223">
    <cfRule type="cellIs" dxfId="1439" priority="742" operator="equal">
      <formula>"U/P"</formula>
    </cfRule>
    <cfRule type="cellIs" dxfId="1438" priority="743" operator="equal">
      <formula>"F"</formula>
    </cfRule>
    <cfRule type="cellIs" dxfId="1437" priority="744" operator="equal">
      <formula>"F"</formula>
    </cfRule>
  </conditionalFormatting>
  <conditionalFormatting sqref="D231">
    <cfRule type="cellIs" dxfId="1436" priority="682" operator="equal">
      <formula>"U/P"</formula>
    </cfRule>
    <cfRule type="cellIs" dxfId="1435" priority="683" operator="equal">
      <formula>"F"</formula>
    </cfRule>
    <cfRule type="cellIs" dxfId="1434" priority="684" operator="equal">
      <formula>"F"</formula>
    </cfRule>
  </conditionalFormatting>
  <conditionalFormatting sqref="D239">
    <cfRule type="cellIs" dxfId="1433" priority="215" operator="equal">
      <formula>"U/P"</formula>
    </cfRule>
    <cfRule type="cellIs" dxfId="1432" priority="216" operator="equal">
      <formula>"F"</formula>
    </cfRule>
    <cfRule type="cellIs" dxfId="1431" priority="217" operator="equal">
      <formula>"F"</formula>
    </cfRule>
  </conditionalFormatting>
  <conditionalFormatting sqref="D247">
    <cfRule type="cellIs" dxfId="1430" priority="598" operator="equal">
      <formula>"U/P"</formula>
    </cfRule>
    <cfRule type="cellIs" dxfId="1429" priority="599" operator="equal">
      <formula>"F"</formula>
    </cfRule>
    <cfRule type="cellIs" dxfId="1428" priority="600" operator="equal">
      <formula>"F"</formula>
    </cfRule>
  </conditionalFormatting>
  <conditionalFormatting sqref="D255">
    <cfRule type="cellIs" dxfId="1427" priority="556" operator="equal">
      <formula>"U/P"</formula>
    </cfRule>
    <cfRule type="cellIs" dxfId="1426" priority="557" operator="equal">
      <formula>"F"</formula>
    </cfRule>
    <cfRule type="cellIs" dxfId="1425" priority="558" operator="equal">
      <formula>"F"</formula>
    </cfRule>
  </conditionalFormatting>
  <conditionalFormatting sqref="D263">
    <cfRule type="cellIs" dxfId="1424" priority="154" operator="equal">
      <formula>"U/P"</formula>
    </cfRule>
    <cfRule type="cellIs" dxfId="1423" priority="155" operator="equal">
      <formula>"F"</formula>
    </cfRule>
    <cfRule type="cellIs" dxfId="1422" priority="156" operator="equal">
      <formula>"F"</formula>
    </cfRule>
  </conditionalFormatting>
  <conditionalFormatting sqref="D271">
    <cfRule type="cellIs" dxfId="1421" priority="472" operator="equal">
      <formula>"U/P"</formula>
    </cfRule>
    <cfRule type="cellIs" dxfId="1420" priority="473" operator="equal">
      <formula>"F"</formula>
    </cfRule>
    <cfRule type="cellIs" dxfId="1419" priority="474" operator="equal">
      <formula>"F"</formula>
    </cfRule>
  </conditionalFormatting>
  <conditionalFormatting sqref="D279">
    <cfRule type="cellIs" dxfId="1418" priority="430" operator="equal">
      <formula>"U/P"</formula>
    </cfRule>
    <cfRule type="cellIs" dxfId="1417" priority="431" operator="equal">
      <formula>"F"</formula>
    </cfRule>
    <cfRule type="cellIs" dxfId="1416" priority="432" operator="equal">
      <formula>"F"</formula>
    </cfRule>
  </conditionalFormatting>
  <conditionalFormatting sqref="D287">
    <cfRule type="cellIs" dxfId="1415" priority="388" operator="equal">
      <formula>"U/P"</formula>
    </cfRule>
    <cfRule type="cellIs" dxfId="1414" priority="389" operator="equal">
      <formula>"F"</formula>
    </cfRule>
    <cfRule type="cellIs" dxfId="1413" priority="390" operator="equal">
      <formula>"F"</formula>
    </cfRule>
  </conditionalFormatting>
  <conditionalFormatting sqref="D295">
    <cfRule type="cellIs" dxfId="1412" priority="94" operator="equal">
      <formula>"U/P"</formula>
    </cfRule>
    <cfRule type="cellIs" dxfId="1411" priority="95" operator="equal">
      <formula>"F"</formula>
    </cfRule>
    <cfRule type="cellIs" dxfId="1410" priority="96" operator="equal">
      <formula>"F"</formula>
    </cfRule>
  </conditionalFormatting>
  <conditionalFormatting sqref="D303">
    <cfRule type="cellIs" dxfId="1409" priority="115" operator="equal">
      <formula>"U/P"</formula>
    </cfRule>
    <cfRule type="cellIs" dxfId="1408" priority="116" operator="equal">
      <formula>"F"</formula>
    </cfRule>
    <cfRule type="cellIs" dxfId="1407" priority="117" operator="equal">
      <formula>"F"</formula>
    </cfRule>
  </conditionalFormatting>
  <conditionalFormatting sqref="D310">
    <cfRule type="cellIs" dxfId="1406" priority="262" operator="equal">
      <formula>"U/P"</formula>
    </cfRule>
    <cfRule type="cellIs" dxfId="1405" priority="263" operator="equal">
      <formula>"F"</formula>
    </cfRule>
    <cfRule type="cellIs" dxfId="1404" priority="264" operator="equal">
      <formula>"F"</formula>
    </cfRule>
  </conditionalFormatting>
  <conditionalFormatting sqref="F23">
    <cfRule type="cellIs" dxfId="1403" priority="1663" operator="equal">
      <formula>"U/P"</formula>
    </cfRule>
    <cfRule type="cellIs" dxfId="1402" priority="1664" operator="equal">
      <formula>"F"</formula>
    </cfRule>
    <cfRule type="cellIs" dxfId="1401" priority="1665" operator="equal">
      <formula>"F"</formula>
    </cfRule>
  </conditionalFormatting>
  <conditionalFormatting sqref="F31">
    <cfRule type="cellIs" dxfId="1400" priority="1621" operator="equal">
      <formula>"U/P"</formula>
    </cfRule>
    <cfRule type="cellIs" dxfId="1399" priority="1622" operator="equal">
      <formula>"F"</formula>
    </cfRule>
    <cfRule type="cellIs" dxfId="1398" priority="1623" operator="equal">
      <formula>"F"</formula>
    </cfRule>
  </conditionalFormatting>
  <conditionalFormatting sqref="F39">
    <cfRule type="cellIs" dxfId="1397" priority="1579" operator="equal">
      <formula>"U/P"</formula>
    </cfRule>
    <cfRule type="cellIs" dxfId="1396" priority="1580" operator="equal">
      <formula>"F"</formula>
    </cfRule>
    <cfRule type="cellIs" dxfId="1395" priority="1581" operator="equal">
      <formula>"F"</formula>
    </cfRule>
  </conditionalFormatting>
  <conditionalFormatting sqref="F47">
    <cfRule type="cellIs" dxfId="1394" priority="1537" operator="equal">
      <formula>"U/P"</formula>
    </cfRule>
    <cfRule type="cellIs" dxfId="1393" priority="1538" operator="equal">
      <formula>"F"</formula>
    </cfRule>
    <cfRule type="cellIs" dxfId="1392" priority="1539" operator="equal">
      <formula>"F"</formula>
    </cfRule>
  </conditionalFormatting>
  <conditionalFormatting sqref="F55">
    <cfRule type="cellIs" dxfId="1391" priority="1495" operator="equal">
      <formula>"U/P"</formula>
    </cfRule>
    <cfRule type="cellIs" dxfId="1390" priority="1496" operator="equal">
      <formula>"F"</formula>
    </cfRule>
    <cfRule type="cellIs" dxfId="1389" priority="1497" operator="equal">
      <formula>"F"</formula>
    </cfRule>
  </conditionalFormatting>
  <conditionalFormatting sqref="F63">
    <cfRule type="cellIs" dxfId="1388" priority="1453" operator="equal">
      <formula>"U/P"</formula>
    </cfRule>
    <cfRule type="cellIs" dxfId="1387" priority="1454" operator="equal">
      <formula>"F"</formula>
    </cfRule>
    <cfRule type="cellIs" dxfId="1386" priority="1455" operator="equal">
      <formula>"F"</formula>
    </cfRule>
  </conditionalFormatting>
  <conditionalFormatting sqref="F71">
    <cfRule type="cellIs" dxfId="1385" priority="1411" operator="equal">
      <formula>"U/P"</formula>
    </cfRule>
    <cfRule type="cellIs" dxfId="1384" priority="1412" operator="equal">
      <formula>"F"</formula>
    </cfRule>
    <cfRule type="cellIs" dxfId="1383" priority="1413" operator="equal">
      <formula>"F"</formula>
    </cfRule>
  </conditionalFormatting>
  <conditionalFormatting sqref="F79">
    <cfRule type="cellIs" dxfId="1382" priority="1369" operator="equal">
      <formula>"U/P"</formula>
    </cfRule>
    <cfRule type="cellIs" dxfId="1381" priority="1370" operator="equal">
      <formula>"F"</formula>
    </cfRule>
    <cfRule type="cellIs" dxfId="1380" priority="1371" operator="equal">
      <formula>"F"</formula>
    </cfRule>
  </conditionalFormatting>
  <conditionalFormatting sqref="F87">
    <cfRule type="cellIs" dxfId="1379" priority="1327" operator="equal">
      <formula>"U/P"</formula>
    </cfRule>
    <cfRule type="cellIs" dxfId="1378" priority="1328" operator="equal">
      <formula>"F"</formula>
    </cfRule>
    <cfRule type="cellIs" dxfId="1377" priority="1329" operator="equal">
      <formula>"F"</formula>
    </cfRule>
  </conditionalFormatting>
  <conditionalFormatting sqref="F95">
    <cfRule type="cellIs" dxfId="1376" priority="1285" operator="equal">
      <formula>"U/P"</formula>
    </cfRule>
    <cfRule type="cellIs" dxfId="1375" priority="1286" operator="equal">
      <formula>"F"</formula>
    </cfRule>
    <cfRule type="cellIs" dxfId="1374" priority="1287" operator="equal">
      <formula>"F"</formula>
    </cfRule>
  </conditionalFormatting>
  <conditionalFormatting sqref="F103">
    <cfRule type="cellIs" dxfId="1373" priority="1243" operator="equal">
      <formula>"U/P"</formula>
    </cfRule>
    <cfRule type="cellIs" dxfId="1372" priority="1244" operator="equal">
      <formula>"F"</formula>
    </cfRule>
    <cfRule type="cellIs" dxfId="1371" priority="1245" operator="equal">
      <formula>"F"</formula>
    </cfRule>
  </conditionalFormatting>
  <conditionalFormatting sqref="F111">
    <cfRule type="cellIs" dxfId="1370" priority="1201" operator="equal">
      <formula>"U/P"</formula>
    </cfRule>
    <cfRule type="cellIs" dxfId="1369" priority="1202" operator="equal">
      <formula>"F"</formula>
    </cfRule>
    <cfRule type="cellIs" dxfId="1368" priority="1203" operator="equal">
      <formula>"F"</formula>
    </cfRule>
  </conditionalFormatting>
  <conditionalFormatting sqref="F119">
    <cfRule type="cellIs" dxfId="1367" priority="1165" operator="equal">
      <formula>"U/P"</formula>
    </cfRule>
    <cfRule type="cellIs" dxfId="1366" priority="1166" operator="equal">
      <formula>"F"</formula>
    </cfRule>
    <cfRule type="cellIs" dxfId="1365" priority="1167" operator="equal">
      <formula>"F"</formula>
    </cfRule>
  </conditionalFormatting>
  <conditionalFormatting sqref="F127">
    <cfRule type="cellIs" dxfId="1364" priority="1782" operator="equal">
      <formula>"U/P"</formula>
    </cfRule>
    <cfRule type="cellIs" dxfId="1363" priority="1783" operator="equal">
      <formula>"F"</formula>
    </cfRule>
    <cfRule type="cellIs" dxfId="1362" priority="1784" operator="equal">
      <formula>"F"</formula>
    </cfRule>
  </conditionalFormatting>
  <conditionalFormatting sqref="F135">
    <cfRule type="cellIs" dxfId="1361" priority="1087" operator="equal">
      <formula>"U/P"</formula>
    </cfRule>
    <cfRule type="cellIs" dxfId="1360" priority="1088" operator="equal">
      <formula>"F"</formula>
    </cfRule>
    <cfRule type="cellIs" dxfId="1359" priority="1089" operator="equal">
      <formula>"F"</formula>
    </cfRule>
  </conditionalFormatting>
  <conditionalFormatting sqref="F143">
    <cfRule type="cellIs" dxfId="1358" priority="1756" operator="equal">
      <formula>"U/P"</formula>
    </cfRule>
    <cfRule type="cellIs" dxfId="1357" priority="1757" operator="equal">
      <formula>"F"</formula>
    </cfRule>
    <cfRule type="cellIs" dxfId="1356" priority="1758" operator="equal">
      <formula>"F"</formula>
    </cfRule>
  </conditionalFormatting>
  <conditionalFormatting sqref="F151">
    <cfRule type="cellIs" dxfId="1355" priority="1039" operator="equal">
      <formula>"U/P"</formula>
    </cfRule>
    <cfRule type="cellIs" dxfId="1354" priority="1040" operator="equal">
      <formula>"F"</formula>
    </cfRule>
    <cfRule type="cellIs" dxfId="1353" priority="1041" operator="equal">
      <formula>"F"</formula>
    </cfRule>
  </conditionalFormatting>
  <conditionalFormatting sqref="F159">
    <cfRule type="cellIs" dxfId="1352" priority="1003" operator="equal">
      <formula>"U/P"</formula>
    </cfRule>
    <cfRule type="cellIs" dxfId="1351" priority="1004" operator="equal">
      <formula>"F"</formula>
    </cfRule>
    <cfRule type="cellIs" dxfId="1350" priority="1005" operator="equal">
      <formula>"F"</formula>
    </cfRule>
  </conditionalFormatting>
  <conditionalFormatting sqref="F167">
    <cfRule type="cellIs" dxfId="1349" priority="961" operator="equal">
      <formula>"U/P"</formula>
    </cfRule>
    <cfRule type="cellIs" dxfId="1348" priority="962" operator="equal">
      <formula>"F"</formula>
    </cfRule>
    <cfRule type="cellIs" dxfId="1347" priority="963" operator="equal">
      <formula>"F"</formula>
    </cfRule>
  </conditionalFormatting>
  <conditionalFormatting sqref="F175">
    <cfRule type="cellIs" dxfId="1346" priority="919" operator="equal">
      <formula>"U/P"</formula>
    </cfRule>
    <cfRule type="cellIs" dxfId="1345" priority="920" operator="equal">
      <formula>"F"</formula>
    </cfRule>
    <cfRule type="cellIs" dxfId="1344" priority="921" operator="equal">
      <formula>"F"</formula>
    </cfRule>
  </conditionalFormatting>
  <conditionalFormatting sqref="F183">
    <cfRule type="cellIs" dxfId="1343" priority="1738" operator="equal">
      <formula>"U/P"</formula>
    </cfRule>
    <cfRule type="cellIs" dxfId="1342" priority="1739" operator="equal">
      <formula>"F"</formula>
    </cfRule>
    <cfRule type="cellIs" dxfId="1341" priority="1740" operator="equal">
      <formula>"F"</formula>
    </cfRule>
  </conditionalFormatting>
  <conditionalFormatting sqref="F191">
    <cfRule type="cellIs" dxfId="1340" priority="847" operator="equal">
      <formula>"U/P"</formula>
    </cfRule>
    <cfRule type="cellIs" dxfId="1339" priority="848" operator="equal">
      <formula>"F"</formula>
    </cfRule>
    <cfRule type="cellIs" dxfId="1338" priority="849" operator="equal">
      <formula>"F"</formula>
    </cfRule>
  </conditionalFormatting>
  <conditionalFormatting sqref="F199">
    <cfRule type="cellIs" dxfId="1337" priority="218" operator="equal">
      <formula>"U/P"</formula>
    </cfRule>
    <cfRule type="cellIs" dxfId="1336" priority="219" operator="equal">
      <formula>"F"</formula>
    </cfRule>
    <cfRule type="cellIs" dxfId="1335" priority="220" operator="equal">
      <formula>"F"</formula>
    </cfRule>
  </conditionalFormatting>
  <conditionalFormatting sqref="F207">
    <cfRule type="cellIs" dxfId="1334" priority="1693" operator="equal">
      <formula>"U/P"</formula>
    </cfRule>
    <cfRule type="cellIs" dxfId="1333" priority="1694" operator="equal">
      <formula>"F"</formula>
    </cfRule>
    <cfRule type="cellIs" dxfId="1332" priority="1695" operator="equal">
      <formula>"F"</formula>
    </cfRule>
  </conditionalFormatting>
  <conditionalFormatting sqref="F215">
    <cfRule type="cellIs" dxfId="1331" priority="775" operator="equal">
      <formula>"U/P"</formula>
    </cfRule>
    <cfRule type="cellIs" dxfId="1330" priority="776" operator="equal">
      <formula>"F"</formula>
    </cfRule>
    <cfRule type="cellIs" dxfId="1329" priority="777" operator="equal">
      <formula>"F"</formula>
    </cfRule>
  </conditionalFormatting>
  <conditionalFormatting sqref="F223">
    <cfRule type="cellIs" dxfId="1328" priority="739" operator="equal">
      <formula>"U/P"</formula>
    </cfRule>
    <cfRule type="cellIs" dxfId="1327" priority="740" operator="equal">
      <formula>"F"</formula>
    </cfRule>
    <cfRule type="cellIs" dxfId="1326" priority="741" operator="equal">
      <formula>"F"</formula>
    </cfRule>
  </conditionalFormatting>
  <conditionalFormatting sqref="F231">
    <cfRule type="cellIs" dxfId="1325" priority="679" operator="equal">
      <formula>"U/P"</formula>
    </cfRule>
    <cfRule type="cellIs" dxfId="1324" priority="680" operator="equal">
      <formula>"F"</formula>
    </cfRule>
    <cfRule type="cellIs" dxfId="1323" priority="681" operator="equal">
      <formula>"F"</formula>
    </cfRule>
  </conditionalFormatting>
  <conditionalFormatting sqref="F239">
    <cfRule type="cellIs" dxfId="1322" priority="206" operator="equal">
      <formula>"U/P"</formula>
    </cfRule>
    <cfRule type="cellIs" dxfId="1321" priority="207" operator="equal">
      <formula>"F"</formula>
    </cfRule>
    <cfRule type="cellIs" dxfId="1320" priority="208" operator="equal">
      <formula>"F"</formula>
    </cfRule>
  </conditionalFormatting>
  <conditionalFormatting sqref="F247">
    <cfRule type="cellIs" dxfId="1319" priority="595" operator="equal">
      <formula>"U/P"</formula>
    </cfRule>
    <cfRule type="cellIs" dxfId="1318" priority="596" operator="equal">
      <formula>"F"</formula>
    </cfRule>
    <cfRule type="cellIs" dxfId="1317" priority="597" operator="equal">
      <formula>"F"</formula>
    </cfRule>
  </conditionalFormatting>
  <conditionalFormatting sqref="F255">
    <cfRule type="cellIs" dxfId="1316" priority="553" operator="equal">
      <formula>"U/P"</formula>
    </cfRule>
    <cfRule type="cellIs" dxfId="1315" priority="554" operator="equal">
      <formula>"F"</formula>
    </cfRule>
    <cfRule type="cellIs" dxfId="1314" priority="555" operator="equal">
      <formula>"F"</formula>
    </cfRule>
  </conditionalFormatting>
  <conditionalFormatting sqref="F263">
    <cfRule type="cellIs" dxfId="1313" priority="151" operator="equal">
      <formula>"U/P"</formula>
    </cfRule>
    <cfRule type="cellIs" dxfId="1312" priority="152" operator="equal">
      <formula>"F"</formula>
    </cfRule>
    <cfRule type="cellIs" dxfId="1311" priority="153" operator="equal">
      <formula>"F"</formula>
    </cfRule>
  </conditionalFormatting>
  <conditionalFormatting sqref="F271">
    <cfRule type="cellIs" dxfId="1310" priority="469" operator="equal">
      <formula>"U/P"</formula>
    </cfRule>
    <cfRule type="cellIs" dxfId="1309" priority="470" operator="equal">
      <formula>"F"</formula>
    </cfRule>
    <cfRule type="cellIs" dxfId="1308" priority="471" operator="equal">
      <formula>"F"</formula>
    </cfRule>
  </conditionalFormatting>
  <conditionalFormatting sqref="F279">
    <cfRule type="cellIs" dxfId="1307" priority="427" operator="equal">
      <formula>"U/P"</formula>
    </cfRule>
    <cfRule type="cellIs" dxfId="1306" priority="428" operator="equal">
      <formula>"F"</formula>
    </cfRule>
    <cfRule type="cellIs" dxfId="1305" priority="429" operator="equal">
      <formula>"F"</formula>
    </cfRule>
  </conditionalFormatting>
  <conditionalFormatting sqref="F287">
    <cfRule type="cellIs" dxfId="1304" priority="4" operator="equal">
      <formula>"U/P"</formula>
    </cfRule>
    <cfRule type="cellIs" dxfId="1303" priority="5" operator="equal">
      <formula>"F"</formula>
    </cfRule>
    <cfRule type="cellIs" dxfId="1302" priority="6" operator="equal">
      <formula>"F"</formula>
    </cfRule>
  </conditionalFormatting>
  <conditionalFormatting sqref="F295">
    <cfRule type="cellIs" dxfId="1301" priority="91" operator="equal">
      <formula>"U/P"</formula>
    </cfRule>
    <cfRule type="cellIs" dxfId="1300" priority="92" operator="equal">
      <formula>"F"</formula>
    </cfRule>
    <cfRule type="cellIs" dxfId="1299" priority="93" operator="equal">
      <formula>"F"</formula>
    </cfRule>
  </conditionalFormatting>
  <conditionalFormatting sqref="F303">
    <cfRule type="cellIs" dxfId="1298" priority="112" operator="equal">
      <formula>"U/P"</formula>
    </cfRule>
    <cfRule type="cellIs" dxfId="1297" priority="113" operator="equal">
      <formula>"F"</formula>
    </cfRule>
    <cfRule type="cellIs" dxfId="1296" priority="114" operator="equal">
      <formula>"F"</formula>
    </cfRule>
  </conditionalFormatting>
  <conditionalFormatting sqref="F310">
    <cfRule type="cellIs" dxfId="1295" priority="235" operator="equal">
      <formula>"U/P"</formula>
    </cfRule>
    <cfRule type="cellIs" dxfId="1294" priority="236" operator="equal">
      <formula>"F"</formula>
    </cfRule>
    <cfRule type="cellIs" dxfId="1293" priority="237" operator="equal">
      <formula>"F"</formula>
    </cfRule>
  </conditionalFormatting>
  <conditionalFormatting sqref="H23">
    <cfRule type="cellIs" dxfId="1292" priority="1660" operator="equal">
      <formula>"U/P"</formula>
    </cfRule>
    <cfRule type="cellIs" dxfId="1291" priority="1661" operator="equal">
      <formula>"F"</formula>
    </cfRule>
    <cfRule type="cellIs" dxfId="1290" priority="1662" operator="equal">
      <formula>"F"</formula>
    </cfRule>
  </conditionalFormatting>
  <conditionalFormatting sqref="H31">
    <cfRule type="cellIs" dxfId="1289" priority="1618" operator="equal">
      <formula>"U/P"</formula>
    </cfRule>
    <cfRule type="cellIs" dxfId="1288" priority="1619" operator="equal">
      <formula>"F"</formula>
    </cfRule>
    <cfRule type="cellIs" dxfId="1287" priority="1620" operator="equal">
      <formula>"F"</formula>
    </cfRule>
  </conditionalFormatting>
  <conditionalFormatting sqref="H39">
    <cfRule type="cellIs" dxfId="1286" priority="1576" operator="equal">
      <formula>"U/P"</formula>
    </cfRule>
    <cfRule type="cellIs" dxfId="1285" priority="1577" operator="equal">
      <formula>"F"</formula>
    </cfRule>
    <cfRule type="cellIs" dxfId="1284" priority="1578" operator="equal">
      <formula>"F"</formula>
    </cfRule>
  </conditionalFormatting>
  <conditionalFormatting sqref="H47">
    <cfRule type="cellIs" dxfId="1283" priority="1534" operator="equal">
      <formula>"U/P"</formula>
    </cfRule>
    <cfRule type="cellIs" dxfId="1282" priority="1535" operator="equal">
      <formula>"F"</formula>
    </cfRule>
    <cfRule type="cellIs" dxfId="1281" priority="1536" operator="equal">
      <formula>"F"</formula>
    </cfRule>
  </conditionalFormatting>
  <conditionalFormatting sqref="H55">
    <cfRule type="cellIs" dxfId="1280" priority="1492" operator="equal">
      <formula>"U/P"</formula>
    </cfRule>
    <cfRule type="cellIs" dxfId="1279" priority="1493" operator="equal">
      <formula>"F"</formula>
    </cfRule>
    <cfRule type="cellIs" dxfId="1278" priority="1494" operator="equal">
      <formula>"F"</formula>
    </cfRule>
  </conditionalFormatting>
  <conditionalFormatting sqref="H63">
    <cfRule type="cellIs" dxfId="1277" priority="1450" operator="equal">
      <formula>"U/P"</formula>
    </cfRule>
    <cfRule type="cellIs" dxfId="1276" priority="1451" operator="equal">
      <formula>"F"</formula>
    </cfRule>
    <cfRule type="cellIs" dxfId="1275" priority="1452" operator="equal">
      <formula>"F"</formula>
    </cfRule>
  </conditionalFormatting>
  <conditionalFormatting sqref="H71">
    <cfRule type="cellIs" dxfId="1274" priority="1408" operator="equal">
      <formula>"U/P"</formula>
    </cfRule>
    <cfRule type="cellIs" dxfId="1273" priority="1409" operator="equal">
      <formula>"F"</formula>
    </cfRule>
    <cfRule type="cellIs" dxfId="1272" priority="1410" operator="equal">
      <formula>"F"</formula>
    </cfRule>
  </conditionalFormatting>
  <conditionalFormatting sqref="H79">
    <cfRule type="cellIs" dxfId="1271" priority="1366" operator="equal">
      <formula>"U/P"</formula>
    </cfRule>
    <cfRule type="cellIs" dxfId="1270" priority="1367" operator="equal">
      <formula>"F"</formula>
    </cfRule>
    <cfRule type="cellIs" dxfId="1269" priority="1368" operator="equal">
      <formula>"F"</formula>
    </cfRule>
  </conditionalFormatting>
  <conditionalFormatting sqref="H87">
    <cfRule type="cellIs" dxfId="1268" priority="1324" operator="equal">
      <formula>"U/P"</formula>
    </cfRule>
    <cfRule type="cellIs" dxfId="1267" priority="1325" operator="equal">
      <formula>"F"</formula>
    </cfRule>
    <cfRule type="cellIs" dxfId="1266" priority="1326" operator="equal">
      <formula>"F"</formula>
    </cfRule>
  </conditionalFormatting>
  <conditionalFormatting sqref="H95">
    <cfRule type="cellIs" dxfId="1265" priority="1282" operator="equal">
      <formula>"U/P"</formula>
    </cfRule>
    <cfRule type="cellIs" dxfId="1264" priority="1283" operator="equal">
      <formula>"F"</formula>
    </cfRule>
    <cfRule type="cellIs" dxfId="1263" priority="1284" operator="equal">
      <formula>"F"</formula>
    </cfRule>
  </conditionalFormatting>
  <conditionalFormatting sqref="H103">
    <cfRule type="cellIs" dxfId="1262" priority="1240" operator="equal">
      <formula>"U/P"</formula>
    </cfRule>
    <cfRule type="cellIs" dxfId="1261" priority="1241" operator="equal">
      <formula>"F"</formula>
    </cfRule>
    <cfRule type="cellIs" dxfId="1260" priority="1242" operator="equal">
      <formula>"F"</formula>
    </cfRule>
  </conditionalFormatting>
  <conditionalFormatting sqref="H111">
    <cfRule type="cellIs" dxfId="1259" priority="1198" operator="equal">
      <formula>"U/P"</formula>
    </cfRule>
    <cfRule type="cellIs" dxfId="1258" priority="1199" operator="equal">
      <formula>"F"</formula>
    </cfRule>
    <cfRule type="cellIs" dxfId="1257" priority="1200" operator="equal">
      <formula>"F"</formula>
    </cfRule>
  </conditionalFormatting>
  <conditionalFormatting sqref="H119">
    <cfRule type="cellIs" dxfId="1256" priority="1162" operator="equal">
      <formula>"U/P"</formula>
    </cfRule>
    <cfRule type="cellIs" dxfId="1255" priority="1163" operator="equal">
      <formula>"F"</formula>
    </cfRule>
    <cfRule type="cellIs" dxfId="1254" priority="1164" operator="equal">
      <formula>"F"</formula>
    </cfRule>
  </conditionalFormatting>
  <conditionalFormatting sqref="H127">
    <cfRule type="cellIs" dxfId="1253" priority="1126" operator="equal">
      <formula>"U/P"</formula>
    </cfRule>
    <cfRule type="cellIs" dxfId="1252" priority="1127" operator="equal">
      <formula>"F"</formula>
    </cfRule>
    <cfRule type="cellIs" dxfId="1251" priority="1128" operator="equal">
      <formula>"F"</formula>
    </cfRule>
  </conditionalFormatting>
  <conditionalFormatting sqref="H135">
    <cfRule type="cellIs" dxfId="1250" priority="1774" operator="equal">
      <formula>"U/P"</formula>
    </cfRule>
    <cfRule type="cellIs" dxfId="1249" priority="1775" operator="equal">
      <formula>"F"</formula>
    </cfRule>
    <cfRule type="cellIs" dxfId="1248" priority="1776" operator="equal">
      <formula>"F"</formula>
    </cfRule>
  </conditionalFormatting>
  <conditionalFormatting sqref="H143">
    <cfRule type="cellIs" dxfId="1247" priority="1753" operator="equal">
      <formula>"U/P"</formula>
    </cfRule>
    <cfRule type="cellIs" dxfId="1246" priority="1754" operator="equal">
      <formula>"F"</formula>
    </cfRule>
    <cfRule type="cellIs" dxfId="1245" priority="1755" operator="equal">
      <formula>"F"</formula>
    </cfRule>
  </conditionalFormatting>
  <conditionalFormatting sqref="H151">
    <cfRule type="cellIs" dxfId="1244" priority="1036" operator="equal">
      <formula>"U/P"</formula>
    </cfRule>
    <cfRule type="cellIs" dxfId="1243" priority="1037" operator="equal">
      <formula>"F"</formula>
    </cfRule>
    <cfRule type="cellIs" dxfId="1242" priority="1038" operator="equal">
      <formula>"F"</formula>
    </cfRule>
  </conditionalFormatting>
  <conditionalFormatting sqref="H159">
    <cfRule type="cellIs" dxfId="1241" priority="1000" operator="equal">
      <formula>"U/P"</formula>
    </cfRule>
    <cfRule type="cellIs" dxfId="1240" priority="1001" operator="equal">
      <formula>"F"</formula>
    </cfRule>
    <cfRule type="cellIs" dxfId="1239" priority="1002" operator="equal">
      <formula>"F"</formula>
    </cfRule>
  </conditionalFormatting>
  <conditionalFormatting sqref="H167">
    <cfRule type="cellIs" dxfId="1238" priority="958" operator="equal">
      <formula>"U/P"</formula>
    </cfRule>
    <cfRule type="cellIs" dxfId="1237" priority="959" operator="equal">
      <formula>"F"</formula>
    </cfRule>
    <cfRule type="cellIs" dxfId="1236" priority="960" operator="equal">
      <formula>"F"</formula>
    </cfRule>
  </conditionalFormatting>
  <conditionalFormatting sqref="H170">
    <cfRule type="cellIs" dxfId="1235" priority="230" operator="equal">
      <formula>0</formula>
    </cfRule>
  </conditionalFormatting>
  <conditionalFormatting sqref="H175">
    <cfRule type="cellIs" dxfId="1234" priority="916" operator="equal">
      <formula>"U/P"</formula>
    </cfRule>
    <cfRule type="cellIs" dxfId="1233" priority="917" operator="equal">
      <formula>"F"</formula>
    </cfRule>
    <cfRule type="cellIs" dxfId="1232" priority="918" operator="equal">
      <formula>"F"</formula>
    </cfRule>
  </conditionalFormatting>
  <conditionalFormatting sqref="H183">
    <cfRule type="cellIs" dxfId="1231" priority="883" operator="equal">
      <formula>"U/P"</formula>
    </cfRule>
    <cfRule type="cellIs" dxfId="1230" priority="884" operator="equal">
      <formula>"F"</formula>
    </cfRule>
    <cfRule type="cellIs" dxfId="1229" priority="885" operator="equal">
      <formula>"F"</formula>
    </cfRule>
  </conditionalFormatting>
  <conditionalFormatting sqref="H191">
    <cfRule type="cellIs" dxfId="1228" priority="844" operator="equal">
      <formula>"U/P"</formula>
    </cfRule>
    <cfRule type="cellIs" dxfId="1227" priority="845" operator="equal">
      <formula>"F"</formula>
    </cfRule>
    <cfRule type="cellIs" dxfId="1226" priority="846" operator="equal">
      <formula>"F"</formula>
    </cfRule>
  </conditionalFormatting>
  <conditionalFormatting sqref="H199">
    <cfRule type="cellIs" dxfId="1225" priority="1708" operator="equal">
      <formula>"U/P"</formula>
    </cfRule>
    <cfRule type="cellIs" dxfId="1224" priority="1709" operator="equal">
      <formula>"F"</formula>
    </cfRule>
    <cfRule type="cellIs" dxfId="1223" priority="1710" operator="equal">
      <formula>"F"</formula>
    </cfRule>
  </conditionalFormatting>
  <conditionalFormatting sqref="H207">
    <cfRule type="cellIs" dxfId="1222" priority="1690" operator="equal">
      <formula>"U/P"</formula>
    </cfRule>
    <cfRule type="cellIs" dxfId="1221" priority="1691" operator="equal">
      <formula>"F"</formula>
    </cfRule>
    <cfRule type="cellIs" dxfId="1220" priority="1692" operator="equal">
      <formula>"F"</formula>
    </cfRule>
  </conditionalFormatting>
  <conditionalFormatting sqref="H215">
    <cfRule type="cellIs" dxfId="1219" priority="772" operator="equal">
      <formula>"U/P"</formula>
    </cfRule>
    <cfRule type="cellIs" dxfId="1218" priority="773" operator="equal">
      <formula>"F"</formula>
    </cfRule>
    <cfRule type="cellIs" dxfId="1217" priority="774" operator="equal">
      <formula>"F"</formula>
    </cfRule>
  </conditionalFormatting>
  <conditionalFormatting sqref="H223">
    <cfRule type="cellIs" dxfId="1216" priority="197" operator="equal">
      <formula>"U/P"</formula>
    </cfRule>
    <cfRule type="cellIs" dxfId="1215" priority="198" operator="equal">
      <formula>"F"</formula>
    </cfRule>
    <cfRule type="cellIs" dxfId="1214" priority="199" operator="equal">
      <formula>"F"</formula>
    </cfRule>
  </conditionalFormatting>
  <conditionalFormatting sqref="H231">
    <cfRule type="cellIs" dxfId="1213" priority="676" operator="equal">
      <formula>"U/P"</formula>
    </cfRule>
    <cfRule type="cellIs" dxfId="1212" priority="677" operator="equal">
      <formula>"F"</formula>
    </cfRule>
    <cfRule type="cellIs" dxfId="1211" priority="678" operator="equal">
      <formula>"F"</formula>
    </cfRule>
  </conditionalFormatting>
  <conditionalFormatting sqref="H239">
    <cfRule type="cellIs" dxfId="1210" priority="634" operator="equal">
      <formula>"U/P"</formula>
    </cfRule>
    <cfRule type="cellIs" dxfId="1209" priority="635" operator="equal">
      <formula>"F"</formula>
    </cfRule>
    <cfRule type="cellIs" dxfId="1208" priority="636" operator="equal">
      <formula>"F"</formula>
    </cfRule>
  </conditionalFormatting>
  <conditionalFormatting sqref="H247">
    <cfRule type="cellIs" dxfId="1207" priority="592" operator="equal">
      <formula>"U/P"</formula>
    </cfRule>
    <cfRule type="cellIs" dxfId="1206" priority="593" operator="equal">
      <formula>"F"</formula>
    </cfRule>
    <cfRule type="cellIs" dxfId="1205" priority="594" operator="equal">
      <formula>"F"</formula>
    </cfRule>
  </conditionalFormatting>
  <conditionalFormatting sqref="H255">
    <cfRule type="cellIs" dxfId="1204" priority="550" operator="equal">
      <formula>"U/P"</formula>
    </cfRule>
    <cfRule type="cellIs" dxfId="1203" priority="551" operator="equal">
      <formula>"F"</formula>
    </cfRule>
    <cfRule type="cellIs" dxfId="1202" priority="552" operator="equal">
      <formula>"F"</formula>
    </cfRule>
  </conditionalFormatting>
  <conditionalFormatting sqref="H263">
    <cfRule type="cellIs" dxfId="1201" priority="148" operator="equal">
      <formula>"U/P"</formula>
    </cfRule>
    <cfRule type="cellIs" dxfId="1200" priority="149" operator="equal">
      <formula>"F"</formula>
    </cfRule>
    <cfRule type="cellIs" dxfId="1199" priority="150" operator="equal">
      <formula>"F"</formula>
    </cfRule>
  </conditionalFormatting>
  <conditionalFormatting sqref="H271">
    <cfRule type="cellIs" dxfId="1198" priority="466" operator="equal">
      <formula>"U/P"</formula>
    </cfRule>
    <cfRule type="cellIs" dxfId="1197" priority="467" operator="equal">
      <formula>"F"</formula>
    </cfRule>
    <cfRule type="cellIs" dxfId="1196" priority="468" operator="equal">
      <formula>"F"</formula>
    </cfRule>
  </conditionalFormatting>
  <conditionalFormatting sqref="H279">
    <cfRule type="cellIs" dxfId="1195" priority="424" operator="equal">
      <formula>"U/P"</formula>
    </cfRule>
    <cfRule type="cellIs" dxfId="1194" priority="425" operator="equal">
      <formula>"F"</formula>
    </cfRule>
    <cfRule type="cellIs" dxfId="1193" priority="426" operator="equal">
      <formula>"F"</formula>
    </cfRule>
  </conditionalFormatting>
  <conditionalFormatting sqref="H287">
    <cfRule type="cellIs" dxfId="1192" priority="31" operator="equal">
      <formula>"U/P"</formula>
    </cfRule>
    <cfRule type="cellIs" dxfId="1191" priority="32" operator="equal">
      <formula>"F"</formula>
    </cfRule>
    <cfRule type="cellIs" dxfId="1190" priority="33" operator="equal">
      <formula>"F"</formula>
    </cfRule>
  </conditionalFormatting>
  <conditionalFormatting sqref="H295">
    <cfRule type="cellIs" dxfId="1189" priority="88" operator="equal">
      <formula>"U/P"</formula>
    </cfRule>
    <cfRule type="cellIs" dxfId="1188" priority="89" operator="equal">
      <formula>"F"</formula>
    </cfRule>
    <cfRule type="cellIs" dxfId="1187" priority="90" operator="equal">
      <formula>"F"</formula>
    </cfRule>
  </conditionalFormatting>
  <conditionalFormatting sqref="H303">
    <cfRule type="cellIs" dxfId="1186" priority="109" operator="equal">
      <formula>"U/P"</formula>
    </cfRule>
    <cfRule type="cellIs" dxfId="1185" priority="110" operator="equal">
      <formula>"F"</formula>
    </cfRule>
    <cfRule type="cellIs" dxfId="1184" priority="111" operator="equal">
      <formula>"F"</formula>
    </cfRule>
  </conditionalFormatting>
  <conditionalFormatting sqref="H310">
    <cfRule type="cellIs" dxfId="1183" priority="232" operator="equal">
      <formula>"U/P"</formula>
    </cfRule>
    <cfRule type="cellIs" dxfId="1182" priority="233" operator="equal">
      <formula>"F"</formula>
    </cfRule>
    <cfRule type="cellIs" dxfId="1181" priority="234" operator="equal">
      <formula>"F"</formula>
    </cfRule>
  </conditionalFormatting>
  <conditionalFormatting sqref="J23">
    <cfRule type="cellIs" dxfId="1180" priority="1657" operator="equal">
      <formula>"U/P"</formula>
    </cfRule>
    <cfRule type="cellIs" dxfId="1179" priority="1658" operator="equal">
      <formula>"F"</formula>
    </cfRule>
    <cfRule type="cellIs" dxfId="1178" priority="1659" operator="equal">
      <formula>"F"</formula>
    </cfRule>
  </conditionalFormatting>
  <conditionalFormatting sqref="J31">
    <cfRule type="cellIs" dxfId="1177" priority="1615" operator="equal">
      <formula>"U/P"</formula>
    </cfRule>
    <cfRule type="cellIs" dxfId="1176" priority="1616" operator="equal">
      <formula>"F"</formula>
    </cfRule>
    <cfRule type="cellIs" dxfId="1175" priority="1617" operator="equal">
      <formula>"F"</formula>
    </cfRule>
  </conditionalFormatting>
  <conditionalFormatting sqref="J39">
    <cfRule type="cellIs" dxfId="1174" priority="1573" operator="equal">
      <formula>"U/P"</formula>
    </cfRule>
    <cfRule type="cellIs" dxfId="1173" priority="1574" operator="equal">
      <formula>"F"</formula>
    </cfRule>
    <cfRule type="cellIs" dxfId="1172" priority="1575" operator="equal">
      <formula>"F"</formula>
    </cfRule>
  </conditionalFormatting>
  <conditionalFormatting sqref="J47">
    <cfRule type="cellIs" dxfId="1171" priority="1531" operator="equal">
      <formula>"U/P"</formula>
    </cfRule>
    <cfRule type="cellIs" dxfId="1170" priority="1532" operator="equal">
      <formula>"F"</formula>
    </cfRule>
    <cfRule type="cellIs" dxfId="1169" priority="1533" operator="equal">
      <formula>"F"</formula>
    </cfRule>
  </conditionalFormatting>
  <conditionalFormatting sqref="J55">
    <cfRule type="cellIs" dxfId="1168" priority="1489" operator="equal">
      <formula>"U/P"</formula>
    </cfRule>
    <cfRule type="cellIs" dxfId="1167" priority="1490" operator="equal">
      <formula>"F"</formula>
    </cfRule>
    <cfRule type="cellIs" dxfId="1166" priority="1491" operator="equal">
      <formula>"F"</formula>
    </cfRule>
  </conditionalFormatting>
  <conditionalFormatting sqref="J63">
    <cfRule type="cellIs" dxfId="1165" priority="1447" operator="equal">
      <formula>"U/P"</formula>
    </cfRule>
    <cfRule type="cellIs" dxfId="1164" priority="1448" operator="equal">
      <formula>"F"</formula>
    </cfRule>
    <cfRule type="cellIs" dxfId="1163" priority="1449" operator="equal">
      <formula>"F"</formula>
    </cfRule>
  </conditionalFormatting>
  <conditionalFormatting sqref="J71">
    <cfRule type="cellIs" dxfId="1162" priority="1405" operator="equal">
      <formula>"U/P"</formula>
    </cfRule>
    <cfRule type="cellIs" dxfId="1161" priority="1406" operator="equal">
      <formula>"F"</formula>
    </cfRule>
    <cfRule type="cellIs" dxfId="1160" priority="1407" operator="equal">
      <formula>"F"</formula>
    </cfRule>
  </conditionalFormatting>
  <conditionalFormatting sqref="J79">
    <cfRule type="cellIs" dxfId="1159" priority="1363" operator="equal">
      <formula>"U/P"</formula>
    </cfRule>
    <cfRule type="cellIs" dxfId="1158" priority="1364" operator="equal">
      <formula>"F"</formula>
    </cfRule>
    <cfRule type="cellIs" dxfId="1157" priority="1365" operator="equal">
      <formula>"F"</formula>
    </cfRule>
  </conditionalFormatting>
  <conditionalFormatting sqref="J87">
    <cfRule type="cellIs" dxfId="1156" priority="1321" operator="equal">
      <formula>"U/P"</formula>
    </cfRule>
    <cfRule type="cellIs" dxfId="1155" priority="1322" operator="equal">
      <formula>"F"</formula>
    </cfRule>
    <cfRule type="cellIs" dxfId="1154" priority="1323" operator="equal">
      <formula>"F"</formula>
    </cfRule>
  </conditionalFormatting>
  <conditionalFormatting sqref="J95">
    <cfRule type="cellIs" dxfId="1153" priority="1279" operator="equal">
      <formula>"U/P"</formula>
    </cfRule>
    <cfRule type="cellIs" dxfId="1152" priority="1280" operator="equal">
      <formula>"F"</formula>
    </cfRule>
    <cfRule type="cellIs" dxfId="1151" priority="1281" operator="equal">
      <formula>"F"</formula>
    </cfRule>
  </conditionalFormatting>
  <conditionalFormatting sqref="J103">
    <cfRule type="cellIs" dxfId="1150" priority="1237" operator="equal">
      <formula>"U/P"</formula>
    </cfRule>
    <cfRule type="cellIs" dxfId="1149" priority="1238" operator="equal">
      <formula>"F"</formula>
    </cfRule>
    <cfRule type="cellIs" dxfId="1148" priority="1239" operator="equal">
      <formula>"F"</formula>
    </cfRule>
  </conditionalFormatting>
  <conditionalFormatting sqref="J111">
    <cfRule type="cellIs" dxfId="1147" priority="1195" operator="equal">
      <formula>"U/P"</formula>
    </cfRule>
    <cfRule type="cellIs" dxfId="1146" priority="1196" operator="equal">
      <formula>"F"</formula>
    </cfRule>
    <cfRule type="cellIs" dxfId="1145" priority="1197" operator="equal">
      <formula>"F"</formula>
    </cfRule>
  </conditionalFormatting>
  <conditionalFormatting sqref="J119">
    <cfRule type="cellIs" dxfId="1144" priority="1159" operator="equal">
      <formula>"U/P"</formula>
    </cfRule>
    <cfRule type="cellIs" dxfId="1143" priority="1160" operator="equal">
      <formula>"F"</formula>
    </cfRule>
    <cfRule type="cellIs" dxfId="1142" priority="1161" operator="equal">
      <formula>"F"</formula>
    </cfRule>
  </conditionalFormatting>
  <conditionalFormatting sqref="J127">
    <cfRule type="cellIs" dxfId="1141" priority="1123" operator="equal">
      <formula>"U/P"</formula>
    </cfRule>
    <cfRule type="cellIs" dxfId="1140" priority="1124" operator="equal">
      <formula>"F"</formula>
    </cfRule>
    <cfRule type="cellIs" dxfId="1139" priority="1125" operator="equal">
      <formula>"F"</formula>
    </cfRule>
  </conditionalFormatting>
  <conditionalFormatting sqref="J135">
    <cfRule type="cellIs" dxfId="1138" priority="1084" operator="equal">
      <formula>"U/P"</formula>
    </cfRule>
    <cfRule type="cellIs" dxfId="1137" priority="1085" operator="equal">
      <formula>"F"</formula>
    </cfRule>
    <cfRule type="cellIs" dxfId="1136" priority="1086" operator="equal">
      <formula>"F"</formula>
    </cfRule>
  </conditionalFormatting>
  <conditionalFormatting sqref="J143">
    <cfRule type="cellIs" dxfId="1135" priority="1069" operator="equal">
      <formula>"U/P"</formula>
    </cfRule>
    <cfRule type="cellIs" dxfId="1134" priority="1070" operator="equal">
      <formula>"F"</formula>
    </cfRule>
    <cfRule type="cellIs" dxfId="1133" priority="1071" operator="equal">
      <formula>"F"</formula>
    </cfRule>
  </conditionalFormatting>
  <conditionalFormatting sqref="J151">
    <cfRule type="cellIs" dxfId="1132" priority="1033" operator="equal">
      <formula>"U/P"</formula>
    </cfRule>
    <cfRule type="cellIs" dxfId="1131" priority="1034" operator="equal">
      <formula>"F"</formula>
    </cfRule>
    <cfRule type="cellIs" dxfId="1130" priority="1035" operator="equal">
      <formula>"F"</formula>
    </cfRule>
  </conditionalFormatting>
  <conditionalFormatting sqref="J159">
    <cfRule type="cellIs" dxfId="1129" priority="997" operator="equal">
      <formula>"U/P"</formula>
    </cfRule>
    <cfRule type="cellIs" dxfId="1128" priority="998" operator="equal">
      <formula>"F"</formula>
    </cfRule>
    <cfRule type="cellIs" dxfId="1127" priority="999" operator="equal">
      <formula>"F"</formula>
    </cfRule>
  </conditionalFormatting>
  <conditionalFormatting sqref="J167">
    <cfRule type="cellIs" dxfId="1126" priority="955" operator="equal">
      <formula>"U/P"</formula>
    </cfRule>
    <cfRule type="cellIs" dxfId="1125" priority="956" operator="equal">
      <formula>"F"</formula>
    </cfRule>
    <cfRule type="cellIs" dxfId="1124" priority="957" operator="equal">
      <formula>"F"</formula>
    </cfRule>
  </conditionalFormatting>
  <conditionalFormatting sqref="J175">
    <cfRule type="cellIs" dxfId="1123" priority="913" operator="equal">
      <formula>"U/P"</formula>
    </cfRule>
    <cfRule type="cellIs" dxfId="1122" priority="914" operator="equal">
      <formula>"F"</formula>
    </cfRule>
    <cfRule type="cellIs" dxfId="1121" priority="915" operator="equal">
      <formula>"F"</formula>
    </cfRule>
  </conditionalFormatting>
  <conditionalFormatting sqref="J183">
    <cfRule type="cellIs" dxfId="1120" priority="880" operator="equal">
      <formula>"U/P"</formula>
    </cfRule>
    <cfRule type="cellIs" dxfId="1119" priority="881" operator="equal">
      <formula>"F"</formula>
    </cfRule>
    <cfRule type="cellIs" dxfId="1118" priority="882" operator="equal">
      <formula>"F"</formula>
    </cfRule>
  </conditionalFormatting>
  <conditionalFormatting sqref="J191">
    <cfRule type="cellIs" dxfId="1117" priority="1726" operator="equal">
      <formula>"U/P"</formula>
    </cfRule>
    <cfRule type="cellIs" dxfId="1116" priority="1727" operator="equal">
      <formula>"F"</formula>
    </cfRule>
    <cfRule type="cellIs" dxfId="1115" priority="1728" operator="equal">
      <formula>"F"</formula>
    </cfRule>
  </conditionalFormatting>
  <conditionalFormatting sqref="J199">
    <cfRule type="cellIs" dxfId="1114" priority="820" operator="equal">
      <formula>"U/P"</formula>
    </cfRule>
    <cfRule type="cellIs" dxfId="1113" priority="821" operator="equal">
      <formula>"F"</formula>
    </cfRule>
    <cfRule type="cellIs" dxfId="1112" priority="822" operator="equal">
      <formula>"F"</formula>
    </cfRule>
  </conditionalFormatting>
  <conditionalFormatting sqref="J207">
    <cfRule type="cellIs" dxfId="1111" priority="1687" operator="equal">
      <formula>"U/P"</formula>
    </cfRule>
    <cfRule type="cellIs" dxfId="1110" priority="1688" operator="equal">
      <formula>"F"</formula>
    </cfRule>
    <cfRule type="cellIs" dxfId="1109" priority="1689" operator="equal">
      <formula>"F"</formula>
    </cfRule>
  </conditionalFormatting>
  <conditionalFormatting sqref="J215">
    <cfRule type="cellIs" dxfId="1108" priority="1672" operator="equal">
      <formula>"U/P"</formula>
    </cfRule>
    <cfRule type="cellIs" dxfId="1107" priority="1673" operator="equal">
      <formula>"F"</formula>
    </cfRule>
    <cfRule type="cellIs" dxfId="1106" priority="1674" operator="equal">
      <formula>"F"</formula>
    </cfRule>
  </conditionalFormatting>
  <conditionalFormatting sqref="J223">
    <cfRule type="cellIs" dxfId="1105" priority="188" operator="equal">
      <formula>"U/P"</formula>
    </cfRule>
    <cfRule type="cellIs" dxfId="1104" priority="189" operator="equal">
      <formula>"F"</formula>
    </cfRule>
    <cfRule type="cellIs" dxfId="1103" priority="190" operator="equal">
      <formula>"F"</formula>
    </cfRule>
  </conditionalFormatting>
  <conditionalFormatting sqref="J231">
    <cfRule type="cellIs" dxfId="1102" priority="688" operator="equal">
      <formula>"U/P"</formula>
    </cfRule>
    <cfRule type="cellIs" dxfId="1101" priority="689" operator="equal">
      <formula>"F"</formula>
    </cfRule>
    <cfRule type="cellIs" dxfId="1100" priority="690" operator="equal">
      <formula>"F"</formula>
    </cfRule>
  </conditionalFormatting>
  <conditionalFormatting sqref="J239">
    <cfRule type="cellIs" dxfId="1099" priority="58" operator="equal">
      <formula>"U/P"</formula>
    </cfRule>
    <cfRule type="cellIs" dxfId="1098" priority="59" operator="equal">
      <formula>"F"</formula>
    </cfRule>
    <cfRule type="cellIs" dxfId="1097" priority="60" operator="equal">
      <formula>"F"</formula>
    </cfRule>
  </conditionalFormatting>
  <conditionalFormatting sqref="J247">
    <cfRule type="cellIs" dxfId="1096" priority="604" operator="equal">
      <formula>"U/P"</formula>
    </cfRule>
    <cfRule type="cellIs" dxfId="1095" priority="605" operator="equal">
      <formula>"F"</formula>
    </cfRule>
    <cfRule type="cellIs" dxfId="1094" priority="606" operator="equal">
      <formula>"F"</formula>
    </cfRule>
  </conditionalFormatting>
  <conditionalFormatting sqref="J255">
    <cfRule type="cellIs" dxfId="1093" priority="562" operator="equal">
      <formula>"U/P"</formula>
    </cfRule>
    <cfRule type="cellIs" dxfId="1092" priority="563" operator="equal">
      <formula>"F"</formula>
    </cfRule>
    <cfRule type="cellIs" dxfId="1091" priority="564" operator="equal">
      <formula>"F"</formula>
    </cfRule>
  </conditionalFormatting>
  <conditionalFormatting sqref="J263">
    <cfRule type="cellIs" dxfId="1090" priority="160" operator="equal">
      <formula>"U/P"</formula>
    </cfRule>
    <cfRule type="cellIs" dxfId="1089" priority="161" operator="equal">
      <formula>"F"</formula>
    </cfRule>
    <cfRule type="cellIs" dxfId="1088" priority="162" operator="equal">
      <formula>"F"</formula>
    </cfRule>
  </conditionalFormatting>
  <conditionalFormatting sqref="J271">
    <cfRule type="cellIs" dxfId="1087" priority="478" operator="equal">
      <formula>"U/P"</formula>
    </cfRule>
    <cfRule type="cellIs" dxfId="1086" priority="479" operator="equal">
      <formula>"F"</formula>
    </cfRule>
    <cfRule type="cellIs" dxfId="1085" priority="480" operator="equal">
      <formula>"F"</formula>
    </cfRule>
  </conditionalFormatting>
  <conditionalFormatting sqref="J279">
    <cfRule type="cellIs" dxfId="1084" priority="436" operator="equal">
      <formula>"U/P"</formula>
    </cfRule>
    <cfRule type="cellIs" dxfId="1083" priority="437" operator="equal">
      <formula>"F"</formula>
    </cfRule>
    <cfRule type="cellIs" dxfId="1082" priority="438" operator="equal">
      <formula>"F"</formula>
    </cfRule>
  </conditionalFormatting>
  <conditionalFormatting sqref="J287">
    <cfRule type="cellIs" dxfId="1081" priority="13" operator="equal">
      <formula>"U/P"</formula>
    </cfRule>
    <cfRule type="cellIs" dxfId="1080" priority="14" operator="equal">
      <formula>"F"</formula>
    </cfRule>
    <cfRule type="cellIs" dxfId="1079" priority="15" operator="equal">
      <formula>"F"</formula>
    </cfRule>
  </conditionalFormatting>
  <conditionalFormatting sqref="J295">
    <cfRule type="cellIs" dxfId="1078" priority="100" operator="equal">
      <formula>"U/P"</formula>
    </cfRule>
    <cfRule type="cellIs" dxfId="1077" priority="101" operator="equal">
      <formula>"F"</formula>
    </cfRule>
    <cfRule type="cellIs" dxfId="1076" priority="102" operator="equal">
      <formula>"F"</formula>
    </cfRule>
  </conditionalFormatting>
  <conditionalFormatting sqref="J303">
    <cfRule type="cellIs" dxfId="1075" priority="118" operator="equal">
      <formula>"U/P"</formula>
    </cfRule>
    <cfRule type="cellIs" dxfId="1074" priority="119" operator="equal">
      <formula>"F"</formula>
    </cfRule>
    <cfRule type="cellIs" dxfId="1073" priority="120" operator="equal">
      <formula>"F"</formula>
    </cfRule>
  </conditionalFormatting>
  <conditionalFormatting sqref="J310">
    <cfRule type="cellIs" dxfId="1072" priority="268" operator="equal">
      <formula>"U/P"</formula>
    </cfRule>
    <cfRule type="cellIs" dxfId="1071" priority="269" operator="equal">
      <formula>"F"</formula>
    </cfRule>
    <cfRule type="cellIs" dxfId="1070" priority="270" operator="equal">
      <formula>"F"</formula>
    </cfRule>
  </conditionalFormatting>
  <conditionalFormatting sqref="L23">
    <cfRule type="cellIs" dxfId="1069" priority="1654" operator="equal">
      <formula>"U/P"</formula>
    </cfRule>
    <cfRule type="cellIs" dxfId="1068" priority="1655" operator="equal">
      <formula>"F"</formula>
    </cfRule>
    <cfRule type="cellIs" dxfId="1067" priority="1656" operator="equal">
      <formula>"F"</formula>
    </cfRule>
  </conditionalFormatting>
  <conditionalFormatting sqref="L31">
    <cfRule type="cellIs" dxfId="1066" priority="1612" operator="equal">
      <formula>"U/P"</formula>
    </cfRule>
    <cfRule type="cellIs" dxfId="1065" priority="1613" operator="equal">
      <formula>"F"</formula>
    </cfRule>
    <cfRule type="cellIs" dxfId="1064" priority="1614" operator="equal">
      <formula>"F"</formula>
    </cfRule>
  </conditionalFormatting>
  <conditionalFormatting sqref="L39">
    <cfRule type="cellIs" dxfId="1063" priority="1570" operator="equal">
      <formula>"U/P"</formula>
    </cfRule>
    <cfRule type="cellIs" dxfId="1062" priority="1571" operator="equal">
      <formula>"F"</formula>
    </cfRule>
    <cfRule type="cellIs" dxfId="1061" priority="1572" operator="equal">
      <formula>"F"</formula>
    </cfRule>
  </conditionalFormatting>
  <conditionalFormatting sqref="L47">
    <cfRule type="cellIs" dxfId="1060" priority="1528" operator="equal">
      <formula>"U/P"</formula>
    </cfRule>
    <cfRule type="cellIs" dxfId="1059" priority="1529" operator="equal">
      <formula>"F"</formula>
    </cfRule>
    <cfRule type="cellIs" dxfId="1058" priority="1530" operator="equal">
      <formula>"F"</formula>
    </cfRule>
  </conditionalFormatting>
  <conditionalFormatting sqref="L55">
    <cfRule type="cellIs" dxfId="1057" priority="1486" operator="equal">
      <formula>"U/P"</formula>
    </cfRule>
    <cfRule type="cellIs" dxfId="1056" priority="1487" operator="equal">
      <formula>"F"</formula>
    </cfRule>
    <cfRule type="cellIs" dxfId="1055" priority="1488" operator="equal">
      <formula>"F"</formula>
    </cfRule>
  </conditionalFormatting>
  <conditionalFormatting sqref="L63">
    <cfRule type="cellIs" dxfId="1054" priority="1444" operator="equal">
      <formula>"U/P"</formula>
    </cfRule>
    <cfRule type="cellIs" dxfId="1053" priority="1445" operator="equal">
      <formula>"F"</formula>
    </cfRule>
    <cfRule type="cellIs" dxfId="1052" priority="1446" operator="equal">
      <formula>"F"</formula>
    </cfRule>
  </conditionalFormatting>
  <conditionalFormatting sqref="L71">
    <cfRule type="cellIs" dxfId="1051" priority="1402" operator="equal">
      <formula>"U/P"</formula>
    </cfRule>
    <cfRule type="cellIs" dxfId="1050" priority="1403" operator="equal">
      <formula>"F"</formula>
    </cfRule>
    <cfRule type="cellIs" dxfId="1049" priority="1404" operator="equal">
      <formula>"F"</formula>
    </cfRule>
  </conditionalFormatting>
  <conditionalFormatting sqref="L79">
    <cfRule type="cellIs" dxfId="1048" priority="1360" operator="equal">
      <formula>"U/P"</formula>
    </cfRule>
    <cfRule type="cellIs" dxfId="1047" priority="1361" operator="equal">
      <formula>"F"</formula>
    </cfRule>
    <cfRule type="cellIs" dxfId="1046" priority="1362" operator="equal">
      <formula>"F"</formula>
    </cfRule>
  </conditionalFormatting>
  <conditionalFormatting sqref="L87">
    <cfRule type="cellIs" dxfId="1045" priority="1318" operator="equal">
      <formula>"U/P"</formula>
    </cfRule>
    <cfRule type="cellIs" dxfId="1044" priority="1319" operator="equal">
      <formula>"F"</formula>
    </cfRule>
    <cfRule type="cellIs" dxfId="1043" priority="1320" operator="equal">
      <formula>"F"</formula>
    </cfRule>
  </conditionalFormatting>
  <conditionalFormatting sqref="L95">
    <cfRule type="cellIs" dxfId="1042" priority="1276" operator="equal">
      <formula>"U/P"</formula>
    </cfRule>
    <cfRule type="cellIs" dxfId="1041" priority="1277" operator="equal">
      <formula>"F"</formula>
    </cfRule>
    <cfRule type="cellIs" dxfId="1040" priority="1278" operator="equal">
      <formula>"F"</formula>
    </cfRule>
  </conditionalFormatting>
  <conditionalFormatting sqref="L103">
    <cfRule type="cellIs" dxfId="1039" priority="19" operator="equal">
      <formula>"U/P"</formula>
    </cfRule>
    <cfRule type="cellIs" dxfId="1038" priority="20" operator="equal">
      <formula>"F"</formula>
    </cfRule>
    <cfRule type="cellIs" dxfId="1037" priority="21" operator="equal">
      <formula>"F"</formula>
    </cfRule>
  </conditionalFormatting>
  <conditionalFormatting sqref="L111">
    <cfRule type="cellIs" dxfId="1036" priority="1192" operator="equal">
      <formula>"U/P"</formula>
    </cfRule>
    <cfRule type="cellIs" dxfId="1035" priority="1193" operator="equal">
      <formula>"F"</formula>
    </cfRule>
    <cfRule type="cellIs" dxfId="1034" priority="1194" operator="equal">
      <formula>"F"</formula>
    </cfRule>
  </conditionalFormatting>
  <conditionalFormatting sqref="L119">
    <cfRule type="cellIs" dxfId="1033" priority="1156" operator="equal">
      <formula>"U/P"</formula>
    </cfRule>
    <cfRule type="cellIs" dxfId="1032" priority="1157" operator="equal">
      <formula>"F"</formula>
    </cfRule>
    <cfRule type="cellIs" dxfId="1031" priority="1158" operator="equal">
      <formula>"F"</formula>
    </cfRule>
  </conditionalFormatting>
  <conditionalFormatting sqref="L127">
    <cfRule type="cellIs" dxfId="1030" priority="1120" operator="equal">
      <formula>"U/P"</formula>
    </cfRule>
    <cfRule type="cellIs" dxfId="1029" priority="1121" operator="equal">
      <formula>"F"</formula>
    </cfRule>
    <cfRule type="cellIs" dxfId="1028" priority="1122" operator="equal">
      <formula>"F"</formula>
    </cfRule>
  </conditionalFormatting>
  <conditionalFormatting sqref="L135">
    <cfRule type="cellIs" dxfId="1027" priority="1771" operator="equal">
      <formula>"U/P"</formula>
    </cfRule>
    <cfRule type="cellIs" dxfId="1026" priority="1772" operator="equal">
      <formula>"F"</formula>
    </cfRule>
    <cfRule type="cellIs" dxfId="1025" priority="1773" operator="equal">
      <formula>"F"</formula>
    </cfRule>
  </conditionalFormatting>
  <conditionalFormatting sqref="L143">
    <cfRule type="cellIs" dxfId="1024" priority="1066" operator="equal">
      <formula>"U/P"</formula>
    </cfRule>
    <cfRule type="cellIs" dxfId="1023" priority="1067" operator="equal">
      <formula>"F"</formula>
    </cfRule>
    <cfRule type="cellIs" dxfId="1022" priority="1068" operator="equal">
      <formula>"F"</formula>
    </cfRule>
  </conditionalFormatting>
  <conditionalFormatting sqref="L151">
    <cfRule type="cellIs" dxfId="1021" priority="1030" operator="equal">
      <formula>"U/P"</formula>
    </cfRule>
    <cfRule type="cellIs" dxfId="1020" priority="1031" operator="equal">
      <formula>"F"</formula>
    </cfRule>
    <cfRule type="cellIs" dxfId="1019" priority="1032" operator="equal">
      <formula>"F"</formula>
    </cfRule>
  </conditionalFormatting>
  <conditionalFormatting sqref="L159">
    <cfRule type="cellIs" dxfId="1018" priority="994" operator="equal">
      <formula>"U/P"</formula>
    </cfRule>
    <cfRule type="cellIs" dxfId="1017" priority="995" operator="equal">
      <formula>"F"</formula>
    </cfRule>
    <cfRule type="cellIs" dxfId="1016" priority="996" operator="equal">
      <formula>"F"</formula>
    </cfRule>
  </conditionalFormatting>
  <conditionalFormatting sqref="L167">
    <cfRule type="cellIs" dxfId="1015" priority="952" operator="equal">
      <formula>"U/P"</formula>
    </cfRule>
    <cfRule type="cellIs" dxfId="1014" priority="953" operator="equal">
      <formula>"F"</formula>
    </cfRule>
    <cfRule type="cellIs" dxfId="1013" priority="954" operator="equal">
      <formula>"F"</formula>
    </cfRule>
  </conditionalFormatting>
  <conditionalFormatting sqref="L175">
    <cfRule type="cellIs" dxfId="1012" priority="910" operator="equal">
      <formula>"U/P"</formula>
    </cfRule>
    <cfRule type="cellIs" dxfId="1011" priority="911" operator="equal">
      <formula>"F"</formula>
    </cfRule>
    <cfRule type="cellIs" dxfId="1010" priority="912" operator="equal">
      <formula>"F"</formula>
    </cfRule>
  </conditionalFormatting>
  <conditionalFormatting sqref="L183">
    <cfRule type="cellIs" dxfId="1009" priority="877" operator="equal">
      <formula>"U/P"</formula>
    </cfRule>
    <cfRule type="cellIs" dxfId="1008" priority="878" operator="equal">
      <formula>"F"</formula>
    </cfRule>
    <cfRule type="cellIs" dxfId="1007" priority="879" operator="equal">
      <formula>"F"</formula>
    </cfRule>
  </conditionalFormatting>
  <conditionalFormatting sqref="L191">
    <cfRule type="cellIs" dxfId="1006" priority="1723" operator="equal">
      <formula>"U/P"</formula>
    </cfRule>
    <cfRule type="cellIs" dxfId="1005" priority="1724" operator="equal">
      <formula>"F"</formula>
    </cfRule>
    <cfRule type="cellIs" dxfId="1004" priority="1725" operator="equal">
      <formula>"F"</formula>
    </cfRule>
  </conditionalFormatting>
  <conditionalFormatting sqref="L199">
    <cfRule type="cellIs" dxfId="1003" priority="817" operator="equal">
      <formula>"U/P"</formula>
    </cfRule>
    <cfRule type="cellIs" dxfId="1002" priority="818" operator="equal">
      <formula>"F"</formula>
    </cfRule>
    <cfRule type="cellIs" dxfId="1001" priority="819" operator="equal">
      <formula>"F"</formula>
    </cfRule>
  </conditionalFormatting>
  <conditionalFormatting sqref="L207">
    <cfRule type="cellIs" dxfId="1000" priority="170" operator="equal">
      <formula>"U/P"</formula>
    </cfRule>
    <cfRule type="cellIs" dxfId="999" priority="171" operator="equal">
      <formula>"F"</formula>
    </cfRule>
    <cfRule type="cellIs" dxfId="998" priority="172" operator="equal">
      <formula>"F"</formula>
    </cfRule>
  </conditionalFormatting>
  <conditionalFormatting sqref="L215">
    <cfRule type="cellIs" dxfId="997" priority="176" operator="equal">
      <formula>"U/P"</formula>
    </cfRule>
    <cfRule type="cellIs" dxfId="996" priority="177" operator="equal">
      <formula>"F"</formula>
    </cfRule>
    <cfRule type="cellIs" dxfId="995" priority="178" operator="equal">
      <formula>"F"</formula>
    </cfRule>
  </conditionalFormatting>
  <conditionalFormatting sqref="L223">
    <cfRule type="cellIs" dxfId="994" priority="167" operator="equal">
      <formula>"U/P"</formula>
    </cfRule>
    <cfRule type="cellIs" dxfId="993" priority="168" operator="equal">
      <formula>"F"</formula>
    </cfRule>
    <cfRule type="cellIs" dxfId="992" priority="169" operator="equal">
      <formula>"F"</formula>
    </cfRule>
  </conditionalFormatting>
  <conditionalFormatting sqref="L231">
    <cfRule type="cellIs" dxfId="991" priority="673" operator="equal">
      <formula>"U/P"</formula>
    </cfRule>
    <cfRule type="cellIs" dxfId="990" priority="674" operator="equal">
      <formula>"F"</formula>
    </cfRule>
    <cfRule type="cellIs" dxfId="989" priority="675" operator="equal">
      <formula>"F"</formula>
    </cfRule>
  </conditionalFormatting>
  <conditionalFormatting sqref="L239">
    <cfRule type="cellIs" dxfId="988" priority="631" operator="equal">
      <formula>"U/P"</formula>
    </cfRule>
    <cfRule type="cellIs" dxfId="987" priority="632" operator="equal">
      <formula>"F"</formula>
    </cfRule>
    <cfRule type="cellIs" dxfId="986" priority="633" operator="equal">
      <formula>"F"</formula>
    </cfRule>
  </conditionalFormatting>
  <conditionalFormatting sqref="L247">
    <cfRule type="cellIs" dxfId="985" priority="589" operator="equal">
      <formula>"U/P"</formula>
    </cfRule>
    <cfRule type="cellIs" dxfId="984" priority="590" operator="equal">
      <formula>"F"</formula>
    </cfRule>
    <cfRule type="cellIs" dxfId="983" priority="591" operator="equal">
      <formula>"F"</formula>
    </cfRule>
  </conditionalFormatting>
  <conditionalFormatting sqref="L255">
    <cfRule type="cellIs" dxfId="982" priority="547" operator="equal">
      <formula>"U/P"</formula>
    </cfRule>
    <cfRule type="cellIs" dxfId="981" priority="548" operator="equal">
      <formula>"F"</formula>
    </cfRule>
    <cfRule type="cellIs" dxfId="980" priority="549" operator="equal">
      <formula>"F"</formula>
    </cfRule>
  </conditionalFormatting>
  <conditionalFormatting sqref="L263">
    <cfRule type="cellIs" dxfId="979" priority="145" operator="equal">
      <formula>"U/P"</formula>
    </cfRule>
    <cfRule type="cellIs" dxfId="978" priority="146" operator="equal">
      <formula>"F"</formula>
    </cfRule>
    <cfRule type="cellIs" dxfId="977" priority="147" operator="equal">
      <formula>"F"</formula>
    </cfRule>
  </conditionalFormatting>
  <conditionalFormatting sqref="L271">
    <cfRule type="cellIs" dxfId="976" priority="463" operator="equal">
      <formula>"U/P"</formula>
    </cfRule>
    <cfRule type="cellIs" dxfId="975" priority="464" operator="equal">
      <formula>"F"</formula>
    </cfRule>
    <cfRule type="cellIs" dxfId="974" priority="465" operator="equal">
      <formula>"F"</formula>
    </cfRule>
  </conditionalFormatting>
  <conditionalFormatting sqref="L279">
    <cfRule type="cellIs" dxfId="973" priority="421" operator="equal">
      <formula>"U/P"</formula>
    </cfRule>
    <cfRule type="cellIs" dxfId="972" priority="422" operator="equal">
      <formula>"F"</formula>
    </cfRule>
    <cfRule type="cellIs" dxfId="971" priority="423" operator="equal">
      <formula>"F"</formula>
    </cfRule>
  </conditionalFormatting>
  <conditionalFormatting sqref="L287">
    <cfRule type="cellIs" dxfId="970" priority="379" operator="equal">
      <formula>"U/P"</formula>
    </cfRule>
    <cfRule type="cellIs" dxfId="969" priority="380" operator="equal">
      <formula>"F"</formula>
    </cfRule>
    <cfRule type="cellIs" dxfId="968" priority="381" operator="equal">
      <formula>"F"</formula>
    </cfRule>
  </conditionalFormatting>
  <conditionalFormatting sqref="L295">
    <cfRule type="cellIs" dxfId="967" priority="85" operator="equal">
      <formula>"U/P"</formula>
    </cfRule>
    <cfRule type="cellIs" dxfId="966" priority="86" operator="equal">
      <formula>"F"</formula>
    </cfRule>
    <cfRule type="cellIs" dxfId="965" priority="87" operator="equal">
      <formula>"F"</formula>
    </cfRule>
  </conditionalFormatting>
  <conditionalFormatting sqref="L303">
    <cfRule type="cellIs" dxfId="964" priority="106" operator="equal">
      <formula>"U/P"</formula>
    </cfRule>
    <cfRule type="cellIs" dxfId="963" priority="107" operator="equal">
      <formula>"F"</formula>
    </cfRule>
    <cfRule type="cellIs" dxfId="962" priority="108" operator="equal">
      <formula>"F"</formula>
    </cfRule>
  </conditionalFormatting>
  <conditionalFormatting sqref="L310">
    <cfRule type="cellIs" dxfId="961" priority="259" operator="equal">
      <formula>"U/P"</formula>
    </cfRule>
    <cfRule type="cellIs" dxfId="960" priority="260" operator="equal">
      <formula>"F"</formula>
    </cfRule>
    <cfRule type="cellIs" dxfId="959" priority="261" operator="equal">
      <formula>"F"</formula>
    </cfRule>
  </conditionalFormatting>
  <conditionalFormatting sqref="N23">
    <cfRule type="cellIs" dxfId="958" priority="1651" operator="equal">
      <formula>"U/P"</formula>
    </cfRule>
    <cfRule type="cellIs" dxfId="957" priority="1652" operator="equal">
      <formula>"F"</formula>
    </cfRule>
    <cfRule type="cellIs" dxfId="956" priority="1653" operator="equal">
      <formula>"F"</formula>
    </cfRule>
  </conditionalFormatting>
  <conditionalFormatting sqref="N31">
    <cfRule type="cellIs" dxfId="955" priority="1609" operator="equal">
      <formula>"U/P"</formula>
    </cfRule>
    <cfRule type="cellIs" dxfId="954" priority="1610" operator="equal">
      <formula>"F"</formula>
    </cfRule>
    <cfRule type="cellIs" dxfId="953" priority="1611" operator="equal">
      <formula>"F"</formula>
    </cfRule>
  </conditionalFormatting>
  <conditionalFormatting sqref="N39">
    <cfRule type="cellIs" dxfId="952" priority="1567" operator="equal">
      <formula>"U/P"</formula>
    </cfRule>
    <cfRule type="cellIs" dxfId="951" priority="1568" operator="equal">
      <formula>"F"</formula>
    </cfRule>
    <cfRule type="cellIs" dxfId="950" priority="1569" operator="equal">
      <formula>"F"</formula>
    </cfRule>
  </conditionalFormatting>
  <conditionalFormatting sqref="N47">
    <cfRule type="cellIs" dxfId="949" priority="1525" operator="equal">
      <formula>"U/P"</formula>
    </cfRule>
    <cfRule type="cellIs" dxfId="948" priority="1526" operator="equal">
      <formula>"F"</formula>
    </cfRule>
    <cfRule type="cellIs" dxfId="947" priority="1527" operator="equal">
      <formula>"F"</formula>
    </cfRule>
  </conditionalFormatting>
  <conditionalFormatting sqref="N55">
    <cfRule type="cellIs" dxfId="946" priority="1483" operator="equal">
      <formula>"U/P"</formula>
    </cfRule>
    <cfRule type="cellIs" dxfId="945" priority="1484" operator="equal">
      <formula>"F"</formula>
    </cfRule>
    <cfRule type="cellIs" dxfId="944" priority="1485" operator="equal">
      <formula>"F"</formula>
    </cfRule>
  </conditionalFormatting>
  <conditionalFormatting sqref="N63">
    <cfRule type="cellIs" dxfId="943" priority="1441" operator="equal">
      <formula>"U/P"</formula>
    </cfRule>
    <cfRule type="cellIs" dxfId="942" priority="1442" operator="equal">
      <formula>"F"</formula>
    </cfRule>
    <cfRule type="cellIs" dxfId="941" priority="1443" operator="equal">
      <formula>"F"</formula>
    </cfRule>
  </conditionalFormatting>
  <conditionalFormatting sqref="N71">
    <cfRule type="cellIs" dxfId="940" priority="1399" operator="equal">
      <formula>"U/P"</formula>
    </cfRule>
    <cfRule type="cellIs" dxfId="939" priority="1400" operator="equal">
      <formula>"F"</formula>
    </cfRule>
    <cfRule type="cellIs" dxfId="938" priority="1401" operator="equal">
      <formula>"F"</formula>
    </cfRule>
  </conditionalFormatting>
  <conditionalFormatting sqref="N79">
    <cfRule type="cellIs" dxfId="937" priority="1357" operator="equal">
      <formula>"U/P"</formula>
    </cfRule>
    <cfRule type="cellIs" dxfId="936" priority="1358" operator="equal">
      <formula>"F"</formula>
    </cfRule>
    <cfRule type="cellIs" dxfId="935" priority="1359" operator="equal">
      <formula>"F"</formula>
    </cfRule>
  </conditionalFormatting>
  <conditionalFormatting sqref="N87">
    <cfRule type="cellIs" dxfId="934" priority="1315" operator="equal">
      <formula>"U/P"</formula>
    </cfRule>
    <cfRule type="cellIs" dxfId="933" priority="1316" operator="equal">
      <formula>"F"</formula>
    </cfRule>
    <cfRule type="cellIs" dxfId="932" priority="1317" operator="equal">
      <formula>"F"</formula>
    </cfRule>
  </conditionalFormatting>
  <conditionalFormatting sqref="N95">
    <cfRule type="cellIs" dxfId="931" priority="1273" operator="equal">
      <formula>"U/P"</formula>
    </cfRule>
    <cfRule type="cellIs" dxfId="930" priority="1274" operator="equal">
      <formula>"F"</formula>
    </cfRule>
    <cfRule type="cellIs" dxfId="929" priority="1275" operator="equal">
      <formula>"F"</formula>
    </cfRule>
  </conditionalFormatting>
  <conditionalFormatting sqref="N103">
    <cfRule type="cellIs" dxfId="928" priority="1234" operator="equal">
      <formula>"U/P"</formula>
    </cfRule>
    <cfRule type="cellIs" dxfId="927" priority="1235" operator="equal">
      <formula>"F"</formula>
    </cfRule>
    <cfRule type="cellIs" dxfId="926" priority="1236" operator="equal">
      <formula>"F"</formula>
    </cfRule>
  </conditionalFormatting>
  <conditionalFormatting sqref="N111">
    <cfRule type="cellIs" dxfId="925" priority="1189" operator="equal">
      <formula>"U/P"</formula>
    </cfRule>
    <cfRule type="cellIs" dxfId="924" priority="1190" operator="equal">
      <formula>"F"</formula>
    </cfRule>
    <cfRule type="cellIs" dxfId="923" priority="1191" operator="equal">
      <formula>"F"</formula>
    </cfRule>
  </conditionalFormatting>
  <conditionalFormatting sqref="N119">
    <cfRule type="cellIs" dxfId="922" priority="1153" operator="equal">
      <formula>"U/P"</formula>
    </cfRule>
    <cfRule type="cellIs" dxfId="921" priority="1154" operator="equal">
      <formula>"F"</formula>
    </cfRule>
    <cfRule type="cellIs" dxfId="920" priority="1155" operator="equal">
      <formula>"F"</formula>
    </cfRule>
  </conditionalFormatting>
  <conditionalFormatting sqref="N127">
    <cfRule type="cellIs" dxfId="919" priority="1117" operator="equal">
      <formula>"U/P"</formula>
    </cfRule>
    <cfRule type="cellIs" dxfId="918" priority="1118" operator="equal">
      <formula>"F"</formula>
    </cfRule>
    <cfRule type="cellIs" dxfId="917" priority="1119" operator="equal">
      <formula>"F"</formula>
    </cfRule>
  </conditionalFormatting>
  <conditionalFormatting sqref="N135">
    <cfRule type="cellIs" dxfId="916" priority="1768" operator="equal">
      <formula>"U/P"</formula>
    </cfRule>
    <cfRule type="cellIs" dxfId="915" priority="1769" operator="equal">
      <formula>"F"</formula>
    </cfRule>
    <cfRule type="cellIs" dxfId="914" priority="1770" operator="equal">
      <formula>"F"</formula>
    </cfRule>
  </conditionalFormatting>
  <conditionalFormatting sqref="N143">
    <cfRule type="cellIs" dxfId="913" priority="1063" operator="equal">
      <formula>"U/P"</formula>
    </cfRule>
    <cfRule type="cellIs" dxfId="912" priority="1064" operator="equal">
      <formula>"F"</formula>
    </cfRule>
    <cfRule type="cellIs" dxfId="911" priority="1065" operator="equal">
      <formula>"F"</formula>
    </cfRule>
  </conditionalFormatting>
  <conditionalFormatting sqref="N151">
    <cfRule type="cellIs" dxfId="910" priority="1027" operator="equal">
      <formula>"U/P"</formula>
    </cfRule>
    <cfRule type="cellIs" dxfId="909" priority="1028" operator="equal">
      <formula>"F"</formula>
    </cfRule>
    <cfRule type="cellIs" dxfId="908" priority="1029" operator="equal">
      <formula>"F"</formula>
    </cfRule>
  </conditionalFormatting>
  <conditionalFormatting sqref="N159">
    <cfRule type="cellIs" dxfId="907" priority="991" operator="equal">
      <formula>"U/P"</formula>
    </cfRule>
    <cfRule type="cellIs" dxfId="906" priority="992" operator="equal">
      <formula>"F"</formula>
    </cfRule>
    <cfRule type="cellIs" dxfId="905" priority="993" operator="equal">
      <formula>"F"</formula>
    </cfRule>
  </conditionalFormatting>
  <conditionalFormatting sqref="N167">
    <cfRule type="cellIs" dxfId="904" priority="16" operator="equal">
      <formula>"U/P"</formula>
    </cfRule>
    <cfRule type="cellIs" dxfId="903" priority="17" operator="equal">
      <formula>"F"</formula>
    </cfRule>
    <cfRule type="cellIs" dxfId="902" priority="18" operator="equal">
      <formula>"F"</formula>
    </cfRule>
  </conditionalFormatting>
  <conditionalFormatting sqref="N175">
    <cfRule type="cellIs" dxfId="901" priority="907" operator="equal">
      <formula>"U/P"</formula>
    </cfRule>
    <cfRule type="cellIs" dxfId="900" priority="908" operator="equal">
      <formula>"F"</formula>
    </cfRule>
    <cfRule type="cellIs" dxfId="899" priority="909" operator="equal">
      <formula>"F"</formula>
    </cfRule>
  </conditionalFormatting>
  <conditionalFormatting sqref="N183">
    <cfRule type="cellIs" dxfId="898" priority="61" operator="equal">
      <formula>"U/P"</formula>
    </cfRule>
    <cfRule type="cellIs" dxfId="897" priority="62" operator="equal">
      <formula>"F"</formula>
    </cfRule>
    <cfRule type="cellIs" dxfId="896" priority="63" operator="equal">
      <formula>"F"</formula>
    </cfRule>
  </conditionalFormatting>
  <conditionalFormatting sqref="N191">
    <cfRule type="cellIs" dxfId="895" priority="841" operator="equal">
      <formula>"U/P"</formula>
    </cfRule>
    <cfRule type="cellIs" dxfId="894" priority="842" operator="equal">
      <formula>"F"</formula>
    </cfRule>
    <cfRule type="cellIs" dxfId="893" priority="843" operator="equal">
      <formula>"F"</formula>
    </cfRule>
  </conditionalFormatting>
  <conditionalFormatting sqref="N199">
    <cfRule type="cellIs" dxfId="892" priority="814" operator="equal">
      <formula>"U/P"</formula>
    </cfRule>
    <cfRule type="cellIs" dxfId="891" priority="815" operator="equal">
      <formula>"F"</formula>
    </cfRule>
    <cfRule type="cellIs" dxfId="890" priority="816" operator="equal">
      <formula>"F"</formula>
    </cfRule>
  </conditionalFormatting>
  <conditionalFormatting sqref="N207">
    <cfRule type="cellIs" dxfId="889" priority="793" operator="equal">
      <formula>"U/P"</formula>
    </cfRule>
    <cfRule type="cellIs" dxfId="888" priority="794" operator="equal">
      <formula>"F"</formula>
    </cfRule>
    <cfRule type="cellIs" dxfId="887" priority="795" operator="equal">
      <formula>"F"</formula>
    </cfRule>
  </conditionalFormatting>
  <conditionalFormatting sqref="N215">
    <cfRule type="cellIs" dxfId="886" priority="766" operator="equal">
      <formula>"U/P"</formula>
    </cfRule>
    <cfRule type="cellIs" dxfId="885" priority="767" operator="equal">
      <formula>"F"</formula>
    </cfRule>
    <cfRule type="cellIs" dxfId="884" priority="768" operator="equal">
      <formula>"F"</formula>
    </cfRule>
  </conditionalFormatting>
  <conditionalFormatting sqref="N223">
    <cfRule type="cellIs" dxfId="883" priority="182" operator="equal">
      <formula>"U/P"</formula>
    </cfRule>
    <cfRule type="cellIs" dxfId="882" priority="183" operator="equal">
      <formula>"F"</formula>
    </cfRule>
    <cfRule type="cellIs" dxfId="881" priority="184" operator="equal">
      <formula>"F"</formula>
    </cfRule>
  </conditionalFormatting>
  <conditionalFormatting sqref="N231">
    <cfRule type="cellIs" dxfId="880" priority="670" operator="equal">
      <formula>"U/P"</formula>
    </cfRule>
    <cfRule type="cellIs" dxfId="879" priority="671" operator="equal">
      <formula>"F"</formula>
    </cfRule>
    <cfRule type="cellIs" dxfId="878" priority="672" operator="equal">
      <formula>"F"</formula>
    </cfRule>
  </conditionalFormatting>
  <conditionalFormatting sqref="N239">
    <cfRule type="cellIs" dxfId="877" priority="628" operator="equal">
      <formula>"U/P"</formula>
    </cfRule>
    <cfRule type="cellIs" dxfId="876" priority="629" operator="equal">
      <formula>"F"</formula>
    </cfRule>
    <cfRule type="cellIs" dxfId="875" priority="630" operator="equal">
      <formula>"F"</formula>
    </cfRule>
  </conditionalFormatting>
  <conditionalFormatting sqref="N247">
    <cfRule type="cellIs" dxfId="874" priority="586" operator="equal">
      <formula>"U/P"</formula>
    </cfRule>
    <cfRule type="cellIs" dxfId="873" priority="587" operator="equal">
      <formula>"F"</formula>
    </cfRule>
    <cfRule type="cellIs" dxfId="872" priority="588" operator="equal">
      <formula>"F"</formula>
    </cfRule>
  </conditionalFormatting>
  <conditionalFormatting sqref="N255">
    <cfRule type="cellIs" dxfId="871" priority="544" operator="equal">
      <formula>"U/P"</formula>
    </cfRule>
    <cfRule type="cellIs" dxfId="870" priority="545" operator="equal">
      <formula>"F"</formula>
    </cfRule>
    <cfRule type="cellIs" dxfId="869" priority="546" operator="equal">
      <formula>"F"</formula>
    </cfRule>
  </conditionalFormatting>
  <conditionalFormatting sqref="N263">
    <cfRule type="cellIs" dxfId="868" priority="142" operator="equal">
      <formula>"U/P"</formula>
    </cfRule>
    <cfRule type="cellIs" dxfId="867" priority="143" operator="equal">
      <formula>"F"</formula>
    </cfRule>
    <cfRule type="cellIs" dxfId="866" priority="144" operator="equal">
      <formula>"F"</formula>
    </cfRule>
  </conditionalFormatting>
  <conditionalFormatting sqref="N271">
    <cfRule type="cellIs" dxfId="865" priority="460" operator="equal">
      <formula>"U/P"</formula>
    </cfRule>
    <cfRule type="cellIs" dxfId="864" priority="461" operator="equal">
      <formula>"F"</formula>
    </cfRule>
    <cfRule type="cellIs" dxfId="863" priority="462" operator="equal">
      <formula>"F"</formula>
    </cfRule>
  </conditionalFormatting>
  <conditionalFormatting sqref="N279">
    <cfRule type="cellIs" dxfId="862" priority="418" operator="equal">
      <formula>"U/P"</formula>
    </cfRule>
    <cfRule type="cellIs" dxfId="861" priority="419" operator="equal">
      <formula>"F"</formula>
    </cfRule>
    <cfRule type="cellIs" dxfId="860" priority="420" operator="equal">
      <formula>"F"</formula>
    </cfRule>
  </conditionalFormatting>
  <conditionalFormatting sqref="N287">
    <cfRule type="cellIs" dxfId="859" priority="1" operator="equal">
      <formula>"U/P"</formula>
    </cfRule>
    <cfRule type="cellIs" dxfId="858" priority="2" operator="equal">
      <formula>"F"</formula>
    </cfRule>
    <cfRule type="cellIs" dxfId="857" priority="3" operator="equal">
      <formula>"F"</formula>
    </cfRule>
  </conditionalFormatting>
  <conditionalFormatting sqref="N295">
    <cfRule type="cellIs" dxfId="856" priority="82" operator="equal">
      <formula>"U/P"</formula>
    </cfRule>
    <cfRule type="cellIs" dxfId="855" priority="83" operator="equal">
      <formula>"F"</formula>
    </cfRule>
    <cfRule type="cellIs" dxfId="854" priority="84" operator="equal">
      <formula>"F"</formula>
    </cfRule>
  </conditionalFormatting>
  <conditionalFormatting sqref="N303">
    <cfRule type="cellIs" dxfId="853" priority="103" operator="equal">
      <formula>"U/P"</formula>
    </cfRule>
    <cfRule type="cellIs" dxfId="852" priority="104" operator="equal">
      <formula>"F"</formula>
    </cfRule>
    <cfRule type="cellIs" dxfId="851" priority="105" operator="equal">
      <formula>"F"</formula>
    </cfRule>
  </conditionalFormatting>
  <conditionalFormatting sqref="N310">
    <cfRule type="cellIs" dxfId="850" priority="256" operator="equal">
      <formula>"U/P"</formula>
    </cfRule>
    <cfRule type="cellIs" dxfId="849" priority="257" operator="equal">
      <formula>"F"</formula>
    </cfRule>
    <cfRule type="cellIs" dxfId="848" priority="258" operator="equal">
      <formula>"F"</formula>
    </cfRule>
  </conditionalFormatting>
  <conditionalFormatting sqref="P23">
    <cfRule type="cellIs" dxfId="847" priority="1648" operator="equal">
      <formula>"U/P"</formula>
    </cfRule>
    <cfRule type="cellIs" dxfId="846" priority="1649" operator="equal">
      <formula>"F"</formula>
    </cfRule>
    <cfRule type="cellIs" dxfId="845" priority="1650" operator="equal">
      <formula>"F"</formula>
    </cfRule>
  </conditionalFormatting>
  <conditionalFormatting sqref="P31">
    <cfRule type="cellIs" dxfId="844" priority="1606" operator="equal">
      <formula>"U/P"</formula>
    </cfRule>
    <cfRule type="cellIs" dxfId="843" priority="1607" operator="equal">
      <formula>"F"</formula>
    </cfRule>
    <cfRule type="cellIs" dxfId="842" priority="1608" operator="equal">
      <formula>"F"</formula>
    </cfRule>
  </conditionalFormatting>
  <conditionalFormatting sqref="P39">
    <cfRule type="cellIs" dxfId="841" priority="1564" operator="equal">
      <formula>"U/P"</formula>
    </cfRule>
    <cfRule type="cellIs" dxfId="840" priority="1565" operator="equal">
      <formula>"F"</formula>
    </cfRule>
    <cfRule type="cellIs" dxfId="839" priority="1566" operator="equal">
      <formula>"F"</formula>
    </cfRule>
  </conditionalFormatting>
  <conditionalFormatting sqref="P47">
    <cfRule type="cellIs" dxfId="838" priority="1522" operator="equal">
      <formula>"U/P"</formula>
    </cfRule>
    <cfRule type="cellIs" dxfId="837" priority="1523" operator="equal">
      <formula>"F"</formula>
    </cfRule>
    <cfRule type="cellIs" dxfId="836" priority="1524" operator="equal">
      <formula>"F"</formula>
    </cfRule>
  </conditionalFormatting>
  <conditionalFormatting sqref="P55">
    <cfRule type="cellIs" dxfId="835" priority="1480" operator="equal">
      <formula>"U/P"</formula>
    </cfRule>
    <cfRule type="cellIs" dxfId="834" priority="1481" operator="equal">
      <formula>"F"</formula>
    </cfRule>
    <cfRule type="cellIs" dxfId="833" priority="1482" operator="equal">
      <formula>"F"</formula>
    </cfRule>
  </conditionalFormatting>
  <conditionalFormatting sqref="P63">
    <cfRule type="cellIs" dxfId="832" priority="1438" operator="equal">
      <formula>"U/P"</formula>
    </cfRule>
    <cfRule type="cellIs" dxfId="831" priority="1439" operator="equal">
      <formula>"F"</formula>
    </cfRule>
    <cfRule type="cellIs" dxfId="830" priority="1440" operator="equal">
      <formula>"F"</formula>
    </cfRule>
  </conditionalFormatting>
  <conditionalFormatting sqref="P71">
    <cfRule type="cellIs" dxfId="829" priority="1396" operator="equal">
      <formula>"U/P"</formula>
    </cfRule>
    <cfRule type="cellIs" dxfId="828" priority="1397" operator="equal">
      <formula>"F"</formula>
    </cfRule>
    <cfRule type="cellIs" dxfId="827" priority="1398" operator="equal">
      <formula>"F"</formula>
    </cfRule>
  </conditionalFormatting>
  <conditionalFormatting sqref="P79">
    <cfRule type="cellIs" dxfId="826" priority="1354" operator="equal">
      <formula>"U/P"</formula>
    </cfRule>
    <cfRule type="cellIs" dxfId="825" priority="1355" operator="equal">
      <formula>"F"</formula>
    </cfRule>
    <cfRule type="cellIs" dxfId="824" priority="1356" operator="equal">
      <formula>"F"</formula>
    </cfRule>
  </conditionalFormatting>
  <conditionalFormatting sqref="P87">
    <cfRule type="cellIs" dxfId="823" priority="1312" operator="equal">
      <formula>"U/P"</formula>
    </cfRule>
    <cfRule type="cellIs" dxfId="822" priority="1313" operator="equal">
      <formula>"F"</formula>
    </cfRule>
    <cfRule type="cellIs" dxfId="821" priority="1314" operator="equal">
      <formula>"F"</formula>
    </cfRule>
  </conditionalFormatting>
  <conditionalFormatting sqref="P95">
    <cfRule type="cellIs" dxfId="820" priority="1270" operator="equal">
      <formula>"U/P"</formula>
    </cfRule>
    <cfRule type="cellIs" dxfId="819" priority="1271" operator="equal">
      <formula>"F"</formula>
    </cfRule>
    <cfRule type="cellIs" dxfId="818" priority="1272" operator="equal">
      <formula>"F"</formula>
    </cfRule>
  </conditionalFormatting>
  <conditionalFormatting sqref="P103">
    <cfRule type="cellIs" dxfId="817" priority="1231" operator="equal">
      <formula>"U/P"</formula>
    </cfRule>
    <cfRule type="cellIs" dxfId="816" priority="1232" operator="equal">
      <formula>"F"</formula>
    </cfRule>
    <cfRule type="cellIs" dxfId="815" priority="1233" operator="equal">
      <formula>"F"</formula>
    </cfRule>
  </conditionalFormatting>
  <conditionalFormatting sqref="P111">
    <cfRule type="cellIs" dxfId="814" priority="1186" operator="equal">
      <formula>"U/P"</formula>
    </cfRule>
    <cfRule type="cellIs" dxfId="813" priority="1187" operator="equal">
      <formula>"F"</formula>
    </cfRule>
    <cfRule type="cellIs" dxfId="812" priority="1188" operator="equal">
      <formula>"F"</formula>
    </cfRule>
  </conditionalFormatting>
  <conditionalFormatting sqref="P119">
    <cfRule type="cellIs" dxfId="811" priority="1150" operator="equal">
      <formula>"U/P"</formula>
    </cfRule>
    <cfRule type="cellIs" dxfId="810" priority="1151" operator="equal">
      <formula>"F"</formula>
    </cfRule>
    <cfRule type="cellIs" dxfId="809" priority="1152" operator="equal">
      <formula>"F"</formula>
    </cfRule>
  </conditionalFormatting>
  <conditionalFormatting sqref="P127">
    <cfRule type="cellIs" dxfId="808" priority="221" operator="equal">
      <formula>"U/P"</formula>
    </cfRule>
    <cfRule type="cellIs" dxfId="807" priority="222" operator="equal">
      <formula>"F"</formula>
    </cfRule>
    <cfRule type="cellIs" dxfId="806" priority="223" operator="equal">
      <formula>"F"</formula>
    </cfRule>
  </conditionalFormatting>
  <conditionalFormatting sqref="P135">
    <cfRule type="cellIs" dxfId="805" priority="1765" operator="equal">
      <formula>"U/P"</formula>
    </cfRule>
    <cfRule type="cellIs" dxfId="804" priority="1766" operator="equal">
      <formula>"F"</formula>
    </cfRule>
    <cfRule type="cellIs" dxfId="803" priority="1767" operator="equal">
      <formula>"F"</formula>
    </cfRule>
  </conditionalFormatting>
  <conditionalFormatting sqref="P143">
    <cfRule type="cellIs" dxfId="802" priority="1060" operator="equal">
      <formula>"U/P"</formula>
    </cfRule>
    <cfRule type="cellIs" dxfId="801" priority="1061" operator="equal">
      <formula>"F"</formula>
    </cfRule>
    <cfRule type="cellIs" dxfId="800" priority="1062" operator="equal">
      <formula>"F"</formula>
    </cfRule>
  </conditionalFormatting>
  <conditionalFormatting sqref="P151">
    <cfRule type="cellIs" dxfId="799" priority="1024" operator="equal">
      <formula>"U/P"</formula>
    </cfRule>
    <cfRule type="cellIs" dxfId="798" priority="1025" operator="equal">
      <formula>"F"</formula>
    </cfRule>
    <cfRule type="cellIs" dxfId="797" priority="1026" operator="equal">
      <formula>"F"</formula>
    </cfRule>
  </conditionalFormatting>
  <conditionalFormatting sqref="P159">
    <cfRule type="cellIs" dxfId="796" priority="988" operator="equal">
      <formula>"U/P"</formula>
    </cfRule>
    <cfRule type="cellIs" dxfId="795" priority="989" operator="equal">
      <formula>"F"</formula>
    </cfRule>
    <cfRule type="cellIs" dxfId="794" priority="990" operator="equal">
      <formula>"F"</formula>
    </cfRule>
  </conditionalFormatting>
  <conditionalFormatting sqref="P167">
    <cfRule type="cellIs" dxfId="793" priority="946" operator="equal">
      <formula>"U/P"</formula>
    </cfRule>
    <cfRule type="cellIs" dxfId="792" priority="947" operator="equal">
      <formula>"F"</formula>
    </cfRule>
    <cfRule type="cellIs" dxfId="791" priority="948" operator="equal">
      <formula>"F"</formula>
    </cfRule>
  </conditionalFormatting>
  <conditionalFormatting sqref="P175">
    <cfRule type="cellIs" dxfId="790" priority="904" operator="equal">
      <formula>"U/P"</formula>
    </cfRule>
    <cfRule type="cellIs" dxfId="789" priority="905" operator="equal">
      <formula>"F"</formula>
    </cfRule>
    <cfRule type="cellIs" dxfId="788" priority="906" operator="equal">
      <formula>"F"</formula>
    </cfRule>
  </conditionalFormatting>
  <conditionalFormatting sqref="P183">
    <cfRule type="cellIs" dxfId="787" priority="194" operator="equal">
      <formula>"U/P"</formula>
    </cfRule>
    <cfRule type="cellIs" dxfId="786" priority="195" operator="equal">
      <formula>"F"</formula>
    </cfRule>
    <cfRule type="cellIs" dxfId="785" priority="196" operator="equal">
      <formula>"F"</formula>
    </cfRule>
  </conditionalFormatting>
  <conditionalFormatting sqref="P191">
    <cfRule type="cellIs" dxfId="784" priority="838" operator="equal">
      <formula>"U/P"</formula>
    </cfRule>
    <cfRule type="cellIs" dxfId="783" priority="839" operator="equal">
      <formula>"F"</formula>
    </cfRule>
    <cfRule type="cellIs" dxfId="782" priority="840" operator="equal">
      <formula>"F"</formula>
    </cfRule>
  </conditionalFormatting>
  <conditionalFormatting sqref="P199">
    <cfRule type="cellIs" dxfId="781" priority="811" operator="equal">
      <formula>"U/P"</formula>
    </cfRule>
    <cfRule type="cellIs" dxfId="780" priority="812" operator="equal">
      <formula>"F"</formula>
    </cfRule>
    <cfRule type="cellIs" dxfId="779" priority="813" operator="equal">
      <formula>"F"</formula>
    </cfRule>
  </conditionalFormatting>
  <conditionalFormatting sqref="P207">
    <cfRule type="cellIs" dxfId="778" priority="790" operator="equal">
      <formula>"U/P"</formula>
    </cfRule>
    <cfRule type="cellIs" dxfId="777" priority="791" operator="equal">
      <formula>"F"</formula>
    </cfRule>
    <cfRule type="cellIs" dxfId="776" priority="792" operator="equal">
      <formula>"F"</formula>
    </cfRule>
  </conditionalFormatting>
  <conditionalFormatting sqref="P215">
    <cfRule type="cellIs" dxfId="775" priority="185" operator="equal">
      <formula>"U/P"</formula>
    </cfRule>
    <cfRule type="cellIs" dxfId="774" priority="186" operator="equal">
      <formula>"F"</formula>
    </cfRule>
    <cfRule type="cellIs" dxfId="773" priority="187" operator="equal">
      <formula>"F"</formula>
    </cfRule>
  </conditionalFormatting>
  <conditionalFormatting sqref="P223">
    <cfRule type="cellIs" dxfId="772" priority="745" operator="equal">
      <formula>"U/P"</formula>
    </cfRule>
    <cfRule type="cellIs" dxfId="771" priority="746" operator="equal">
      <formula>"F"</formula>
    </cfRule>
    <cfRule type="cellIs" dxfId="770" priority="747" operator="equal">
      <formula>"F"</formula>
    </cfRule>
  </conditionalFormatting>
  <conditionalFormatting sqref="P231">
    <cfRule type="cellIs" dxfId="769" priority="685" operator="equal">
      <formula>"U/P"</formula>
    </cfRule>
    <cfRule type="cellIs" dxfId="768" priority="686" operator="equal">
      <formula>"F"</formula>
    </cfRule>
    <cfRule type="cellIs" dxfId="767" priority="687" operator="equal">
      <formula>"F"</formula>
    </cfRule>
  </conditionalFormatting>
  <conditionalFormatting sqref="P239">
    <cfRule type="cellIs" dxfId="766" priority="643" operator="equal">
      <formula>"U/P"</formula>
    </cfRule>
    <cfRule type="cellIs" dxfId="765" priority="644" operator="equal">
      <formula>"F"</formula>
    </cfRule>
    <cfRule type="cellIs" dxfId="764" priority="645" operator="equal">
      <formula>"F"</formula>
    </cfRule>
  </conditionalFormatting>
  <conditionalFormatting sqref="P247">
    <cfRule type="cellIs" dxfId="763" priority="601" operator="equal">
      <formula>"U/P"</formula>
    </cfRule>
    <cfRule type="cellIs" dxfId="762" priority="602" operator="equal">
      <formula>"F"</formula>
    </cfRule>
    <cfRule type="cellIs" dxfId="761" priority="603" operator="equal">
      <formula>"F"</formula>
    </cfRule>
  </conditionalFormatting>
  <conditionalFormatting sqref="P255">
    <cfRule type="cellIs" dxfId="760" priority="559" operator="equal">
      <formula>"U/P"</formula>
    </cfRule>
    <cfRule type="cellIs" dxfId="759" priority="560" operator="equal">
      <formula>"F"</formula>
    </cfRule>
    <cfRule type="cellIs" dxfId="758" priority="561" operator="equal">
      <formula>"F"</formula>
    </cfRule>
  </conditionalFormatting>
  <conditionalFormatting sqref="P263">
    <cfRule type="cellIs" dxfId="757" priority="157" operator="equal">
      <formula>"U/P"</formula>
    </cfRule>
    <cfRule type="cellIs" dxfId="756" priority="158" operator="equal">
      <formula>"F"</formula>
    </cfRule>
    <cfRule type="cellIs" dxfId="755" priority="159" operator="equal">
      <formula>"F"</formula>
    </cfRule>
  </conditionalFormatting>
  <conditionalFormatting sqref="P271">
    <cfRule type="cellIs" dxfId="754" priority="475" operator="equal">
      <formula>"U/P"</formula>
    </cfRule>
    <cfRule type="cellIs" dxfId="753" priority="476" operator="equal">
      <formula>"F"</formula>
    </cfRule>
    <cfRule type="cellIs" dxfId="752" priority="477" operator="equal">
      <formula>"F"</formula>
    </cfRule>
  </conditionalFormatting>
  <conditionalFormatting sqref="P279">
    <cfRule type="cellIs" dxfId="751" priority="433" operator="equal">
      <formula>"U/P"</formula>
    </cfRule>
    <cfRule type="cellIs" dxfId="750" priority="434" operator="equal">
      <formula>"F"</formula>
    </cfRule>
    <cfRule type="cellIs" dxfId="749" priority="435" operator="equal">
      <formula>"F"</formula>
    </cfRule>
  </conditionalFormatting>
  <conditionalFormatting sqref="P287">
    <cfRule type="cellIs" dxfId="748" priority="37" operator="equal">
      <formula>"U/P"</formula>
    </cfRule>
    <cfRule type="cellIs" dxfId="747" priority="38" operator="equal">
      <formula>"F"</formula>
    </cfRule>
    <cfRule type="cellIs" dxfId="746" priority="39" operator="equal">
      <formula>"F"</formula>
    </cfRule>
  </conditionalFormatting>
  <conditionalFormatting sqref="P295">
    <cfRule type="cellIs" dxfId="745" priority="97" operator="equal">
      <formula>"U/P"</formula>
    </cfRule>
    <cfRule type="cellIs" dxfId="744" priority="98" operator="equal">
      <formula>"F"</formula>
    </cfRule>
    <cfRule type="cellIs" dxfId="743" priority="99" operator="equal">
      <formula>"F"</formula>
    </cfRule>
  </conditionalFormatting>
  <conditionalFormatting sqref="P303">
    <cfRule type="cellIs" dxfId="742" priority="307" operator="equal">
      <formula>"U/P"</formula>
    </cfRule>
    <cfRule type="cellIs" dxfId="741" priority="308" operator="equal">
      <formula>"F"</formula>
    </cfRule>
    <cfRule type="cellIs" dxfId="740" priority="309" operator="equal">
      <formula>"F"</formula>
    </cfRule>
  </conditionalFormatting>
  <conditionalFormatting sqref="P310">
    <cfRule type="cellIs" dxfId="739" priority="265" operator="equal">
      <formula>"U/P"</formula>
    </cfRule>
    <cfRule type="cellIs" dxfId="738" priority="266" operator="equal">
      <formula>"F"</formula>
    </cfRule>
    <cfRule type="cellIs" dxfId="737" priority="267" operator="equal">
      <formula>"F"</formula>
    </cfRule>
  </conditionalFormatting>
  <conditionalFormatting sqref="R23">
    <cfRule type="cellIs" dxfId="736" priority="1645" operator="equal">
      <formula>"U/P"</formula>
    </cfRule>
    <cfRule type="cellIs" dxfId="735" priority="1646" operator="equal">
      <formula>"F"</formula>
    </cfRule>
    <cfRule type="cellIs" dxfId="734" priority="1647" operator="equal">
      <formula>"F"</formula>
    </cfRule>
  </conditionalFormatting>
  <conditionalFormatting sqref="R31">
    <cfRule type="cellIs" dxfId="733" priority="1603" operator="equal">
      <formula>"U/P"</formula>
    </cfRule>
    <cfRule type="cellIs" dxfId="732" priority="1604" operator="equal">
      <formula>"F"</formula>
    </cfRule>
    <cfRule type="cellIs" dxfId="731" priority="1605" operator="equal">
      <formula>"F"</formula>
    </cfRule>
  </conditionalFormatting>
  <conditionalFormatting sqref="R39">
    <cfRule type="cellIs" dxfId="730" priority="1561" operator="equal">
      <formula>"U/P"</formula>
    </cfRule>
    <cfRule type="cellIs" dxfId="729" priority="1562" operator="equal">
      <formula>"F"</formula>
    </cfRule>
    <cfRule type="cellIs" dxfId="728" priority="1563" operator="equal">
      <formula>"F"</formula>
    </cfRule>
  </conditionalFormatting>
  <conditionalFormatting sqref="R47">
    <cfRule type="cellIs" dxfId="727" priority="1519" operator="equal">
      <formula>"U/P"</formula>
    </cfRule>
    <cfRule type="cellIs" dxfId="726" priority="1520" operator="equal">
      <formula>"F"</formula>
    </cfRule>
    <cfRule type="cellIs" dxfId="725" priority="1521" operator="equal">
      <formula>"F"</formula>
    </cfRule>
  </conditionalFormatting>
  <conditionalFormatting sqref="R55">
    <cfRule type="cellIs" dxfId="724" priority="1477" operator="equal">
      <formula>"U/P"</formula>
    </cfRule>
    <cfRule type="cellIs" dxfId="723" priority="1478" operator="equal">
      <formula>"F"</formula>
    </cfRule>
    <cfRule type="cellIs" dxfId="722" priority="1479" operator="equal">
      <formula>"F"</formula>
    </cfRule>
  </conditionalFormatting>
  <conditionalFormatting sqref="R63">
    <cfRule type="cellIs" dxfId="721" priority="1435" operator="equal">
      <formula>"U/P"</formula>
    </cfRule>
    <cfRule type="cellIs" dxfId="720" priority="1436" operator="equal">
      <formula>"F"</formula>
    </cfRule>
    <cfRule type="cellIs" dxfId="719" priority="1437" operator="equal">
      <formula>"F"</formula>
    </cfRule>
  </conditionalFormatting>
  <conditionalFormatting sqref="R71">
    <cfRule type="cellIs" dxfId="718" priority="1393" operator="equal">
      <formula>"U/P"</formula>
    </cfRule>
    <cfRule type="cellIs" dxfId="717" priority="1394" operator="equal">
      <formula>"F"</formula>
    </cfRule>
    <cfRule type="cellIs" dxfId="716" priority="1395" operator="equal">
      <formula>"F"</formula>
    </cfRule>
  </conditionalFormatting>
  <conditionalFormatting sqref="R79">
    <cfRule type="cellIs" dxfId="715" priority="1351" operator="equal">
      <formula>"U/P"</formula>
    </cfRule>
    <cfRule type="cellIs" dxfId="714" priority="1352" operator="equal">
      <formula>"F"</formula>
    </cfRule>
    <cfRule type="cellIs" dxfId="713" priority="1353" operator="equal">
      <formula>"F"</formula>
    </cfRule>
  </conditionalFormatting>
  <conditionalFormatting sqref="R87">
    <cfRule type="cellIs" dxfId="712" priority="1309" operator="equal">
      <formula>"U/P"</formula>
    </cfRule>
    <cfRule type="cellIs" dxfId="711" priority="1310" operator="equal">
      <formula>"F"</formula>
    </cfRule>
    <cfRule type="cellIs" dxfId="710" priority="1311" operator="equal">
      <formula>"F"</formula>
    </cfRule>
  </conditionalFormatting>
  <conditionalFormatting sqref="R95">
    <cfRule type="cellIs" dxfId="709" priority="1267" operator="equal">
      <formula>"U/P"</formula>
    </cfRule>
    <cfRule type="cellIs" dxfId="708" priority="1268" operator="equal">
      <formula>"F"</formula>
    </cfRule>
    <cfRule type="cellIs" dxfId="707" priority="1269" operator="equal">
      <formula>"F"</formula>
    </cfRule>
  </conditionalFormatting>
  <conditionalFormatting sqref="R103">
    <cfRule type="cellIs" dxfId="706" priority="1228" operator="equal">
      <formula>"U/P"</formula>
    </cfRule>
    <cfRule type="cellIs" dxfId="705" priority="1229" operator="equal">
      <formula>"F"</formula>
    </cfRule>
    <cfRule type="cellIs" dxfId="704" priority="1230" operator="equal">
      <formula>"F"</formula>
    </cfRule>
  </conditionalFormatting>
  <conditionalFormatting sqref="R111">
    <cfRule type="cellIs" dxfId="703" priority="1183" operator="equal">
      <formula>"U/P"</formula>
    </cfRule>
    <cfRule type="cellIs" dxfId="702" priority="1184" operator="equal">
      <formula>"F"</formula>
    </cfRule>
    <cfRule type="cellIs" dxfId="701" priority="1185" operator="equal">
      <formula>"F"</formula>
    </cfRule>
  </conditionalFormatting>
  <conditionalFormatting sqref="R119">
    <cfRule type="cellIs" dxfId="700" priority="1147" operator="equal">
      <formula>"U/P"</formula>
    </cfRule>
    <cfRule type="cellIs" dxfId="699" priority="1148" operator="equal">
      <formula>"F"</formula>
    </cfRule>
    <cfRule type="cellIs" dxfId="698" priority="1149" operator="equal">
      <formula>"F"</formula>
    </cfRule>
  </conditionalFormatting>
  <conditionalFormatting sqref="R127">
    <cfRule type="cellIs" dxfId="697" priority="200" operator="equal">
      <formula>"U/P"</formula>
    </cfRule>
    <cfRule type="cellIs" dxfId="696" priority="201" operator="equal">
      <formula>"F"</formula>
    </cfRule>
    <cfRule type="cellIs" dxfId="695" priority="202" operator="equal">
      <formula>"F"</formula>
    </cfRule>
  </conditionalFormatting>
  <conditionalFormatting sqref="R135">
    <cfRule type="cellIs" dxfId="694" priority="1081" operator="equal">
      <formula>"U/P"</formula>
    </cfRule>
    <cfRule type="cellIs" dxfId="693" priority="1082" operator="equal">
      <formula>"F"</formula>
    </cfRule>
    <cfRule type="cellIs" dxfId="692" priority="1083" operator="equal">
      <formula>"F"</formula>
    </cfRule>
  </conditionalFormatting>
  <conditionalFormatting sqref="R143">
    <cfRule type="cellIs" dxfId="691" priority="1057" operator="equal">
      <formula>"U/P"</formula>
    </cfRule>
    <cfRule type="cellIs" dxfId="690" priority="1058" operator="equal">
      <formula>"F"</formula>
    </cfRule>
    <cfRule type="cellIs" dxfId="689" priority="1059" operator="equal">
      <formula>"F"</formula>
    </cfRule>
  </conditionalFormatting>
  <conditionalFormatting sqref="R151">
    <cfRule type="cellIs" dxfId="688" priority="1021" operator="equal">
      <formula>"U/P"</formula>
    </cfRule>
    <cfRule type="cellIs" dxfId="687" priority="1022" operator="equal">
      <formula>"F"</formula>
    </cfRule>
    <cfRule type="cellIs" dxfId="686" priority="1023" operator="equal">
      <formula>"F"</formula>
    </cfRule>
  </conditionalFormatting>
  <conditionalFormatting sqref="R159">
    <cfRule type="cellIs" dxfId="685" priority="985" operator="equal">
      <formula>"U/P"</formula>
    </cfRule>
    <cfRule type="cellIs" dxfId="684" priority="986" operator="equal">
      <formula>"F"</formula>
    </cfRule>
    <cfRule type="cellIs" dxfId="683" priority="987" operator="equal">
      <formula>"F"</formula>
    </cfRule>
  </conditionalFormatting>
  <conditionalFormatting sqref="R167">
    <cfRule type="cellIs" dxfId="682" priority="49" operator="equal">
      <formula>"U/P"</formula>
    </cfRule>
    <cfRule type="cellIs" dxfId="681" priority="50" operator="equal">
      <formula>"F"</formula>
    </cfRule>
    <cfRule type="cellIs" dxfId="680" priority="51" operator="equal">
      <formula>"F"</formula>
    </cfRule>
  </conditionalFormatting>
  <conditionalFormatting sqref="R175">
    <cfRule type="cellIs" dxfId="679" priority="901" operator="equal">
      <formula>"U/P"</formula>
    </cfRule>
    <cfRule type="cellIs" dxfId="678" priority="902" operator="equal">
      <formula>"F"</formula>
    </cfRule>
    <cfRule type="cellIs" dxfId="677" priority="903" operator="equal">
      <formula>"F"</formula>
    </cfRule>
  </conditionalFormatting>
  <conditionalFormatting sqref="R183">
    <cfRule type="cellIs" dxfId="676" priority="173" operator="equal">
      <formula>"U/P"</formula>
    </cfRule>
    <cfRule type="cellIs" dxfId="675" priority="174" operator="equal">
      <formula>"F"</formula>
    </cfRule>
    <cfRule type="cellIs" dxfId="674" priority="175" operator="equal">
      <formula>"F"</formula>
    </cfRule>
  </conditionalFormatting>
  <conditionalFormatting sqref="R191">
    <cfRule type="cellIs" dxfId="673" priority="1720" operator="equal">
      <formula>"U/P"</formula>
    </cfRule>
    <cfRule type="cellIs" dxfId="672" priority="1721" operator="equal">
      <formula>"F"</formula>
    </cfRule>
    <cfRule type="cellIs" dxfId="671" priority="1722" operator="equal">
      <formula>"F"</formula>
    </cfRule>
  </conditionalFormatting>
  <conditionalFormatting sqref="R199">
    <cfRule type="cellIs" dxfId="670" priority="1705" operator="equal">
      <formula>"U/P"</formula>
    </cfRule>
    <cfRule type="cellIs" dxfId="669" priority="1706" operator="equal">
      <formula>"F"</formula>
    </cfRule>
    <cfRule type="cellIs" dxfId="668" priority="1707" operator="equal">
      <formula>"F"</formula>
    </cfRule>
  </conditionalFormatting>
  <conditionalFormatting sqref="R207">
    <cfRule type="cellIs" dxfId="667" priority="787" operator="equal">
      <formula>"U/P"</formula>
    </cfRule>
    <cfRule type="cellIs" dxfId="666" priority="788" operator="equal">
      <formula>"F"</formula>
    </cfRule>
    <cfRule type="cellIs" dxfId="665" priority="789" operator="equal">
      <formula>"F"</formula>
    </cfRule>
  </conditionalFormatting>
  <conditionalFormatting sqref="R215">
    <cfRule type="cellIs" dxfId="664" priority="718" operator="equal">
      <formula>"U/P"</formula>
    </cfRule>
    <cfRule type="cellIs" dxfId="663" priority="719" operator="equal">
      <formula>"F"</formula>
    </cfRule>
    <cfRule type="cellIs" dxfId="662" priority="720" operator="equal">
      <formula>"F"</formula>
    </cfRule>
  </conditionalFormatting>
  <conditionalFormatting sqref="R223">
    <cfRule type="cellIs" dxfId="661" priority="700" operator="equal">
      <formula>"U/P"</formula>
    </cfRule>
    <cfRule type="cellIs" dxfId="660" priority="701" operator="equal">
      <formula>"F"</formula>
    </cfRule>
    <cfRule type="cellIs" dxfId="659" priority="702" operator="equal">
      <formula>"F"</formula>
    </cfRule>
  </conditionalFormatting>
  <conditionalFormatting sqref="R231">
    <cfRule type="cellIs" dxfId="658" priority="658" operator="equal">
      <formula>"U/P"</formula>
    </cfRule>
    <cfRule type="cellIs" dxfId="657" priority="659" operator="equal">
      <formula>"F"</formula>
    </cfRule>
    <cfRule type="cellIs" dxfId="656" priority="660" operator="equal">
      <formula>"F"</formula>
    </cfRule>
  </conditionalFormatting>
  <conditionalFormatting sqref="R239">
    <cfRule type="cellIs" dxfId="655" priority="616" operator="equal">
      <formula>"U/P"</formula>
    </cfRule>
    <cfRule type="cellIs" dxfId="654" priority="617" operator="equal">
      <formula>"F"</formula>
    </cfRule>
    <cfRule type="cellIs" dxfId="653" priority="618" operator="equal">
      <formula>"F"</formula>
    </cfRule>
  </conditionalFormatting>
  <conditionalFormatting sqref="R247">
    <cfRule type="cellIs" dxfId="652" priority="574" operator="equal">
      <formula>"U/P"</formula>
    </cfRule>
    <cfRule type="cellIs" dxfId="651" priority="575" operator="equal">
      <formula>"F"</formula>
    </cfRule>
    <cfRule type="cellIs" dxfId="650" priority="576" operator="equal">
      <formula>"F"</formula>
    </cfRule>
  </conditionalFormatting>
  <conditionalFormatting sqref="R255">
    <cfRule type="cellIs" dxfId="649" priority="532" operator="equal">
      <formula>"U/P"</formula>
    </cfRule>
    <cfRule type="cellIs" dxfId="648" priority="533" operator="equal">
      <formula>"F"</formula>
    </cfRule>
    <cfRule type="cellIs" dxfId="647" priority="534" operator="equal">
      <formula>"F"</formula>
    </cfRule>
  </conditionalFormatting>
  <conditionalFormatting sqref="R263">
    <cfRule type="cellIs" dxfId="646" priority="124" operator="equal">
      <formula>"U/P"</formula>
    </cfRule>
    <cfRule type="cellIs" dxfId="645" priority="125" operator="equal">
      <formula>"F"</formula>
    </cfRule>
    <cfRule type="cellIs" dxfId="644" priority="126" operator="equal">
      <formula>"F"</formula>
    </cfRule>
  </conditionalFormatting>
  <conditionalFormatting sqref="R271">
    <cfRule type="cellIs" dxfId="643" priority="448" operator="equal">
      <formula>"U/P"</formula>
    </cfRule>
    <cfRule type="cellIs" dxfId="642" priority="449" operator="equal">
      <formula>"F"</formula>
    </cfRule>
    <cfRule type="cellIs" dxfId="641" priority="450" operator="equal">
      <formula>"F"</formula>
    </cfRule>
  </conditionalFormatting>
  <conditionalFormatting sqref="R279">
    <cfRule type="cellIs" dxfId="640" priority="406" operator="equal">
      <formula>"U/P"</formula>
    </cfRule>
    <cfRule type="cellIs" dxfId="639" priority="407" operator="equal">
      <formula>"F"</formula>
    </cfRule>
    <cfRule type="cellIs" dxfId="638" priority="408" operator="equal">
      <formula>"F"</formula>
    </cfRule>
  </conditionalFormatting>
  <conditionalFormatting sqref="R287">
    <cfRule type="cellIs" dxfId="637" priority="43" operator="equal">
      <formula>"U/P"</formula>
    </cfRule>
    <cfRule type="cellIs" dxfId="636" priority="44" operator="equal">
      <formula>"F"</formula>
    </cfRule>
    <cfRule type="cellIs" dxfId="635" priority="45" operator="equal">
      <formula>"F"</formula>
    </cfRule>
  </conditionalFormatting>
  <conditionalFormatting sqref="R295">
    <cfRule type="cellIs" dxfId="634" priority="76" operator="equal">
      <formula>"U/P"</formula>
    </cfRule>
    <cfRule type="cellIs" dxfId="633" priority="77" operator="equal">
      <formula>"F"</formula>
    </cfRule>
    <cfRule type="cellIs" dxfId="632" priority="78" operator="equal">
      <formula>"F"</formula>
    </cfRule>
  </conditionalFormatting>
  <conditionalFormatting sqref="R303">
    <cfRule type="cellIs" dxfId="631" priority="280" operator="equal">
      <formula>"U/P"</formula>
    </cfRule>
    <cfRule type="cellIs" dxfId="630" priority="281" operator="equal">
      <formula>"F"</formula>
    </cfRule>
    <cfRule type="cellIs" dxfId="629" priority="282" operator="equal">
      <formula>"F"</formula>
    </cfRule>
  </conditionalFormatting>
  <conditionalFormatting sqref="R310">
    <cfRule type="cellIs" dxfId="628" priority="244" operator="equal">
      <formula>"U/P"</formula>
    </cfRule>
    <cfRule type="cellIs" dxfId="627" priority="245" operator="equal">
      <formula>"F"</formula>
    </cfRule>
    <cfRule type="cellIs" dxfId="626" priority="246" operator="equal">
      <formula>"F"</formula>
    </cfRule>
  </conditionalFormatting>
  <conditionalFormatting sqref="T23">
    <cfRule type="cellIs" dxfId="625" priority="1642" operator="equal">
      <formula>"U/P"</formula>
    </cfRule>
    <cfRule type="cellIs" dxfId="624" priority="1643" operator="equal">
      <formula>"F"</formula>
    </cfRule>
    <cfRule type="cellIs" dxfId="623" priority="1644" operator="equal">
      <formula>"F"</formula>
    </cfRule>
  </conditionalFormatting>
  <conditionalFormatting sqref="T31">
    <cfRule type="cellIs" dxfId="622" priority="1600" operator="equal">
      <formula>"U/P"</formula>
    </cfRule>
    <cfRule type="cellIs" dxfId="621" priority="1601" operator="equal">
      <formula>"F"</formula>
    </cfRule>
    <cfRule type="cellIs" dxfId="620" priority="1602" operator="equal">
      <formula>"F"</formula>
    </cfRule>
  </conditionalFormatting>
  <conditionalFormatting sqref="T39">
    <cfRule type="cellIs" dxfId="619" priority="1558" operator="equal">
      <formula>"U/P"</formula>
    </cfRule>
    <cfRule type="cellIs" dxfId="618" priority="1559" operator="equal">
      <formula>"F"</formula>
    </cfRule>
    <cfRule type="cellIs" dxfId="617" priority="1560" operator="equal">
      <formula>"F"</formula>
    </cfRule>
  </conditionalFormatting>
  <conditionalFormatting sqref="T47">
    <cfRule type="cellIs" dxfId="616" priority="1516" operator="equal">
      <formula>"U/P"</formula>
    </cfRule>
    <cfRule type="cellIs" dxfId="615" priority="1517" operator="equal">
      <formula>"F"</formula>
    </cfRule>
    <cfRule type="cellIs" dxfId="614" priority="1518" operator="equal">
      <formula>"F"</formula>
    </cfRule>
  </conditionalFormatting>
  <conditionalFormatting sqref="T55">
    <cfRule type="cellIs" dxfId="613" priority="1474" operator="equal">
      <formula>"U/P"</formula>
    </cfRule>
    <cfRule type="cellIs" dxfId="612" priority="1475" operator="equal">
      <formula>"F"</formula>
    </cfRule>
    <cfRule type="cellIs" dxfId="611" priority="1476" operator="equal">
      <formula>"F"</formula>
    </cfRule>
  </conditionalFormatting>
  <conditionalFormatting sqref="T63">
    <cfRule type="cellIs" dxfId="610" priority="1432" operator="equal">
      <formula>"U/P"</formula>
    </cfRule>
    <cfRule type="cellIs" dxfId="609" priority="1433" operator="equal">
      <formula>"F"</formula>
    </cfRule>
    <cfRule type="cellIs" dxfId="608" priority="1434" operator="equal">
      <formula>"F"</formula>
    </cfRule>
  </conditionalFormatting>
  <conditionalFormatting sqref="T71">
    <cfRule type="cellIs" dxfId="607" priority="1390" operator="equal">
      <formula>"U/P"</formula>
    </cfRule>
    <cfRule type="cellIs" dxfId="606" priority="1391" operator="equal">
      <formula>"F"</formula>
    </cfRule>
    <cfRule type="cellIs" dxfId="605" priority="1392" operator="equal">
      <formula>"F"</formula>
    </cfRule>
  </conditionalFormatting>
  <conditionalFormatting sqref="T79">
    <cfRule type="cellIs" dxfId="604" priority="1348" operator="equal">
      <formula>"U/P"</formula>
    </cfRule>
    <cfRule type="cellIs" dxfId="603" priority="1349" operator="equal">
      <formula>"F"</formula>
    </cfRule>
    <cfRule type="cellIs" dxfId="602" priority="1350" operator="equal">
      <formula>"F"</formula>
    </cfRule>
  </conditionalFormatting>
  <conditionalFormatting sqref="T87">
    <cfRule type="cellIs" dxfId="601" priority="1306" operator="equal">
      <formula>"U/P"</formula>
    </cfRule>
    <cfRule type="cellIs" dxfId="600" priority="1307" operator="equal">
      <formula>"F"</formula>
    </cfRule>
    <cfRule type="cellIs" dxfId="599" priority="1308" operator="equal">
      <formula>"F"</formula>
    </cfRule>
  </conditionalFormatting>
  <conditionalFormatting sqref="T95">
    <cfRule type="cellIs" dxfId="598" priority="1264" operator="equal">
      <formula>"U/P"</formula>
    </cfRule>
    <cfRule type="cellIs" dxfId="597" priority="1265" operator="equal">
      <formula>"F"</formula>
    </cfRule>
    <cfRule type="cellIs" dxfId="596" priority="1266" operator="equal">
      <formula>"F"</formula>
    </cfRule>
  </conditionalFormatting>
  <conditionalFormatting sqref="T103">
    <cfRule type="cellIs" dxfId="595" priority="1225" operator="equal">
      <formula>"U/P"</formula>
    </cfRule>
    <cfRule type="cellIs" dxfId="594" priority="1226" operator="equal">
      <formula>"F"</formula>
    </cfRule>
    <cfRule type="cellIs" dxfId="593" priority="1227" operator="equal">
      <formula>"F"</formula>
    </cfRule>
  </conditionalFormatting>
  <conditionalFormatting sqref="T111">
    <cfRule type="cellIs" dxfId="592" priority="1180" operator="equal">
      <formula>"U/P"</formula>
    </cfRule>
    <cfRule type="cellIs" dxfId="591" priority="1181" operator="equal">
      <formula>"F"</formula>
    </cfRule>
    <cfRule type="cellIs" dxfId="590" priority="1182" operator="equal">
      <formula>"F"</formula>
    </cfRule>
  </conditionalFormatting>
  <conditionalFormatting sqref="T119">
    <cfRule type="cellIs" dxfId="589" priority="1144" operator="equal">
      <formula>"U/P"</formula>
    </cfRule>
    <cfRule type="cellIs" dxfId="588" priority="1145" operator="equal">
      <formula>"F"</formula>
    </cfRule>
    <cfRule type="cellIs" dxfId="587" priority="1146" operator="equal">
      <formula>"F"</formula>
    </cfRule>
  </conditionalFormatting>
  <conditionalFormatting sqref="T127">
    <cfRule type="cellIs" dxfId="586" priority="1108" operator="equal">
      <formula>"U/P"</formula>
    </cfRule>
    <cfRule type="cellIs" dxfId="585" priority="1109" operator="equal">
      <formula>"F"</formula>
    </cfRule>
    <cfRule type="cellIs" dxfId="584" priority="1110" operator="equal">
      <formula>"F"</formula>
    </cfRule>
  </conditionalFormatting>
  <conditionalFormatting sqref="T135">
    <cfRule type="cellIs" dxfId="583" priority="1078" operator="equal">
      <formula>"U/P"</formula>
    </cfRule>
    <cfRule type="cellIs" dxfId="582" priority="1079" operator="equal">
      <formula>"F"</formula>
    </cfRule>
    <cfRule type="cellIs" dxfId="581" priority="1080" operator="equal">
      <formula>"F"</formula>
    </cfRule>
  </conditionalFormatting>
  <conditionalFormatting sqref="T143">
    <cfRule type="cellIs" dxfId="580" priority="191" operator="equal">
      <formula>"U/P"</formula>
    </cfRule>
    <cfRule type="cellIs" dxfId="579" priority="192" operator="equal">
      <formula>"F"</formula>
    </cfRule>
    <cfRule type="cellIs" dxfId="578" priority="193" operator="equal">
      <formula>"F"</formula>
    </cfRule>
  </conditionalFormatting>
  <conditionalFormatting sqref="T151">
    <cfRule type="cellIs" dxfId="577" priority="1018" operator="equal">
      <formula>"U/P"</formula>
    </cfRule>
    <cfRule type="cellIs" dxfId="576" priority="1019" operator="equal">
      <formula>"F"</formula>
    </cfRule>
    <cfRule type="cellIs" dxfId="575" priority="1020" operator="equal">
      <formula>"F"</formula>
    </cfRule>
  </conditionalFormatting>
  <conditionalFormatting sqref="T159">
    <cfRule type="cellIs" dxfId="574" priority="982" operator="equal">
      <formula>"U/P"</formula>
    </cfRule>
    <cfRule type="cellIs" dxfId="573" priority="983" operator="equal">
      <formula>"F"</formula>
    </cfRule>
    <cfRule type="cellIs" dxfId="572" priority="984" operator="equal">
      <formula>"F"</formula>
    </cfRule>
  </conditionalFormatting>
  <conditionalFormatting sqref="T167">
    <cfRule type="cellIs" dxfId="571" priority="940" operator="equal">
      <formula>"U/P"</formula>
    </cfRule>
    <cfRule type="cellIs" dxfId="570" priority="941" operator="equal">
      <formula>"F"</formula>
    </cfRule>
    <cfRule type="cellIs" dxfId="569" priority="942" operator="equal">
      <formula>"F"</formula>
    </cfRule>
  </conditionalFormatting>
  <conditionalFormatting sqref="T175">
    <cfRule type="cellIs" dxfId="568" priority="898" operator="equal">
      <formula>"U/P"</formula>
    </cfRule>
    <cfRule type="cellIs" dxfId="567" priority="899" operator="equal">
      <formula>"F"</formula>
    </cfRule>
    <cfRule type="cellIs" dxfId="566" priority="900" operator="equal">
      <formula>"F"</formula>
    </cfRule>
  </conditionalFormatting>
  <conditionalFormatting sqref="T183">
    <cfRule type="cellIs" dxfId="565" priority="868" operator="equal">
      <formula>"U/P"</formula>
    </cfRule>
    <cfRule type="cellIs" dxfId="564" priority="869" operator="equal">
      <formula>"F"</formula>
    </cfRule>
    <cfRule type="cellIs" dxfId="563" priority="870" operator="equal">
      <formula>"F"</formula>
    </cfRule>
  </conditionalFormatting>
  <conditionalFormatting sqref="T191">
    <cfRule type="cellIs" dxfId="562" priority="1717" operator="equal">
      <formula>"U/P"</formula>
    </cfRule>
    <cfRule type="cellIs" dxfId="561" priority="1718" operator="equal">
      <formula>"F"</formula>
    </cfRule>
    <cfRule type="cellIs" dxfId="560" priority="1719" operator="equal">
      <formula>"F"</formula>
    </cfRule>
  </conditionalFormatting>
  <conditionalFormatting sqref="T199">
    <cfRule type="cellIs" dxfId="559" priority="209" operator="equal">
      <formula>"U/P"</formula>
    </cfRule>
    <cfRule type="cellIs" dxfId="558" priority="210" operator="equal">
      <formula>"F"</formula>
    </cfRule>
    <cfRule type="cellIs" dxfId="557" priority="211" operator="equal">
      <formula>"F"</formula>
    </cfRule>
  </conditionalFormatting>
  <conditionalFormatting sqref="T207">
    <cfRule type="cellIs" dxfId="556" priority="784" operator="equal">
      <formula>"U/P"</formula>
    </cfRule>
    <cfRule type="cellIs" dxfId="555" priority="785" operator="equal">
      <formula>"F"</formula>
    </cfRule>
    <cfRule type="cellIs" dxfId="554" priority="786" operator="equal">
      <formula>"F"</formula>
    </cfRule>
  </conditionalFormatting>
  <conditionalFormatting sqref="T215">
    <cfRule type="cellIs" dxfId="553" priority="715" operator="equal">
      <formula>"U/P"</formula>
    </cfRule>
    <cfRule type="cellIs" dxfId="552" priority="716" operator="equal">
      <formula>"F"</formula>
    </cfRule>
    <cfRule type="cellIs" dxfId="551" priority="717" operator="equal">
      <formula>"F"</formula>
    </cfRule>
  </conditionalFormatting>
  <conditionalFormatting sqref="T223">
    <cfRule type="cellIs" dxfId="550" priority="697" operator="equal">
      <formula>"U/P"</formula>
    </cfRule>
    <cfRule type="cellIs" dxfId="549" priority="698" operator="equal">
      <formula>"F"</formula>
    </cfRule>
    <cfRule type="cellIs" dxfId="548" priority="699" operator="equal">
      <formula>"F"</formula>
    </cfRule>
  </conditionalFormatting>
  <conditionalFormatting sqref="T231">
    <cfRule type="cellIs" dxfId="547" priority="655" operator="equal">
      <formula>"U/P"</formula>
    </cfRule>
    <cfRule type="cellIs" dxfId="546" priority="656" operator="equal">
      <formula>"F"</formula>
    </cfRule>
    <cfRule type="cellIs" dxfId="545" priority="657" operator="equal">
      <formula>"F"</formula>
    </cfRule>
  </conditionalFormatting>
  <conditionalFormatting sqref="T239">
    <cfRule type="cellIs" dxfId="544" priority="613" operator="equal">
      <formula>"U/P"</formula>
    </cfRule>
    <cfRule type="cellIs" dxfId="543" priority="614" operator="equal">
      <formula>"F"</formula>
    </cfRule>
    <cfRule type="cellIs" dxfId="542" priority="615" operator="equal">
      <formula>"F"</formula>
    </cfRule>
  </conditionalFormatting>
  <conditionalFormatting sqref="T247">
    <cfRule type="cellIs" dxfId="541" priority="571" operator="equal">
      <formula>"U/P"</formula>
    </cfRule>
    <cfRule type="cellIs" dxfId="540" priority="572" operator="equal">
      <formula>"F"</formula>
    </cfRule>
    <cfRule type="cellIs" dxfId="539" priority="573" operator="equal">
      <formula>"F"</formula>
    </cfRule>
  </conditionalFormatting>
  <conditionalFormatting sqref="T255">
    <cfRule type="cellIs" dxfId="538" priority="529" operator="equal">
      <formula>"U/P"</formula>
    </cfRule>
    <cfRule type="cellIs" dxfId="537" priority="530" operator="equal">
      <formula>"F"</formula>
    </cfRule>
    <cfRule type="cellIs" dxfId="536" priority="531" operator="equal">
      <formula>"F"</formula>
    </cfRule>
  </conditionalFormatting>
  <conditionalFormatting sqref="T263">
    <cfRule type="cellIs" dxfId="535" priority="133" operator="equal">
      <formula>"U/P"</formula>
    </cfRule>
    <cfRule type="cellIs" dxfId="534" priority="134" operator="equal">
      <formula>"F"</formula>
    </cfRule>
    <cfRule type="cellIs" dxfId="533" priority="135" operator="equal">
      <formula>"F"</formula>
    </cfRule>
  </conditionalFormatting>
  <conditionalFormatting sqref="T271">
    <cfRule type="cellIs" dxfId="532" priority="445" operator="equal">
      <formula>"U/P"</formula>
    </cfRule>
    <cfRule type="cellIs" dxfId="531" priority="446" operator="equal">
      <formula>"F"</formula>
    </cfRule>
    <cfRule type="cellIs" dxfId="530" priority="447" operator="equal">
      <formula>"F"</formula>
    </cfRule>
  </conditionalFormatting>
  <conditionalFormatting sqref="T279">
    <cfRule type="cellIs" dxfId="529" priority="403" operator="equal">
      <formula>"U/P"</formula>
    </cfRule>
    <cfRule type="cellIs" dxfId="528" priority="404" operator="equal">
      <formula>"F"</formula>
    </cfRule>
    <cfRule type="cellIs" dxfId="527" priority="405" operator="equal">
      <formula>"F"</formula>
    </cfRule>
  </conditionalFormatting>
  <conditionalFormatting sqref="T287">
    <cfRule type="cellIs" dxfId="526" priority="361" operator="equal">
      <formula>"U/P"</formula>
    </cfRule>
    <cfRule type="cellIs" dxfId="525" priority="362" operator="equal">
      <formula>"F"</formula>
    </cfRule>
    <cfRule type="cellIs" dxfId="524" priority="363" operator="equal">
      <formula>"F"</formula>
    </cfRule>
  </conditionalFormatting>
  <conditionalFormatting sqref="T295">
    <cfRule type="cellIs" dxfId="523" priority="73" operator="equal">
      <formula>"U/P"</formula>
    </cfRule>
    <cfRule type="cellIs" dxfId="522" priority="74" operator="equal">
      <formula>"F"</formula>
    </cfRule>
    <cfRule type="cellIs" dxfId="521" priority="75" operator="equal">
      <formula>"F"</formula>
    </cfRule>
  </conditionalFormatting>
  <conditionalFormatting sqref="T303">
    <cfRule type="cellIs" dxfId="520" priority="277" operator="equal">
      <formula>"U/P"</formula>
    </cfRule>
    <cfRule type="cellIs" dxfId="519" priority="278" operator="equal">
      <formula>"F"</formula>
    </cfRule>
    <cfRule type="cellIs" dxfId="518" priority="279" operator="equal">
      <formula>"F"</formula>
    </cfRule>
  </conditionalFormatting>
  <conditionalFormatting sqref="T310">
    <cfRule type="cellIs" dxfId="517" priority="241" operator="equal">
      <formula>"U/P"</formula>
    </cfRule>
    <cfRule type="cellIs" dxfId="516" priority="242" operator="equal">
      <formula>"F"</formula>
    </cfRule>
    <cfRule type="cellIs" dxfId="515" priority="243" operator="equal">
      <formula>"F"</formula>
    </cfRule>
  </conditionalFormatting>
  <conditionalFormatting sqref="V23">
    <cfRule type="cellIs" dxfId="514" priority="1639" operator="equal">
      <formula>"U/P"</formula>
    </cfRule>
    <cfRule type="cellIs" dxfId="513" priority="1640" operator="equal">
      <formula>"F"</formula>
    </cfRule>
    <cfRule type="cellIs" dxfId="512" priority="1641" operator="equal">
      <formula>"F"</formula>
    </cfRule>
  </conditionalFormatting>
  <conditionalFormatting sqref="V31">
    <cfRule type="cellIs" dxfId="511" priority="1597" operator="equal">
      <formula>"U/P"</formula>
    </cfRule>
    <cfRule type="cellIs" dxfId="510" priority="1598" operator="equal">
      <formula>"F"</formula>
    </cfRule>
    <cfRule type="cellIs" dxfId="509" priority="1599" operator="equal">
      <formula>"F"</formula>
    </cfRule>
  </conditionalFormatting>
  <conditionalFormatting sqref="V39">
    <cfRule type="cellIs" dxfId="508" priority="1555" operator="equal">
      <formula>"U/P"</formula>
    </cfRule>
    <cfRule type="cellIs" dxfId="507" priority="1556" operator="equal">
      <formula>"F"</formula>
    </cfRule>
    <cfRule type="cellIs" dxfId="506" priority="1557" operator="equal">
      <formula>"F"</formula>
    </cfRule>
  </conditionalFormatting>
  <conditionalFormatting sqref="V47">
    <cfRule type="cellIs" dxfId="505" priority="1513" operator="equal">
      <formula>"U/P"</formula>
    </cfRule>
    <cfRule type="cellIs" dxfId="504" priority="1514" operator="equal">
      <formula>"F"</formula>
    </cfRule>
    <cfRule type="cellIs" dxfId="503" priority="1515" operator="equal">
      <formula>"F"</formula>
    </cfRule>
  </conditionalFormatting>
  <conditionalFormatting sqref="V55">
    <cfRule type="cellIs" dxfId="502" priority="1471" operator="equal">
      <formula>"U/P"</formula>
    </cfRule>
    <cfRule type="cellIs" dxfId="501" priority="1472" operator="equal">
      <formula>"F"</formula>
    </cfRule>
    <cfRule type="cellIs" dxfId="500" priority="1473" operator="equal">
      <formula>"F"</formula>
    </cfRule>
  </conditionalFormatting>
  <conditionalFormatting sqref="V63">
    <cfRule type="cellIs" dxfId="499" priority="1429" operator="equal">
      <formula>"U/P"</formula>
    </cfRule>
    <cfRule type="cellIs" dxfId="498" priority="1430" operator="equal">
      <formula>"F"</formula>
    </cfRule>
    <cfRule type="cellIs" dxfId="497" priority="1431" operator="equal">
      <formula>"F"</formula>
    </cfRule>
  </conditionalFormatting>
  <conditionalFormatting sqref="V71">
    <cfRule type="cellIs" dxfId="496" priority="1387" operator="equal">
      <formula>"U/P"</formula>
    </cfRule>
    <cfRule type="cellIs" dxfId="495" priority="1388" operator="equal">
      <formula>"F"</formula>
    </cfRule>
    <cfRule type="cellIs" dxfId="494" priority="1389" operator="equal">
      <formula>"F"</formula>
    </cfRule>
  </conditionalFormatting>
  <conditionalFormatting sqref="V79">
    <cfRule type="cellIs" dxfId="493" priority="1345" operator="equal">
      <formula>"U/P"</formula>
    </cfRule>
    <cfRule type="cellIs" dxfId="492" priority="1346" operator="equal">
      <formula>"F"</formula>
    </cfRule>
    <cfRule type="cellIs" dxfId="491" priority="1347" operator="equal">
      <formula>"F"</formula>
    </cfRule>
  </conditionalFormatting>
  <conditionalFormatting sqref="V87">
    <cfRule type="cellIs" dxfId="490" priority="1303" operator="equal">
      <formula>"U/P"</formula>
    </cfRule>
    <cfRule type="cellIs" dxfId="489" priority="1304" operator="equal">
      <formula>"F"</formula>
    </cfRule>
    <cfRule type="cellIs" dxfId="488" priority="1305" operator="equal">
      <formula>"F"</formula>
    </cfRule>
  </conditionalFormatting>
  <conditionalFormatting sqref="V95">
    <cfRule type="cellIs" dxfId="487" priority="1261" operator="equal">
      <formula>"U/P"</formula>
    </cfRule>
    <cfRule type="cellIs" dxfId="486" priority="1262" operator="equal">
      <formula>"F"</formula>
    </cfRule>
    <cfRule type="cellIs" dxfId="485" priority="1263" operator="equal">
      <formula>"F"</formula>
    </cfRule>
  </conditionalFormatting>
  <conditionalFormatting sqref="V103">
    <cfRule type="cellIs" dxfId="484" priority="1222" operator="equal">
      <formula>"U/P"</formula>
    </cfRule>
    <cfRule type="cellIs" dxfId="483" priority="1223" operator="equal">
      <formula>"F"</formula>
    </cfRule>
    <cfRule type="cellIs" dxfId="482" priority="1224" operator="equal">
      <formula>"F"</formula>
    </cfRule>
  </conditionalFormatting>
  <conditionalFormatting sqref="V111">
    <cfRule type="cellIs" dxfId="481" priority="1791" operator="equal">
      <formula>"U/P"</formula>
    </cfRule>
    <cfRule type="cellIs" dxfId="480" priority="1792" operator="equal">
      <formula>"F"</formula>
    </cfRule>
    <cfRule type="cellIs" dxfId="479" priority="1793" operator="equal">
      <formula>"F"</formula>
    </cfRule>
  </conditionalFormatting>
  <conditionalFormatting sqref="V119">
    <cfRule type="cellIs" dxfId="478" priority="1141" operator="equal">
      <formula>"U/P"</formula>
    </cfRule>
    <cfRule type="cellIs" dxfId="477" priority="1142" operator="equal">
      <formula>"F"</formula>
    </cfRule>
    <cfRule type="cellIs" dxfId="476" priority="1143" operator="equal">
      <formula>"F"</formula>
    </cfRule>
  </conditionalFormatting>
  <conditionalFormatting sqref="V127">
    <cfRule type="cellIs" dxfId="475" priority="1105" operator="equal">
      <formula>"U/P"</formula>
    </cfRule>
    <cfRule type="cellIs" dxfId="474" priority="1106" operator="equal">
      <formula>"F"</formula>
    </cfRule>
    <cfRule type="cellIs" dxfId="473" priority="1107" operator="equal">
      <formula>"F"</formula>
    </cfRule>
  </conditionalFormatting>
  <conditionalFormatting sqref="V135">
    <cfRule type="cellIs" dxfId="472" priority="1075" operator="equal">
      <formula>"U/P"</formula>
    </cfRule>
    <cfRule type="cellIs" dxfId="471" priority="1076" operator="equal">
      <formula>"F"</formula>
    </cfRule>
    <cfRule type="cellIs" dxfId="470" priority="1077" operator="equal">
      <formula>"F"</formula>
    </cfRule>
  </conditionalFormatting>
  <conditionalFormatting sqref="V143">
    <cfRule type="cellIs" dxfId="469" priority="64" operator="equal">
      <formula>"U/P"</formula>
    </cfRule>
    <cfRule type="cellIs" dxfId="468" priority="65" operator="equal">
      <formula>"F"</formula>
    </cfRule>
    <cfRule type="cellIs" dxfId="467" priority="66" operator="equal">
      <formula>"F"</formula>
    </cfRule>
  </conditionalFormatting>
  <conditionalFormatting sqref="V151">
    <cfRule type="cellIs" dxfId="466" priority="1015" operator="equal">
      <formula>"U/P"</formula>
    </cfRule>
    <cfRule type="cellIs" dxfId="465" priority="1016" operator="equal">
      <formula>"F"</formula>
    </cfRule>
    <cfRule type="cellIs" dxfId="464" priority="1017" operator="equal">
      <formula>"F"</formula>
    </cfRule>
  </conditionalFormatting>
  <conditionalFormatting sqref="V159">
    <cfRule type="cellIs" dxfId="463" priority="227" operator="equal">
      <formula>"U/P"</formula>
    </cfRule>
    <cfRule type="cellIs" dxfId="462" priority="228" operator="equal">
      <formula>"F"</formula>
    </cfRule>
    <cfRule type="cellIs" dxfId="461" priority="229" operator="equal">
      <formula>"F"</formula>
    </cfRule>
  </conditionalFormatting>
  <conditionalFormatting sqref="V167">
    <cfRule type="cellIs" dxfId="460" priority="937" operator="equal">
      <formula>"U/P"</formula>
    </cfRule>
    <cfRule type="cellIs" dxfId="459" priority="938" operator="equal">
      <formula>"F"</formula>
    </cfRule>
    <cfRule type="cellIs" dxfId="458" priority="939" operator="equal">
      <formula>"F"</formula>
    </cfRule>
  </conditionalFormatting>
  <conditionalFormatting sqref="V175">
    <cfRule type="cellIs" dxfId="457" priority="34" operator="equal">
      <formula>"U/P"</formula>
    </cfRule>
    <cfRule type="cellIs" dxfId="456" priority="35" operator="equal">
      <formula>"F"</formula>
    </cfRule>
    <cfRule type="cellIs" dxfId="455" priority="36" operator="equal">
      <formula>"F"</formula>
    </cfRule>
  </conditionalFormatting>
  <conditionalFormatting sqref="V183">
    <cfRule type="cellIs" dxfId="454" priority="28" operator="equal">
      <formula>"U/P"</formula>
    </cfRule>
    <cfRule type="cellIs" dxfId="453" priority="29" operator="equal">
      <formula>"F"</formula>
    </cfRule>
    <cfRule type="cellIs" dxfId="452" priority="30" operator="equal">
      <formula>"F"</formula>
    </cfRule>
  </conditionalFormatting>
  <conditionalFormatting sqref="V191">
    <cfRule type="cellIs" dxfId="451" priority="835" operator="equal">
      <formula>"U/P"</formula>
    </cfRule>
    <cfRule type="cellIs" dxfId="450" priority="836" operator="equal">
      <formula>"F"</formula>
    </cfRule>
    <cfRule type="cellIs" dxfId="449" priority="837" operator="equal">
      <formula>"F"</formula>
    </cfRule>
  </conditionalFormatting>
  <conditionalFormatting sqref="V199">
    <cfRule type="cellIs" dxfId="448" priority="7" operator="equal">
      <formula>"U/P"</formula>
    </cfRule>
    <cfRule type="cellIs" dxfId="447" priority="8" operator="equal">
      <formula>"F"</formula>
    </cfRule>
    <cfRule type="cellIs" dxfId="446" priority="9" operator="equal">
      <formula>"F"</formula>
    </cfRule>
  </conditionalFormatting>
  <conditionalFormatting sqref="V207">
    <cfRule type="cellIs" dxfId="445" priority="781" operator="equal">
      <formula>"U/P"</formula>
    </cfRule>
    <cfRule type="cellIs" dxfId="444" priority="782" operator="equal">
      <formula>"F"</formula>
    </cfRule>
    <cfRule type="cellIs" dxfId="443" priority="783" operator="equal">
      <formula>"F"</formula>
    </cfRule>
  </conditionalFormatting>
  <conditionalFormatting sqref="V215">
    <cfRule type="cellIs" dxfId="442" priority="712" operator="equal">
      <formula>"U/P"</formula>
    </cfRule>
    <cfRule type="cellIs" dxfId="441" priority="713" operator="equal">
      <formula>"F"</formula>
    </cfRule>
    <cfRule type="cellIs" dxfId="440" priority="714" operator="equal">
      <formula>"F"</formula>
    </cfRule>
  </conditionalFormatting>
  <conditionalFormatting sqref="V223">
    <cfRule type="cellIs" dxfId="439" priority="694" operator="equal">
      <formula>"U/P"</formula>
    </cfRule>
    <cfRule type="cellIs" dxfId="438" priority="695" operator="equal">
      <formula>"F"</formula>
    </cfRule>
    <cfRule type="cellIs" dxfId="437" priority="696" operator="equal">
      <formula>"F"</formula>
    </cfRule>
  </conditionalFormatting>
  <conditionalFormatting sqref="V231">
    <cfRule type="cellIs" dxfId="436" priority="652" operator="equal">
      <formula>"U/P"</formula>
    </cfRule>
    <cfRule type="cellIs" dxfId="435" priority="653" operator="equal">
      <formula>"F"</formula>
    </cfRule>
    <cfRule type="cellIs" dxfId="434" priority="654" operator="equal">
      <formula>"F"</formula>
    </cfRule>
  </conditionalFormatting>
  <conditionalFormatting sqref="V239">
    <cfRule type="cellIs" dxfId="433" priority="610" operator="equal">
      <formula>"U/P"</formula>
    </cfRule>
    <cfRule type="cellIs" dxfId="432" priority="611" operator="equal">
      <formula>"F"</formula>
    </cfRule>
    <cfRule type="cellIs" dxfId="431" priority="612" operator="equal">
      <formula>"F"</formula>
    </cfRule>
  </conditionalFormatting>
  <conditionalFormatting sqref="V247">
    <cfRule type="cellIs" dxfId="430" priority="568" operator="equal">
      <formula>"U/P"</formula>
    </cfRule>
    <cfRule type="cellIs" dxfId="429" priority="569" operator="equal">
      <formula>"F"</formula>
    </cfRule>
    <cfRule type="cellIs" dxfId="428" priority="570" operator="equal">
      <formula>"F"</formula>
    </cfRule>
  </conditionalFormatting>
  <conditionalFormatting sqref="V255">
    <cfRule type="cellIs" dxfId="427" priority="526" operator="equal">
      <formula>"U/P"</formula>
    </cfRule>
    <cfRule type="cellIs" dxfId="426" priority="527" operator="equal">
      <formula>"F"</formula>
    </cfRule>
    <cfRule type="cellIs" dxfId="425" priority="528" operator="equal">
      <formula>"F"</formula>
    </cfRule>
  </conditionalFormatting>
  <conditionalFormatting sqref="V263">
    <cfRule type="cellIs" dxfId="424" priority="130" operator="equal">
      <formula>"U/P"</formula>
    </cfRule>
    <cfRule type="cellIs" dxfId="423" priority="131" operator="equal">
      <formula>"F"</formula>
    </cfRule>
    <cfRule type="cellIs" dxfId="422" priority="132" operator="equal">
      <formula>"F"</formula>
    </cfRule>
  </conditionalFormatting>
  <conditionalFormatting sqref="V271">
    <cfRule type="cellIs" dxfId="421" priority="442" operator="equal">
      <formula>"U/P"</formula>
    </cfRule>
    <cfRule type="cellIs" dxfId="420" priority="443" operator="equal">
      <formula>"F"</formula>
    </cfRule>
    <cfRule type="cellIs" dxfId="419" priority="444" operator="equal">
      <formula>"F"</formula>
    </cfRule>
  </conditionalFormatting>
  <conditionalFormatting sqref="V279">
    <cfRule type="cellIs" dxfId="418" priority="400" operator="equal">
      <formula>"U/P"</formula>
    </cfRule>
    <cfRule type="cellIs" dxfId="417" priority="401" operator="equal">
      <formula>"F"</formula>
    </cfRule>
    <cfRule type="cellIs" dxfId="416" priority="402" operator="equal">
      <formula>"F"</formula>
    </cfRule>
  </conditionalFormatting>
  <conditionalFormatting sqref="V287">
    <cfRule type="cellIs" dxfId="415" priority="10" operator="equal">
      <formula>"U/P"</formula>
    </cfRule>
    <cfRule type="cellIs" dxfId="414" priority="11" operator="equal">
      <formula>"F"</formula>
    </cfRule>
    <cfRule type="cellIs" dxfId="413" priority="12" operator="equal">
      <formula>"F"</formula>
    </cfRule>
  </conditionalFormatting>
  <conditionalFormatting sqref="V295">
    <cfRule type="cellIs" dxfId="412" priority="70" operator="equal">
      <formula>"U/P"</formula>
    </cfRule>
    <cfRule type="cellIs" dxfId="411" priority="71" operator="equal">
      <formula>"F"</formula>
    </cfRule>
    <cfRule type="cellIs" dxfId="410" priority="72" operator="equal">
      <formula>"F"</formula>
    </cfRule>
  </conditionalFormatting>
  <conditionalFormatting sqref="V303">
    <cfRule type="cellIs" dxfId="409" priority="274" operator="equal">
      <formula>"U/P"</formula>
    </cfRule>
    <cfRule type="cellIs" dxfId="408" priority="275" operator="equal">
      <formula>"F"</formula>
    </cfRule>
    <cfRule type="cellIs" dxfId="407" priority="276" operator="equal">
      <formula>"F"</formula>
    </cfRule>
  </conditionalFormatting>
  <conditionalFormatting sqref="V310">
    <cfRule type="cellIs" dxfId="406" priority="238" operator="equal">
      <formula>"U/P"</formula>
    </cfRule>
    <cfRule type="cellIs" dxfId="405" priority="239" operator="equal">
      <formula>"F"</formula>
    </cfRule>
    <cfRule type="cellIs" dxfId="404" priority="240" operator="equal">
      <formula>"F"</formula>
    </cfRule>
  </conditionalFormatting>
  <conditionalFormatting sqref="X23">
    <cfRule type="cellIs" dxfId="403" priority="1636" operator="equal">
      <formula>"U/P"</formula>
    </cfRule>
    <cfRule type="cellIs" dxfId="402" priority="1637" operator="equal">
      <formula>"F"</formula>
    </cfRule>
    <cfRule type="cellIs" dxfId="401" priority="1638" operator="equal">
      <formula>"F"</formula>
    </cfRule>
  </conditionalFormatting>
  <conditionalFormatting sqref="X31">
    <cfRule type="cellIs" dxfId="400" priority="1594" operator="equal">
      <formula>"U/P"</formula>
    </cfRule>
    <cfRule type="cellIs" dxfId="399" priority="1595" operator="equal">
      <formula>"F"</formula>
    </cfRule>
    <cfRule type="cellIs" dxfId="398" priority="1596" operator="equal">
      <formula>"F"</formula>
    </cfRule>
  </conditionalFormatting>
  <conditionalFormatting sqref="X39">
    <cfRule type="cellIs" dxfId="397" priority="1552" operator="equal">
      <formula>"U/P"</formula>
    </cfRule>
    <cfRule type="cellIs" dxfId="396" priority="1553" operator="equal">
      <formula>"F"</formula>
    </cfRule>
    <cfRule type="cellIs" dxfId="395" priority="1554" operator="equal">
      <formula>"F"</formula>
    </cfRule>
  </conditionalFormatting>
  <conditionalFormatting sqref="X47">
    <cfRule type="cellIs" dxfId="394" priority="1510" operator="equal">
      <formula>"U/P"</formula>
    </cfRule>
    <cfRule type="cellIs" dxfId="393" priority="1511" operator="equal">
      <formula>"F"</formula>
    </cfRule>
    <cfRule type="cellIs" dxfId="392" priority="1512" operator="equal">
      <formula>"F"</formula>
    </cfRule>
  </conditionalFormatting>
  <conditionalFormatting sqref="X55">
    <cfRule type="cellIs" dxfId="391" priority="1468" operator="equal">
      <formula>"U/P"</formula>
    </cfRule>
    <cfRule type="cellIs" dxfId="390" priority="1469" operator="equal">
      <formula>"F"</formula>
    </cfRule>
    <cfRule type="cellIs" dxfId="389" priority="1470" operator="equal">
      <formula>"F"</formula>
    </cfRule>
  </conditionalFormatting>
  <conditionalFormatting sqref="X63">
    <cfRule type="cellIs" dxfId="388" priority="1426" operator="equal">
      <formula>"U/P"</formula>
    </cfRule>
    <cfRule type="cellIs" dxfId="387" priority="1427" operator="equal">
      <formula>"F"</formula>
    </cfRule>
    <cfRule type="cellIs" dxfId="386" priority="1428" operator="equal">
      <formula>"F"</formula>
    </cfRule>
  </conditionalFormatting>
  <conditionalFormatting sqref="X71">
    <cfRule type="cellIs" dxfId="385" priority="1384" operator="equal">
      <formula>"U/P"</formula>
    </cfRule>
    <cfRule type="cellIs" dxfId="384" priority="1385" operator="equal">
      <formula>"F"</formula>
    </cfRule>
    <cfRule type="cellIs" dxfId="383" priority="1386" operator="equal">
      <formula>"F"</formula>
    </cfRule>
  </conditionalFormatting>
  <conditionalFormatting sqref="X79">
    <cfRule type="cellIs" dxfId="382" priority="1342" operator="equal">
      <formula>"U/P"</formula>
    </cfRule>
    <cfRule type="cellIs" dxfId="381" priority="1343" operator="equal">
      <formula>"F"</formula>
    </cfRule>
    <cfRule type="cellIs" dxfId="380" priority="1344" operator="equal">
      <formula>"F"</formula>
    </cfRule>
  </conditionalFormatting>
  <conditionalFormatting sqref="X87">
    <cfRule type="cellIs" dxfId="379" priority="1300" operator="equal">
      <formula>"U/P"</formula>
    </cfRule>
    <cfRule type="cellIs" dxfId="378" priority="1301" operator="equal">
      <formula>"F"</formula>
    </cfRule>
    <cfRule type="cellIs" dxfId="377" priority="1302" operator="equal">
      <formula>"F"</formula>
    </cfRule>
  </conditionalFormatting>
  <conditionalFormatting sqref="X95">
    <cfRule type="cellIs" dxfId="376" priority="1258" operator="equal">
      <formula>"U/P"</formula>
    </cfRule>
    <cfRule type="cellIs" dxfId="375" priority="1259" operator="equal">
      <formula>"F"</formula>
    </cfRule>
    <cfRule type="cellIs" dxfId="374" priority="1260" operator="equal">
      <formula>"F"</formula>
    </cfRule>
  </conditionalFormatting>
  <conditionalFormatting sqref="X103">
    <cfRule type="cellIs" dxfId="373" priority="1219" operator="equal">
      <formula>"U/P"</formula>
    </cfRule>
    <cfRule type="cellIs" dxfId="372" priority="1220" operator="equal">
      <formula>"F"</formula>
    </cfRule>
    <cfRule type="cellIs" dxfId="371" priority="1221" operator="equal">
      <formula>"F"</formula>
    </cfRule>
  </conditionalFormatting>
  <conditionalFormatting sqref="X111">
    <cfRule type="cellIs" dxfId="370" priority="1788" operator="equal">
      <formula>"U/P"</formula>
    </cfRule>
    <cfRule type="cellIs" dxfId="369" priority="1789" operator="equal">
      <formula>"F"</formula>
    </cfRule>
    <cfRule type="cellIs" dxfId="368" priority="1790" operator="equal">
      <formula>"F"</formula>
    </cfRule>
  </conditionalFormatting>
  <conditionalFormatting sqref="X119">
    <cfRule type="cellIs" dxfId="367" priority="1138" operator="equal">
      <formula>"U/P"</formula>
    </cfRule>
    <cfRule type="cellIs" dxfId="366" priority="1139" operator="equal">
      <formula>"F"</formula>
    </cfRule>
    <cfRule type="cellIs" dxfId="365" priority="1140" operator="equal">
      <formula>"F"</formula>
    </cfRule>
  </conditionalFormatting>
  <conditionalFormatting sqref="X127">
    <cfRule type="cellIs" dxfId="364" priority="1102" operator="equal">
      <formula>"U/P"</formula>
    </cfRule>
    <cfRule type="cellIs" dxfId="363" priority="1103" operator="equal">
      <formula>"F"</formula>
    </cfRule>
    <cfRule type="cellIs" dxfId="362" priority="1104" operator="equal">
      <formula>"F"</formula>
    </cfRule>
  </conditionalFormatting>
  <conditionalFormatting sqref="X135">
    <cfRule type="cellIs" dxfId="361" priority="1072" operator="equal">
      <formula>"U/P"</formula>
    </cfRule>
    <cfRule type="cellIs" dxfId="360" priority="1073" operator="equal">
      <formula>"F"</formula>
    </cfRule>
    <cfRule type="cellIs" dxfId="359" priority="1074" operator="equal">
      <formula>"F"</formula>
    </cfRule>
  </conditionalFormatting>
  <conditionalFormatting sqref="X143">
    <cfRule type="cellIs" dxfId="358" priority="1048" operator="equal">
      <formula>"U/P"</formula>
    </cfRule>
    <cfRule type="cellIs" dxfId="357" priority="1049" operator="equal">
      <formula>"F"</formula>
    </cfRule>
    <cfRule type="cellIs" dxfId="356" priority="1050" operator="equal">
      <formula>"F"</formula>
    </cfRule>
  </conditionalFormatting>
  <conditionalFormatting sqref="X151">
    <cfRule type="cellIs" dxfId="355" priority="1012" operator="equal">
      <formula>"U/P"</formula>
    </cfRule>
    <cfRule type="cellIs" dxfId="354" priority="1013" operator="equal">
      <formula>"F"</formula>
    </cfRule>
    <cfRule type="cellIs" dxfId="353" priority="1014" operator="equal">
      <formula>"F"</formula>
    </cfRule>
  </conditionalFormatting>
  <conditionalFormatting sqref="X159">
    <cfRule type="cellIs" dxfId="352" priority="976" operator="equal">
      <formula>"U/P"</formula>
    </cfRule>
    <cfRule type="cellIs" dxfId="351" priority="977" operator="equal">
      <formula>"F"</formula>
    </cfRule>
    <cfRule type="cellIs" dxfId="350" priority="978" operator="equal">
      <formula>"F"</formula>
    </cfRule>
  </conditionalFormatting>
  <conditionalFormatting sqref="X167">
    <cfRule type="cellIs" dxfId="349" priority="934" operator="equal">
      <formula>"U/P"</formula>
    </cfRule>
    <cfRule type="cellIs" dxfId="348" priority="935" operator="equal">
      <formula>"F"</formula>
    </cfRule>
    <cfRule type="cellIs" dxfId="347" priority="936" operator="equal">
      <formula>"F"</formula>
    </cfRule>
  </conditionalFormatting>
  <conditionalFormatting sqref="X175">
    <cfRule type="cellIs" dxfId="346" priority="892" operator="equal">
      <formula>"U/P"</formula>
    </cfRule>
    <cfRule type="cellIs" dxfId="345" priority="893" operator="equal">
      <formula>"F"</formula>
    </cfRule>
    <cfRule type="cellIs" dxfId="344" priority="894" operator="equal">
      <formula>"F"</formula>
    </cfRule>
  </conditionalFormatting>
  <conditionalFormatting sqref="X183">
    <cfRule type="cellIs" dxfId="343" priority="40" operator="equal">
      <formula>"U/P"</formula>
    </cfRule>
    <cfRule type="cellIs" dxfId="342" priority="41" operator="equal">
      <formula>"F"</formula>
    </cfRule>
    <cfRule type="cellIs" dxfId="341" priority="42" operator="equal">
      <formula>"F"</formula>
    </cfRule>
  </conditionalFormatting>
  <conditionalFormatting sqref="X191">
    <cfRule type="cellIs" dxfId="340" priority="832" operator="equal">
      <formula>"U/P"</formula>
    </cfRule>
    <cfRule type="cellIs" dxfId="339" priority="833" operator="equal">
      <formula>"F"</formula>
    </cfRule>
    <cfRule type="cellIs" dxfId="338" priority="834" operator="equal">
      <formula>"F"</formula>
    </cfRule>
  </conditionalFormatting>
  <conditionalFormatting sqref="X199">
    <cfRule type="cellIs" dxfId="337" priority="805" operator="equal">
      <formula>"U/P"</formula>
    </cfRule>
    <cfRule type="cellIs" dxfId="336" priority="806" operator="equal">
      <formula>"F"</formula>
    </cfRule>
    <cfRule type="cellIs" dxfId="335" priority="807" operator="equal">
      <formula>"F"</formula>
    </cfRule>
  </conditionalFormatting>
  <conditionalFormatting sqref="X207">
    <cfRule type="cellIs" dxfId="334" priority="1684" operator="equal">
      <formula>"U/P"</formula>
    </cfRule>
    <cfRule type="cellIs" dxfId="333" priority="1685" operator="equal">
      <formula>"F"</formula>
    </cfRule>
    <cfRule type="cellIs" dxfId="332" priority="1686" operator="equal">
      <formula>"F"</formula>
    </cfRule>
  </conditionalFormatting>
  <conditionalFormatting sqref="X215">
    <cfRule type="cellIs" dxfId="331" priority="727" operator="equal">
      <formula>"U/P"</formula>
    </cfRule>
    <cfRule type="cellIs" dxfId="330" priority="728" operator="equal">
      <formula>"F"</formula>
    </cfRule>
    <cfRule type="cellIs" dxfId="329" priority="729" operator="equal">
      <formula>"F"</formula>
    </cfRule>
  </conditionalFormatting>
  <conditionalFormatting sqref="X223">
    <cfRule type="cellIs" dxfId="328" priority="709" operator="equal">
      <formula>"U/P"</formula>
    </cfRule>
    <cfRule type="cellIs" dxfId="327" priority="710" operator="equal">
      <formula>"F"</formula>
    </cfRule>
    <cfRule type="cellIs" dxfId="326" priority="711" operator="equal">
      <formula>"F"</formula>
    </cfRule>
  </conditionalFormatting>
  <conditionalFormatting sqref="X231">
    <cfRule type="cellIs" dxfId="325" priority="667" operator="equal">
      <formula>"U/P"</formula>
    </cfRule>
    <cfRule type="cellIs" dxfId="324" priority="668" operator="equal">
      <formula>"F"</formula>
    </cfRule>
    <cfRule type="cellIs" dxfId="323" priority="669" operator="equal">
      <formula>"F"</formula>
    </cfRule>
  </conditionalFormatting>
  <conditionalFormatting sqref="X239">
    <cfRule type="cellIs" dxfId="322" priority="625" operator="equal">
      <formula>"U/P"</formula>
    </cfRule>
    <cfRule type="cellIs" dxfId="321" priority="626" operator="equal">
      <formula>"F"</formula>
    </cfRule>
    <cfRule type="cellIs" dxfId="320" priority="627" operator="equal">
      <formula>"F"</formula>
    </cfRule>
  </conditionalFormatting>
  <conditionalFormatting sqref="X247">
    <cfRule type="cellIs" dxfId="319" priority="583" operator="equal">
      <formula>"U/P"</formula>
    </cfRule>
    <cfRule type="cellIs" dxfId="318" priority="584" operator="equal">
      <formula>"F"</formula>
    </cfRule>
    <cfRule type="cellIs" dxfId="317" priority="585" operator="equal">
      <formula>"F"</formula>
    </cfRule>
  </conditionalFormatting>
  <conditionalFormatting sqref="X255">
    <cfRule type="cellIs" dxfId="316" priority="541" operator="equal">
      <formula>"U/P"</formula>
    </cfRule>
    <cfRule type="cellIs" dxfId="315" priority="542" operator="equal">
      <formula>"F"</formula>
    </cfRule>
    <cfRule type="cellIs" dxfId="314" priority="543" operator="equal">
      <formula>"F"</formula>
    </cfRule>
  </conditionalFormatting>
  <conditionalFormatting sqref="X263">
    <cfRule type="cellIs" dxfId="313" priority="127" operator="equal">
      <formula>"U/P"</formula>
    </cfRule>
    <cfRule type="cellIs" dxfId="312" priority="128" operator="equal">
      <formula>"F"</formula>
    </cfRule>
    <cfRule type="cellIs" dxfId="311" priority="129" operator="equal">
      <formula>"F"</formula>
    </cfRule>
  </conditionalFormatting>
  <conditionalFormatting sqref="X271">
    <cfRule type="cellIs" dxfId="310" priority="457" operator="equal">
      <formula>"U/P"</formula>
    </cfRule>
    <cfRule type="cellIs" dxfId="309" priority="458" operator="equal">
      <formula>"F"</formula>
    </cfRule>
    <cfRule type="cellIs" dxfId="308" priority="459" operator="equal">
      <formula>"F"</formula>
    </cfRule>
  </conditionalFormatting>
  <conditionalFormatting sqref="X279">
    <cfRule type="cellIs" dxfId="307" priority="415" operator="equal">
      <formula>"U/P"</formula>
    </cfRule>
    <cfRule type="cellIs" dxfId="306" priority="416" operator="equal">
      <formula>"F"</formula>
    </cfRule>
    <cfRule type="cellIs" dxfId="305" priority="417" operator="equal">
      <formula>"F"</formula>
    </cfRule>
  </conditionalFormatting>
  <conditionalFormatting sqref="X287">
    <cfRule type="cellIs" dxfId="304" priority="373" operator="equal">
      <formula>"U/P"</formula>
    </cfRule>
    <cfRule type="cellIs" dxfId="303" priority="374" operator="equal">
      <formula>"F"</formula>
    </cfRule>
    <cfRule type="cellIs" dxfId="302" priority="375" operator="equal">
      <formula>"F"</formula>
    </cfRule>
  </conditionalFormatting>
  <conditionalFormatting sqref="X295">
    <cfRule type="cellIs" dxfId="301" priority="79" operator="equal">
      <formula>"U/P"</formula>
    </cfRule>
    <cfRule type="cellIs" dxfId="300" priority="80" operator="equal">
      <formula>"F"</formula>
    </cfRule>
    <cfRule type="cellIs" dxfId="299" priority="81" operator="equal">
      <formula>"F"</formula>
    </cfRule>
  </conditionalFormatting>
  <conditionalFormatting sqref="X303">
    <cfRule type="cellIs" dxfId="298" priority="289" operator="equal">
      <formula>"U/P"</formula>
    </cfRule>
    <cfRule type="cellIs" dxfId="297" priority="290" operator="equal">
      <formula>"F"</formula>
    </cfRule>
    <cfRule type="cellIs" dxfId="296" priority="291" operator="equal">
      <formula>"F"</formula>
    </cfRule>
  </conditionalFormatting>
  <conditionalFormatting sqref="X310">
    <cfRule type="cellIs" dxfId="295" priority="253" operator="equal">
      <formula>"U/P"</formula>
    </cfRule>
    <cfRule type="cellIs" dxfId="294" priority="254" operator="equal">
      <formula>"F"</formula>
    </cfRule>
    <cfRule type="cellIs" dxfId="293" priority="255" operator="equal">
      <formula>"F"</formula>
    </cfRule>
  </conditionalFormatting>
  <conditionalFormatting sqref="Z23">
    <cfRule type="cellIs" dxfId="292" priority="1633" operator="equal">
      <formula>"U/P"</formula>
    </cfRule>
    <cfRule type="cellIs" dxfId="291" priority="1634" operator="equal">
      <formula>"F"</formula>
    </cfRule>
    <cfRule type="cellIs" dxfId="290" priority="1635" operator="equal">
      <formula>"F"</formula>
    </cfRule>
  </conditionalFormatting>
  <conditionalFormatting sqref="Z31">
    <cfRule type="cellIs" dxfId="289" priority="1591" operator="equal">
      <formula>"U/P"</formula>
    </cfRule>
    <cfRule type="cellIs" dxfId="288" priority="1592" operator="equal">
      <formula>"F"</formula>
    </cfRule>
    <cfRule type="cellIs" dxfId="287" priority="1593" operator="equal">
      <formula>"F"</formula>
    </cfRule>
  </conditionalFormatting>
  <conditionalFormatting sqref="Z39">
    <cfRule type="cellIs" dxfId="286" priority="1549" operator="equal">
      <formula>"U/P"</formula>
    </cfRule>
    <cfRule type="cellIs" dxfId="285" priority="1550" operator="equal">
      <formula>"F"</formula>
    </cfRule>
    <cfRule type="cellIs" dxfId="284" priority="1551" operator="equal">
      <formula>"F"</formula>
    </cfRule>
  </conditionalFormatting>
  <conditionalFormatting sqref="Z47">
    <cfRule type="cellIs" dxfId="283" priority="1507" operator="equal">
      <formula>"U/P"</formula>
    </cfRule>
    <cfRule type="cellIs" dxfId="282" priority="1508" operator="equal">
      <formula>"F"</formula>
    </cfRule>
    <cfRule type="cellIs" dxfId="281" priority="1509" operator="equal">
      <formula>"F"</formula>
    </cfRule>
  </conditionalFormatting>
  <conditionalFormatting sqref="Z55">
    <cfRule type="cellIs" dxfId="280" priority="1465" operator="equal">
      <formula>"U/P"</formula>
    </cfRule>
    <cfRule type="cellIs" dxfId="279" priority="1466" operator="equal">
      <formula>"F"</formula>
    </cfRule>
    <cfRule type="cellIs" dxfId="278" priority="1467" operator="equal">
      <formula>"F"</formula>
    </cfRule>
  </conditionalFormatting>
  <conditionalFormatting sqref="Z63">
    <cfRule type="cellIs" dxfId="277" priority="1423" operator="equal">
      <formula>"U/P"</formula>
    </cfRule>
    <cfRule type="cellIs" dxfId="276" priority="1424" operator="equal">
      <formula>"F"</formula>
    </cfRule>
    <cfRule type="cellIs" dxfId="275" priority="1425" operator="equal">
      <formula>"F"</formula>
    </cfRule>
  </conditionalFormatting>
  <conditionalFormatting sqref="Z71">
    <cfRule type="cellIs" dxfId="274" priority="1381" operator="equal">
      <formula>"U/P"</formula>
    </cfRule>
    <cfRule type="cellIs" dxfId="273" priority="1382" operator="equal">
      <formula>"F"</formula>
    </cfRule>
    <cfRule type="cellIs" dxfId="272" priority="1383" operator="equal">
      <formula>"F"</formula>
    </cfRule>
  </conditionalFormatting>
  <conditionalFormatting sqref="Z79">
    <cfRule type="cellIs" dxfId="271" priority="1339" operator="equal">
      <formula>"U/P"</formula>
    </cfRule>
    <cfRule type="cellIs" dxfId="270" priority="1340" operator="equal">
      <formula>"F"</formula>
    </cfRule>
    <cfRule type="cellIs" dxfId="269" priority="1341" operator="equal">
      <formula>"F"</formula>
    </cfRule>
  </conditionalFormatting>
  <conditionalFormatting sqref="Z87">
    <cfRule type="cellIs" dxfId="268" priority="1297" operator="equal">
      <formula>"U/P"</formula>
    </cfRule>
    <cfRule type="cellIs" dxfId="267" priority="1298" operator="equal">
      <formula>"F"</formula>
    </cfRule>
    <cfRule type="cellIs" dxfId="266" priority="1299" operator="equal">
      <formula>"F"</formula>
    </cfRule>
  </conditionalFormatting>
  <conditionalFormatting sqref="Z95">
    <cfRule type="cellIs" dxfId="265" priority="1255" operator="equal">
      <formula>"U/P"</formula>
    </cfRule>
    <cfRule type="cellIs" dxfId="264" priority="1256" operator="equal">
      <formula>"F"</formula>
    </cfRule>
    <cfRule type="cellIs" dxfId="263" priority="1257" operator="equal">
      <formula>"F"</formula>
    </cfRule>
  </conditionalFormatting>
  <conditionalFormatting sqref="Z103">
    <cfRule type="cellIs" dxfId="262" priority="1216" operator="equal">
      <formula>"U/P"</formula>
    </cfRule>
    <cfRule type="cellIs" dxfId="261" priority="1217" operator="equal">
      <formula>"F"</formula>
    </cfRule>
    <cfRule type="cellIs" dxfId="260" priority="1218" operator="equal">
      <formula>"F"</formula>
    </cfRule>
  </conditionalFormatting>
  <conditionalFormatting sqref="Z111">
    <cfRule type="cellIs" dxfId="259" priority="1177" operator="equal">
      <formula>"U/P"</formula>
    </cfRule>
    <cfRule type="cellIs" dxfId="258" priority="1178" operator="equal">
      <formula>"F"</formula>
    </cfRule>
    <cfRule type="cellIs" dxfId="257" priority="1179" operator="equal">
      <formula>"F"</formula>
    </cfRule>
  </conditionalFormatting>
  <conditionalFormatting sqref="Z119">
    <cfRule type="cellIs" dxfId="256" priority="1135" operator="equal">
      <formula>"U/P"</formula>
    </cfRule>
    <cfRule type="cellIs" dxfId="255" priority="1136" operator="equal">
      <formula>"F"</formula>
    </cfRule>
    <cfRule type="cellIs" dxfId="254" priority="1137" operator="equal">
      <formula>"F"</formula>
    </cfRule>
  </conditionalFormatting>
  <conditionalFormatting sqref="Z127">
    <cfRule type="cellIs" dxfId="253" priority="1099" operator="equal">
      <formula>"U/P"</formula>
    </cfRule>
    <cfRule type="cellIs" dxfId="252" priority="1100" operator="equal">
      <formula>"F"</formula>
    </cfRule>
    <cfRule type="cellIs" dxfId="251" priority="1101" operator="equal">
      <formula>"F"</formula>
    </cfRule>
  </conditionalFormatting>
  <conditionalFormatting sqref="Z135">
    <cfRule type="cellIs" dxfId="250" priority="757" operator="equal">
      <formula>"U/P"</formula>
    </cfRule>
    <cfRule type="cellIs" dxfId="249" priority="758" operator="equal">
      <formula>"F"</formula>
    </cfRule>
    <cfRule type="cellIs" dxfId="248" priority="759" operator="equal">
      <formula>"F"</formula>
    </cfRule>
  </conditionalFormatting>
  <conditionalFormatting sqref="Z143">
    <cfRule type="cellIs" dxfId="247" priority="1750" operator="equal">
      <formula>"U/P"</formula>
    </cfRule>
    <cfRule type="cellIs" dxfId="246" priority="1751" operator="equal">
      <formula>"F"</formula>
    </cfRule>
    <cfRule type="cellIs" dxfId="245" priority="1752" operator="equal">
      <formula>"F"</formula>
    </cfRule>
  </conditionalFormatting>
  <conditionalFormatting sqref="Z151">
    <cfRule type="cellIs" dxfId="244" priority="763" operator="equal">
      <formula>"U/P"</formula>
    </cfRule>
    <cfRule type="cellIs" dxfId="243" priority="764" operator="equal">
      <formula>"F"</formula>
    </cfRule>
    <cfRule type="cellIs" dxfId="242" priority="765" operator="equal">
      <formula>"F"</formula>
    </cfRule>
  </conditionalFormatting>
  <conditionalFormatting sqref="Z159">
    <cfRule type="cellIs" dxfId="241" priority="973" operator="equal">
      <formula>"U/P"</formula>
    </cfRule>
    <cfRule type="cellIs" dxfId="240" priority="974" operator="equal">
      <formula>"F"</formula>
    </cfRule>
    <cfRule type="cellIs" dxfId="239" priority="975" operator="equal">
      <formula>"F"</formula>
    </cfRule>
  </conditionalFormatting>
  <conditionalFormatting sqref="Z167">
    <cfRule type="cellIs" dxfId="238" priority="931" operator="equal">
      <formula>"U/P"</formula>
    </cfRule>
    <cfRule type="cellIs" dxfId="237" priority="932" operator="equal">
      <formula>"F"</formula>
    </cfRule>
    <cfRule type="cellIs" dxfId="236" priority="933" operator="equal">
      <formula>"F"</formula>
    </cfRule>
  </conditionalFormatting>
  <conditionalFormatting sqref="Z175">
    <cfRule type="cellIs" dxfId="235" priority="46" operator="equal">
      <formula>"U/P"</formula>
    </cfRule>
    <cfRule type="cellIs" dxfId="234" priority="47" operator="equal">
      <formula>"F"</formula>
    </cfRule>
    <cfRule type="cellIs" dxfId="233" priority="48" operator="equal">
      <formula>"F"</formula>
    </cfRule>
  </conditionalFormatting>
  <conditionalFormatting sqref="Z183">
    <cfRule type="cellIs" dxfId="232" priority="859" operator="equal">
      <formula>"U/P"</formula>
    </cfRule>
    <cfRule type="cellIs" dxfId="231" priority="860" operator="equal">
      <formula>"F"</formula>
    </cfRule>
    <cfRule type="cellIs" dxfId="230" priority="861" operator="equal">
      <formula>"F"</formula>
    </cfRule>
  </conditionalFormatting>
  <conditionalFormatting sqref="Z191">
    <cfRule type="cellIs" dxfId="229" priority="829" operator="equal">
      <formula>"U/P"</formula>
    </cfRule>
    <cfRule type="cellIs" dxfId="228" priority="830" operator="equal">
      <formula>"F"</formula>
    </cfRule>
    <cfRule type="cellIs" dxfId="227" priority="831" operator="equal">
      <formula>"F"</formula>
    </cfRule>
  </conditionalFormatting>
  <conditionalFormatting sqref="Z199">
    <cfRule type="cellIs" dxfId="226" priority="55" operator="equal">
      <formula>"U/P"</formula>
    </cfRule>
    <cfRule type="cellIs" dxfId="225" priority="56" operator="equal">
      <formula>"F"</formula>
    </cfRule>
    <cfRule type="cellIs" dxfId="224" priority="57" operator="equal">
      <formula>"F"</formula>
    </cfRule>
  </conditionalFormatting>
  <conditionalFormatting sqref="Z207">
    <cfRule type="cellIs" dxfId="223" priority="212" operator="equal">
      <formula>"U/P"</formula>
    </cfRule>
    <cfRule type="cellIs" dxfId="222" priority="213" operator="equal">
      <formula>"F"</formula>
    </cfRule>
    <cfRule type="cellIs" dxfId="221" priority="214" operator="equal">
      <formula>"F"</formula>
    </cfRule>
  </conditionalFormatting>
  <conditionalFormatting sqref="Z215">
    <cfRule type="cellIs" dxfId="220" priority="724" operator="equal">
      <formula>"U/P"</formula>
    </cfRule>
    <cfRule type="cellIs" dxfId="219" priority="725" operator="equal">
      <formula>"F"</formula>
    </cfRule>
    <cfRule type="cellIs" dxfId="218" priority="726" operator="equal">
      <formula>"F"</formula>
    </cfRule>
  </conditionalFormatting>
  <conditionalFormatting sqref="Z223">
    <cfRule type="cellIs" dxfId="217" priority="706" operator="equal">
      <formula>"U/P"</formula>
    </cfRule>
    <cfRule type="cellIs" dxfId="216" priority="707" operator="equal">
      <formula>"F"</formula>
    </cfRule>
    <cfRule type="cellIs" dxfId="215" priority="708" operator="equal">
      <formula>"F"</formula>
    </cfRule>
  </conditionalFormatting>
  <conditionalFormatting sqref="Z231">
    <cfRule type="cellIs" dxfId="214" priority="664" operator="equal">
      <formula>"U/P"</formula>
    </cfRule>
    <cfRule type="cellIs" dxfId="213" priority="665" operator="equal">
      <formula>"F"</formula>
    </cfRule>
    <cfRule type="cellIs" dxfId="212" priority="666" operator="equal">
      <formula>"F"</formula>
    </cfRule>
  </conditionalFormatting>
  <conditionalFormatting sqref="Z239">
    <cfRule type="cellIs" dxfId="211" priority="622" operator="equal">
      <formula>"U/P"</formula>
    </cfRule>
    <cfRule type="cellIs" dxfId="210" priority="623" operator="equal">
      <formula>"F"</formula>
    </cfRule>
    <cfRule type="cellIs" dxfId="209" priority="624" operator="equal">
      <formula>"F"</formula>
    </cfRule>
  </conditionalFormatting>
  <conditionalFormatting sqref="Z247">
    <cfRule type="cellIs" dxfId="208" priority="580" operator="equal">
      <formula>"U/P"</formula>
    </cfRule>
    <cfRule type="cellIs" dxfId="207" priority="581" operator="equal">
      <formula>"F"</formula>
    </cfRule>
    <cfRule type="cellIs" dxfId="206" priority="582" operator="equal">
      <formula>"F"</formula>
    </cfRule>
  </conditionalFormatting>
  <conditionalFormatting sqref="Z255">
    <cfRule type="cellIs" dxfId="205" priority="538" operator="equal">
      <formula>"U/P"</formula>
    </cfRule>
    <cfRule type="cellIs" dxfId="204" priority="539" operator="equal">
      <formula>"F"</formula>
    </cfRule>
    <cfRule type="cellIs" dxfId="203" priority="540" operator="equal">
      <formula>"F"</formula>
    </cfRule>
  </conditionalFormatting>
  <conditionalFormatting sqref="Z263">
    <cfRule type="cellIs" dxfId="202" priority="139" operator="equal">
      <formula>"U/P"</formula>
    </cfRule>
    <cfRule type="cellIs" dxfId="201" priority="140" operator="equal">
      <formula>"F"</formula>
    </cfRule>
    <cfRule type="cellIs" dxfId="200" priority="141" operator="equal">
      <formula>"F"</formula>
    </cfRule>
  </conditionalFormatting>
  <conditionalFormatting sqref="Z271">
    <cfRule type="cellIs" dxfId="199" priority="454" operator="equal">
      <formula>"U/P"</formula>
    </cfRule>
    <cfRule type="cellIs" dxfId="198" priority="455" operator="equal">
      <formula>"F"</formula>
    </cfRule>
    <cfRule type="cellIs" dxfId="197" priority="456" operator="equal">
      <formula>"F"</formula>
    </cfRule>
  </conditionalFormatting>
  <conditionalFormatting sqref="Z279">
    <cfRule type="cellIs" dxfId="196" priority="412" operator="equal">
      <formula>"U/P"</formula>
    </cfRule>
    <cfRule type="cellIs" dxfId="195" priority="413" operator="equal">
      <formula>"F"</formula>
    </cfRule>
    <cfRule type="cellIs" dxfId="194" priority="414" operator="equal">
      <formula>"F"</formula>
    </cfRule>
  </conditionalFormatting>
  <conditionalFormatting sqref="Z287">
    <cfRule type="cellIs" dxfId="193" priority="370" operator="equal">
      <formula>"U/P"</formula>
    </cfRule>
    <cfRule type="cellIs" dxfId="192" priority="371" operator="equal">
      <formula>"F"</formula>
    </cfRule>
    <cfRule type="cellIs" dxfId="191" priority="372" operator="equal">
      <formula>"F"</formula>
    </cfRule>
  </conditionalFormatting>
  <conditionalFormatting sqref="Z295">
    <cfRule type="cellIs" dxfId="190" priority="67" operator="equal">
      <formula>"U/P"</formula>
    </cfRule>
    <cfRule type="cellIs" dxfId="189" priority="68" operator="equal">
      <formula>"F"</formula>
    </cfRule>
    <cfRule type="cellIs" dxfId="188" priority="69" operator="equal">
      <formula>"F"</formula>
    </cfRule>
  </conditionalFormatting>
  <conditionalFormatting sqref="Z303">
    <cfRule type="cellIs" dxfId="187" priority="286" operator="equal">
      <formula>"U/P"</formula>
    </cfRule>
    <cfRule type="cellIs" dxfId="186" priority="287" operator="equal">
      <formula>"F"</formula>
    </cfRule>
    <cfRule type="cellIs" dxfId="185" priority="288" operator="equal">
      <formula>"F"</formula>
    </cfRule>
  </conditionalFormatting>
  <conditionalFormatting sqref="Z310">
    <cfRule type="cellIs" dxfId="184" priority="250" operator="equal">
      <formula>"U/P"</formula>
    </cfRule>
    <cfRule type="cellIs" dxfId="183" priority="251" operator="equal">
      <formula>"F"</formula>
    </cfRule>
    <cfRule type="cellIs" dxfId="182" priority="252" operator="equal">
      <formula>"F"</formula>
    </cfRule>
  </conditionalFormatting>
  <conditionalFormatting sqref="AB23">
    <cfRule type="cellIs" dxfId="181" priority="1630" operator="equal">
      <formula>"U/P"</formula>
    </cfRule>
    <cfRule type="cellIs" dxfId="180" priority="1631" operator="equal">
      <formula>"F"</formula>
    </cfRule>
    <cfRule type="cellIs" dxfId="179" priority="1632" operator="equal">
      <formula>"F"</formula>
    </cfRule>
  </conditionalFormatting>
  <conditionalFormatting sqref="AB31">
    <cfRule type="cellIs" dxfId="178" priority="1588" operator="equal">
      <formula>"U/P"</formula>
    </cfRule>
    <cfRule type="cellIs" dxfId="177" priority="1589" operator="equal">
      <formula>"F"</formula>
    </cfRule>
    <cfRule type="cellIs" dxfId="176" priority="1590" operator="equal">
      <formula>"F"</formula>
    </cfRule>
  </conditionalFormatting>
  <conditionalFormatting sqref="AB39">
    <cfRule type="cellIs" dxfId="175" priority="1546" operator="equal">
      <formula>"U/P"</formula>
    </cfRule>
    <cfRule type="cellIs" dxfId="174" priority="1547" operator="equal">
      <formula>"F"</formula>
    </cfRule>
    <cfRule type="cellIs" dxfId="173" priority="1548" operator="equal">
      <formula>"F"</formula>
    </cfRule>
  </conditionalFormatting>
  <conditionalFormatting sqref="AB47">
    <cfRule type="cellIs" dxfId="172" priority="1504" operator="equal">
      <formula>"U/P"</formula>
    </cfRule>
    <cfRule type="cellIs" dxfId="171" priority="1505" operator="equal">
      <formula>"F"</formula>
    </cfRule>
    <cfRule type="cellIs" dxfId="170" priority="1506" operator="equal">
      <formula>"F"</formula>
    </cfRule>
  </conditionalFormatting>
  <conditionalFormatting sqref="AB55">
    <cfRule type="cellIs" dxfId="169" priority="1462" operator="equal">
      <formula>"U/P"</formula>
    </cfRule>
    <cfRule type="cellIs" dxfId="168" priority="1463" operator="equal">
      <formula>"F"</formula>
    </cfRule>
    <cfRule type="cellIs" dxfId="167" priority="1464" operator="equal">
      <formula>"F"</formula>
    </cfRule>
  </conditionalFormatting>
  <conditionalFormatting sqref="AB63">
    <cfRule type="cellIs" dxfId="166" priority="1420" operator="equal">
      <formula>"U/P"</formula>
    </cfRule>
    <cfRule type="cellIs" dxfId="165" priority="1421" operator="equal">
      <formula>"F"</formula>
    </cfRule>
    <cfRule type="cellIs" dxfId="164" priority="1422" operator="equal">
      <formula>"F"</formula>
    </cfRule>
  </conditionalFormatting>
  <conditionalFormatting sqref="AB71">
    <cfRule type="cellIs" dxfId="163" priority="1378" operator="equal">
      <formula>"U/P"</formula>
    </cfRule>
    <cfRule type="cellIs" dxfId="162" priority="1379" operator="equal">
      <formula>"F"</formula>
    </cfRule>
    <cfRule type="cellIs" dxfId="161" priority="1380" operator="equal">
      <formula>"F"</formula>
    </cfRule>
  </conditionalFormatting>
  <conditionalFormatting sqref="AB79">
    <cfRule type="cellIs" dxfId="160" priority="1336" operator="equal">
      <formula>"U/P"</formula>
    </cfRule>
    <cfRule type="cellIs" dxfId="159" priority="1337" operator="equal">
      <formula>"F"</formula>
    </cfRule>
    <cfRule type="cellIs" dxfId="158" priority="1338" operator="equal">
      <formula>"F"</formula>
    </cfRule>
  </conditionalFormatting>
  <conditionalFormatting sqref="AB87">
    <cfRule type="cellIs" dxfId="157" priority="1294" operator="equal">
      <formula>"U/P"</formula>
    </cfRule>
    <cfRule type="cellIs" dxfId="156" priority="1295" operator="equal">
      <formula>"F"</formula>
    </cfRule>
    <cfRule type="cellIs" dxfId="155" priority="1296" operator="equal">
      <formula>"F"</formula>
    </cfRule>
  </conditionalFormatting>
  <conditionalFormatting sqref="AB95">
    <cfRule type="cellIs" dxfId="154" priority="1252" operator="equal">
      <formula>"U/P"</formula>
    </cfRule>
    <cfRule type="cellIs" dxfId="153" priority="1253" operator="equal">
      <formula>"F"</formula>
    </cfRule>
    <cfRule type="cellIs" dxfId="152" priority="1254" operator="equal">
      <formula>"F"</formula>
    </cfRule>
  </conditionalFormatting>
  <conditionalFormatting sqref="AB103">
    <cfRule type="cellIs" dxfId="151" priority="1213" operator="equal">
      <formula>"U/P"</formula>
    </cfRule>
    <cfRule type="cellIs" dxfId="150" priority="1214" operator="equal">
      <formula>"F"</formula>
    </cfRule>
    <cfRule type="cellIs" dxfId="149" priority="1215" operator="equal">
      <formula>"F"</formula>
    </cfRule>
  </conditionalFormatting>
  <conditionalFormatting sqref="AB111">
    <cfRule type="cellIs" dxfId="148" priority="1174" operator="equal">
      <formula>"U/P"</formula>
    </cfRule>
    <cfRule type="cellIs" dxfId="147" priority="1175" operator="equal">
      <formula>"F"</formula>
    </cfRule>
    <cfRule type="cellIs" dxfId="146" priority="1176" operator="equal">
      <formula>"F"</formula>
    </cfRule>
  </conditionalFormatting>
  <conditionalFormatting sqref="AB119">
    <cfRule type="cellIs" dxfId="145" priority="1132" operator="equal">
      <formula>"U/P"</formula>
    </cfRule>
    <cfRule type="cellIs" dxfId="144" priority="1133" operator="equal">
      <formula>"F"</formula>
    </cfRule>
    <cfRule type="cellIs" dxfId="143" priority="1134" operator="equal">
      <formula>"F"</formula>
    </cfRule>
  </conditionalFormatting>
  <conditionalFormatting sqref="AB127">
    <cfRule type="cellIs" dxfId="142" priority="1096" operator="equal">
      <formula>"U/P"</formula>
    </cfRule>
    <cfRule type="cellIs" dxfId="141" priority="1097" operator="equal">
      <formula>"F"</formula>
    </cfRule>
    <cfRule type="cellIs" dxfId="140" priority="1098" operator="equal">
      <formula>"F"</formula>
    </cfRule>
  </conditionalFormatting>
  <conditionalFormatting sqref="AB135">
    <cfRule type="cellIs" dxfId="139" priority="1762" operator="equal">
      <formula>"U/P"</formula>
    </cfRule>
    <cfRule type="cellIs" dxfId="138" priority="1763" operator="equal">
      <formula>"F"</formula>
    </cfRule>
    <cfRule type="cellIs" dxfId="137" priority="1764" operator="equal">
      <formula>"F"</formula>
    </cfRule>
  </conditionalFormatting>
  <conditionalFormatting sqref="AB143">
    <cfRule type="cellIs" dxfId="136" priority="1747" operator="equal">
      <formula>"U/P"</formula>
    </cfRule>
    <cfRule type="cellIs" dxfId="135" priority="1748" operator="equal">
      <formula>"F"</formula>
    </cfRule>
    <cfRule type="cellIs" dxfId="134" priority="1749" operator="equal">
      <formula>"F"</formula>
    </cfRule>
  </conditionalFormatting>
  <conditionalFormatting sqref="AB151">
    <cfRule type="cellIs" dxfId="133" priority="760" operator="equal">
      <formula>"U/P"</formula>
    </cfRule>
    <cfRule type="cellIs" dxfId="132" priority="761" operator="equal">
      <formula>"F"</formula>
    </cfRule>
    <cfRule type="cellIs" dxfId="131" priority="762" operator="equal">
      <formula>"F"</formula>
    </cfRule>
  </conditionalFormatting>
  <conditionalFormatting sqref="AB159">
    <cfRule type="cellIs" dxfId="130" priority="970" operator="equal">
      <formula>"U/P"</formula>
    </cfRule>
    <cfRule type="cellIs" dxfId="129" priority="971" operator="equal">
      <formula>"F"</formula>
    </cfRule>
    <cfRule type="cellIs" dxfId="128" priority="972" operator="equal">
      <formula>"F"</formula>
    </cfRule>
  </conditionalFormatting>
  <conditionalFormatting sqref="AB167">
    <cfRule type="cellIs" dxfId="127" priority="928" operator="equal">
      <formula>"U/P"</formula>
    </cfRule>
    <cfRule type="cellIs" dxfId="126" priority="929" operator="equal">
      <formula>"F"</formula>
    </cfRule>
    <cfRule type="cellIs" dxfId="125" priority="930" operator="equal">
      <formula>"F"</formula>
    </cfRule>
  </conditionalFormatting>
  <conditionalFormatting sqref="AB175">
    <cfRule type="cellIs" dxfId="124" priority="886" operator="equal">
      <formula>"U/P"</formula>
    </cfRule>
    <cfRule type="cellIs" dxfId="123" priority="887" operator="equal">
      <formula>"F"</formula>
    </cfRule>
    <cfRule type="cellIs" dxfId="122" priority="888" operator="equal">
      <formula>"F"</formula>
    </cfRule>
  </conditionalFormatting>
  <conditionalFormatting sqref="AB183">
    <cfRule type="cellIs" dxfId="121" priority="203" operator="equal">
      <formula>"U/P"</formula>
    </cfRule>
    <cfRule type="cellIs" dxfId="120" priority="204" operator="equal">
      <formula>"F"</formula>
    </cfRule>
    <cfRule type="cellIs" dxfId="119" priority="205" operator="equal">
      <formula>"F"</formula>
    </cfRule>
  </conditionalFormatting>
  <conditionalFormatting sqref="AB191">
    <cfRule type="cellIs" dxfId="118" priority="826" operator="equal">
      <formula>"U/P"</formula>
    </cfRule>
    <cfRule type="cellIs" dxfId="117" priority="827" operator="equal">
      <formula>"F"</formula>
    </cfRule>
    <cfRule type="cellIs" dxfId="116" priority="828" operator="equal">
      <formula>"F"</formula>
    </cfRule>
  </conditionalFormatting>
  <conditionalFormatting sqref="AB199">
    <cfRule type="cellIs" dxfId="115" priority="1699" operator="equal">
      <formula>"U/P"</formula>
    </cfRule>
    <cfRule type="cellIs" dxfId="114" priority="1700" operator="equal">
      <formula>"F"</formula>
    </cfRule>
    <cfRule type="cellIs" dxfId="113" priority="1701" operator="equal">
      <formula>"F"</formula>
    </cfRule>
  </conditionalFormatting>
  <conditionalFormatting sqref="AB207">
    <cfRule type="cellIs" dxfId="112" priority="1678" operator="equal">
      <formula>"U/P"</formula>
    </cfRule>
    <cfRule type="cellIs" dxfId="111" priority="1679" operator="equal">
      <formula>"F"</formula>
    </cfRule>
    <cfRule type="cellIs" dxfId="110" priority="1680" operator="equal">
      <formula>"F"</formula>
    </cfRule>
  </conditionalFormatting>
  <conditionalFormatting sqref="AB215">
    <cfRule type="cellIs" dxfId="109" priority="721" operator="equal">
      <formula>"U/P"</formula>
    </cfRule>
    <cfRule type="cellIs" dxfId="108" priority="722" operator="equal">
      <formula>"F"</formula>
    </cfRule>
    <cfRule type="cellIs" dxfId="107" priority="723" operator="equal">
      <formula>"F"</formula>
    </cfRule>
  </conditionalFormatting>
  <conditionalFormatting sqref="AB223">
    <cfRule type="cellIs" dxfId="106" priority="703" operator="equal">
      <formula>"U/P"</formula>
    </cfRule>
    <cfRule type="cellIs" dxfId="105" priority="704" operator="equal">
      <formula>"F"</formula>
    </cfRule>
    <cfRule type="cellIs" dxfId="104" priority="705" operator="equal">
      <formula>"F"</formula>
    </cfRule>
  </conditionalFormatting>
  <conditionalFormatting sqref="AB231">
    <cfRule type="cellIs" dxfId="103" priority="661" operator="equal">
      <formula>"U/P"</formula>
    </cfRule>
    <cfRule type="cellIs" dxfId="102" priority="662" operator="equal">
      <formula>"F"</formula>
    </cfRule>
    <cfRule type="cellIs" dxfId="101" priority="663" operator="equal">
      <formula>"F"</formula>
    </cfRule>
  </conditionalFormatting>
  <conditionalFormatting sqref="AB239">
    <cfRule type="cellIs" dxfId="100" priority="619" operator="equal">
      <formula>"U/P"</formula>
    </cfRule>
    <cfRule type="cellIs" dxfId="99" priority="620" operator="equal">
      <formula>"F"</formula>
    </cfRule>
    <cfRule type="cellIs" dxfId="98" priority="621" operator="equal">
      <formula>"F"</formula>
    </cfRule>
  </conditionalFormatting>
  <conditionalFormatting sqref="AB247">
    <cfRule type="cellIs" dxfId="97" priority="577" operator="equal">
      <formula>"U/P"</formula>
    </cfRule>
    <cfRule type="cellIs" dxfId="96" priority="578" operator="equal">
      <formula>"F"</formula>
    </cfRule>
    <cfRule type="cellIs" dxfId="95" priority="579" operator="equal">
      <formula>"F"</formula>
    </cfRule>
  </conditionalFormatting>
  <conditionalFormatting sqref="AB255">
    <cfRule type="cellIs" dxfId="94" priority="535" operator="equal">
      <formula>"U/P"</formula>
    </cfRule>
    <cfRule type="cellIs" dxfId="93" priority="536" operator="equal">
      <formula>"F"</formula>
    </cfRule>
    <cfRule type="cellIs" dxfId="92" priority="537" operator="equal">
      <formula>"F"</formula>
    </cfRule>
  </conditionalFormatting>
  <conditionalFormatting sqref="AB263">
    <cfRule type="cellIs" dxfId="91" priority="136" operator="equal">
      <formula>"U/P"</formula>
    </cfRule>
    <cfRule type="cellIs" dxfId="90" priority="137" operator="equal">
      <formula>"F"</formula>
    </cfRule>
    <cfRule type="cellIs" dxfId="89" priority="138" operator="equal">
      <formula>"F"</formula>
    </cfRule>
  </conditionalFormatting>
  <conditionalFormatting sqref="AB271">
    <cfRule type="cellIs" dxfId="88" priority="451" operator="equal">
      <formula>"U/P"</formula>
    </cfRule>
    <cfRule type="cellIs" dxfId="87" priority="452" operator="equal">
      <formula>"F"</formula>
    </cfRule>
    <cfRule type="cellIs" dxfId="86" priority="453" operator="equal">
      <formula>"F"</formula>
    </cfRule>
  </conditionalFormatting>
  <conditionalFormatting sqref="AB279">
    <cfRule type="cellIs" dxfId="85" priority="409" operator="equal">
      <formula>"U/P"</formula>
    </cfRule>
    <cfRule type="cellIs" dxfId="84" priority="410" operator="equal">
      <formula>"F"</formula>
    </cfRule>
    <cfRule type="cellIs" dxfId="83" priority="411" operator="equal">
      <formula>"F"</formula>
    </cfRule>
  </conditionalFormatting>
  <conditionalFormatting sqref="AB287">
    <cfRule type="cellIs" dxfId="82" priority="367" operator="equal">
      <formula>"U/P"</formula>
    </cfRule>
    <cfRule type="cellIs" dxfId="81" priority="368" operator="equal">
      <formula>"F"</formula>
    </cfRule>
    <cfRule type="cellIs" dxfId="80" priority="369" operator="equal">
      <formula>"F"</formula>
    </cfRule>
  </conditionalFormatting>
  <conditionalFormatting sqref="AB295">
    <cfRule type="cellIs" dxfId="79" priority="325" operator="equal">
      <formula>"U/P"</formula>
    </cfRule>
    <cfRule type="cellIs" dxfId="78" priority="326" operator="equal">
      <formula>"F"</formula>
    </cfRule>
    <cfRule type="cellIs" dxfId="77" priority="327" operator="equal">
      <formula>"F"</formula>
    </cfRule>
  </conditionalFormatting>
  <conditionalFormatting sqref="AB303">
    <cfRule type="cellIs" dxfId="76" priority="283" operator="equal">
      <formula>"U/P"</formula>
    </cfRule>
    <cfRule type="cellIs" dxfId="75" priority="284" operator="equal">
      <formula>"F"</formula>
    </cfRule>
    <cfRule type="cellIs" dxfId="74" priority="285" operator="equal">
      <formula>"F"</formula>
    </cfRule>
  </conditionalFormatting>
  <conditionalFormatting sqref="AB310">
    <cfRule type="cellIs" dxfId="73" priority="247" operator="equal">
      <formula>"U/P"</formula>
    </cfRule>
    <cfRule type="cellIs" dxfId="72" priority="248" operator="equal">
      <formula>"F"</formula>
    </cfRule>
    <cfRule type="cellIs" dxfId="71" priority="249" operator="equal">
      <formula>"F"</formula>
    </cfRule>
  </conditionalFormatting>
  <conditionalFormatting sqref="AD103">
    <cfRule type="cellIs" dxfId="70" priority="1210" operator="equal">
      <formula>"U/P"</formula>
    </cfRule>
    <cfRule type="cellIs" dxfId="69" priority="1211" operator="equal">
      <formula>"F"</formula>
    </cfRule>
    <cfRule type="cellIs" dxfId="68" priority="1212" operator="equal">
      <formula>"F"</formula>
    </cfRule>
  </conditionalFormatting>
  <conditionalFormatting sqref="AD263">
    <cfRule type="cellIs" dxfId="67" priority="163" operator="equal">
      <formula>"U/P"</formula>
    </cfRule>
    <cfRule type="cellIs" dxfId="66" priority="164" operator="equal">
      <formula>"F"</formula>
    </cfRule>
    <cfRule type="cellIs" dxfId="65" priority="165" operator="equal">
      <formula>"F"</formula>
    </cfRule>
  </conditionalFormatting>
  <conditionalFormatting sqref="AD295">
    <cfRule type="cellIs" dxfId="64" priority="121" operator="equal">
      <formula>"U/P"</formula>
    </cfRule>
    <cfRule type="cellIs" dxfId="63" priority="122" operator="equal">
      <formula>"F"</formula>
    </cfRule>
    <cfRule type="cellIs" dxfId="62" priority="123" operator="equal">
      <formula>"F"</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30" t="s">
        <v>82</v>
      </c>
      <c r="C3" s="430" t="s">
        <v>1119</v>
      </c>
      <c r="D3" s="430" t="s">
        <v>1092</v>
      </c>
      <c r="E3" s="430" t="s">
        <v>1120</v>
      </c>
      <c r="F3" s="434" t="s">
        <v>1121</v>
      </c>
      <c r="G3" s="434" t="s">
        <v>1122</v>
      </c>
    </row>
    <row r="4" spans="2:7">
      <c r="B4" s="323">
        <v>1</v>
      </c>
      <c r="C4" s="324" t="s">
        <v>225</v>
      </c>
      <c r="D4" s="324" t="s">
        <v>185</v>
      </c>
      <c r="E4" s="431" t="s">
        <v>210</v>
      </c>
      <c r="F4" s="310">
        <v>1.86</v>
      </c>
      <c r="G4" s="435">
        <v>12.47</v>
      </c>
    </row>
    <row r="5" spans="2:7">
      <c r="B5" s="323">
        <f>B4+1</f>
        <v>2</v>
      </c>
      <c r="C5" s="324" t="s">
        <v>231</v>
      </c>
      <c r="D5" s="324" t="s">
        <v>182</v>
      </c>
      <c r="E5" s="431" t="s">
        <v>210</v>
      </c>
      <c r="F5" s="310">
        <v>1.57</v>
      </c>
      <c r="G5" s="310">
        <v>11.05</v>
      </c>
    </row>
    <row r="6" spans="2:7">
      <c r="B6" s="323">
        <f t="shared" ref="B6:B41" si="0">B5+1</f>
        <v>3</v>
      </c>
      <c r="C6" s="324" t="s">
        <v>209</v>
      </c>
      <c r="D6" s="324" t="s">
        <v>182</v>
      </c>
      <c r="E6" s="431" t="s">
        <v>210</v>
      </c>
      <c r="F6" s="310">
        <v>1.57</v>
      </c>
      <c r="G6" s="310">
        <v>11.05</v>
      </c>
    </row>
    <row r="7" spans="2:7">
      <c r="B7" s="323">
        <f t="shared" si="0"/>
        <v>4</v>
      </c>
      <c r="C7" s="314" t="s">
        <v>212</v>
      </c>
      <c r="D7" s="314" t="s">
        <v>182</v>
      </c>
      <c r="E7" s="432" t="s">
        <v>210</v>
      </c>
      <c r="F7" s="310">
        <v>1.57</v>
      </c>
      <c r="G7" s="310">
        <v>11.05</v>
      </c>
    </row>
    <row r="8" spans="2:7">
      <c r="B8" s="323">
        <f t="shared" si="0"/>
        <v>5</v>
      </c>
      <c r="C8" s="314" t="s">
        <v>213</v>
      </c>
      <c r="D8" s="314" t="s">
        <v>182</v>
      </c>
      <c r="E8" s="432" t="s">
        <v>210</v>
      </c>
      <c r="F8" s="310">
        <v>1.57</v>
      </c>
      <c r="G8" s="310">
        <v>11.05</v>
      </c>
    </row>
    <row r="9" spans="2:7">
      <c r="B9" s="323">
        <f t="shared" si="0"/>
        <v>6</v>
      </c>
      <c r="C9" s="314" t="s">
        <v>214</v>
      </c>
      <c r="D9" s="314" t="s">
        <v>185</v>
      </c>
      <c r="E9" s="432" t="s">
        <v>210</v>
      </c>
      <c r="F9" s="310">
        <v>1.86</v>
      </c>
      <c r="G9" s="435">
        <v>12.47</v>
      </c>
    </row>
    <row r="10" spans="2:7">
      <c r="B10" s="323">
        <f t="shared" si="0"/>
        <v>7</v>
      </c>
      <c r="C10" s="314" t="s">
        <v>236</v>
      </c>
      <c r="D10" s="314" t="s">
        <v>182</v>
      </c>
      <c r="E10" s="432" t="s">
        <v>210</v>
      </c>
      <c r="F10" s="310">
        <v>1.57</v>
      </c>
      <c r="G10" s="310">
        <v>11.05</v>
      </c>
    </row>
    <row r="11" spans="2:7">
      <c r="B11" s="323">
        <f t="shared" si="0"/>
        <v>8</v>
      </c>
      <c r="C11" s="314" t="s">
        <v>237</v>
      </c>
      <c r="D11" s="314" t="s">
        <v>182</v>
      </c>
      <c r="E11" s="432" t="s">
        <v>210</v>
      </c>
      <c r="F11" s="310">
        <v>1.57</v>
      </c>
      <c r="G11" s="310">
        <v>11.05</v>
      </c>
    </row>
    <row r="12" spans="2:7">
      <c r="B12" s="323">
        <f t="shared" si="0"/>
        <v>9</v>
      </c>
      <c r="C12" s="314" t="s">
        <v>215</v>
      </c>
      <c r="D12" s="314" t="s">
        <v>182</v>
      </c>
      <c r="E12" s="432" t="s">
        <v>210</v>
      </c>
      <c r="F12" s="310">
        <v>1.57</v>
      </c>
      <c r="G12" s="310">
        <v>11.05</v>
      </c>
    </row>
    <row r="13" spans="2:7">
      <c r="B13" s="323">
        <f t="shared" si="0"/>
        <v>10</v>
      </c>
      <c r="C13" s="314" t="s">
        <v>216</v>
      </c>
      <c r="D13" s="314" t="s">
        <v>185</v>
      </c>
      <c r="E13" s="432" t="s">
        <v>210</v>
      </c>
      <c r="F13" s="310">
        <v>1.86</v>
      </c>
      <c r="G13" s="435">
        <v>12.47</v>
      </c>
    </row>
    <row r="14" spans="2:7">
      <c r="B14" s="323">
        <f t="shared" si="0"/>
        <v>11</v>
      </c>
      <c r="C14" s="314" t="s">
        <v>239</v>
      </c>
      <c r="D14" s="314" t="s">
        <v>182</v>
      </c>
      <c r="E14" s="432" t="s">
        <v>210</v>
      </c>
      <c r="F14" s="310">
        <v>1.57</v>
      </c>
      <c r="G14" s="310">
        <v>11.05</v>
      </c>
    </row>
    <row r="15" spans="2:7">
      <c r="B15" s="323">
        <f t="shared" si="0"/>
        <v>12</v>
      </c>
      <c r="C15" s="314" t="s">
        <v>240</v>
      </c>
      <c r="D15" s="314" t="s">
        <v>185</v>
      </c>
      <c r="E15" s="432" t="s">
        <v>210</v>
      </c>
      <c r="F15" s="310">
        <v>1.86</v>
      </c>
      <c r="G15" s="435">
        <v>12.47</v>
      </c>
    </row>
    <row r="16" spans="2:7">
      <c r="B16" s="323">
        <f t="shared" si="0"/>
        <v>13</v>
      </c>
      <c r="C16" s="314" t="s">
        <v>241</v>
      </c>
      <c r="D16" s="314" t="s">
        <v>242</v>
      </c>
      <c r="E16" s="432" t="s">
        <v>210</v>
      </c>
      <c r="F16" s="310">
        <v>1.86</v>
      </c>
      <c r="G16" s="435">
        <v>12.47</v>
      </c>
    </row>
    <row r="17" spans="2:7">
      <c r="B17" s="323">
        <f t="shared" si="0"/>
        <v>14</v>
      </c>
      <c r="C17" s="324" t="s">
        <v>251</v>
      </c>
      <c r="D17" s="324" t="s">
        <v>248</v>
      </c>
      <c r="E17" s="431" t="s">
        <v>210</v>
      </c>
      <c r="F17" s="310">
        <v>1.86</v>
      </c>
      <c r="G17" s="435">
        <v>12.47</v>
      </c>
    </row>
    <row r="18" spans="2:7">
      <c r="B18" s="323">
        <f t="shared" si="0"/>
        <v>15</v>
      </c>
      <c r="C18" s="314" t="s">
        <v>244</v>
      </c>
      <c r="D18" s="314" t="s">
        <v>182</v>
      </c>
      <c r="E18" s="432" t="s">
        <v>210</v>
      </c>
      <c r="F18" s="310">
        <v>1.57</v>
      </c>
      <c r="G18" s="310">
        <v>11.05</v>
      </c>
    </row>
    <row r="19" spans="2:7">
      <c r="B19" s="323">
        <f t="shared" si="0"/>
        <v>16</v>
      </c>
      <c r="C19" s="326" t="s">
        <v>253</v>
      </c>
      <c r="D19" s="314" t="s">
        <v>248</v>
      </c>
      <c r="E19" s="432" t="s">
        <v>210</v>
      </c>
      <c r="F19" s="310">
        <v>1.86</v>
      </c>
      <c r="G19" s="435">
        <v>12.47</v>
      </c>
    </row>
    <row r="20" spans="2:7">
      <c r="B20" s="323">
        <f t="shared" si="0"/>
        <v>17</v>
      </c>
      <c r="C20" s="328" t="s">
        <v>217</v>
      </c>
      <c r="D20" s="324" t="s">
        <v>182</v>
      </c>
      <c r="E20" s="431" t="s">
        <v>292</v>
      </c>
      <c r="F20" s="310">
        <v>1.08</v>
      </c>
      <c r="G20" s="310">
        <v>8.68</v>
      </c>
    </row>
    <row r="21" spans="2:7">
      <c r="B21" s="323">
        <f t="shared" si="0"/>
        <v>18</v>
      </c>
      <c r="C21" s="328" t="s">
        <v>259</v>
      </c>
      <c r="D21" s="324" t="s">
        <v>248</v>
      </c>
      <c r="E21" s="431" t="s">
        <v>210</v>
      </c>
      <c r="F21" s="310">
        <v>1.86</v>
      </c>
      <c r="G21" s="435">
        <v>12.47</v>
      </c>
    </row>
    <row r="22" spans="2:7">
      <c r="B22" s="323">
        <f t="shared" si="0"/>
        <v>19</v>
      </c>
      <c r="C22" s="329" t="s">
        <v>247</v>
      </c>
      <c r="D22" s="324" t="s">
        <v>248</v>
      </c>
      <c r="E22" s="431" t="s">
        <v>210</v>
      </c>
      <c r="F22" s="310">
        <v>1.86</v>
      </c>
      <c r="G22" s="435">
        <v>12.47</v>
      </c>
    </row>
    <row r="23" spans="2:7">
      <c r="B23" s="323">
        <f t="shared" si="0"/>
        <v>20</v>
      </c>
      <c r="C23" s="330" t="s">
        <v>257</v>
      </c>
      <c r="D23" s="314" t="s">
        <v>248</v>
      </c>
      <c r="E23" s="432" t="s">
        <v>210</v>
      </c>
      <c r="F23" s="310">
        <v>1.86</v>
      </c>
      <c r="G23" s="435">
        <v>12.47</v>
      </c>
    </row>
    <row r="24" spans="2:7">
      <c r="B24" s="323">
        <f t="shared" si="0"/>
        <v>21</v>
      </c>
      <c r="C24" s="331" t="s">
        <v>262</v>
      </c>
      <c r="D24" s="314" t="s">
        <v>242</v>
      </c>
      <c r="E24" s="432" t="s">
        <v>210</v>
      </c>
      <c r="F24" s="310">
        <v>1.86</v>
      </c>
      <c r="G24" s="435">
        <v>12.47</v>
      </c>
    </row>
    <row r="25" spans="2:7">
      <c r="B25" s="323">
        <f t="shared" si="0"/>
        <v>22</v>
      </c>
      <c r="C25" s="332" t="s">
        <v>263</v>
      </c>
      <c r="D25" s="314" t="s">
        <v>242</v>
      </c>
      <c r="E25" s="432" t="s">
        <v>210</v>
      </c>
      <c r="F25" s="310">
        <v>1.86</v>
      </c>
      <c r="G25" s="435">
        <v>12.47</v>
      </c>
    </row>
    <row r="26" spans="2:7">
      <c r="B26" s="323">
        <f t="shared" si="0"/>
        <v>23</v>
      </c>
      <c r="C26" s="329" t="s">
        <v>293</v>
      </c>
      <c r="D26" s="324" t="s">
        <v>182</v>
      </c>
      <c r="E26" s="431" t="s">
        <v>210</v>
      </c>
      <c r="F26" s="310">
        <v>1.57</v>
      </c>
      <c r="G26" s="310">
        <v>11.05</v>
      </c>
    </row>
    <row r="27" spans="2:7">
      <c r="B27" s="323">
        <f t="shared" si="0"/>
        <v>24</v>
      </c>
      <c r="C27" s="316" t="s">
        <v>294</v>
      </c>
      <c r="D27" s="316" t="s">
        <v>182</v>
      </c>
      <c r="E27" s="432" t="s">
        <v>210</v>
      </c>
      <c r="F27" s="310">
        <v>1.57</v>
      </c>
      <c r="G27" s="310">
        <v>11.05</v>
      </c>
    </row>
    <row r="28" spans="2:7">
      <c r="B28" s="323">
        <f t="shared" si="0"/>
        <v>25</v>
      </c>
      <c r="C28" s="316" t="s">
        <v>279</v>
      </c>
      <c r="D28" s="316" t="s">
        <v>242</v>
      </c>
      <c r="E28" s="432" t="s">
        <v>210</v>
      </c>
      <c r="F28" s="310">
        <v>1.86</v>
      </c>
      <c r="G28" s="435">
        <v>12.47</v>
      </c>
    </row>
    <row r="29" spans="2:7">
      <c r="B29" s="323">
        <f t="shared" si="0"/>
        <v>26</v>
      </c>
      <c r="C29" s="316" t="s">
        <v>260</v>
      </c>
      <c r="D29" s="316" t="s">
        <v>182</v>
      </c>
      <c r="E29" s="432" t="s">
        <v>210</v>
      </c>
      <c r="F29" s="310">
        <v>1.57</v>
      </c>
      <c r="G29" s="310">
        <v>11.05</v>
      </c>
    </row>
    <row r="30" spans="2:7">
      <c r="B30" s="323">
        <f t="shared" si="0"/>
        <v>27</v>
      </c>
      <c r="C30" s="316" t="s">
        <v>276</v>
      </c>
      <c r="D30" s="316" t="s">
        <v>182</v>
      </c>
      <c r="E30" s="432" t="s">
        <v>210</v>
      </c>
      <c r="F30" s="310">
        <v>1.57</v>
      </c>
      <c r="G30" s="310">
        <v>11.05</v>
      </c>
    </row>
    <row r="31" spans="2:7">
      <c r="B31" s="323">
        <f t="shared" si="0"/>
        <v>28</v>
      </c>
      <c r="C31" s="316" t="s">
        <v>268</v>
      </c>
      <c r="D31" s="316" t="s">
        <v>185</v>
      </c>
      <c r="E31" s="432" t="s">
        <v>210</v>
      </c>
      <c r="F31" s="310">
        <v>1.86</v>
      </c>
      <c r="G31" s="435">
        <v>12.47</v>
      </c>
    </row>
    <row r="32" spans="2:7">
      <c r="B32" s="323">
        <f t="shared" si="0"/>
        <v>29</v>
      </c>
      <c r="C32" s="316" t="s">
        <v>274</v>
      </c>
      <c r="D32" s="316" t="s">
        <v>248</v>
      </c>
      <c r="E32" s="432" t="s">
        <v>210</v>
      </c>
      <c r="F32" s="310">
        <v>1.86</v>
      </c>
      <c r="G32" s="435">
        <v>12.47</v>
      </c>
    </row>
    <row r="33" spans="2:9">
      <c r="B33" s="323">
        <f t="shared" si="0"/>
        <v>30</v>
      </c>
      <c r="C33" s="316" t="s">
        <v>261</v>
      </c>
      <c r="D33" s="316" t="s">
        <v>248</v>
      </c>
      <c r="E33" s="432" t="s">
        <v>210</v>
      </c>
      <c r="F33" s="310">
        <v>1.86</v>
      </c>
      <c r="G33" s="435">
        <v>12.47</v>
      </c>
    </row>
    <row r="34" spans="2:9">
      <c r="B34" s="323">
        <f t="shared" si="0"/>
        <v>31</v>
      </c>
      <c r="C34" s="316" t="s">
        <v>275</v>
      </c>
      <c r="D34" s="316" t="s">
        <v>248</v>
      </c>
      <c r="E34" s="432" t="s">
        <v>210</v>
      </c>
      <c r="F34" s="310">
        <v>1.86</v>
      </c>
      <c r="G34" s="435">
        <v>12.47</v>
      </c>
    </row>
    <row r="35" spans="2:9">
      <c r="B35" s="323">
        <f t="shared" si="0"/>
        <v>32</v>
      </c>
      <c r="C35" s="316" t="s">
        <v>258</v>
      </c>
      <c r="D35" s="316" t="s">
        <v>182</v>
      </c>
      <c r="E35" s="432" t="s">
        <v>210</v>
      </c>
      <c r="F35" s="310">
        <v>1.57</v>
      </c>
      <c r="G35" s="310">
        <v>11.05</v>
      </c>
    </row>
    <row r="36" spans="2:9">
      <c r="B36" s="323">
        <f t="shared" si="0"/>
        <v>33</v>
      </c>
      <c r="C36" s="316" t="s">
        <v>277</v>
      </c>
      <c r="D36" s="316" t="s">
        <v>185</v>
      </c>
      <c r="E36" s="433" t="s">
        <v>210</v>
      </c>
      <c r="F36" s="310">
        <v>1.86</v>
      </c>
      <c r="G36" s="435">
        <v>12.47</v>
      </c>
    </row>
    <row r="37" spans="2:9">
      <c r="B37" s="323">
        <f t="shared" si="0"/>
        <v>34</v>
      </c>
      <c r="C37" s="316" t="s">
        <v>285</v>
      </c>
      <c r="D37" s="316" t="s">
        <v>185</v>
      </c>
      <c r="E37" s="433" t="s">
        <v>210</v>
      </c>
      <c r="F37" s="310">
        <v>1.86</v>
      </c>
      <c r="G37" s="435">
        <v>12.47</v>
      </c>
    </row>
    <row r="38" spans="2:9">
      <c r="B38" s="323">
        <f t="shared" si="0"/>
        <v>35</v>
      </c>
      <c r="C38" s="316" t="s">
        <v>289</v>
      </c>
      <c r="D38" s="316" t="s">
        <v>182</v>
      </c>
      <c r="E38" s="432" t="s">
        <v>292</v>
      </c>
      <c r="F38" s="310">
        <v>1.08</v>
      </c>
      <c r="G38" s="310">
        <v>8.68</v>
      </c>
      <c r="I38" s="430" t="s">
        <v>1123</v>
      </c>
    </row>
    <row r="39" spans="2:9">
      <c r="B39" s="323">
        <f t="shared" si="0"/>
        <v>36</v>
      </c>
      <c r="C39" s="316" t="s">
        <v>280</v>
      </c>
      <c r="D39" s="316" t="s">
        <v>248</v>
      </c>
      <c r="E39" s="433" t="s">
        <v>210</v>
      </c>
      <c r="F39" s="310">
        <v>1.86</v>
      </c>
      <c r="G39" s="435">
        <v>12.47</v>
      </c>
    </row>
    <row r="40" spans="2:9">
      <c r="B40" s="323">
        <f t="shared" si="0"/>
        <v>37</v>
      </c>
      <c r="C40" s="316" t="s">
        <v>284</v>
      </c>
      <c r="D40" s="316" t="s">
        <v>185</v>
      </c>
      <c r="E40" s="433" t="s">
        <v>210</v>
      </c>
      <c r="F40" s="310">
        <v>1.86</v>
      </c>
      <c r="G40" s="435">
        <v>12.47</v>
      </c>
    </row>
    <row r="41" spans="2:9">
      <c r="B41" s="323">
        <f t="shared" si="0"/>
        <v>38</v>
      </c>
      <c r="C41" s="316" t="s">
        <v>355</v>
      </c>
      <c r="D41" s="316" t="s">
        <v>248</v>
      </c>
      <c r="E41" s="433" t="s">
        <v>210</v>
      </c>
      <c r="F41" s="310">
        <v>1.86</v>
      </c>
      <c r="G41" s="435">
        <v>12.47</v>
      </c>
    </row>
    <row r="42" spans="2:9">
      <c r="F42">
        <f>SUM(F4:F41)</f>
        <v>65.059999999999988</v>
      </c>
      <c r="G42">
        <f>SUM(G4:G41)</f>
        <v>446.40000000000038</v>
      </c>
      <c r="H42">
        <f>SUM(F42:G42)</f>
        <v>511.46000000000038</v>
      </c>
    </row>
  </sheetData>
  <conditionalFormatting sqref="C4:C41">
    <cfRule type="duplicateValues" dxfId="61" priority="266"/>
  </conditionalFormatting>
  <conditionalFormatting sqref="C6:C26">
    <cfRule type="duplicateValues" dxfId="60" priority="21"/>
  </conditionalFormatting>
  <conditionalFormatting sqref="C6:C41">
    <cfRule type="duplicateValues" dxfId="59" priority="17"/>
    <cfRule type="duplicateValues" dxfId="58" priority="22" stopIfTrue="1"/>
  </conditionalFormatting>
  <conditionalFormatting sqref="D10">
    <cfRule type="duplicateValues" dxfId="57" priority="8"/>
    <cfRule type="duplicateValues" dxfId="56" priority="9"/>
    <cfRule type="duplicateValues" dxfId="55" priority="10" stopIfTrue="1"/>
  </conditionalFormatting>
  <conditionalFormatting sqref="D11">
    <cfRule type="duplicateValues" dxfId="54" priority="5"/>
    <cfRule type="duplicateValues" dxfId="53" priority="6"/>
    <cfRule type="duplicateValues" dxfId="52" priority="7" stopIfTrue="1"/>
  </conditionalFormatting>
  <conditionalFormatting sqref="D16">
    <cfRule type="duplicateValues" dxfId="51" priority="18"/>
    <cfRule type="duplicateValues" dxfId="50" priority="19"/>
    <cfRule type="duplicateValues" dxfId="49" priority="20" stopIfTrue="1"/>
  </conditionalFormatting>
  <conditionalFormatting sqref="D5:E5">
    <cfRule type="duplicateValues" dxfId="48" priority="260"/>
    <cfRule type="duplicateValues" dxfId="47" priority="261"/>
    <cfRule type="duplicateValues" dxfId="46" priority="262" stopIfTrue="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62" t="s">
        <v>298</v>
      </c>
      <c r="B1" s="1662"/>
      <c r="C1" s="1662"/>
      <c r="D1" s="1662"/>
      <c r="E1" s="1662"/>
      <c r="F1" s="1662"/>
      <c r="G1" s="1662"/>
      <c r="H1" s="1662"/>
      <c r="I1" s="1662"/>
      <c r="J1" s="1662"/>
      <c r="K1" s="1662"/>
      <c r="L1" s="1662"/>
      <c r="M1" s="1662"/>
      <c r="N1" s="1662"/>
      <c r="O1" s="1662"/>
      <c r="P1" s="1662"/>
      <c r="Q1" s="1662"/>
      <c r="R1" s="1662"/>
      <c r="S1" s="1662"/>
      <c r="T1" s="1662"/>
      <c r="U1" s="1662"/>
      <c r="V1" s="1663"/>
    </row>
    <row r="2" spans="1:43" ht="15" thickBot="1">
      <c r="A2" s="1664" t="s">
        <v>299</v>
      </c>
      <c r="B2" s="1490"/>
      <c r="C2" s="1490"/>
      <c r="D2" s="1490"/>
      <c r="E2" s="1490"/>
      <c r="F2" s="1490"/>
      <c r="G2" s="1490"/>
      <c r="H2" s="1490"/>
      <c r="I2" s="1490"/>
      <c r="J2" s="1490"/>
      <c r="K2" s="1490"/>
      <c r="L2" s="1490"/>
      <c r="M2" s="1490"/>
      <c r="N2" s="1490"/>
      <c r="O2" s="1490"/>
      <c r="P2" s="1490"/>
      <c r="Q2" s="1490"/>
      <c r="R2" s="1490"/>
      <c r="S2" s="1490"/>
      <c r="T2" s="1490"/>
      <c r="U2" s="1490"/>
      <c r="V2" s="1665"/>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71" t="s">
        <v>300</v>
      </c>
      <c r="B4" s="1504"/>
      <c r="C4" s="127"/>
      <c r="D4" s="1672" t="s">
        <v>1086</v>
      </c>
      <c r="E4" s="1673"/>
      <c r="F4" s="1667" t="s">
        <v>302</v>
      </c>
      <c r="G4" s="1669" t="s">
        <v>303</v>
      </c>
      <c r="H4" s="1493" t="s">
        <v>304</v>
      </c>
      <c r="I4" s="1494"/>
      <c r="J4" s="1495"/>
      <c r="K4" s="128" t="s">
        <v>305</v>
      </c>
      <c r="L4" s="1493" t="s">
        <v>306</v>
      </c>
      <c r="M4" s="1494"/>
      <c r="N4" s="1495"/>
      <c r="O4" s="1493" t="s">
        <v>307</v>
      </c>
      <c r="P4" s="1494"/>
      <c r="Q4" s="1495"/>
      <c r="R4" s="1666"/>
      <c r="S4" s="1496"/>
      <c r="T4" s="1496"/>
      <c r="U4" s="166"/>
      <c r="V4" s="167"/>
    </row>
    <row r="5" spans="1:43" ht="14.5" customHeight="1">
      <c r="A5" s="1671"/>
      <c r="B5" s="1504"/>
      <c r="C5" s="127"/>
      <c r="D5" s="1674"/>
      <c r="E5" s="1675"/>
      <c r="F5" s="1668"/>
      <c r="G5" s="1670"/>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43" ht="14.5" customHeight="1">
      <c r="A6" s="129"/>
      <c r="B6" s="127"/>
      <c r="C6" s="127"/>
      <c r="D6" s="1497" t="s">
        <v>1085</v>
      </c>
      <c r="E6" s="1498"/>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403" t="s">
        <v>1087</v>
      </c>
      <c r="AE9" s="403" t="s">
        <v>1088</v>
      </c>
      <c r="AJ9" s="403" t="s">
        <v>1089</v>
      </c>
      <c r="AO9" s="403" t="s">
        <v>1090</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20" t="s">
        <v>1094</v>
      </c>
      <c r="Y10" s="420" t="s">
        <v>1095</v>
      </c>
      <c r="Z10" s="420" t="s">
        <v>1096</v>
      </c>
      <c r="AA10" s="420" t="s">
        <v>1097</v>
      </c>
      <c r="AB10" s="403"/>
      <c r="AC10" s="403"/>
      <c r="AD10" s="420" t="s">
        <v>1094</v>
      </c>
      <c r="AE10" s="420" t="s">
        <v>1095</v>
      </c>
      <c r="AF10" s="420" t="s">
        <v>1096</v>
      </c>
      <c r="AG10" s="420" t="s">
        <v>1097</v>
      </c>
      <c r="AI10" s="420" t="s">
        <v>1094</v>
      </c>
      <c r="AJ10" s="420" t="s">
        <v>1095</v>
      </c>
      <c r="AK10" s="420" t="s">
        <v>1096</v>
      </c>
      <c r="AL10" s="420" t="s">
        <v>1097</v>
      </c>
      <c r="AN10" s="420" t="s">
        <v>1094</v>
      </c>
      <c r="AO10" s="420" t="s">
        <v>1095</v>
      </c>
      <c r="AP10" s="420" t="s">
        <v>1096</v>
      </c>
      <c r="AQ10" s="420" t="s">
        <v>1097</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390</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310</v>
      </c>
      <c r="D13" s="145"/>
      <c r="E13" s="384" t="s">
        <v>272</v>
      </c>
      <c r="F13" s="145"/>
      <c r="G13" s="384" t="s">
        <v>273</v>
      </c>
      <c r="H13" s="145"/>
      <c r="I13" s="384" t="s">
        <v>311</v>
      </c>
      <c r="J13" s="133"/>
      <c r="K13" s="144" t="s">
        <v>312</v>
      </c>
      <c r="L13" s="133"/>
      <c r="M13" s="384" t="s">
        <v>313</v>
      </c>
      <c r="N13" s="133"/>
      <c r="O13" s="144" t="s">
        <v>314</v>
      </c>
      <c r="P13" s="133"/>
      <c r="Q13" s="144" t="s">
        <v>315</v>
      </c>
      <c r="R13" s="133"/>
      <c r="S13" s="384" t="s">
        <v>316</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117</v>
      </c>
      <c r="D14" s="148"/>
      <c r="E14" s="148" t="s">
        <v>185</v>
      </c>
      <c r="F14" s="148"/>
      <c r="G14" s="149" t="s">
        <v>182</v>
      </c>
      <c r="H14" s="148"/>
      <c r="I14" s="149" t="s">
        <v>185</v>
      </c>
      <c r="J14" s="149"/>
      <c r="K14" s="147" t="s">
        <v>119</v>
      </c>
      <c r="L14" s="149"/>
      <c r="M14" s="149" t="s">
        <v>242</v>
      </c>
      <c r="N14" s="149"/>
      <c r="O14" s="147" t="s">
        <v>125</v>
      </c>
      <c r="P14" s="149"/>
      <c r="Q14" s="147" t="s">
        <v>319</v>
      </c>
      <c r="R14" s="149"/>
      <c r="S14" s="149" t="s">
        <v>185</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220</v>
      </c>
      <c r="L15" s="151"/>
      <c r="M15" s="159" t="s">
        <v>220</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84" t="s">
        <v>320</v>
      </c>
      <c r="C22" s="133"/>
      <c r="D22" s="384" t="s">
        <v>321</v>
      </c>
      <c r="E22" s="133"/>
      <c r="F22" s="144" t="s">
        <v>322</v>
      </c>
      <c r="G22" s="133"/>
      <c r="H22" s="144" t="s">
        <v>323</v>
      </c>
      <c r="I22" s="133"/>
      <c r="J22" s="144" t="s">
        <v>324</v>
      </c>
      <c r="K22" s="133"/>
      <c r="L22" s="384" t="s">
        <v>325</v>
      </c>
      <c r="M22" s="133"/>
      <c r="N22" s="144" t="s">
        <v>326</v>
      </c>
      <c r="O22" s="133"/>
      <c r="P22" s="384" t="s">
        <v>327</v>
      </c>
      <c r="Q22" s="133"/>
      <c r="R22" s="384" t="s">
        <v>328</v>
      </c>
      <c r="S22" s="133"/>
      <c r="T22" s="144" t="s">
        <v>329</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331</v>
      </c>
      <c r="C24" s="133"/>
      <c r="D24" s="144" t="s">
        <v>220</v>
      </c>
      <c r="E24" s="133"/>
      <c r="F24" s="144" t="s">
        <v>220</v>
      </c>
      <c r="G24" s="133"/>
      <c r="H24" s="144" t="s">
        <v>331</v>
      </c>
      <c r="I24" s="133"/>
      <c r="J24" s="133"/>
      <c r="K24" s="133"/>
      <c r="L24" s="144"/>
      <c r="M24" s="133"/>
      <c r="N24" s="133"/>
      <c r="O24" s="133"/>
      <c r="P24" s="160"/>
      <c r="Q24" s="133"/>
      <c r="R24" s="144"/>
      <c r="S24" s="133"/>
      <c r="T24" s="144" t="s">
        <v>331</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333</v>
      </c>
      <c r="C31" s="133"/>
      <c r="D31" s="144" t="s">
        <v>334</v>
      </c>
      <c r="E31" s="133"/>
      <c r="F31" s="384" t="s">
        <v>335</v>
      </c>
      <c r="G31" s="133"/>
      <c r="H31" s="144" t="s">
        <v>336</v>
      </c>
      <c r="I31" s="133"/>
      <c r="J31" s="384" t="s">
        <v>337</v>
      </c>
      <c r="K31" s="133"/>
      <c r="L31" s="384" t="s">
        <v>338</v>
      </c>
      <c r="M31" s="133"/>
      <c r="N31" s="384" t="s">
        <v>339</v>
      </c>
      <c r="O31" s="133"/>
      <c r="P31" s="144" t="s">
        <v>340</v>
      </c>
      <c r="Q31" s="133"/>
      <c r="R31" s="384" t="s">
        <v>281</v>
      </c>
      <c r="S31" s="133"/>
      <c r="T31" s="144" t="s">
        <v>341</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84" t="s">
        <v>346</v>
      </c>
      <c r="C40" s="133"/>
      <c r="D40" s="384" t="s">
        <v>347</v>
      </c>
      <c r="E40" s="133"/>
      <c r="F40" s="384" t="s">
        <v>348</v>
      </c>
      <c r="G40" s="133"/>
      <c r="H40" s="384" t="s">
        <v>282</v>
      </c>
      <c r="I40" s="133"/>
      <c r="J40" s="384" t="s">
        <v>283</v>
      </c>
      <c r="K40" s="133"/>
      <c r="L40" s="144" t="s">
        <v>349</v>
      </c>
      <c r="M40" s="133"/>
      <c r="N40" s="384" t="s">
        <v>350</v>
      </c>
      <c r="O40" s="133"/>
      <c r="P40" s="144" t="s">
        <v>351</v>
      </c>
      <c r="Q40" s="133"/>
      <c r="R40" s="384" t="s">
        <v>352</v>
      </c>
      <c r="S40" s="133"/>
      <c r="T40" s="384" t="s">
        <v>353</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182</v>
      </c>
      <c r="C41" s="149"/>
      <c r="D41" s="148" t="s">
        <v>182</v>
      </c>
      <c r="E41" s="149"/>
      <c r="F41" s="148" t="s">
        <v>248</v>
      </c>
      <c r="G41" s="149"/>
      <c r="H41" s="148" t="s">
        <v>242</v>
      </c>
      <c r="I41" s="149"/>
      <c r="J41" s="148" t="s">
        <v>242</v>
      </c>
      <c r="K41" s="149"/>
      <c r="L41" s="147" t="s">
        <v>319</v>
      </c>
      <c r="M41" s="149"/>
      <c r="N41" s="148" t="s">
        <v>182</v>
      </c>
      <c r="O41" s="149"/>
      <c r="P41" s="147" t="s">
        <v>342</v>
      </c>
      <c r="Q41" s="149"/>
      <c r="R41" s="148" t="s">
        <v>248</v>
      </c>
      <c r="S41" s="133"/>
      <c r="T41" s="148" t="s">
        <v>248</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220</v>
      </c>
      <c r="C42" s="155"/>
      <c r="D42" s="155"/>
      <c r="E42" s="155"/>
      <c r="F42" s="154" t="s">
        <v>220</v>
      </c>
      <c r="G42" s="155"/>
      <c r="H42" s="155"/>
      <c r="I42" s="155"/>
      <c r="J42" s="155"/>
      <c r="K42" s="155"/>
      <c r="L42" s="155"/>
      <c r="M42" s="155"/>
      <c r="N42" s="155"/>
      <c r="O42" s="155"/>
      <c r="P42" s="144" t="s">
        <v>331</v>
      </c>
      <c r="Q42" s="155"/>
      <c r="R42" s="154" t="s">
        <v>220</v>
      </c>
      <c r="S42" s="133"/>
      <c r="T42" s="154" t="s">
        <v>220</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354</v>
      </c>
      <c r="C46" s="139"/>
      <c r="D46" s="158" t="s">
        <v>354</v>
      </c>
      <c r="E46" s="133"/>
      <c r="F46" s="158" t="s">
        <v>354</v>
      </c>
      <c r="G46" s="139"/>
      <c r="H46" s="158" t="s">
        <v>354</v>
      </c>
      <c r="I46" s="139"/>
      <c r="J46" s="158" t="s">
        <v>354</v>
      </c>
      <c r="K46" s="139"/>
      <c r="L46" s="140"/>
      <c r="M46" s="139"/>
      <c r="N46" s="140"/>
      <c r="O46" s="139"/>
      <c r="P46" s="140"/>
      <c r="Q46" s="137"/>
      <c r="R46" s="157" t="s">
        <v>354</v>
      </c>
      <c r="S46" s="139"/>
      <c r="T46" s="157" t="s">
        <v>354</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376</v>
      </c>
      <c r="C47" s="139"/>
      <c r="D47" s="141"/>
      <c r="E47" s="133"/>
      <c r="F47" s="141" t="s">
        <v>376</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84" t="s">
        <v>274</v>
      </c>
      <c r="C48" s="133"/>
      <c r="D48" s="384" t="s">
        <v>275</v>
      </c>
      <c r="E48" s="133"/>
      <c r="F48" s="384" t="s">
        <v>355</v>
      </c>
      <c r="G48" s="133"/>
      <c r="H48" s="384" t="s">
        <v>284</v>
      </c>
      <c r="I48" s="133"/>
      <c r="J48" s="384" t="s">
        <v>285</v>
      </c>
      <c r="K48" s="133"/>
      <c r="L48" s="144" t="s">
        <v>356</v>
      </c>
      <c r="M48" s="133"/>
      <c r="N48" s="144" t="s">
        <v>357</v>
      </c>
      <c r="O48" s="133"/>
      <c r="P48" s="144" t="s">
        <v>154</v>
      </c>
      <c r="Q48" s="133"/>
      <c r="R48" s="384" t="s">
        <v>247</v>
      </c>
      <c r="S48" s="133"/>
      <c r="T48" s="384" t="s">
        <v>260</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8" t="s">
        <v>248</v>
      </c>
      <c r="S49" s="133"/>
      <c r="T49" s="145" t="s">
        <v>182</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220</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354</v>
      </c>
      <c r="C54" s="139"/>
      <c r="D54" s="190" t="s">
        <v>228</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84" t="s">
        <v>261</v>
      </c>
      <c r="C56" s="133"/>
      <c r="D56" s="384" t="s">
        <v>286</v>
      </c>
      <c r="E56" s="133"/>
      <c r="F56" s="144" t="s">
        <v>358</v>
      </c>
      <c r="G56" s="133"/>
      <c r="H56" s="384" t="s">
        <v>359</v>
      </c>
      <c r="I56" s="133"/>
      <c r="J56" s="384" t="s">
        <v>360</v>
      </c>
      <c r="K56" s="133"/>
      <c r="L56" s="144" t="s">
        <v>361</v>
      </c>
      <c r="M56" s="133"/>
      <c r="N56" s="144" t="s">
        <v>362</v>
      </c>
      <c r="O56" s="133"/>
      <c r="P56" s="384" t="s">
        <v>363</v>
      </c>
      <c r="Q56" s="133"/>
      <c r="R56" s="384" t="s">
        <v>364</v>
      </c>
      <c r="S56" s="133"/>
      <c r="T56" s="384" t="s">
        <v>365</v>
      </c>
      <c r="V56" s="401" t="s">
        <v>1084</v>
      </c>
      <c r="X56" s="310"/>
      <c r="Y56" s="310"/>
      <c r="Z56" s="310"/>
      <c r="AA56" s="310"/>
      <c r="AD56" s="310"/>
      <c r="AE56" s="310"/>
      <c r="AF56" s="310"/>
      <c r="AG56" s="310"/>
      <c r="AI56" s="310"/>
      <c r="AJ56" s="310"/>
      <c r="AK56" s="310"/>
      <c r="AL56" s="310"/>
      <c r="AN56" s="310"/>
      <c r="AO56" s="310"/>
      <c r="AP56" s="310"/>
      <c r="AQ56" s="310"/>
    </row>
    <row r="57" spans="1:43">
      <c r="A57" s="132"/>
      <c r="B57" s="148" t="s">
        <v>185</v>
      </c>
      <c r="C57" s="133"/>
      <c r="D57" s="145" t="s">
        <v>248</v>
      </c>
      <c r="E57" s="133"/>
      <c r="F57" s="147" t="s">
        <v>128</v>
      </c>
      <c r="G57" s="133"/>
      <c r="H57" s="145" t="s">
        <v>242</v>
      </c>
      <c r="I57" s="133"/>
      <c r="J57" s="145" t="s">
        <v>119</v>
      </c>
      <c r="K57" s="133"/>
      <c r="L57" s="144" t="s">
        <v>330</v>
      </c>
      <c r="M57" s="133"/>
      <c r="N57" s="144" t="s">
        <v>143</v>
      </c>
      <c r="O57" s="133"/>
      <c r="P57" s="145" t="s">
        <v>242</v>
      </c>
      <c r="Q57" s="133"/>
      <c r="R57" s="145" t="s">
        <v>182</v>
      </c>
      <c r="S57" s="133"/>
      <c r="T57" s="145" t="s">
        <v>182</v>
      </c>
      <c r="V57" s="402" t="s">
        <v>343</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354</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367</v>
      </c>
      <c r="C64" s="149"/>
      <c r="D64" s="395" t="s">
        <v>287</v>
      </c>
      <c r="E64" s="133"/>
      <c r="F64" s="395" t="s">
        <v>368</v>
      </c>
      <c r="G64" s="149"/>
      <c r="H64" s="395" t="s">
        <v>369</v>
      </c>
      <c r="I64" s="133"/>
      <c r="J64" s="147" t="s">
        <v>370</v>
      </c>
      <c r="K64" s="149"/>
      <c r="L64" s="395" t="s">
        <v>371</v>
      </c>
      <c r="M64" s="149"/>
      <c r="N64" s="395" t="s">
        <v>372</v>
      </c>
      <c r="O64" s="149"/>
      <c r="P64" s="147" t="s">
        <v>373</v>
      </c>
      <c r="Q64" s="149"/>
      <c r="R64" s="395" t="s">
        <v>288</v>
      </c>
      <c r="S64" s="149"/>
      <c r="T64" s="395" t="s">
        <v>259</v>
      </c>
      <c r="V64" s="177"/>
      <c r="X64" s="310"/>
      <c r="Y64" s="310"/>
      <c r="Z64" s="310"/>
      <c r="AA64" s="310"/>
      <c r="AD64" s="310"/>
      <c r="AE64" s="310"/>
      <c r="AF64" s="310"/>
      <c r="AG64" s="310"/>
      <c r="AI64" s="310"/>
      <c r="AJ64" s="310"/>
      <c r="AK64" s="310"/>
      <c r="AL64" s="310"/>
      <c r="AN64" s="310"/>
      <c r="AO64" s="310"/>
      <c r="AP64" s="310"/>
      <c r="AQ64" s="310"/>
    </row>
    <row r="65" spans="1:43">
      <c r="A65" s="132"/>
      <c r="B65" s="147" t="s">
        <v>344</v>
      </c>
      <c r="C65" s="149"/>
      <c r="D65" s="148" t="s">
        <v>248</v>
      </c>
      <c r="E65" s="133"/>
      <c r="F65" s="148" t="s">
        <v>182</v>
      </c>
      <c r="G65" s="149"/>
      <c r="H65" s="148" t="s">
        <v>182</v>
      </c>
      <c r="I65" s="133"/>
      <c r="J65" s="147" t="s">
        <v>343</v>
      </c>
      <c r="K65" s="149"/>
      <c r="L65" s="148" t="s">
        <v>185</v>
      </c>
      <c r="M65" s="149"/>
      <c r="N65" s="148" t="s">
        <v>185</v>
      </c>
      <c r="O65" s="149"/>
      <c r="P65" s="147" t="s">
        <v>344</v>
      </c>
      <c r="Q65" s="149"/>
      <c r="R65" s="148" t="s">
        <v>182</v>
      </c>
      <c r="S65" s="149"/>
      <c r="T65" s="148" t="s">
        <v>248</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184" t="s">
        <v>375</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354</v>
      </c>
      <c r="C70" s="139"/>
      <c r="D70" s="140"/>
      <c r="E70" s="139"/>
      <c r="F70" s="157" t="s">
        <v>354</v>
      </c>
      <c r="G70" s="133"/>
      <c r="H70" s="141"/>
      <c r="I70" s="139"/>
      <c r="J70" s="158" t="s">
        <v>354</v>
      </c>
      <c r="K70" s="139"/>
      <c r="L70" s="158" t="s">
        <v>354</v>
      </c>
      <c r="M70" s="139"/>
      <c r="N70" s="158" t="s">
        <v>354</v>
      </c>
      <c r="O70" s="139"/>
      <c r="P70" s="158" t="s">
        <v>354</v>
      </c>
      <c r="Q70" s="139"/>
      <c r="R70" s="158" t="s">
        <v>354</v>
      </c>
      <c r="S70" s="139"/>
      <c r="T70" s="158" t="s">
        <v>354</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376</v>
      </c>
      <c r="C71" s="139"/>
      <c r="D71" s="141"/>
      <c r="E71" s="139"/>
      <c r="F71" s="141" t="s">
        <v>376</v>
      </c>
      <c r="G71" s="133"/>
      <c r="H71" s="141"/>
      <c r="I71" s="139"/>
      <c r="J71" s="141" t="s">
        <v>376</v>
      </c>
      <c r="K71" s="139"/>
      <c r="L71" s="141" t="s">
        <v>376</v>
      </c>
      <c r="M71" s="139"/>
      <c r="N71" s="141" t="s">
        <v>376</v>
      </c>
      <c r="O71" s="139"/>
      <c r="P71" s="141" t="s">
        <v>376</v>
      </c>
      <c r="Q71" s="139"/>
      <c r="R71" s="141"/>
      <c r="S71" s="139"/>
      <c r="T71" s="141" t="s">
        <v>376</v>
      </c>
      <c r="V71" s="177"/>
      <c r="X71" s="310"/>
      <c r="Y71" s="310"/>
      <c r="Z71" s="310"/>
      <c r="AA71" s="310"/>
      <c r="AD71" s="310"/>
      <c r="AE71" s="310"/>
      <c r="AF71" s="310"/>
      <c r="AG71" s="310"/>
      <c r="AI71" s="310"/>
      <c r="AJ71" s="310"/>
      <c r="AK71" s="310"/>
      <c r="AL71" s="310"/>
      <c r="AN71" s="310"/>
      <c r="AO71" s="310"/>
      <c r="AP71" s="310"/>
      <c r="AQ71" s="310"/>
    </row>
    <row r="72" spans="1:43" ht="15" thickTop="1">
      <c r="A72" s="132"/>
      <c r="B72" s="395" t="s">
        <v>251</v>
      </c>
      <c r="C72" s="133"/>
      <c r="D72" s="147" t="s">
        <v>377</v>
      </c>
      <c r="E72" s="133"/>
      <c r="F72" s="395" t="s">
        <v>297</v>
      </c>
      <c r="G72" s="133"/>
      <c r="H72" s="147" t="s">
        <v>378</v>
      </c>
      <c r="I72" s="133"/>
      <c r="J72" s="395" t="s">
        <v>236</v>
      </c>
      <c r="K72" s="133"/>
      <c r="L72" s="395" t="s">
        <v>237</v>
      </c>
      <c r="M72" s="133"/>
      <c r="N72" s="395" t="s">
        <v>214</v>
      </c>
      <c r="O72" s="133"/>
      <c r="P72" s="395" t="s">
        <v>213</v>
      </c>
      <c r="Q72" s="133"/>
      <c r="R72" s="395" t="s">
        <v>212</v>
      </c>
      <c r="S72" s="133"/>
      <c r="T72" s="395" t="s">
        <v>209</v>
      </c>
      <c r="V72" s="177"/>
      <c r="X72" s="310"/>
      <c r="Y72" s="310"/>
      <c r="Z72" s="310"/>
      <c r="AA72" s="310"/>
      <c r="AD72" s="310"/>
      <c r="AE72" s="310"/>
      <c r="AF72" s="310"/>
      <c r="AG72" s="310"/>
      <c r="AI72" s="310"/>
      <c r="AJ72" s="310"/>
      <c r="AK72" s="310"/>
      <c r="AL72" s="310"/>
      <c r="AN72" s="310"/>
      <c r="AO72" s="310"/>
      <c r="AP72" s="310"/>
      <c r="AQ72" s="310"/>
    </row>
    <row r="73" spans="1:43">
      <c r="A73" s="132"/>
      <c r="B73" s="148" t="s">
        <v>248</v>
      </c>
      <c r="C73" s="133"/>
      <c r="D73" s="147" t="s">
        <v>330</v>
      </c>
      <c r="E73" s="133"/>
      <c r="F73" s="145" t="s">
        <v>182</v>
      </c>
      <c r="G73" s="133"/>
      <c r="H73" s="147" t="s">
        <v>115</v>
      </c>
      <c r="I73" s="133"/>
      <c r="J73" s="145" t="s">
        <v>182</v>
      </c>
      <c r="K73" s="133"/>
      <c r="L73" s="145" t="s">
        <v>182</v>
      </c>
      <c r="M73" s="133"/>
      <c r="N73" s="145" t="s">
        <v>185</v>
      </c>
      <c r="O73" s="133"/>
      <c r="P73" s="145" t="s">
        <v>182</v>
      </c>
      <c r="Q73" s="133"/>
      <c r="R73" s="145" t="s">
        <v>182</v>
      </c>
      <c r="S73" s="133"/>
      <c r="T73" s="145" t="s">
        <v>182</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375</v>
      </c>
      <c r="C74" s="133"/>
      <c r="D74" s="155"/>
      <c r="E74" s="155"/>
      <c r="F74" s="155"/>
      <c r="G74" s="155"/>
      <c r="H74" s="144" t="s">
        <v>366</v>
      </c>
      <c r="I74" s="192"/>
      <c r="J74" s="144" t="s">
        <v>366</v>
      </c>
      <c r="K74" s="192"/>
      <c r="L74" s="144" t="s">
        <v>331</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354</v>
      </c>
      <c r="D78" s="140"/>
      <c r="F78" s="157" t="s">
        <v>354</v>
      </c>
      <c r="G78" s="139"/>
      <c r="H78" s="140"/>
      <c r="I78" s="133"/>
      <c r="J78" s="158" t="s">
        <v>354</v>
      </c>
      <c r="K78" s="139"/>
      <c r="L78" s="158" t="s">
        <v>354</v>
      </c>
      <c r="M78" s="139"/>
      <c r="N78" s="158" t="s">
        <v>354</v>
      </c>
      <c r="O78" s="139"/>
      <c r="P78" s="158" t="s">
        <v>354</v>
      </c>
      <c r="Q78" s="139"/>
      <c r="R78" s="158" t="s">
        <v>354</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376</v>
      </c>
      <c r="D79" s="141"/>
      <c r="F79" s="141" t="s">
        <v>376</v>
      </c>
      <c r="G79" s="139"/>
      <c r="H79" s="141"/>
      <c r="I79" s="133"/>
      <c r="J79" s="141" t="s">
        <v>376</v>
      </c>
      <c r="K79" s="139"/>
      <c r="L79" s="141" t="s">
        <v>376</v>
      </c>
      <c r="M79" s="139"/>
      <c r="N79" s="141" t="s">
        <v>376</v>
      </c>
      <c r="O79" s="139"/>
      <c r="P79" s="141" t="s">
        <v>376</v>
      </c>
      <c r="Q79" s="139"/>
      <c r="R79" s="141" t="s">
        <v>376</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95" t="s">
        <v>231</v>
      </c>
      <c r="D80" s="144" t="s">
        <v>379</v>
      </c>
      <c r="F80" s="395" t="s">
        <v>263</v>
      </c>
      <c r="G80" s="149"/>
      <c r="H80" s="147" t="s">
        <v>380</v>
      </c>
      <c r="I80" s="149"/>
      <c r="J80" s="395" t="s">
        <v>215</v>
      </c>
      <c r="K80" s="149"/>
      <c r="L80" s="395" t="s">
        <v>216</v>
      </c>
      <c r="M80" s="149"/>
      <c r="N80" s="395" t="s">
        <v>239</v>
      </c>
      <c r="O80" s="149"/>
      <c r="P80" s="395" t="s">
        <v>240</v>
      </c>
      <c r="Q80" s="149"/>
      <c r="R80" s="395" t="s">
        <v>241</v>
      </c>
      <c r="S80" s="149"/>
      <c r="T80" s="147" t="s">
        <v>381</v>
      </c>
      <c r="V80" s="167"/>
      <c r="X80" s="310"/>
      <c r="Y80" s="310"/>
      <c r="Z80" s="310"/>
      <c r="AA80" s="310"/>
      <c r="AD80" s="310"/>
      <c r="AE80" s="310"/>
      <c r="AF80" s="310"/>
      <c r="AG80" s="310"/>
      <c r="AI80" s="310"/>
      <c r="AJ80" s="310"/>
      <c r="AK80" s="310"/>
      <c r="AL80" s="310"/>
      <c r="AN80" s="310"/>
      <c r="AO80" s="310"/>
      <c r="AP80" s="310"/>
      <c r="AQ80" s="310"/>
    </row>
    <row r="81" spans="1:43">
      <c r="A81" s="132"/>
      <c r="B81" s="145" t="s">
        <v>182</v>
      </c>
      <c r="C81" s="149"/>
      <c r="D81" s="144" t="s">
        <v>319</v>
      </c>
      <c r="F81" s="145" t="s">
        <v>242</v>
      </c>
      <c r="G81" s="149"/>
      <c r="H81" s="147" t="s">
        <v>344</v>
      </c>
      <c r="I81" s="149"/>
      <c r="J81" s="148" t="s">
        <v>182</v>
      </c>
      <c r="K81" s="149"/>
      <c r="L81" s="148" t="s">
        <v>185</v>
      </c>
      <c r="M81" s="149"/>
      <c r="N81" s="148" t="s">
        <v>182</v>
      </c>
      <c r="O81" s="149"/>
      <c r="P81" s="148" t="s">
        <v>185</v>
      </c>
      <c r="Q81" s="149"/>
      <c r="R81" s="148" t="s">
        <v>242</v>
      </c>
      <c r="S81" s="149"/>
      <c r="T81" s="147" t="s">
        <v>319</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382</v>
      </c>
      <c r="G82" s="149"/>
      <c r="H82" s="148"/>
      <c r="I82" s="149"/>
      <c r="J82" s="147"/>
      <c r="K82" s="149"/>
      <c r="L82" s="144" t="s">
        <v>366</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354</v>
      </c>
      <c r="G86" s="139"/>
      <c r="H86" s="140"/>
      <c r="I86" s="133"/>
      <c r="J86" s="140"/>
      <c r="K86" s="139"/>
      <c r="L86" s="158" t="s">
        <v>354</v>
      </c>
      <c r="M86" s="139"/>
      <c r="N86" s="140"/>
      <c r="O86" s="139"/>
      <c r="P86" s="140"/>
      <c r="Q86" s="139"/>
      <c r="R86" s="158" t="s">
        <v>354</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376</v>
      </c>
      <c r="G87" s="139"/>
      <c r="H87" s="141"/>
      <c r="I87" s="133"/>
      <c r="J87" s="141"/>
      <c r="K87" s="139"/>
      <c r="L87" s="141" t="s">
        <v>376</v>
      </c>
      <c r="M87" s="139"/>
      <c r="N87" s="141"/>
      <c r="O87" s="139"/>
      <c r="P87" s="141"/>
      <c r="Q87" s="139"/>
      <c r="R87" s="141" t="s">
        <v>376</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95" t="s">
        <v>383</v>
      </c>
      <c r="C88" s="133"/>
      <c r="D88" s="147" t="s">
        <v>384</v>
      </c>
      <c r="F88" s="395" t="s">
        <v>253</v>
      </c>
      <c r="G88" s="133"/>
      <c r="H88" s="395" t="s">
        <v>385</v>
      </c>
      <c r="I88" s="133"/>
      <c r="J88" s="147" t="s">
        <v>386</v>
      </c>
      <c r="K88" s="133"/>
      <c r="L88" s="147" t="s">
        <v>257</v>
      </c>
      <c r="M88" s="133"/>
      <c r="N88" s="147" t="s">
        <v>387</v>
      </c>
      <c r="O88" s="133"/>
      <c r="P88" s="395" t="s">
        <v>267</v>
      </c>
      <c r="Q88" s="133"/>
      <c r="R88" s="395" t="s">
        <v>268</v>
      </c>
      <c r="S88" s="133"/>
      <c r="T88" s="395" t="s">
        <v>269</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185</v>
      </c>
      <c r="C89" s="133"/>
      <c r="D89" s="147" t="s">
        <v>343</v>
      </c>
      <c r="F89" s="148" t="s">
        <v>248</v>
      </c>
      <c r="G89" s="133"/>
      <c r="H89" s="148" t="s">
        <v>182</v>
      </c>
      <c r="I89" s="133"/>
      <c r="J89" s="147" t="s">
        <v>388</v>
      </c>
      <c r="K89" s="133"/>
      <c r="L89" s="147" t="s">
        <v>248</v>
      </c>
      <c r="M89" s="133"/>
      <c r="N89" s="147" t="s">
        <v>330</v>
      </c>
      <c r="O89" s="133"/>
      <c r="P89" s="148" t="s">
        <v>182</v>
      </c>
      <c r="Q89" s="133"/>
      <c r="R89" s="148" t="s">
        <v>185</v>
      </c>
      <c r="S89" s="133"/>
      <c r="T89" s="148" t="s">
        <v>182</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220</v>
      </c>
      <c r="G90" s="133"/>
      <c r="H90" s="144" t="s">
        <v>389</v>
      </c>
      <c r="I90" s="133"/>
      <c r="J90" s="147"/>
      <c r="K90" s="133"/>
      <c r="L90" s="144" t="s">
        <v>366</v>
      </c>
      <c r="M90" s="133"/>
      <c r="N90" s="147"/>
      <c r="O90" s="133"/>
      <c r="P90" s="144" t="s">
        <v>331</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228</v>
      </c>
      <c r="C94" s="162"/>
      <c r="D94" s="140"/>
      <c r="F94" s="140"/>
      <c r="G94" s="139"/>
      <c r="H94" s="140"/>
      <c r="I94" s="133"/>
      <c r="J94" s="140"/>
      <c r="K94" s="139"/>
      <c r="L94" s="141"/>
      <c r="M94" s="139"/>
      <c r="N94" s="158" t="s">
        <v>354</v>
      </c>
      <c r="O94" s="139"/>
      <c r="P94" s="140"/>
      <c r="Q94" s="139"/>
      <c r="R94" s="140"/>
      <c r="S94" s="139"/>
      <c r="T94" s="158" t="s">
        <v>354</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390</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95" t="s">
        <v>227</v>
      </c>
      <c r="C96" s="149"/>
      <c r="D96" s="395" t="s">
        <v>271</v>
      </c>
      <c r="F96" s="147" t="s">
        <v>391</v>
      </c>
      <c r="G96" s="149"/>
      <c r="H96" s="395" t="s">
        <v>392</v>
      </c>
      <c r="I96" s="149"/>
      <c r="J96" s="395" t="s">
        <v>393</v>
      </c>
      <c r="K96" s="149"/>
      <c r="L96" s="147" t="s">
        <v>394</v>
      </c>
      <c r="M96" s="149"/>
      <c r="N96" s="395" t="s">
        <v>225</v>
      </c>
      <c r="O96" s="149"/>
      <c r="P96" s="147" t="s">
        <v>395</v>
      </c>
      <c r="Q96" s="149"/>
      <c r="R96" s="147" t="s">
        <v>396</v>
      </c>
      <c r="S96" s="149"/>
      <c r="T96" s="395" t="s">
        <v>258</v>
      </c>
      <c r="V96" s="177"/>
      <c r="X96" s="310"/>
      <c r="Y96" s="310"/>
      <c r="Z96" s="310"/>
      <c r="AA96" s="310"/>
      <c r="AD96" s="310"/>
      <c r="AE96" s="310"/>
      <c r="AF96" s="310"/>
      <c r="AG96" s="310"/>
      <c r="AI96" s="310"/>
      <c r="AJ96" s="310"/>
      <c r="AK96" s="310"/>
      <c r="AL96" s="310"/>
      <c r="AN96" s="310"/>
      <c r="AO96" s="310"/>
      <c r="AP96" s="310"/>
      <c r="AQ96" s="310"/>
    </row>
    <row r="97" spans="1:43">
      <c r="A97" s="132"/>
      <c r="B97" s="148" t="s">
        <v>182</v>
      </c>
      <c r="C97" s="149"/>
      <c r="D97" s="148" t="s">
        <v>242</v>
      </c>
      <c r="F97" s="147" t="s">
        <v>388</v>
      </c>
      <c r="G97" s="149"/>
      <c r="H97" s="148" t="s">
        <v>182</v>
      </c>
      <c r="I97" s="149"/>
      <c r="J97" s="148" t="s">
        <v>185</v>
      </c>
      <c r="K97" s="149"/>
      <c r="L97" s="147" t="s">
        <v>319</v>
      </c>
      <c r="M97" s="149"/>
      <c r="N97" s="148" t="s">
        <v>185</v>
      </c>
      <c r="O97" s="149"/>
      <c r="P97" s="147" t="s">
        <v>397</v>
      </c>
      <c r="Q97" s="149"/>
      <c r="R97" s="147" t="s">
        <v>319</v>
      </c>
      <c r="S97" s="149"/>
      <c r="T97" s="148" t="s">
        <v>182</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220</v>
      </c>
      <c r="I98" s="149"/>
      <c r="J98" s="147"/>
      <c r="K98" s="149"/>
      <c r="L98" s="148"/>
      <c r="M98" s="149"/>
      <c r="N98" s="148"/>
      <c r="O98" s="149"/>
      <c r="P98" s="147"/>
      <c r="Q98" s="149"/>
      <c r="R98" s="148"/>
      <c r="S98" s="149"/>
      <c r="T98" s="184" t="s">
        <v>375</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354</v>
      </c>
      <c r="F102" s="158" t="s">
        <v>354</v>
      </c>
      <c r="G102" s="139"/>
      <c r="H102" s="140"/>
      <c r="I102" s="139"/>
      <c r="J102" s="158" t="s">
        <v>354</v>
      </c>
      <c r="K102" s="133"/>
      <c r="L102" s="158" t="s">
        <v>354</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398</v>
      </c>
      <c r="C104" s="133"/>
      <c r="D104" s="395" t="s">
        <v>262</v>
      </c>
      <c r="F104" s="395" t="s">
        <v>244</v>
      </c>
      <c r="G104" s="133"/>
      <c r="H104" s="147" t="s">
        <v>399</v>
      </c>
      <c r="I104" s="133"/>
      <c r="J104" s="395" t="s">
        <v>277</v>
      </c>
      <c r="K104" s="133"/>
      <c r="L104" s="395" t="s">
        <v>280</v>
      </c>
      <c r="M104" s="133"/>
      <c r="N104" s="147" t="s">
        <v>400</v>
      </c>
      <c r="O104" s="133"/>
      <c r="P104" s="147" t="s">
        <v>401</v>
      </c>
      <c r="Q104" s="133"/>
      <c r="R104" s="395" t="s">
        <v>402</v>
      </c>
      <c r="S104" s="133"/>
      <c r="T104" s="147" t="s">
        <v>403</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343</v>
      </c>
      <c r="C105" s="133"/>
      <c r="D105" s="148" t="s">
        <v>242</v>
      </c>
      <c r="F105" s="148" t="s">
        <v>182</v>
      </c>
      <c r="G105" s="133"/>
      <c r="H105" s="147" t="s">
        <v>319</v>
      </c>
      <c r="I105" s="133"/>
      <c r="J105" s="148" t="s">
        <v>185</v>
      </c>
      <c r="K105" s="133"/>
      <c r="L105" s="148" t="s">
        <v>248</v>
      </c>
      <c r="M105" s="133"/>
      <c r="N105" s="147" t="s">
        <v>319</v>
      </c>
      <c r="O105" s="133"/>
      <c r="P105" s="147" t="s">
        <v>319</v>
      </c>
      <c r="Q105" s="133"/>
      <c r="R105" s="148" t="s">
        <v>248</v>
      </c>
      <c r="S105" s="133"/>
      <c r="T105" s="147" t="s">
        <v>319</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375</v>
      </c>
      <c r="C106" s="133"/>
      <c r="D106" s="184" t="s">
        <v>375</v>
      </c>
      <c r="F106" s="184" t="s">
        <v>375</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390</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95" t="s">
        <v>404</v>
      </c>
      <c r="C113" s="149"/>
      <c r="D113" s="147" t="s">
        <v>405</v>
      </c>
      <c r="F113" s="395" t="s">
        <v>406</v>
      </c>
      <c r="G113" s="149"/>
      <c r="H113" s="395" t="s">
        <v>290</v>
      </c>
      <c r="I113" s="149"/>
      <c r="J113" s="395" t="s">
        <v>407</v>
      </c>
      <c r="K113" s="149"/>
      <c r="L113" s="147" t="s">
        <v>408</v>
      </c>
      <c r="M113" s="149"/>
      <c r="N113" s="147" t="s">
        <v>409</v>
      </c>
      <c r="O113" s="149"/>
      <c r="P113" s="147" t="s">
        <v>410</v>
      </c>
      <c r="Q113" s="149"/>
      <c r="R113" s="147" t="s">
        <v>411</v>
      </c>
      <c r="S113" s="149"/>
      <c r="T113" s="147" t="s">
        <v>412</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248</v>
      </c>
      <c r="C114" s="149"/>
      <c r="D114" s="147" t="s">
        <v>343</v>
      </c>
      <c r="F114" s="148" t="s">
        <v>182</v>
      </c>
      <c r="G114" s="149"/>
      <c r="H114" s="148" t="s">
        <v>182</v>
      </c>
      <c r="I114" s="149"/>
      <c r="J114" s="148" t="s">
        <v>182</v>
      </c>
      <c r="K114" s="149"/>
      <c r="L114" s="147" t="s">
        <v>319</v>
      </c>
      <c r="M114" s="149"/>
      <c r="N114" s="147" t="s">
        <v>319</v>
      </c>
      <c r="O114" s="149"/>
      <c r="P114" s="147" t="s">
        <v>413</v>
      </c>
      <c r="Q114" s="149"/>
      <c r="R114" s="147" t="s">
        <v>413</v>
      </c>
      <c r="S114" s="149"/>
      <c r="T114" s="147" t="s">
        <v>344</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354</v>
      </c>
      <c r="G118" s="139"/>
      <c r="H118" s="140"/>
      <c r="I118" s="139"/>
      <c r="J118" s="158" t="s">
        <v>354</v>
      </c>
      <c r="K118" s="133"/>
      <c r="L118" s="158" t="s">
        <v>354</v>
      </c>
      <c r="N118" s="140"/>
      <c r="O118" s="139"/>
      <c r="P118" s="140"/>
      <c r="Q118" s="139"/>
      <c r="R118" s="140"/>
      <c r="S118" s="139"/>
      <c r="T118" s="158" t="s">
        <v>354</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376</v>
      </c>
      <c r="K119" s="133"/>
      <c r="L119" s="141" t="s">
        <v>376</v>
      </c>
      <c r="N119" s="141"/>
      <c r="O119" s="139"/>
      <c r="P119" s="141"/>
      <c r="Q119" s="139"/>
      <c r="R119" s="141"/>
      <c r="S119" s="139"/>
      <c r="T119" s="141" t="s">
        <v>376</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95" t="s">
        <v>414</v>
      </c>
      <c r="C120" s="133"/>
      <c r="D120" s="147" t="s">
        <v>415</v>
      </c>
      <c r="F120" s="395" t="s">
        <v>217</v>
      </c>
      <c r="G120" s="133"/>
      <c r="H120" s="147" t="s">
        <v>416</v>
      </c>
      <c r="I120" s="133"/>
      <c r="J120" s="395" t="s">
        <v>294</v>
      </c>
      <c r="K120" s="133"/>
      <c r="L120" s="395" t="s">
        <v>276</v>
      </c>
      <c r="N120" s="147" t="s">
        <v>417</v>
      </c>
      <c r="O120" s="133"/>
      <c r="P120" s="395" t="s">
        <v>418</v>
      </c>
      <c r="Q120" s="133"/>
      <c r="R120" s="147" t="s">
        <v>419</v>
      </c>
      <c r="S120" s="133"/>
      <c r="T120" s="148" t="s">
        <v>420</v>
      </c>
      <c r="U120" s="133"/>
      <c r="V120" s="396" t="s">
        <v>421</v>
      </c>
      <c r="X120" s="310"/>
      <c r="Y120" s="310"/>
      <c r="Z120" s="310"/>
      <c r="AA120" s="310"/>
      <c r="AD120" s="310"/>
      <c r="AE120" s="310"/>
      <c r="AF120" s="310"/>
      <c r="AG120" s="310"/>
      <c r="AI120" s="310"/>
      <c r="AJ120" s="310"/>
      <c r="AK120" s="310"/>
      <c r="AL120" s="310"/>
      <c r="AN120" s="310"/>
      <c r="AO120" s="310"/>
      <c r="AP120" s="310"/>
      <c r="AQ120" s="310"/>
    </row>
    <row r="121" spans="1:43">
      <c r="A121" s="132"/>
      <c r="B121" s="148" t="s">
        <v>248</v>
      </c>
      <c r="C121" s="133"/>
      <c r="D121" s="147" t="s">
        <v>119</v>
      </c>
      <c r="F121" s="148" t="s">
        <v>182</v>
      </c>
      <c r="G121" s="133"/>
      <c r="H121" s="147" t="s">
        <v>319</v>
      </c>
      <c r="I121" s="133"/>
      <c r="J121" s="145" t="s">
        <v>182</v>
      </c>
      <c r="K121" s="133"/>
      <c r="L121" s="145" t="s">
        <v>182</v>
      </c>
      <c r="N121" s="147" t="s">
        <v>319</v>
      </c>
      <c r="O121" s="133"/>
      <c r="P121" s="148" t="s">
        <v>185</v>
      </c>
      <c r="Q121" s="133"/>
      <c r="R121" s="147" t="s">
        <v>319</v>
      </c>
      <c r="S121" s="133"/>
      <c r="T121" s="148" t="s">
        <v>182</v>
      </c>
      <c r="U121" s="133"/>
      <c r="V121" s="199" t="s">
        <v>319</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220</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354</v>
      </c>
      <c r="C126" s="133"/>
      <c r="D126" s="140"/>
      <c r="F126" s="140"/>
      <c r="H126" s="140"/>
      <c r="J126" s="140"/>
      <c r="L126" s="158" t="s">
        <v>354</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376</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95" t="s">
        <v>289</v>
      </c>
      <c r="C128" s="191"/>
      <c r="D128" s="395" t="s">
        <v>422</v>
      </c>
      <c r="F128" s="395" t="s">
        <v>423</v>
      </c>
      <c r="H128" s="395" t="s">
        <v>424</v>
      </c>
      <c r="J128" s="395" t="s">
        <v>425</v>
      </c>
      <c r="L128" s="395" t="s">
        <v>279</v>
      </c>
      <c r="N128" s="395" t="s">
        <v>426</v>
      </c>
      <c r="P128" s="395" t="s">
        <v>427</v>
      </c>
      <c r="Q128" s="133"/>
      <c r="R128" s="395" t="s">
        <v>428</v>
      </c>
      <c r="T128" s="395" t="s">
        <v>291</v>
      </c>
      <c r="U128" s="133"/>
      <c r="V128" s="396" t="s">
        <v>429</v>
      </c>
      <c r="X128" s="310"/>
      <c r="Y128" s="310"/>
      <c r="Z128" s="310"/>
      <c r="AA128" s="310"/>
      <c r="AD128" s="310"/>
      <c r="AE128" s="310"/>
      <c r="AF128" s="310"/>
      <c r="AG128" s="310"/>
      <c r="AI128" s="310"/>
      <c r="AJ128" s="310"/>
      <c r="AK128" s="310"/>
      <c r="AL128" s="310"/>
      <c r="AN128" s="310"/>
      <c r="AO128" s="310"/>
      <c r="AP128" s="310"/>
      <c r="AQ128" s="310"/>
    </row>
    <row r="129" spans="1:43">
      <c r="A129" s="132"/>
      <c r="B129" s="148" t="s">
        <v>182</v>
      </c>
      <c r="C129" s="133"/>
      <c r="D129" s="148" t="s">
        <v>343</v>
      </c>
      <c r="F129" s="148" t="s">
        <v>182</v>
      </c>
      <c r="H129" s="148" t="s">
        <v>430</v>
      </c>
      <c r="J129" s="148" t="s">
        <v>115</v>
      </c>
      <c r="L129" s="148" t="s">
        <v>242</v>
      </c>
      <c r="N129" s="148" t="s">
        <v>182</v>
      </c>
      <c r="P129" s="148" t="s">
        <v>182</v>
      </c>
      <c r="Q129" s="133"/>
      <c r="R129" s="148" t="s">
        <v>242</v>
      </c>
      <c r="T129" s="148" t="s">
        <v>185</v>
      </c>
      <c r="U129" s="133"/>
      <c r="V129" s="199" t="s">
        <v>185</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220</v>
      </c>
      <c r="H130" s="148"/>
      <c r="J130" s="148"/>
      <c r="L130" s="148"/>
      <c r="N130" s="148"/>
      <c r="P130" s="201" t="s">
        <v>220</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95" t="s">
        <v>431</v>
      </c>
      <c r="C137" s="191"/>
      <c r="D137" s="395" t="s">
        <v>432</v>
      </c>
      <c r="F137" s="395" t="s">
        <v>433</v>
      </c>
      <c r="H137" s="395" t="s">
        <v>434</v>
      </c>
      <c r="J137" s="397" t="s">
        <v>435</v>
      </c>
      <c r="L137" s="395" t="s">
        <v>436</v>
      </c>
      <c r="N137" s="395" t="s">
        <v>437</v>
      </c>
      <c r="P137" s="395" t="s">
        <v>438</v>
      </c>
      <c r="Q137" s="133"/>
      <c r="R137" s="395" t="s">
        <v>439</v>
      </c>
      <c r="T137" s="395" t="s">
        <v>440</v>
      </c>
      <c r="U137" s="133"/>
      <c r="V137" s="396" t="s">
        <v>441</v>
      </c>
      <c r="X137" s="310"/>
      <c r="Y137" s="310"/>
      <c r="Z137" s="310"/>
      <c r="AA137" s="310"/>
      <c r="AD137" s="310"/>
      <c r="AE137" s="310"/>
      <c r="AF137" s="310"/>
      <c r="AG137" s="310"/>
      <c r="AI137" s="310"/>
      <c r="AJ137" s="310"/>
      <c r="AK137" s="310"/>
      <c r="AL137" s="310"/>
      <c r="AN137" s="310"/>
      <c r="AO137" s="310"/>
      <c r="AP137" s="310"/>
      <c r="AQ137" s="310"/>
    </row>
    <row r="138" spans="1:43">
      <c r="A138" s="132"/>
      <c r="B138" s="148" t="s">
        <v>344</v>
      </c>
      <c r="C138" s="133"/>
      <c r="D138" s="148" t="s">
        <v>182</v>
      </c>
      <c r="F138" s="148" t="s">
        <v>182</v>
      </c>
      <c r="H138" s="148" t="s">
        <v>319</v>
      </c>
      <c r="J138" s="148" t="s">
        <v>242</v>
      </c>
      <c r="L138" s="148" t="s">
        <v>442</v>
      </c>
      <c r="N138" s="148" t="s">
        <v>143</v>
      </c>
      <c r="P138" s="148" t="s">
        <v>182</v>
      </c>
      <c r="Q138" s="133"/>
      <c r="R138" s="148" t="s">
        <v>182</v>
      </c>
      <c r="T138" s="148" t="s">
        <v>115</v>
      </c>
      <c r="U138" s="133"/>
      <c r="V138" s="199" t="s">
        <v>242</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95" t="s">
        <v>443</v>
      </c>
      <c r="C146" s="191"/>
      <c r="D146" s="395" t="s">
        <v>444</v>
      </c>
      <c r="F146" s="395" t="s">
        <v>445</v>
      </c>
      <c r="H146" s="395" t="s">
        <v>446</v>
      </c>
      <c r="J146" s="395" t="s">
        <v>447</v>
      </c>
      <c r="L146" s="395" t="s">
        <v>448</v>
      </c>
      <c r="N146" s="397" t="s">
        <v>449</v>
      </c>
      <c r="P146" s="395" t="s">
        <v>450</v>
      </c>
      <c r="Q146" s="133"/>
      <c r="R146" s="395" t="s">
        <v>451</v>
      </c>
      <c r="T146" s="397" t="s">
        <v>452</v>
      </c>
      <c r="U146" s="133"/>
      <c r="V146" s="396" t="s">
        <v>453</v>
      </c>
      <c r="X146" s="310"/>
      <c r="Y146" s="310"/>
      <c r="Z146" s="310"/>
      <c r="AA146" s="310"/>
      <c r="AD146" s="310"/>
      <c r="AE146" s="310"/>
      <c r="AF146" s="310"/>
      <c r="AG146" s="310"/>
      <c r="AI146" s="310"/>
      <c r="AJ146" s="310"/>
      <c r="AK146" s="310"/>
      <c r="AL146" s="310"/>
      <c r="AN146" s="310"/>
      <c r="AO146" s="310"/>
      <c r="AP146" s="310"/>
      <c r="AQ146" s="310"/>
    </row>
    <row r="147" spans="1:43">
      <c r="A147" s="132"/>
      <c r="B147" s="148" t="s">
        <v>132</v>
      </c>
      <c r="C147" s="133"/>
      <c r="D147" s="148" t="s">
        <v>123</v>
      </c>
      <c r="F147" s="148" t="s">
        <v>132</v>
      </c>
      <c r="H147" s="148" t="s">
        <v>182</v>
      </c>
      <c r="J147" s="148" t="s">
        <v>182</v>
      </c>
      <c r="L147" s="148" t="s">
        <v>125</v>
      </c>
      <c r="N147" s="148" t="s">
        <v>185</v>
      </c>
      <c r="P147" s="148" t="s">
        <v>128</v>
      </c>
      <c r="Q147" s="133"/>
      <c r="R147" s="148" t="s">
        <v>143</v>
      </c>
      <c r="T147" s="148" t="s">
        <v>248</v>
      </c>
      <c r="U147" s="133"/>
      <c r="V147" s="199" t="s">
        <v>115</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220</v>
      </c>
      <c r="F148" s="201" t="s">
        <v>220</v>
      </c>
      <c r="H148" s="148"/>
      <c r="J148" s="148"/>
      <c r="L148" s="148"/>
      <c r="N148" s="148"/>
      <c r="P148" s="148"/>
      <c r="Q148" s="133"/>
      <c r="R148" s="148"/>
      <c r="T148" s="148"/>
      <c r="U148" s="133"/>
      <c r="V148" s="204" t="s">
        <v>454</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95" t="s">
        <v>455</v>
      </c>
      <c r="C155" s="191"/>
      <c r="D155" s="395" t="s">
        <v>456</v>
      </c>
      <c r="F155" s="395" t="s">
        <v>457</v>
      </c>
      <c r="H155" s="395" t="s">
        <v>458</v>
      </c>
      <c r="J155" s="395" t="s">
        <v>459</v>
      </c>
      <c r="L155" s="395" t="s">
        <v>460</v>
      </c>
      <c r="N155" s="395" t="s">
        <v>461</v>
      </c>
      <c r="P155" s="395" t="s">
        <v>462</v>
      </c>
      <c r="Q155" s="133"/>
      <c r="R155" s="397" t="s">
        <v>463</v>
      </c>
      <c r="T155" s="395" t="s">
        <v>464</v>
      </c>
      <c r="U155" s="133"/>
      <c r="V155" s="398" t="s">
        <v>465</v>
      </c>
      <c r="X155" s="310"/>
      <c r="Y155" s="310"/>
      <c r="Z155" s="310"/>
      <c r="AA155" s="310"/>
      <c r="AD155" s="310"/>
      <c r="AE155" s="310"/>
      <c r="AF155" s="310"/>
      <c r="AG155" s="310"/>
      <c r="AI155" s="310"/>
      <c r="AJ155" s="310"/>
      <c r="AK155" s="310"/>
      <c r="AL155" s="310"/>
      <c r="AN155" s="310"/>
      <c r="AO155" s="310"/>
      <c r="AP155" s="310"/>
      <c r="AQ155" s="310"/>
    </row>
    <row r="156" spans="1:43">
      <c r="A156" s="132"/>
      <c r="B156" s="148" t="s">
        <v>137</v>
      </c>
      <c r="C156" s="133"/>
      <c r="D156" s="148" t="s">
        <v>167</v>
      </c>
      <c r="F156" s="148" t="s">
        <v>115</v>
      </c>
      <c r="H156" s="148" t="s">
        <v>132</v>
      </c>
      <c r="J156" s="148" t="s">
        <v>123</v>
      </c>
      <c r="L156" s="148" t="s">
        <v>125</v>
      </c>
      <c r="N156" s="148" t="s">
        <v>115</v>
      </c>
      <c r="P156" s="148" t="s">
        <v>115</v>
      </c>
      <c r="Q156" s="133"/>
      <c r="R156" s="148" t="s">
        <v>248</v>
      </c>
      <c r="T156" s="148" t="s">
        <v>115</v>
      </c>
      <c r="U156" s="133"/>
      <c r="V156" s="199" t="s">
        <v>132</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466</v>
      </c>
      <c r="J157" s="201" t="s">
        <v>466</v>
      </c>
      <c r="L157" s="148"/>
      <c r="N157" s="148"/>
      <c r="P157" s="148"/>
      <c r="Q157" s="133"/>
      <c r="R157" s="148"/>
      <c r="T157" s="201" t="s">
        <v>454</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95" t="s">
        <v>467</v>
      </c>
      <c r="C163" s="191"/>
      <c r="D163" s="397" t="s">
        <v>468</v>
      </c>
      <c r="F163" s="395" t="s">
        <v>469</v>
      </c>
      <c r="H163" s="397" t="s">
        <v>470</v>
      </c>
      <c r="J163" s="397" t="s">
        <v>471</v>
      </c>
      <c r="L163" s="395" t="s">
        <v>472</v>
      </c>
      <c r="N163" s="395" t="s">
        <v>473</v>
      </c>
      <c r="P163" s="395" t="s">
        <v>474</v>
      </c>
      <c r="Q163" s="133"/>
      <c r="R163" s="395" t="s">
        <v>475</v>
      </c>
      <c r="T163" s="395" t="s">
        <v>476</v>
      </c>
      <c r="U163" s="133"/>
      <c r="V163" s="398" t="s">
        <v>477</v>
      </c>
      <c r="X163" s="310"/>
      <c r="Y163" s="310"/>
      <c r="Z163" s="310"/>
      <c r="AA163" s="310"/>
      <c r="AD163" s="310"/>
      <c r="AE163" s="310"/>
      <c r="AF163" s="310"/>
      <c r="AG163" s="310"/>
      <c r="AI163" s="310"/>
      <c r="AJ163" s="310"/>
      <c r="AK163" s="310"/>
      <c r="AL163" s="310"/>
      <c r="AN163" s="310"/>
      <c r="AO163" s="310"/>
      <c r="AP163" s="310"/>
      <c r="AQ163" s="310"/>
    </row>
    <row r="164" spans="1:43">
      <c r="A164" s="132"/>
      <c r="B164" s="148" t="s">
        <v>125</v>
      </c>
      <c r="C164" s="133"/>
      <c r="D164" s="148" t="s">
        <v>182</v>
      </c>
      <c r="F164" s="148" t="s">
        <v>125</v>
      </c>
      <c r="H164" s="148" t="s">
        <v>185</v>
      </c>
      <c r="J164" s="148" t="s">
        <v>132</v>
      </c>
      <c r="L164" s="148" t="s">
        <v>137</v>
      </c>
      <c r="N164" s="148" t="s">
        <v>143</v>
      </c>
      <c r="P164" s="148" t="s">
        <v>185</v>
      </c>
      <c r="Q164" s="133"/>
      <c r="R164" s="148" t="s">
        <v>185</v>
      </c>
      <c r="T164" s="148" t="s">
        <v>115</v>
      </c>
      <c r="U164" s="133"/>
      <c r="V164" s="199" t="s">
        <v>242</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366</v>
      </c>
      <c r="F165" s="201" t="s">
        <v>220</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95" t="s">
        <v>478</v>
      </c>
      <c r="C171" s="191"/>
      <c r="D171" s="395" t="s">
        <v>863</v>
      </c>
      <c r="F171" s="397" t="s">
        <v>734</v>
      </c>
      <c r="H171" s="397" t="s">
        <v>735</v>
      </c>
      <c r="J171" s="397" t="s">
        <v>864</v>
      </c>
      <c r="L171" s="397" t="s">
        <v>865</v>
      </c>
      <c r="N171" s="397" t="s">
        <v>866</v>
      </c>
      <c r="P171" s="397" t="s">
        <v>739</v>
      </c>
      <c r="Q171" s="133"/>
      <c r="R171" s="397" t="s">
        <v>740</v>
      </c>
      <c r="T171" s="397" t="s">
        <v>741</v>
      </c>
      <c r="U171" s="133"/>
      <c r="V171" s="398" t="s">
        <v>177</v>
      </c>
      <c r="X171" s="310"/>
      <c r="Y171" s="310"/>
      <c r="Z171" s="310"/>
      <c r="AA171" s="310"/>
      <c r="AD171" s="310"/>
      <c r="AE171" s="310"/>
      <c r="AF171" s="310"/>
      <c r="AG171" s="310"/>
      <c r="AI171" s="310"/>
      <c r="AJ171" s="310"/>
      <c r="AK171" s="310"/>
      <c r="AL171" s="310"/>
      <c r="AN171" s="310"/>
      <c r="AO171" s="310"/>
      <c r="AP171" s="310"/>
      <c r="AQ171" s="310"/>
    </row>
    <row r="172" spans="1:43">
      <c r="A172" s="132"/>
      <c r="B172" s="148" t="s">
        <v>125</v>
      </c>
      <c r="C172" s="133"/>
      <c r="D172" s="148" t="s">
        <v>128</v>
      </c>
      <c r="F172" s="148" t="s">
        <v>185</v>
      </c>
      <c r="H172" s="148" t="s">
        <v>185</v>
      </c>
      <c r="J172" s="148" t="s">
        <v>115</v>
      </c>
      <c r="L172" s="148" t="s">
        <v>137</v>
      </c>
      <c r="N172" s="148" t="s">
        <v>137</v>
      </c>
      <c r="P172" s="148" t="s">
        <v>182</v>
      </c>
      <c r="Q172" s="133"/>
      <c r="R172" s="148" t="s">
        <v>182</v>
      </c>
      <c r="T172" s="148" t="s">
        <v>182</v>
      </c>
      <c r="U172" s="133"/>
      <c r="V172" s="199" t="s">
        <v>115</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97" t="s">
        <v>743</v>
      </c>
      <c r="C178" s="133"/>
      <c r="D178" s="397" t="s">
        <v>744</v>
      </c>
      <c r="F178" s="397" t="s">
        <v>745</v>
      </c>
      <c r="H178" s="397" t="s">
        <v>867</v>
      </c>
      <c r="J178" s="397" t="s">
        <v>747</v>
      </c>
      <c r="L178" s="397" t="s">
        <v>868</v>
      </c>
      <c r="N178" s="397" t="s">
        <v>749</v>
      </c>
      <c r="P178" s="397" t="s">
        <v>869</v>
      </c>
      <c r="Q178" s="133"/>
      <c r="R178" s="397" t="s">
        <v>751</v>
      </c>
      <c r="T178" s="397" t="s">
        <v>752</v>
      </c>
      <c r="U178" s="133"/>
      <c r="V178" s="397" t="s">
        <v>870</v>
      </c>
      <c r="X178" s="310"/>
      <c r="Y178" s="310"/>
      <c r="Z178" s="310"/>
      <c r="AA178" s="310"/>
      <c r="AD178" s="310"/>
      <c r="AE178" s="310"/>
      <c r="AF178" s="310"/>
      <c r="AG178" s="310"/>
      <c r="AI178" s="310"/>
      <c r="AJ178" s="310"/>
      <c r="AK178" s="310"/>
      <c r="AL178" s="310"/>
      <c r="AN178" s="310"/>
      <c r="AO178" s="310"/>
      <c r="AP178" s="310"/>
      <c r="AQ178" s="310"/>
    </row>
    <row r="179" spans="1:44">
      <c r="A179" s="132"/>
      <c r="B179" s="148" t="s">
        <v>242</v>
      </c>
      <c r="C179" s="133"/>
      <c r="D179" s="148" t="s">
        <v>185</v>
      </c>
      <c r="F179" s="148" t="s">
        <v>242</v>
      </c>
      <c r="H179" s="148" t="s">
        <v>192</v>
      </c>
      <c r="J179" s="148" t="s">
        <v>248</v>
      </c>
      <c r="L179" s="148" t="s">
        <v>137</v>
      </c>
      <c r="N179" s="148" t="s">
        <v>242</v>
      </c>
      <c r="P179" s="148" t="s">
        <v>115</v>
      </c>
      <c r="Q179" s="133"/>
      <c r="R179" s="148" t="s">
        <v>185</v>
      </c>
      <c r="T179" s="148" t="s">
        <v>248</v>
      </c>
      <c r="U179" s="133"/>
      <c r="V179" s="148" t="s">
        <v>128</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97" t="s">
        <v>754</v>
      </c>
      <c r="D185" s="397" t="s">
        <v>178</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182</v>
      </c>
      <c r="D186" s="148" t="s">
        <v>125</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27">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479</v>
      </c>
      <c r="F200" s="206"/>
      <c r="G200" s="206"/>
      <c r="H200" s="206"/>
      <c r="I200" s="206"/>
      <c r="J200" s="206"/>
      <c r="K200" s="206"/>
      <c r="L200" s="228"/>
      <c r="M200" s="206"/>
      <c r="N200" s="1500"/>
      <c r="O200" s="133"/>
      <c r="P200" s="133"/>
      <c r="Q200" s="133"/>
      <c r="R200" s="133"/>
      <c r="S200" s="133"/>
      <c r="T200" s="133"/>
      <c r="U200" s="133"/>
      <c r="V200" s="178"/>
    </row>
    <row r="201" spans="1:31">
      <c r="A201" s="132"/>
      <c r="B201" s="133"/>
      <c r="C201" s="133"/>
      <c r="D201" s="133"/>
      <c r="E201" s="205" t="s">
        <v>480</v>
      </c>
      <c r="F201" s="206"/>
      <c r="G201" s="206"/>
      <c r="H201" s="206"/>
      <c r="I201" s="206"/>
      <c r="J201" s="206"/>
      <c r="K201" s="206"/>
      <c r="L201" s="206"/>
      <c r="M201" s="206"/>
      <c r="N201" s="1501"/>
      <c r="O201" s="133"/>
      <c r="P201" s="229"/>
      <c r="Q201" s="133"/>
      <c r="R201" s="133"/>
      <c r="S201" s="133"/>
      <c r="T201" s="133"/>
      <c r="U201" s="133"/>
      <c r="V201" s="178"/>
    </row>
    <row r="202" spans="1:31">
      <c r="A202" s="132"/>
      <c r="B202" s="133"/>
      <c r="C202" s="133"/>
      <c r="D202" s="133"/>
      <c r="E202" s="205" t="s">
        <v>481</v>
      </c>
      <c r="F202" s="206"/>
      <c r="G202" s="206"/>
      <c r="H202" s="206"/>
      <c r="I202" s="206"/>
      <c r="J202" s="206"/>
      <c r="K202" s="206"/>
      <c r="L202" s="206"/>
      <c r="M202" s="206"/>
      <c r="N202" s="1502"/>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482</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483</v>
      </c>
      <c r="M208" s="133"/>
      <c r="N208" s="133"/>
      <c r="O208" s="133"/>
      <c r="P208" s="133"/>
      <c r="Q208" s="133"/>
      <c r="R208" s="237" t="s">
        <v>484</v>
      </c>
      <c r="S208" s="215"/>
      <c r="T208" s="133"/>
      <c r="U208" s="133"/>
      <c r="V208" s="236"/>
    </row>
    <row r="209" spans="1:22" ht="15" thickBot="1">
      <c r="A209" s="209"/>
      <c r="B209" s="133"/>
      <c r="C209" s="211" t="s">
        <v>485</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486</v>
      </c>
      <c r="D210" s="210"/>
      <c r="E210" s="210"/>
      <c r="F210" s="158"/>
      <c r="G210" s="139"/>
      <c r="H210" s="212"/>
      <c r="I210" s="210"/>
      <c r="J210" s="158"/>
      <c r="K210" s="210"/>
      <c r="L210" s="133" t="s">
        <v>487</v>
      </c>
      <c r="M210" s="133"/>
      <c r="N210" s="133"/>
      <c r="O210" s="133"/>
      <c r="P210" s="133"/>
      <c r="Q210" s="133"/>
      <c r="R210" s="133"/>
      <c r="S210" s="215"/>
      <c r="T210" s="133"/>
      <c r="U210" s="133"/>
      <c r="V210" s="236"/>
    </row>
    <row r="211" spans="1:22" ht="15.5" thickTop="1" thickBot="1">
      <c r="A211" s="209"/>
      <c r="B211" s="133"/>
      <c r="C211" s="211" t="s">
        <v>488</v>
      </c>
      <c r="D211" s="210"/>
      <c r="E211" s="210"/>
      <c r="F211" s="213"/>
      <c r="G211" s="139"/>
      <c r="H211" s="214" t="s">
        <v>390</v>
      </c>
      <c r="I211" s="210"/>
      <c r="J211" s="213"/>
      <c r="K211" s="210"/>
      <c r="L211" s="133"/>
      <c r="M211" s="133"/>
      <c r="N211" s="133"/>
      <c r="O211" s="133"/>
      <c r="P211" s="133"/>
      <c r="Q211" s="133"/>
      <c r="R211" s="237" t="s">
        <v>489</v>
      </c>
      <c r="S211" s="215"/>
      <c r="T211" s="133"/>
      <c r="U211" s="133"/>
      <c r="V211" s="236"/>
    </row>
    <row r="212" spans="1:22" ht="15" thickTop="1">
      <c r="A212" s="209"/>
      <c r="B212" s="133"/>
      <c r="C212" s="133"/>
      <c r="D212" s="210"/>
      <c r="E212" s="210"/>
      <c r="F212" s="210"/>
      <c r="G212" s="210"/>
      <c r="H212" s="210"/>
      <c r="I212" s="210"/>
      <c r="J212" s="210"/>
      <c r="K212" s="210"/>
      <c r="L212" s="133"/>
      <c r="M212" s="133" t="s">
        <v>77</v>
      </c>
      <c r="N212" s="133"/>
      <c r="O212" s="133"/>
      <c r="P212" s="133"/>
      <c r="Q212" s="133"/>
      <c r="R212" s="133"/>
      <c r="S212" s="238"/>
      <c r="T212" s="133"/>
      <c r="U212" s="133"/>
      <c r="V212" s="236"/>
    </row>
    <row r="213" spans="1:22">
      <c r="A213" s="209"/>
      <c r="B213" s="133"/>
      <c r="C213" s="215"/>
      <c r="D213" s="143"/>
      <c r="E213" s="215"/>
      <c r="F213" s="216"/>
      <c r="G213" s="217"/>
      <c r="H213" s="215">
        <v>325</v>
      </c>
      <c r="I213" s="215" t="s">
        <v>219</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490</v>
      </c>
      <c r="N214" s="143"/>
      <c r="O214" s="215"/>
      <c r="P214" s="143"/>
      <c r="Q214" s="215"/>
      <c r="R214" s="239" t="s">
        <v>491</v>
      </c>
      <c r="S214" s="215"/>
      <c r="T214" s="143"/>
      <c r="U214" s="215"/>
      <c r="V214" s="236"/>
    </row>
    <row r="215" spans="1:22" ht="15.5" thickTop="1" thickBot="1">
      <c r="A215" s="209"/>
      <c r="B215" s="211" t="s">
        <v>492</v>
      </c>
      <c r="C215" s="215"/>
      <c r="D215" s="143"/>
      <c r="E215" s="218" t="s">
        <v>228</v>
      </c>
      <c r="F215" s="133" t="s">
        <v>228</v>
      </c>
      <c r="G215" s="217"/>
      <c r="H215" s="143"/>
      <c r="I215" s="133" t="s">
        <v>493</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494</v>
      </c>
      <c r="C217" s="215"/>
      <c r="D217" s="143"/>
      <c r="E217" s="143" t="s">
        <v>495</v>
      </c>
      <c r="F217" s="216" t="s">
        <v>109</v>
      </c>
      <c r="G217" s="217"/>
      <c r="H217" s="219"/>
      <c r="I217" s="216" t="s">
        <v>496</v>
      </c>
      <c r="J217" s="143"/>
      <c r="K217" s="215"/>
      <c r="L217" s="133"/>
      <c r="M217" s="216" t="s">
        <v>497</v>
      </c>
      <c r="N217" s="143"/>
      <c r="O217" s="215"/>
      <c r="P217" s="143"/>
      <c r="Q217" s="215"/>
      <c r="R217" s="240" t="s">
        <v>498</v>
      </c>
      <c r="S217" s="133"/>
      <c r="T217" s="143"/>
      <c r="U217" s="215"/>
      <c r="V217" s="236"/>
    </row>
    <row r="218" spans="1:22">
      <c r="A218" s="209"/>
      <c r="B218" s="133"/>
      <c r="C218" s="215"/>
      <c r="D218" s="143"/>
      <c r="E218" s="143"/>
      <c r="F218" s="143"/>
      <c r="G218" s="217"/>
      <c r="H218" s="143"/>
      <c r="I218" s="216" t="s">
        <v>499</v>
      </c>
      <c r="J218" s="143"/>
      <c r="K218" s="215"/>
      <c r="L218" s="143"/>
      <c r="M218" s="215"/>
      <c r="N218" s="143"/>
      <c r="O218" s="215"/>
      <c r="P218" s="143"/>
      <c r="Q218" s="215"/>
      <c r="R218" s="240" t="s">
        <v>500</v>
      </c>
      <c r="T218" s="143"/>
      <c r="U218" s="215"/>
      <c r="V218" s="236"/>
    </row>
    <row r="219" spans="1:22">
      <c r="A219" s="209"/>
      <c r="B219" s="211" t="s">
        <v>501</v>
      </c>
      <c r="C219" s="143"/>
      <c r="D219" s="143"/>
      <c r="E219" s="220" t="s">
        <v>502</v>
      </c>
      <c r="F219" s="216" t="s">
        <v>503</v>
      </c>
      <c r="G219" s="217"/>
      <c r="H219" s="143"/>
      <c r="I219" s="216" t="s">
        <v>504</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505</v>
      </c>
      <c r="C221" s="143"/>
      <c r="D221" s="143"/>
      <c r="E221" s="222"/>
      <c r="F221" s="143" t="s">
        <v>506</v>
      </c>
      <c r="G221" s="217"/>
      <c r="H221" s="143"/>
      <c r="I221" s="215"/>
      <c r="J221" s="143"/>
      <c r="K221" s="215"/>
      <c r="L221" s="231"/>
      <c r="M221" s="232" t="s">
        <v>507</v>
      </c>
      <c r="N221" s="143"/>
      <c r="O221" s="215"/>
      <c r="P221" s="143"/>
      <c r="Q221" s="215"/>
      <c r="R221" s="216" t="s">
        <v>508</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509</v>
      </c>
      <c r="C223" s="143"/>
      <c r="D223" s="210"/>
      <c r="E223" s="143" t="s">
        <v>220</v>
      </c>
      <c r="F223" s="143" t="s">
        <v>510</v>
      </c>
      <c r="G223" s="217"/>
      <c r="H223" s="143"/>
      <c r="I223" s="233" t="s">
        <v>511</v>
      </c>
      <c r="J223" s="143"/>
      <c r="K223" s="215"/>
      <c r="L223" s="133"/>
      <c r="M223" s="216" t="s">
        <v>512</v>
      </c>
      <c r="N223" s="143"/>
      <c r="O223" s="215"/>
      <c r="P223" s="143"/>
      <c r="Q223" s="242"/>
      <c r="R223" s="243" t="s">
        <v>513</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45"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76" t="s">
        <v>1098</v>
      </c>
      <c r="C3" s="1676" t="s">
        <v>1099</v>
      </c>
      <c r="D3" s="1421" t="s">
        <v>109</v>
      </c>
      <c r="E3" s="421"/>
      <c r="F3" s="1676" t="s">
        <v>1100</v>
      </c>
      <c r="G3" s="1676"/>
      <c r="H3" s="1676"/>
      <c r="I3" s="1676"/>
      <c r="J3" s="1421" t="s">
        <v>34</v>
      </c>
    </row>
    <row r="4" spans="2:10">
      <c r="B4" s="1676"/>
      <c r="C4" s="1676"/>
      <c r="D4" s="1421"/>
      <c r="E4" s="422"/>
      <c r="F4" s="353" t="s">
        <v>60</v>
      </c>
      <c r="G4" s="353" t="s">
        <v>63</v>
      </c>
      <c r="H4" s="353" t="s">
        <v>71</v>
      </c>
      <c r="I4" s="353" t="s">
        <v>1101</v>
      </c>
      <c r="J4" s="1421"/>
    </row>
    <row r="5" spans="2:10">
      <c r="B5" s="57">
        <v>1</v>
      </c>
      <c r="C5" s="57" t="s">
        <v>312</v>
      </c>
      <c r="D5" s="57" t="s">
        <v>119</v>
      </c>
      <c r="E5" s="422">
        <v>2</v>
      </c>
      <c r="F5" s="57">
        <v>3</v>
      </c>
      <c r="G5" s="57">
        <v>3</v>
      </c>
      <c r="H5" s="57">
        <v>3</v>
      </c>
      <c r="I5" s="57">
        <v>3</v>
      </c>
      <c r="J5" s="57"/>
    </row>
    <row r="6" spans="2:10">
      <c r="B6" s="57">
        <f t="shared" ref="B6:B38" si="0">B5+1</f>
        <v>2</v>
      </c>
      <c r="C6" s="57" t="s">
        <v>313</v>
      </c>
      <c r="D6" s="57" t="s">
        <v>242</v>
      </c>
      <c r="E6" s="422">
        <v>1</v>
      </c>
      <c r="F6" s="57">
        <v>1</v>
      </c>
      <c r="G6" s="57">
        <v>1</v>
      </c>
      <c r="H6" s="57">
        <v>1</v>
      </c>
      <c r="I6" s="57">
        <v>1</v>
      </c>
      <c r="J6" s="57"/>
    </row>
    <row r="7" spans="2:10">
      <c r="B7" s="423">
        <f t="shared" si="0"/>
        <v>3</v>
      </c>
      <c r="C7" s="423" t="s">
        <v>320</v>
      </c>
      <c r="D7" s="423" t="s">
        <v>242</v>
      </c>
      <c r="E7" s="424" t="s">
        <v>945</v>
      </c>
      <c r="F7" s="425" t="s">
        <v>1102</v>
      </c>
      <c r="G7" s="425" t="s">
        <v>1102</v>
      </c>
      <c r="H7" s="423">
        <v>1</v>
      </c>
      <c r="I7" s="425" t="s">
        <v>1102</v>
      </c>
      <c r="J7" s="423"/>
    </row>
    <row r="8" spans="2:10">
      <c r="B8" s="57">
        <f t="shared" si="0"/>
        <v>4</v>
      </c>
      <c r="C8" s="57" t="s">
        <v>321</v>
      </c>
      <c r="D8" s="57" t="s">
        <v>185</v>
      </c>
      <c r="E8" s="422">
        <v>1</v>
      </c>
      <c r="F8" s="57">
        <v>1</v>
      </c>
      <c r="G8" s="57">
        <v>1</v>
      </c>
      <c r="H8" s="57">
        <v>1</v>
      </c>
      <c r="I8" s="57">
        <v>1</v>
      </c>
      <c r="J8" s="57"/>
    </row>
    <row r="9" spans="2:10">
      <c r="B9" s="57">
        <f t="shared" si="0"/>
        <v>5</v>
      </c>
      <c r="C9" s="57" t="s">
        <v>322</v>
      </c>
      <c r="D9" s="57" t="s">
        <v>117</v>
      </c>
      <c r="E9" s="422">
        <v>3</v>
      </c>
      <c r="F9" s="57">
        <v>3</v>
      </c>
      <c r="G9" s="57">
        <v>3</v>
      </c>
      <c r="H9" s="57">
        <v>3</v>
      </c>
      <c r="I9" s="57">
        <v>3</v>
      </c>
      <c r="J9" s="57"/>
    </row>
    <row r="10" spans="2:10">
      <c r="B10" s="423">
        <f t="shared" si="0"/>
        <v>6</v>
      </c>
      <c r="C10" s="423" t="s">
        <v>323</v>
      </c>
      <c r="D10" s="423" t="s">
        <v>132</v>
      </c>
      <c r="E10" s="424" t="s">
        <v>945</v>
      </c>
      <c r="F10" s="423">
        <v>3</v>
      </c>
      <c r="G10" s="423">
        <v>3</v>
      </c>
      <c r="H10" s="423">
        <v>3</v>
      </c>
      <c r="I10" s="423">
        <v>3</v>
      </c>
      <c r="J10" s="423"/>
    </row>
    <row r="11" spans="2:10">
      <c r="B11" s="423">
        <f t="shared" si="0"/>
        <v>7</v>
      </c>
      <c r="C11" s="423" t="s">
        <v>1103</v>
      </c>
      <c r="D11" s="423" t="s">
        <v>132</v>
      </c>
      <c r="E11" s="424" t="s">
        <v>945</v>
      </c>
      <c r="F11" s="425" t="s">
        <v>1102</v>
      </c>
      <c r="G11" s="423">
        <v>1</v>
      </c>
      <c r="H11" s="423">
        <v>3</v>
      </c>
      <c r="I11" s="425" t="s">
        <v>1102</v>
      </c>
      <c r="J11" s="423"/>
    </row>
    <row r="12" spans="2:10">
      <c r="B12" s="423">
        <f t="shared" si="0"/>
        <v>8</v>
      </c>
      <c r="C12" s="57" t="s">
        <v>339</v>
      </c>
      <c r="D12" s="57" t="s">
        <v>248</v>
      </c>
      <c r="E12" s="422">
        <v>2</v>
      </c>
      <c r="F12" s="57">
        <v>3</v>
      </c>
      <c r="G12" s="57">
        <v>3</v>
      </c>
      <c r="H12" s="57">
        <v>3</v>
      </c>
      <c r="I12" s="57">
        <v>3</v>
      </c>
      <c r="J12" s="57"/>
    </row>
    <row r="13" spans="2:10">
      <c r="B13" s="423">
        <f t="shared" si="0"/>
        <v>9</v>
      </c>
      <c r="C13" s="423" t="s">
        <v>346</v>
      </c>
      <c r="D13" s="423" t="s">
        <v>182</v>
      </c>
      <c r="E13" s="424" t="s">
        <v>1104</v>
      </c>
      <c r="F13" s="425" t="s">
        <v>1102</v>
      </c>
      <c r="G13" s="425" t="s">
        <v>1102</v>
      </c>
      <c r="H13" s="423">
        <v>1</v>
      </c>
      <c r="I13" s="425" t="s">
        <v>1102</v>
      </c>
      <c r="J13" s="423"/>
    </row>
    <row r="14" spans="2:10">
      <c r="B14" s="423">
        <f t="shared" si="0"/>
        <v>10</v>
      </c>
      <c r="C14" s="57" t="s">
        <v>348</v>
      </c>
      <c r="D14" s="57" t="s">
        <v>248</v>
      </c>
      <c r="E14" s="422">
        <v>3</v>
      </c>
      <c r="F14" s="57">
        <v>3</v>
      </c>
      <c r="G14" s="57">
        <v>3</v>
      </c>
      <c r="H14" s="57">
        <v>3</v>
      </c>
      <c r="I14" s="57">
        <v>3</v>
      </c>
      <c r="J14" s="57"/>
    </row>
    <row r="15" spans="2:10">
      <c r="B15" s="423">
        <f t="shared" si="0"/>
        <v>11</v>
      </c>
      <c r="C15" s="423" t="s">
        <v>153</v>
      </c>
      <c r="D15" s="423" t="s">
        <v>123</v>
      </c>
      <c r="E15" s="424" t="s">
        <v>1104</v>
      </c>
      <c r="F15" s="425" t="s">
        <v>1102</v>
      </c>
      <c r="G15" s="425" t="s">
        <v>1102</v>
      </c>
      <c r="H15" s="423">
        <v>1</v>
      </c>
      <c r="I15" s="425" t="s">
        <v>1102</v>
      </c>
      <c r="J15" s="423"/>
    </row>
    <row r="16" spans="2:10">
      <c r="B16" s="423">
        <f t="shared" si="0"/>
        <v>12</v>
      </c>
      <c r="C16" s="57" t="s">
        <v>352</v>
      </c>
      <c r="D16" s="57" t="s">
        <v>248</v>
      </c>
      <c r="E16" s="422">
        <v>3</v>
      </c>
      <c r="F16" s="57">
        <v>3</v>
      </c>
      <c r="G16" s="57">
        <v>3</v>
      </c>
      <c r="H16" s="57">
        <v>3</v>
      </c>
      <c r="I16" s="57">
        <v>3</v>
      </c>
      <c r="J16" s="57"/>
    </row>
    <row r="17" spans="2:10">
      <c r="B17" s="423">
        <f t="shared" si="0"/>
        <v>13</v>
      </c>
      <c r="C17" s="57" t="s">
        <v>353</v>
      </c>
      <c r="D17" s="57" t="s">
        <v>248</v>
      </c>
      <c r="E17" s="422">
        <v>1</v>
      </c>
      <c r="F17" s="57">
        <v>1</v>
      </c>
      <c r="G17" s="57">
        <v>1</v>
      </c>
      <c r="H17" s="57">
        <v>1</v>
      </c>
      <c r="I17" s="57">
        <v>1</v>
      </c>
      <c r="J17" s="57"/>
    </row>
    <row r="18" spans="2:10">
      <c r="B18" s="423">
        <f t="shared" si="0"/>
        <v>14</v>
      </c>
      <c r="C18" s="57" t="s">
        <v>706</v>
      </c>
      <c r="D18" s="57" t="s">
        <v>125</v>
      </c>
      <c r="E18" s="422">
        <v>1</v>
      </c>
      <c r="F18" s="57">
        <v>1</v>
      </c>
      <c r="G18" s="57">
        <v>1</v>
      </c>
      <c r="H18" s="57">
        <v>1</v>
      </c>
      <c r="I18" s="57">
        <v>1</v>
      </c>
      <c r="J18" s="57"/>
    </row>
    <row r="19" spans="2:10">
      <c r="B19" s="423">
        <f t="shared" si="0"/>
        <v>15</v>
      </c>
      <c r="C19" s="57" t="s">
        <v>707</v>
      </c>
      <c r="D19" s="57" t="s">
        <v>128</v>
      </c>
      <c r="E19" s="422">
        <v>1</v>
      </c>
      <c r="F19" s="57">
        <v>1</v>
      </c>
      <c r="G19" s="57">
        <v>1</v>
      </c>
      <c r="H19" s="57">
        <v>1</v>
      </c>
      <c r="I19" s="57">
        <v>1</v>
      </c>
      <c r="J19" s="57"/>
    </row>
    <row r="20" spans="2:10">
      <c r="B20" s="423">
        <f t="shared" si="0"/>
        <v>16</v>
      </c>
      <c r="C20" s="57" t="s">
        <v>365</v>
      </c>
      <c r="D20" s="57" t="s">
        <v>182</v>
      </c>
      <c r="E20" s="422">
        <v>1</v>
      </c>
      <c r="F20" s="57">
        <v>1</v>
      </c>
      <c r="G20" s="57">
        <v>1</v>
      </c>
      <c r="H20" s="57">
        <v>1</v>
      </c>
      <c r="I20" s="57">
        <v>1</v>
      </c>
      <c r="J20" s="57"/>
    </row>
    <row r="21" spans="2:10">
      <c r="B21" s="423">
        <f t="shared" si="0"/>
        <v>17</v>
      </c>
      <c r="C21" s="57" t="s">
        <v>369</v>
      </c>
      <c r="D21" s="57" t="s">
        <v>182</v>
      </c>
      <c r="E21" s="422">
        <v>1</v>
      </c>
      <c r="F21" s="57">
        <v>1</v>
      </c>
      <c r="G21" s="57">
        <v>1</v>
      </c>
      <c r="H21" s="57">
        <v>1</v>
      </c>
      <c r="I21" s="57">
        <v>1</v>
      </c>
      <c r="J21" s="57"/>
    </row>
    <row r="22" spans="2:10">
      <c r="B22" s="423">
        <f t="shared" si="0"/>
        <v>18</v>
      </c>
      <c r="C22" s="423" t="s">
        <v>1105</v>
      </c>
      <c r="D22" s="423" t="s">
        <v>125</v>
      </c>
      <c r="E22" s="424" t="s">
        <v>1106</v>
      </c>
      <c r="F22" s="425" t="s">
        <v>1102</v>
      </c>
      <c r="G22" s="425" t="s">
        <v>1102</v>
      </c>
      <c r="H22" s="423">
        <v>1</v>
      </c>
      <c r="I22" s="423">
        <v>3</v>
      </c>
      <c r="J22" s="423"/>
    </row>
    <row r="23" spans="2:10">
      <c r="B23" s="423">
        <f t="shared" si="0"/>
        <v>19</v>
      </c>
      <c r="C23" s="423" t="s">
        <v>371</v>
      </c>
      <c r="D23" s="423" t="s">
        <v>185</v>
      </c>
      <c r="E23" s="424" t="s">
        <v>1107</v>
      </c>
      <c r="F23" s="425" t="s">
        <v>1102</v>
      </c>
      <c r="G23" s="425" t="s">
        <v>1102</v>
      </c>
      <c r="H23" s="423">
        <v>1</v>
      </c>
      <c r="I23" s="423">
        <v>3</v>
      </c>
      <c r="J23" s="423"/>
    </row>
    <row r="24" spans="2:10">
      <c r="B24" s="423">
        <f t="shared" si="0"/>
        <v>20</v>
      </c>
      <c r="C24" s="423" t="s">
        <v>288</v>
      </c>
      <c r="D24" s="423" t="s">
        <v>182</v>
      </c>
      <c r="E24" s="424" t="s">
        <v>1108</v>
      </c>
      <c r="F24" s="425" t="s">
        <v>1102</v>
      </c>
      <c r="G24" s="425" t="s">
        <v>1102</v>
      </c>
      <c r="H24" s="423">
        <v>3</v>
      </c>
      <c r="I24" s="423">
        <v>3</v>
      </c>
      <c r="J24" s="423"/>
    </row>
    <row r="25" spans="2:10">
      <c r="B25" s="423">
        <f t="shared" si="0"/>
        <v>21</v>
      </c>
      <c r="C25" s="57" t="s">
        <v>383</v>
      </c>
      <c r="D25" s="57" t="s">
        <v>185</v>
      </c>
      <c r="E25" s="422">
        <v>1</v>
      </c>
      <c r="F25" s="57">
        <v>1</v>
      </c>
      <c r="G25" s="57">
        <v>1</v>
      </c>
      <c r="H25" s="57">
        <v>1</v>
      </c>
      <c r="I25" s="57">
        <v>1</v>
      </c>
      <c r="J25" s="57"/>
    </row>
    <row r="26" spans="2:10">
      <c r="B26" s="423">
        <f t="shared" si="0"/>
        <v>22</v>
      </c>
      <c r="C26" s="57" t="s">
        <v>385</v>
      </c>
      <c r="D26" s="57" t="s">
        <v>182</v>
      </c>
      <c r="E26" s="422">
        <v>1</v>
      </c>
      <c r="F26" s="57">
        <v>1</v>
      </c>
      <c r="G26" s="57">
        <v>1</v>
      </c>
      <c r="H26" s="57">
        <v>1</v>
      </c>
      <c r="I26" s="57">
        <v>1</v>
      </c>
      <c r="J26" s="57"/>
    </row>
    <row r="27" spans="2:10">
      <c r="B27" s="423">
        <f t="shared" si="0"/>
        <v>23</v>
      </c>
      <c r="C27" s="57" t="s">
        <v>386</v>
      </c>
      <c r="D27" s="57" t="s">
        <v>188</v>
      </c>
      <c r="E27" s="422">
        <v>1</v>
      </c>
      <c r="F27" s="57">
        <v>1</v>
      </c>
      <c r="G27" s="57">
        <v>1</v>
      </c>
      <c r="H27" s="57">
        <v>1</v>
      </c>
      <c r="I27" s="57">
        <v>1</v>
      </c>
      <c r="J27" s="57"/>
    </row>
    <row r="28" spans="2:10">
      <c r="B28" s="423">
        <f t="shared" si="0"/>
        <v>24</v>
      </c>
      <c r="C28" s="423" t="s">
        <v>267</v>
      </c>
      <c r="D28" s="423" t="s">
        <v>182</v>
      </c>
      <c r="E28" s="424" t="s">
        <v>945</v>
      </c>
      <c r="F28" s="425" t="s">
        <v>1102</v>
      </c>
      <c r="G28" s="423">
        <v>3</v>
      </c>
      <c r="H28" s="423">
        <v>3</v>
      </c>
      <c r="I28" s="425" t="s">
        <v>1102</v>
      </c>
      <c r="J28" s="423"/>
    </row>
    <row r="29" spans="2:10">
      <c r="B29" s="423">
        <f t="shared" si="0"/>
        <v>25</v>
      </c>
      <c r="C29" s="57" t="s">
        <v>392</v>
      </c>
      <c r="D29" s="57" t="s">
        <v>182</v>
      </c>
      <c r="E29" s="422">
        <v>1</v>
      </c>
      <c r="F29" s="57">
        <v>1</v>
      </c>
      <c r="G29" s="57">
        <v>1</v>
      </c>
      <c r="H29" s="57">
        <v>1</v>
      </c>
      <c r="I29" s="57">
        <v>1</v>
      </c>
      <c r="J29" s="57"/>
    </row>
    <row r="30" spans="2:10">
      <c r="B30" s="423">
        <f t="shared" si="0"/>
        <v>26</v>
      </c>
      <c r="C30" s="57" t="s">
        <v>418</v>
      </c>
      <c r="D30" s="57" t="s">
        <v>185</v>
      </c>
      <c r="E30" s="422">
        <v>1</v>
      </c>
      <c r="F30" s="57">
        <v>1</v>
      </c>
      <c r="G30" s="57">
        <v>1</v>
      </c>
      <c r="H30" s="57">
        <v>1</v>
      </c>
      <c r="I30" s="57">
        <v>1</v>
      </c>
      <c r="J30" s="57"/>
    </row>
    <row r="31" spans="2:10">
      <c r="B31" s="423">
        <f t="shared" si="0"/>
        <v>27</v>
      </c>
      <c r="C31" s="57" t="s">
        <v>423</v>
      </c>
      <c r="D31" s="57" t="s">
        <v>182</v>
      </c>
      <c r="E31" s="422">
        <v>1</v>
      </c>
      <c r="F31" s="57">
        <v>1</v>
      </c>
      <c r="G31" s="57">
        <v>1</v>
      </c>
      <c r="H31" s="57">
        <v>1</v>
      </c>
      <c r="I31" s="57">
        <v>1</v>
      </c>
      <c r="J31" s="57"/>
    </row>
    <row r="32" spans="2:10">
      <c r="B32" s="423">
        <f t="shared" si="0"/>
        <v>28</v>
      </c>
      <c r="C32" s="57" t="s">
        <v>427</v>
      </c>
      <c r="D32" s="57" t="s">
        <v>182</v>
      </c>
      <c r="E32" s="422">
        <v>1</v>
      </c>
      <c r="F32" s="57">
        <v>1</v>
      </c>
      <c r="G32" s="57">
        <v>1</v>
      </c>
      <c r="H32" s="57">
        <v>1</v>
      </c>
      <c r="I32" s="57">
        <v>1</v>
      </c>
      <c r="J32" s="57"/>
    </row>
    <row r="33" spans="2:10">
      <c r="B33" s="423">
        <f t="shared" si="0"/>
        <v>29</v>
      </c>
      <c r="C33" s="57" t="s">
        <v>444</v>
      </c>
      <c r="D33" s="57" t="s">
        <v>123</v>
      </c>
      <c r="E33" s="422">
        <v>3</v>
      </c>
      <c r="F33" s="57">
        <v>3</v>
      </c>
      <c r="G33" s="57">
        <v>3</v>
      </c>
      <c r="H33" s="57">
        <v>3</v>
      </c>
      <c r="I33" s="57">
        <v>3</v>
      </c>
      <c r="J33" s="57"/>
    </row>
    <row r="34" spans="2:10">
      <c r="B34" s="423">
        <f t="shared" si="0"/>
        <v>30</v>
      </c>
      <c r="C34" s="57" t="s">
        <v>445</v>
      </c>
      <c r="D34" s="57" t="s">
        <v>132</v>
      </c>
      <c r="E34" s="422">
        <v>3</v>
      </c>
      <c r="F34" s="57">
        <v>3</v>
      </c>
      <c r="G34" s="57">
        <v>3</v>
      </c>
      <c r="H34" s="57">
        <v>3</v>
      </c>
      <c r="I34" s="57">
        <v>3</v>
      </c>
      <c r="J34" s="57"/>
    </row>
    <row r="35" spans="2:10">
      <c r="B35" s="423">
        <f t="shared" si="0"/>
        <v>31</v>
      </c>
      <c r="C35" s="57" t="s">
        <v>728</v>
      </c>
      <c r="D35" s="57" t="s">
        <v>115</v>
      </c>
      <c r="E35" s="422">
        <v>1</v>
      </c>
      <c r="F35" s="57">
        <v>1</v>
      </c>
      <c r="G35" s="57">
        <v>1</v>
      </c>
      <c r="H35" s="57">
        <v>1</v>
      </c>
      <c r="I35" s="57">
        <v>1</v>
      </c>
      <c r="J35" s="57"/>
    </row>
    <row r="36" spans="2:10">
      <c r="B36" s="423">
        <f t="shared" si="0"/>
        <v>32</v>
      </c>
      <c r="C36" s="57" t="s">
        <v>458</v>
      </c>
      <c r="D36" s="57" t="s">
        <v>132</v>
      </c>
      <c r="E36" s="422">
        <v>3</v>
      </c>
      <c r="F36" s="57">
        <v>3</v>
      </c>
      <c r="G36" s="57">
        <v>3</v>
      </c>
      <c r="H36" s="57">
        <v>3</v>
      </c>
      <c r="I36" s="57">
        <v>3</v>
      </c>
      <c r="J36" s="57"/>
    </row>
    <row r="37" spans="2:10">
      <c r="B37" s="423">
        <f t="shared" si="0"/>
        <v>33</v>
      </c>
      <c r="C37" s="57" t="s">
        <v>459</v>
      </c>
      <c r="D37" s="57" t="s">
        <v>123</v>
      </c>
      <c r="E37" s="422">
        <v>2</v>
      </c>
      <c r="F37" s="57">
        <v>3</v>
      </c>
      <c r="G37" s="57">
        <v>3</v>
      </c>
      <c r="H37" s="57">
        <v>3</v>
      </c>
      <c r="I37" s="57">
        <v>3</v>
      </c>
      <c r="J37" s="57"/>
    </row>
    <row r="38" spans="2:10">
      <c r="B38" s="423">
        <f t="shared" si="0"/>
        <v>34</v>
      </c>
      <c r="C38" s="57" t="s">
        <v>464</v>
      </c>
      <c r="D38" s="57" t="s">
        <v>115</v>
      </c>
      <c r="E38" s="422">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62" t="s">
        <v>298</v>
      </c>
      <c r="B1" s="1662"/>
      <c r="C1" s="1662"/>
      <c r="D1" s="1662"/>
      <c r="E1" s="1662"/>
      <c r="F1" s="1662"/>
      <c r="G1" s="1662"/>
      <c r="H1" s="1662"/>
      <c r="I1" s="1662"/>
      <c r="J1" s="1662"/>
      <c r="K1" s="1662"/>
      <c r="L1" s="1662"/>
      <c r="M1" s="1662"/>
      <c r="N1" s="1662"/>
      <c r="O1" s="1662"/>
      <c r="P1" s="1662"/>
      <c r="Q1" s="1662"/>
      <c r="R1" s="1662"/>
      <c r="S1" s="1662"/>
      <c r="T1" s="1662"/>
      <c r="U1" s="1662"/>
      <c r="V1" s="1663"/>
    </row>
    <row r="2" spans="1:22" ht="15" thickBot="1">
      <c r="A2" s="1664" t="s">
        <v>299</v>
      </c>
      <c r="B2" s="1490"/>
      <c r="C2" s="1490"/>
      <c r="D2" s="1490"/>
      <c r="E2" s="1490"/>
      <c r="F2" s="1490"/>
      <c r="G2" s="1490"/>
      <c r="H2" s="1490"/>
      <c r="I2" s="1490"/>
      <c r="J2" s="1490"/>
      <c r="K2" s="1490"/>
      <c r="L2" s="1490"/>
      <c r="M2" s="1490"/>
      <c r="N2" s="1490"/>
      <c r="O2" s="1490"/>
      <c r="P2" s="1490"/>
      <c r="Q2" s="1490"/>
      <c r="R2" s="1490"/>
      <c r="S2" s="1490"/>
      <c r="T2" s="1490"/>
      <c r="U2" s="1490"/>
      <c r="V2" s="1665"/>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71" t="s">
        <v>300</v>
      </c>
      <c r="B4" s="1504"/>
      <c r="C4" s="127"/>
      <c r="D4" s="1672" t="s">
        <v>1086</v>
      </c>
      <c r="E4" s="1673"/>
      <c r="F4" s="1667" t="s">
        <v>302</v>
      </c>
      <c r="G4" s="1669" t="s">
        <v>303</v>
      </c>
      <c r="H4" s="1493" t="s">
        <v>304</v>
      </c>
      <c r="I4" s="1494"/>
      <c r="J4" s="1495"/>
      <c r="K4" s="128" t="s">
        <v>305</v>
      </c>
      <c r="L4" s="1493" t="s">
        <v>306</v>
      </c>
      <c r="M4" s="1494"/>
      <c r="N4" s="1495"/>
      <c r="O4" s="1493" t="s">
        <v>307</v>
      </c>
      <c r="P4" s="1494"/>
      <c r="Q4" s="1495"/>
      <c r="R4" s="1666"/>
      <c r="S4" s="1496"/>
      <c r="T4" s="1496"/>
      <c r="U4" s="166"/>
      <c r="V4" s="167"/>
    </row>
    <row r="5" spans="1:22">
      <c r="A5" s="1671"/>
      <c r="B5" s="1504"/>
      <c r="C5" s="127"/>
      <c r="D5" s="1674"/>
      <c r="E5" s="1675"/>
      <c r="F5" s="1668"/>
      <c r="G5" s="1670"/>
      <c r="H5" s="128" t="s">
        <v>308</v>
      </c>
      <c r="I5" s="128" t="s">
        <v>278</v>
      </c>
      <c r="J5" s="128" t="s">
        <v>309</v>
      </c>
      <c r="K5" s="128" t="s">
        <v>308</v>
      </c>
      <c r="L5" s="128" t="s">
        <v>308</v>
      </c>
      <c r="M5" s="128" t="s">
        <v>278</v>
      </c>
      <c r="N5" s="128" t="s">
        <v>309</v>
      </c>
      <c r="O5" s="128" t="s">
        <v>308</v>
      </c>
      <c r="P5" s="128" t="s">
        <v>278</v>
      </c>
      <c r="Q5" s="128" t="s">
        <v>309</v>
      </c>
      <c r="R5" s="165"/>
      <c r="S5" s="165"/>
      <c r="T5" s="165"/>
      <c r="U5" s="166"/>
      <c r="V5" s="167"/>
    </row>
    <row r="6" spans="1:22">
      <c r="A6" s="129"/>
      <c r="B6" s="127"/>
      <c r="C6" s="127"/>
      <c r="D6" s="1678" t="s">
        <v>1085</v>
      </c>
      <c r="E6" s="1498"/>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404"/>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404"/>
      <c r="V8" s="167"/>
    </row>
    <row r="9" spans="1:22">
      <c r="A9" s="132"/>
      <c r="B9" s="133"/>
      <c r="C9" s="133"/>
      <c r="D9" s="133"/>
      <c r="E9" s="133"/>
      <c r="F9" s="133"/>
      <c r="G9" s="133"/>
      <c r="H9" s="133"/>
      <c r="I9" s="133"/>
      <c r="J9" s="133"/>
      <c r="K9" s="133"/>
      <c r="L9" s="133"/>
      <c r="M9" s="133"/>
      <c r="N9" s="133"/>
      <c r="O9" s="133"/>
      <c r="P9" s="133"/>
      <c r="Q9" s="133"/>
      <c r="R9" s="133"/>
      <c r="S9" s="133"/>
      <c r="T9" s="133"/>
      <c r="U9" s="404"/>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405">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405"/>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404"/>
      <c r="V12" s="167"/>
    </row>
    <row r="13" spans="1:22" ht="15" thickTop="1">
      <c r="A13" s="142"/>
      <c r="B13" s="143"/>
      <c r="C13" s="144" t="s">
        <v>310</v>
      </c>
      <c r="D13" s="145"/>
      <c r="E13" s="384" t="s">
        <v>272</v>
      </c>
      <c r="F13" s="145"/>
      <c r="G13" s="384" t="s">
        <v>273</v>
      </c>
      <c r="H13" s="145"/>
      <c r="I13" s="384" t="s">
        <v>311</v>
      </c>
      <c r="J13" s="133"/>
      <c r="K13" s="144" t="s">
        <v>312</v>
      </c>
      <c r="L13" s="133"/>
      <c r="M13" s="384" t="s">
        <v>313</v>
      </c>
      <c r="N13" s="133"/>
      <c r="O13" s="144" t="s">
        <v>314</v>
      </c>
      <c r="P13" s="133"/>
      <c r="Q13" s="144" t="s">
        <v>315</v>
      </c>
      <c r="R13" s="133"/>
      <c r="S13" s="384" t="s">
        <v>316</v>
      </c>
      <c r="T13" s="133"/>
      <c r="U13" s="404"/>
      <c r="V13" s="167"/>
    </row>
    <row r="14" spans="1:22">
      <c r="A14" s="142"/>
      <c r="B14" s="143"/>
      <c r="C14" s="144" t="s">
        <v>117</v>
      </c>
      <c r="D14" s="145"/>
      <c r="E14" s="145" t="s">
        <v>185</v>
      </c>
      <c r="F14" s="145"/>
      <c r="G14" s="133" t="s">
        <v>182</v>
      </c>
      <c r="H14" s="145"/>
      <c r="I14" s="133" t="s">
        <v>185</v>
      </c>
      <c r="J14" s="133"/>
      <c r="K14" s="144" t="s">
        <v>119</v>
      </c>
      <c r="L14" s="133"/>
      <c r="M14" s="133" t="s">
        <v>242</v>
      </c>
      <c r="N14" s="133"/>
      <c r="O14" s="144" t="s">
        <v>125</v>
      </c>
      <c r="P14" s="133"/>
      <c r="Q14" s="144" t="s">
        <v>319</v>
      </c>
      <c r="R14" s="133"/>
      <c r="S14" s="133" t="s">
        <v>185</v>
      </c>
      <c r="T14" s="133"/>
      <c r="U14" s="404"/>
      <c r="V14" s="167"/>
    </row>
    <row r="15" spans="1:22">
      <c r="A15" s="272"/>
      <c r="B15" s="172"/>
      <c r="C15" s="172"/>
      <c r="D15" s="172"/>
      <c r="E15" s="172"/>
      <c r="F15" s="172"/>
      <c r="G15" s="172"/>
      <c r="H15" s="172"/>
      <c r="I15" s="172"/>
      <c r="J15" s="172"/>
      <c r="K15" s="159" t="s">
        <v>220</v>
      </c>
      <c r="L15" s="172"/>
      <c r="M15" s="159" t="s">
        <v>220</v>
      </c>
      <c r="N15" s="172"/>
      <c r="O15" s="172"/>
      <c r="P15" s="172"/>
      <c r="Q15" s="172"/>
      <c r="R15" s="172"/>
      <c r="S15" s="172"/>
      <c r="T15" s="172"/>
      <c r="U15" s="406"/>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407"/>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84" t="s">
        <v>320</v>
      </c>
      <c r="C22" s="133"/>
      <c r="D22" s="384" t="s">
        <v>321</v>
      </c>
      <c r="E22" s="133"/>
      <c r="F22" s="144" t="s">
        <v>322</v>
      </c>
      <c r="G22" s="133"/>
      <c r="H22" s="144" t="s">
        <v>323</v>
      </c>
      <c r="I22" s="133"/>
      <c r="J22" s="144" t="s">
        <v>324</v>
      </c>
      <c r="K22" s="133"/>
      <c r="L22" s="384" t="s">
        <v>325</v>
      </c>
      <c r="M22" s="133"/>
      <c r="N22" s="144" t="s">
        <v>326</v>
      </c>
      <c r="O22" s="133"/>
      <c r="P22" s="384" t="s">
        <v>327</v>
      </c>
      <c r="Q22" s="133"/>
      <c r="R22" s="384" t="s">
        <v>328</v>
      </c>
      <c r="S22" s="133"/>
      <c r="T22" s="144" t="s">
        <v>329</v>
      </c>
      <c r="U22" s="133"/>
      <c r="V22" s="179"/>
    </row>
    <row r="23" spans="1:22">
      <c r="A23" s="132"/>
      <c r="B23" s="133" t="s">
        <v>242</v>
      </c>
      <c r="C23" s="133"/>
      <c r="D23" s="133" t="s">
        <v>185</v>
      </c>
      <c r="E23" s="133"/>
      <c r="F23" s="144" t="s">
        <v>117</v>
      </c>
      <c r="G23" s="133"/>
      <c r="H23" s="144" t="s">
        <v>330</v>
      </c>
      <c r="I23" s="133"/>
      <c r="J23" s="144" t="s">
        <v>132</v>
      </c>
      <c r="K23" s="133"/>
      <c r="L23" s="145" t="s">
        <v>182</v>
      </c>
      <c r="M23" s="133"/>
      <c r="N23" s="144" t="s">
        <v>132</v>
      </c>
      <c r="O23" s="133"/>
      <c r="P23" s="145" t="s">
        <v>242</v>
      </c>
      <c r="Q23" s="133"/>
      <c r="R23" s="145" t="s">
        <v>242</v>
      </c>
      <c r="S23" s="133"/>
      <c r="T23" s="144" t="s">
        <v>330</v>
      </c>
      <c r="U23" s="133"/>
      <c r="V23" s="179"/>
    </row>
    <row r="24" spans="1:22">
      <c r="A24" s="132"/>
      <c r="B24" s="144" t="s">
        <v>331</v>
      </c>
      <c r="C24" s="133"/>
      <c r="D24" s="144" t="s">
        <v>220</v>
      </c>
      <c r="E24" s="133"/>
      <c r="F24" s="144" t="s">
        <v>220</v>
      </c>
      <c r="G24" s="133"/>
      <c r="H24" s="144" t="s">
        <v>331</v>
      </c>
      <c r="I24" s="133"/>
      <c r="J24" s="133"/>
      <c r="K24" s="133"/>
      <c r="L24" s="144" t="s">
        <v>332</v>
      </c>
      <c r="M24" s="133"/>
      <c r="N24" s="133"/>
      <c r="O24" s="133"/>
      <c r="P24" s="160"/>
      <c r="Q24" s="133"/>
      <c r="R24" s="144" t="s">
        <v>331</v>
      </c>
      <c r="S24" s="133"/>
      <c r="T24" s="144" t="s">
        <v>331</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333</v>
      </c>
      <c r="C31" s="133"/>
      <c r="D31" s="144" t="s">
        <v>334</v>
      </c>
      <c r="E31" s="133"/>
      <c r="F31" s="384" t="s">
        <v>335</v>
      </c>
      <c r="G31" s="133"/>
      <c r="H31" s="144" t="s">
        <v>336</v>
      </c>
      <c r="I31" s="133"/>
      <c r="J31" s="384" t="s">
        <v>337</v>
      </c>
      <c r="K31" s="133"/>
      <c r="L31" s="384" t="s">
        <v>338</v>
      </c>
      <c r="M31" s="133"/>
      <c r="N31" s="384" t="s">
        <v>339</v>
      </c>
      <c r="O31" s="133"/>
      <c r="P31" s="144" t="s">
        <v>340</v>
      </c>
      <c r="Q31" s="133"/>
      <c r="R31" s="384" t="s">
        <v>281</v>
      </c>
      <c r="S31" s="133"/>
      <c r="T31" s="144" t="s">
        <v>341</v>
      </c>
      <c r="U31" s="133"/>
      <c r="V31" s="180"/>
    </row>
    <row r="32" spans="1:22">
      <c r="A32" s="132"/>
      <c r="B32" s="144" t="s">
        <v>330</v>
      </c>
      <c r="C32" s="133"/>
      <c r="D32" s="144" t="s">
        <v>342</v>
      </c>
      <c r="E32" s="133"/>
      <c r="F32" s="145" t="s">
        <v>182</v>
      </c>
      <c r="G32" s="133"/>
      <c r="H32" s="144" t="s">
        <v>343</v>
      </c>
      <c r="I32" s="133"/>
      <c r="J32" s="145" t="s">
        <v>248</v>
      </c>
      <c r="K32" s="133"/>
      <c r="L32" s="145" t="s">
        <v>182</v>
      </c>
      <c r="M32" s="133"/>
      <c r="N32" s="145" t="s">
        <v>248</v>
      </c>
      <c r="O32" s="133"/>
      <c r="P32" s="144" t="s">
        <v>319</v>
      </c>
      <c r="Q32" s="133"/>
      <c r="R32" s="145" t="s">
        <v>248</v>
      </c>
      <c r="S32" s="133"/>
      <c r="T32" s="144" t="s">
        <v>344</v>
      </c>
      <c r="U32" s="133"/>
      <c r="V32" s="180"/>
    </row>
    <row r="33" spans="1:22">
      <c r="A33" s="132"/>
      <c r="B33" s="133"/>
      <c r="C33" s="133"/>
      <c r="D33" s="133"/>
      <c r="E33" s="133"/>
      <c r="F33" s="144" t="s">
        <v>345</v>
      </c>
      <c r="G33" s="133"/>
      <c r="H33" s="144"/>
      <c r="I33" s="133"/>
      <c r="J33" s="155"/>
      <c r="K33" s="155"/>
      <c r="L33" s="155"/>
      <c r="M33" s="155"/>
      <c r="N33" s="144" t="s">
        <v>220</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84" t="s">
        <v>346</v>
      </c>
      <c r="C40" s="133"/>
      <c r="D40" s="384" t="s">
        <v>347</v>
      </c>
      <c r="E40" s="133"/>
      <c r="F40" s="384" t="s">
        <v>348</v>
      </c>
      <c r="G40" s="133"/>
      <c r="H40" s="384" t="s">
        <v>282</v>
      </c>
      <c r="I40" s="133"/>
      <c r="J40" s="384" t="s">
        <v>283</v>
      </c>
      <c r="K40" s="133"/>
      <c r="L40" s="144" t="s">
        <v>349</v>
      </c>
      <c r="M40" s="133"/>
      <c r="N40" s="384" t="s">
        <v>350</v>
      </c>
      <c r="O40" s="133"/>
      <c r="P40" s="144" t="s">
        <v>351</v>
      </c>
      <c r="Q40" s="133"/>
      <c r="R40" s="384" t="s">
        <v>352</v>
      </c>
      <c r="S40" s="133"/>
      <c r="T40" s="384" t="s">
        <v>353</v>
      </c>
      <c r="U40" s="133"/>
      <c r="V40" s="280"/>
    </row>
    <row r="41" spans="1:22">
      <c r="A41" s="132"/>
      <c r="B41" s="145" t="s">
        <v>182</v>
      </c>
      <c r="C41" s="133"/>
      <c r="D41" s="145" t="s">
        <v>182</v>
      </c>
      <c r="E41" s="133"/>
      <c r="F41" s="145" t="s">
        <v>248</v>
      </c>
      <c r="G41" s="133"/>
      <c r="H41" s="145" t="s">
        <v>242</v>
      </c>
      <c r="I41" s="133"/>
      <c r="J41" s="145" t="s">
        <v>242</v>
      </c>
      <c r="K41" s="133"/>
      <c r="L41" s="144" t="s">
        <v>319</v>
      </c>
      <c r="M41" s="133"/>
      <c r="N41" s="145" t="s">
        <v>182</v>
      </c>
      <c r="O41" s="133"/>
      <c r="P41" s="144" t="s">
        <v>342</v>
      </c>
      <c r="Q41" s="133"/>
      <c r="R41" s="145" t="s">
        <v>248</v>
      </c>
      <c r="S41" s="133"/>
      <c r="T41" s="145" t="s">
        <v>248</v>
      </c>
      <c r="U41" s="133"/>
      <c r="V41" s="280"/>
    </row>
    <row r="42" spans="1:22">
      <c r="A42" s="132"/>
      <c r="B42" s="154" t="s">
        <v>220</v>
      </c>
      <c r="C42" s="155"/>
      <c r="D42" s="155"/>
      <c r="E42" s="155"/>
      <c r="F42" s="154" t="s">
        <v>220</v>
      </c>
      <c r="G42" s="155"/>
      <c r="H42" s="155"/>
      <c r="I42" s="155"/>
      <c r="J42" s="155"/>
      <c r="K42" s="155"/>
      <c r="L42" s="155"/>
      <c r="M42" s="155"/>
      <c r="N42" s="155"/>
      <c r="O42" s="155"/>
      <c r="P42" s="144" t="s">
        <v>331</v>
      </c>
      <c r="Q42" s="155"/>
      <c r="R42" s="155"/>
      <c r="S42" s="133"/>
      <c r="T42" s="154" t="s">
        <v>220</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354</v>
      </c>
      <c r="C46" s="139"/>
      <c r="D46" s="141" t="s">
        <v>354</v>
      </c>
      <c r="E46" s="133"/>
      <c r="F46" s="140"/>
      <c r="G46" s="139"/>
      <c r="H46" s="140"/>
      <c r="I46" s="139"/>
      <c r="J46" s="140"/>
      <c r="K46" s="139"/>
      <c r="L46" s="140"/>
      <c r="M46" s="139"/>
      <c r="N46" s="140"/>
      <c r="O46" s="139"/>
      <c r="P46" s="140"/>
      <c r="Q46" s="137"/>
      <c r="R46" s="305" t="s">
        <v>354</v>
      </c>
      <c r="S46" s="139"/>
      <c r="T46" s="305" t="s">
        <v>354</v>
      </c>
      <c r="U46" s="133"/>
      <c r="V46" s="167"/>
    </row>
    <row r="47" spans="1:22" ht="15.5" thickTop="1" thickBot="1">
      <c r="A47" s="132"/>
      <c r="B47" s="141"/>
      <c r="C47" s="139"/>
      <c r="D47" s="141"/>
      <c r="E47" s="133"/>
      <c r="F47" s="141"/>
      <c r="G47" s="139"/>
      <c r="H47" s="141"/>
      <c r="I47" s="139"/>
      <c r="J47" s="141" t="s">
        <v>390</v>
      </c>
      <c r="K47" s="139"/>
      <c r="L47" s="141"/>
      <c r="M47" s="139"/>
      <c r="N47" s="141"/>
      <c r="O47" s="139"/>
      <c r="P47" s="141"/>
      <c r="Q47" s="137"/>
      <c r="R47" s="141"/>
      <c r="S47" s="139"/>
      <c r="T47" s="141"/>
      <c r="U47" s="133"/>
      <c r="V47" s="280"/>
    </row>
    <row r="48" spans="1:22" ht="15" thickTop="1">
      <c r="A48" s="132"/>
      <c r="B48" s="384" t="s">
        <v>274</v>
      </c>
      <c r="C48" s="133"/>
      <c r="D48" s="384" t="s">
        <v>275</v>
      </c>
      <c r="E48" s="133"/>
      <c r="F48" s="384" t="s">
        <v>355</v>
      </c>
      <c r="G48" s="133"/>
      <c r="H48" s="384" t="s">
        <v>284</v>
      </c>
      <c r="I48" s="133"/>
      <c r="J48" s="384" t="s">
        <v>285</v>
      </c>
      <c r="K48" s="133"/>
      <c r="L48" s="144" t="s">
        <v>356</v>
      </c>
      <c r="M48" s="133"/>
      <c r="N48" s="144" t="s">
        <v>357</v>
      </c>
      <c r="O48" s="133"/>
      <c r="P48" s="144" t="s">
        <v>154</v>
      </c>
      <c r="Q48" s="133"/>
      <c r="R48" s="384" t="s">
        <v>247</v>
      </c>
      <c r="S48" s="133"/>
      <c r="T48" s="384" t="s">
        <v>260</v>
      </c>
      <c r="U48" s="133"/>
      <c r="V48" s="280"/>
    </row>
    <row r="49" spans="1:22">
      <c r="A49" s="132"/>
      <c r="B49" s="145" t="s">
        <v>248</v>
      </c>
      <c r="C49" s="133"/>
      <c r="D49" s="145" t="s">
        <v>248</v>
      </c>
      <c r="E49" s="133"/>
      <c r="F49" s="145" t="s">
        <v>248</v>
      </c>
      <c r="G49" s="133"/>
      <c r="H49" s="145" t="s">
        <v>185</v>
      </c>
      <c r="I49" s="133"/>
      <c r="J49" s="145" t="s">
        <v>185</v>
      </c>
      <c r="K49" s="133"/>
      <c r="L49" s="144" t="s">
        <v>125</v>
      </c>
      <c r="M49" s="133"/>
      <c r="N49" s="144" t="s">
        <v>330</v>
      </c>
      <c r="O49" s="133"/>
      <c r="P49" s="144" t="s">
        <v>125</v>
      </c>
      <c r="Q49" s="133"/>
      <c r="R49" s="145" t="s">
        <v>248</v>
      </c>
      <c r="S49" s="133"/>
      <c r="T49" s="145" t="s">
        <v>182</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220</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354</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84" t="s">
        <v>261</v>
      </c>
      <c r="C56" s="133"/>
      <c r="D56" s="384" t="s">
        <v>286</v>
      </c>
      <c r="E56" s="133"/>
      <c r="F56" s="144" t="s">
        <v>358</v>
      </c>
      <c r="G56" s="133"/>
      <c r="H56" s="384" t="s">
        <v>359</v>
      </c>
      <c r="I56" s="133"/>
      <c r="J56" s="384" t="s">
        <v>360</v>
      </c>
      <c r="K56" s="133"/>
      <c r="L56" s="144" t="s">
        <v>361</v>
      </c>
      <c r="M56" s="133"/>
      <c r="N56" s="144" t="s">
        <v>362</v>
      </c>
      <c r="O56" s="133"/>
      <c r="P56" s="384" t="s">
        <v>363</v>
      </c>
      <c r="Q56" s="133"/>
      <c r="R56" s="384" t="s">
        <v>364</v>
      </c>
      <c r="S56" s="133"/>
      <c r="T56" s="384" t="s">
        <v>365</v>
      </c>
      <c r="V56" s="401" t="s">
        <v>1084</v>
      </c>
    </row>
    <row r="57" spans="1:22">
      <c r="A57" s="132"/>
      <c r="B57" s="145" t="s">
        <v>185</v>
      </c>
      <c r="C57" s="133"/>
      <c r="D57" s="145" t="s">
        <v>248</v>
      </c>
      <c r="E57" s="133"/>
      <c r="F57" s="144" t="s">
        <v>128</v>
      </c>
      <c r="G57" s="133"/>
      <c r="H57" s="145" t="s">
        <v>242</v>
      </c>
      <c r="I57" s="133"/>
      <c r="J57" s="145" t="s">
        <v>119</v>
      </c>
      <c r="K57" s="133"/>
      <c r="L57" s="144" t="s">
        <v>330</v>
      </c>
      <c r="M57" s="133"/>
      <c r="N57" s="144" t="s">
        <v>143</v>
      </c>
      <c r="O57" s="133"/>
      <c r="P57" s="145" t="s">
        <v>242</v>
      </c>
      <c r="Q57" s="133"/>
      <c r="R57" s="145" t="s">
        <v>182</v>
      </c>
      <c r="S57" s="133"/>
      <c r="T57" s="145" t="s">
        <v>182</v>
      </c>
      <c r="V57" s="402" t="s">
        <v>343</v>
      </c>
    </row>
    <row r="58" spans="1:22">
      <c r="A58" s="132"/>
      <c r="B58" s="154"/>
      <c r="C58" s="155"/>
      <c r="D58" s="155"/>
      <c r="E58" s="155"/>
      <c r="F58" s="154" t="s">
        <v>220</v>
      </c>
      <c r="G58" s="155"/>
      <c r="H58" s="155"/>
      <c r="I58" s="155"/>
      <c r="J58" s="155"/>
      <c r="K58" s="155"/>
      <c r="L58" s="155"/>
      <c r="M58" s="155"/>
      <c r="N58" s="155"/>
      <c r="O58" s="155"/>
      <c r="P58" s="155"/>
      <c r="Q58" s="155"/>
      <c r="R58" s="154" t="s">
        <v>366</v>
      </c>
      <c r="S58" s="133"/>
      <c r="T58" s="154" t="s">
        <v>220</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354</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367</v>
      </c>
      <c r="C64" s="133"/>
      <c r="D64" s="384" t="s">
        <v>287</v>
      </c>
      <c r="E64" s="133"/>
      <c r="F64" s="384" t="s">
        <v>368</v>
      </c>
      <c r="G64" s="133"/>
      <c r="H64" s="384" t="s">
        <v>369</v>
      </c>
      <c r="I64" s="133"/>
      <c r="J64" s="144" t="s">
        <v>370</v>
      </c>
      <c r="K64" s="133"/>
      <c r="L64" s="384" t="s">
        <v>371</v>
      </c>
      <c r="M64" s="133"/>
      <c r="N64" s="384" t="s">
        <v>372</v>
      </c>
      <c r="O64" s="133"/>
      <c r="P64" s="144" t="s">
        <v>373</v>
      </c>
      <c r="Q64" s="133"/>
      <c r="R64" s="384" t="s">
        <v>288</v>
      </c>
      <c r="S64" s="133"/>
      <c r="T64" s="384" t="s">
        <v>259</v>
      </c>
      <c r="V64" s="280"/>
    </row>
    <row r="65" spans="1:22">
      <c r="A65" s="132"/>
      <c r="B65" s="144" t="s">
        <v>344</v>
      </c>
      <c r="C65" s="133"/>
      <c r="D65" s="145" t="s">
        <v>248</v>
      </c>
      <c r="E65" s="133"/>
      <c r="F65" s="145" t="s">
        <v>182</v>
      </c>
      <c r="G65" s="133"/>
      <c r="H65" s="145" t="s">
        <v>182</v>
      </c>
      <c r="I65" s="133"/>
      <c r="J65" s="144" t="s">
        <v>343</v>
      </c>
      <c r="K65" s="133"/>
      <c r="L65" s="145" t="s">
        <v>185</v>
      </c>
      <c r="M65" s="133"/>
      <c r="N65" s="145" t="s">
        <v>185</v>
      </c>
      <c r="O65" s="133"/>
      <c r="P65" s="144" t="s">
        <v>344</v>
      </c>
      <c r="Q65" s="133"/>
      <c r="R65" s="145" t="s">
        <v>182</v>
      </c>
      <c r="S65" s="133"/>
      <c r="T65" s="145" t="s">
        <v>248</v>
      </c>
      <c r="V65" s="280"/>
    </row>
    <row r="66" spans="1:22">
      <c r="A66" s="132"/>
      <c r="B66" s="154"/>
      <c r="C66" s="155"/>
      <c r="D66" s="155"/>
      <c r="E66" s="155"/>
      <c r="F66" s="155"/>
      <c r="G66" s="155"/>
      <c r="H66" s="154" t="s">
        <v>220</v>
      </c>
      <c r="I66" s="133"/>
      <c r="J66" s="144" t="s">
        <v>331</v>
      </c>
      <c r="K66" s="155"/>
      <c r="L66" s="154" t="s">
        <v>220</v>
      </c>
      <c r="M66" s="155"/>
      <c r="N66" s="155"/>
      <c r="O66" s="155"/>
      <c r="P66" s="155"/>
      <c r="Q66" s="155"/>
      <c r="R66" s="154" t="s">
        <v>374</v>
      </c>
      <c r="S66" s="155"/>
      <c r="T66" s="282" t="s">
        <v>375</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354</v>
      </c>
      <c r="C70" s="139"/>
      <c r="D70" s="140"/>
      <c r="E70" s="139"/>
      <c r="F70" s="305" t="s">
        <v>354</v>
      </c>
      <c r="G70" s="133"/>
      <c r="H70" s="141"/>
      <c r="I70" s="139"/>
      <c r="J70" s="141" t="s">
        <v>354</v>
      </c>
      <c r="K70" s="139"/>
      <c r="L70" s="141" t="s">
        <v>354</v>
      </c>
      <c r="M70" s="139"/>
      <c r="N70" s="141" t="s">
        <v>354</v>
      </c>
      <c r="O70" s="139"/>
      <c r="P70" s="141" t="s">
        <v>354</v>
      </c>
      <c r="Q70" s="139"/>
      <c r="R70" s="141" t="s">
        <v>354</v>
      </c>
      <c r="S70" s="139"/>
      <c r="T70" s="141" t="s">
        <v>354</v>
      </c>
      <c r="V70" s="280"/>
    </row>
    <row r="71" spans="1:22" ht="15.5" thickTop="1" thickBot="1">
      <c r="A71" s="132"/>
      <c r="B71" s="141" t="s">
        <v>376</v>
      </c>
      <c r="C71" s="139"/>
      <c r="D71" s="141"/>
      <c r="E71" s="139"/>
      <c r="F71" s="141"/>
      <c r="G71" s="133"/>
      <c r="H71" s="141"/>
      <c r="I71" s="139"/>
      <c r="J71" s="141" t="s">
        <v>376</v>
      </c>
      <c r="K71" s="139"/>
      <c r="L71" s="141" t="s">
        <v>376</v>
      </c>
      <c r="M71" s="139"/>
      <c r="N71" s="141" t="s">
        <v>376</v>
      </c>
      <c r="O71" s="139"/>
      <c r="P71" s="141"/>
      <c r="Q71" s="139"/>
      <c r="R71" s="141"/>
      <c r="S71" s="139"/>
      <c r="T71" s="141" t="s">
        <v>376</v>
      </c>
      <c r="V71" s="280"/>
    </row>
    <row r="72" spans="1:22" ht="15" thickTop="1">
      <c r="A72" s="132"/>
      <c r="B72" s="384" t="s">
        <v>251</v>
      </c>
      <c r="C72" s="133"/>
      <c r="D72" s="144" t="s">
        <v>377</v>
      </c>
      <c r="E72" s="133"/>
      <c r="F72" s="384" t="s">
        <v>297</v>
      </c>
      <c r="G72" s="133"/>
      <c r="H72" s="144" t="s">
        <v>378</v>
      </c>
      <c r="I72" s="133"/>
      <c r="J72" s="384" t="s">
        <v>236</v>
      </c>
      <c r="K72" s="133"/>
      <c r="L72" s="384" t="s">
        <v>237</v>
      </c>
      <c r="M72" s="133"/>
      <c r="N72" s="384" t="s">
        <v>214</v>
      </c>
      <c r="O72" s="133"/>
      <c r="P72" s="384" t="s">
        <v>213</v>
      </c>
      <c r="Q72" s="133"/>
      <c r="R72" s="384" t="s">
        <v>212</v>
      </c>
      <c r="S72" s="133"/>
      <c r="T72" s="384" t="s">
        <v>209</v>
      </c>
      <c r="V72" s="280"/>
    </row>
    <row r="73" spans="1:22">
      <c r="A73" s="132"/>
      <c r="B73" s="145" t="s">
        <v>248</v>
      </c>
      <c r="C73" s="133"/>
      <c r="D73" s="144" t="s">
        <v>330</v>
      </c>
      <c r="E73" s="133"/>
      <c r="F73" s="145" t="s">
        <v>182</v>
      </c>
      <c r="G73" s="133"/>
      <c r="H73" s="144" t="s">
        <v>115</v>
      </c>
      <c r="I73" s="133"/>
      <c r="J73" s="145" t="s">
        <v>182</v>
      </c>
      <c r="K73" s="133"/>
      <c r="L73" s="145" t="s">
        <v>182</v>
      </c>
      <c r="M73" s="133"/>
      <c r="N73" s="145" t="s">
        <v>185</v>
      </c>
      <c r="O73" s="133"/>
      <c r="P73" s="145" t="s">
        <v>182</v>
      </c>
      <c r="Q73" s="133"/>
      <c r="R73" s="145" t="s">
        <v>182</v>
      </c>
      <c r="S73" s="133"/>
      <c r="T73" s="145" t="s">
        <v>182</v>
      </c>
      <c r="V73" s="167"/>
    </row>
    <row r="74" spans="1:22">
      <c r="A74" s="132"/>
      <c r="B74" s="282" t="s">
        <v>375</v>
      </c>
      <c r="C74" s="133"/>
      <c r="D74" s="155"/>
      <c r="E74" s="155"/>
      <c r="F74" s="155"/>
      <c r="G74" s="155"/>
      <c r="H74" s="144" t="s">
        <v>366</v>
      </c>
      <c r="I74" s="155"/>
      <c r="J74" s="144" t="s">
        <v>366</v>
      </c>
      <c r="K74" s="155"/>
      <c r="L74" s="144" t="s">
        <v>331</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354</v>
      </c>
      <c r="D78" s="140"/>
      <c r="F78" s="305" t="s">
        <v>354</v>
      </c>
      <c r="G78" s="139"/>
      <c r="H78" s="140"/>
      <c r="I78" s="133"/>
      <c r="J78" s="141" t="s">
        <v>354</v>
      </c>
      <c r="K78" s="139"/>
      <c r="L78" s="141" t="s">
        <v>354</v>
      </c>
      <c r="M78" s="139"/>
      <c r="N78" s="141" t="s">
        <v>354</v>
      </c>
      <c r="O78" s="139"/>
      <c r="P78" s="141" t="s">
        <v>354</v>
      </c>
      <c r="Q78" s="139"/>
      <c r="R78" s="141" t="s">
        <v>354</v>
      </c>
      <c r="S78" s="139"/>
      <c r="T78" s="140"/>
      <c r="V78" s="167"/>
    </row>
    <row r="79" spans="1:22" ht="15.5" thickTop="1" thickBot="1">
      <c r="A79" s="132"/>
      <c r="B79" s="186" t="s">
        <v>376</v>
      </c>
      <c r="D79" s="141"/>
      <c r="F79" s="141"/>
      <c r="G79" s="139"/>
      <c r="H79" s="141"/>
      <c r="I79" s="133"/>
      <c r="J79" s="141" t="s">
        <v>376</v>
      </c>
      <c r="K79" s="139"/>
      <c r="L79" s="141"/>
      <c r="M79" s="139"/>
      <c r="N79" s="141"/>
      <c r="O79" s="139"/>
      <c r="P79" s="141" t="s">
        <v>376</v>
      </c>
      <c r="Q79" s="139"/>
      <c r="R79" s="141" t="s">
        <v>376</v>
      </c>
      <c r="S79" s="139"/>
      <c r="T79" s="141"/>
      <c r="V79" s="167"/>
    </row>
    <row r="80" spans="1:22" ht="15" thickTop="1">
      <c r="A80" s="132"/>
      <c r="B80" s="384" t="s">
        <v>231</v>
      </c>
      <c r="D80" s="144" t="s">
        <v>379</v>
      </c>
      <c r="F80" s="384" t="s">
        <v>263</v>
      </c>
      <c r="G80" s="133"/>
      <c r="H80" s="144" t="s">
        <v>380</v>
      </c>
      <c r="I80" s="133"/>
      <c r="J80" s="384" t="s">
        <v>215</v>
      </c>
      <c r="K80" s="133"/>
      <c r="L80" s="384" t="s">
        <v>216</v>
      </c>
      <c r="M80" s="133"/>
      <c r="N80" s="384" t="s">
        <v>239</v>
      </c>
      <c r="O80" s="133"/>
      <c r="P80" s="384" t="s">
        <v>240</v>
      </c>
      <c r="Q80" s="133"/>
      <c r="R80" s="384" t="s">
        <v>241</v>
      </c>
      <c r="S80" s="133"/>
      <c r="T80" s="144" t="s">
        <v>381</v>
      </c>
      <c r="V80" s="167"/>
    </row>
    <row r="81" spans="1:22">
      <c r="A81" s="132"/>
      <c r="B81" s="145" t="s">
        <v>182</v>
      </c>
      <c r="C81" s="133"/>
      <c r="D81" s="144" t="s">
        <v>319</v>
      </c>
      <c r="F81" s="145" t="s">
        <v>242</v>
      </c>
      <c r="G81" s="133"/>
      <c r="H81" s="144" t="s">
        <v>344</v>
      </c>
      <c r="I81" s="133"/>
      <c r="J81" s="145" t="s">
        <v>182</v>
      </c>
      <c r="K81" s="133"/>
      <c r="L81" s="145" t="s">
        <v>185</v>
      </c>
      <c r="M81" s="133"/>
      <c r="N81" s="145" t="s">
        <v>182</v>
      </c>
      <c r="O81" s="133"/>
      <c r="P81" s="145" t="s">
        <v>185</v>
      </c>
      <c r="Q81" s="133"/>
      <c r="R81" s="145" t="s">
        <v>242</v>
      </c>
      <c r="S81" s="133"/>
      <c r="T81" s="144" t="s">
        <v>319</v>
      </c>
      <c r="U81" s="133"/>
      <c r="V81" s="280"/>
    </row>
    <row r="82" spans="1:22">
      <c r="A82" s="187"/>
      <c r="F82" s="282" t="s">
        <v>382</v>
      </c>
      <c r="G82" s="133"/>
      <c r="H82" s="145"/>
      <c r="I82" s="133"/>
      <c r="J82" s="144"/>
      <c r="K82" s="133"/>
      <c r="L82" s="144" t="s">
        <v>366</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354</v>
      </c>
      <c r="G86" s="139"/>
      <c r="H86" s="140"/>
      <c r="I86" s="133"/>
      <c r="J86" s="140"/>
      <c r="K86" s="139"/>
      <c r="L86" s="141" t="s">
        <v>354</v>
      </c>
      <c r="M86" s="139"/>
      <c r="N86" s="140"/>
      <c r="O86" s="139"/>
      <c r="P86" s="140"/>
      <c r="Q86" s="139"/>
      <c r="R86" s="141" t="s">
        <v>354</v>
      </c>
      <c r="S86" s="139"/>
      <c r="T86" s="138"/>
      <c r="U86" s="162"/>
      <c r="V86" s="167"/>
    </row>
    <row r="87" spans="1:22" ht="15.5" thickTop="1" thickBot="1">
      <c r="A87" s="187"/>
      <c r="B87" s="141"/>
      <c r="C87" s="133"/>
      <c r="D87" s="141"/>
      <c r="F87" s="141" t="s">
        <v>376</v>
      </c>
      <c r="G87" s="139"/>
      <c r="H87" s="141"/>
      <c r="I87" s="133"/>
      <c r="J87" s="141"/>
      <c r="K87" s="139"/>
      <c r="L87" s="141"/>
      <c r="M87" s="139"/>
      <c r="N87" s="141"/>
      <c r="O87" s="139"/>
      <c r="P87" s="141"/>
      <c r="Q87" s="139"/>
      <c r="R87" s="141"/>
      <c r="S87" s="139"/>
      <c r="T87" s="141"/>
      <c r="U87" s="162"/>
      <c r="V87" s="167"/>
    </row>
    <row r="88" spans="1:22" ht="15" thickTop="1">
      <c r="A88" s="187"/>
      <c r="B88" s="384" t="s">
        <v>383</v>
      </c>
      <c r="C88" s="133"/>
      <c r="D88" s="144" t="s">
        <v>384</v>
      </c>
      <c r="F88" s="384" t="s">
        <v>253</v>
      </c>
      <c r="G88" s="133"/>
      <c r="H88" s="384" t="s">
        <v>385</v>
      </c>
      <c r="I88" s="133"/>
      <c r="J88" s="144" t="s">
        <v>386</v>
      </c>
      <c r="K88" s="133"/>
      <c r="L88" s="144" t="s">
        <v>257</v>
      </c>
      <c r="M88" s="133"/>
      <c r="N88" s="144" t="s">
        <v>387</v>
      </c>
      <c r="O88" s="133"/>
      <c r="P88" s="384" t="s">
        <v>267</v>
      </c>
      <c r="Q88" s="133"/>
      <c r="R88" s="384" t="s">
        <v>268</v>
      </c>
      <c r="S88" s="133"/>
      <c r="T88" s="384" t="s">
        <v>269</v>
      </c>
      <c r="U88" s="133"/>
      <c r="V88" s="167"/>
    </row>
    <row r="89" spans="1:22">
      <c r="A89" s="187"/>
      <c r="B89" s="145" t="s">
        <v>185</v>
      </c>
      <c r="C89" s="133"/>
      <c r="D89" s="144" t="s">
        <v>343</v>
      </c>
      <c r="F89" s="145" t="s">
        <v>248</v>
      </c>
      <c r="G89" s="133"/>
      <c r="H89" s="145" t="s">
        <v>182</v>
      </c>
      <c r="I89" s="133"/>
      <c r="J89" s="144" t="s">
        <v>388</v>
      </c>
      <c r="K89" s="133"/>
      <c r="L89" s="144" t="s">
        <v>248</v>
      </c>
      <c r="M89" s="133"/>
      <c r="N89" s="144" t="s">
        <v>330</v>
      </c>
      <c r="O89" s="133"/>
      <c r="P89" s="145" t="s">
        <v>182</v>
      </c>
      <c r="Q89" s="133"/>
      <c r="R89" s="145" t="s">
        <v>185</v>
      </c>
      <c r="S89" s="133"/>
      <c r="T89" s="145" t="s">
        <v>182</v>
      </c>
      <c r="U89" s="133"/>
      <c r="V89" s="167"/>
    </row>
    <row r="90" spans="1:22">
      <c r="A90" s="187"/>
      <c r="F90" s="282" t="s">
        <v>382</v>
      </c>
      <c r="G90" s="133"/>
      <c r="H90" s="144" t="s">
        <v>389</v>
      </c>
      <c r="I90" s="133"/>
      <c r="J90" s="144"/>
      <c r="K90" s="133"/>
      <c r="L90" s="144" t="s">
        <v>366</v>
      </c>
      <c r="M90" s="133"/>
      <c r="N90" s="144"/>
      <c r="O90" s="133"/>
      <c r="P90" s="144" t="s">
        <v>331</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228</v>
      </c>
      <c r="C94" s="162"/>
      <c r="D94" s="140"/>
      <c r="F94" s="140"/>
      <c r="G94" s="139"/>
      <c r="H94" s="140"/>
      <c r="I94" s="133"/>
      <c r="J94" s="140"/>
      <c r="K94" s="139"/>
      <c r="L94" s="141"/>
      <c r="M94" s="139"/>
      <c r="N94" s="141" t="s">
        <v>354</v>
      </c>
      <c r="O94" s="139"/>
      <c r="P94" s="140"/>
      <c r="Q94" s="139"/>
      <c r="R94" s="140"/>
      <c r="S94" s="139"/>
      <c r="T94" s="141" t="s">
        <v>354</v>
      </c>
      <c r="V94" s="280"/>
    </row>
    <row r="95" spans="1:22" ht="15.5" thickTop="1" thickBot="1">
      <c r="A95" s="189"/>
      <c r="B95" s="141" t="s">
        <v>390</v>
      </c>
      <c r="C95" s="162"/>
      <c r="D95" s="141"/>
      <c r="F95" s="141"/>
      <c r="G95" s="139"/>
      <c r="H95" s="141"/>
      <c r="I95" s="133"/>
      <c r="J95" s="141"/>
      <c r="K95" s="139"/>
      <c r="L95" s="141"/>
      <c r="M95" s="139"/>
      <c r="N95" s="141"/>
      <c r="O95" s="139"/>
      <c r="P95" s="141"/>
      <c r="Q95" s="139"/>
      <c r="R95" s="141"/>
      <c r="S95" s="139"/>
      <c r="T95" s="141"/>
      <c r="V95" s="280"/>
    </row>
    <row r="96" spans="1:22" ht="15" thickTop="1">
      <c r="A96" s="132"/>
      <c r="B96" s="384" t="s">
        <v>227</v>
      </c>
      <c r="C96" s="133"/>
      <c r="D96" s="384" t="s">
        <v>271</v>
      </c>
      <c r="F96" s="144" t="s">
        <v>391</v>
      </c>
      <c r="G96" s="133"/>
      <c r="H96" s="384" t="s">
        <v>392</v>
      </c>
      <c r="I96" s="133"/>
      <c r="J96" s="384" t="s">
        <v>393</v>
      </c>
      <c r="K96" s="133"/>
      <c r="L96" s="144" t="s">
        <v>394</v>
      </c>
      <c r="M96" s="133"/>
      <c r="N96" s="384" t="s">
        <v>225</v>
      </c>
      <c r="O96" s="133"/>
      <c r="P96" s="144" t="s">
        <v>395</v>
      </c>
      <c r="Q96" s="133"/>
      <c r="R96" s="144" t="s">
        <v>396</v>
      </c>
      <c r="S96" s="133"/>
      <c r="T96" s="384" t="s">
        <v>258</v>
      </c>
      <c r="V96" s="280"/>
    </row>
    <row r="97" spans="1:22">
      <c r="A97" s="132"/>
      <c r="B97" s="145" t="s">
        <v>182</v>
      </c>
      <c r="C97" s="133"/>
      <c r="D97" s="145" t="s">
        <v>242</v>
      </c>
      <c r="F97" s="144" t="s">
        <v>388</v>
      </c>
      <c r="G97" s="133"/>
      <c r="H97" s="145" t="s">
        <v>182</v>
      </c>
      <c r="I97" s="133"/>
      <c r="J97" s="145" t="s">
        <v>185</v>
      </c>
      <c r="K97" s="133"/>
      <c r="L97" s="144" t="s">
        <v>319</v>
      </c>
      <c r="M97" s="133"/>
      <c r="N97" s="145" t="s">
        <v>185</v>
      </c>
      <c r="O97" s="133"/>
      <c r="P97" s="144" t="s">
        <v>397</v>
      </c>
      <c r="Q97" s="133"/>
      <c r="R97" s="144" t="s">
        <v>319</v>
      </c>
      <c r="S97" s="133"/>
      <c r="T97" s="145" t="s">
        <v>182</v>
      </c>
      <c r="V97" s="280"/>
    </row>
    <row r="98" spans="1:22">
      <c r="A98" s="132"/>
      <c r="F98" s="145"/>
      <c r="G98" s="133"/>
      <c r="H98" s="144" t="s">
        <v>220</v>
      </c>
      <c r="I98" s="133"/>
      <c r="J98" s="144"/>
      <c r="K98" s="133"/>
      <c r="L98" s="145"/>
      <c r="M98" s="133"/>
      <c r="N98" s="145"/>
      <c r="O98" s="133"/>
      <c r="P98" s="144"/>
      <c r="Q98" s="133"/>
      <c r="R98" s="145"/>
      <c r="S98" s="133"/>
      <c r="T98" s="282" t="s">
        <v>375</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404"/>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405"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354</v>
      </c>
      <c r="F102" s="141" t="s">
        <v>354</v>
      </c>
      <c r="G102" s="139"/>
      <c r="H102" s="140"/>
      <c r="I102" s="139"/>
      <c r="J102" s="141" t="s">
        <v>354</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390</v>
      </c>
      <c r="M103" s="139"/>
      <c r="N103" s="141"/>
      <c r="O103" s="139"/>
      <c r="P103" s="141"/>
      <c r="Q103" s="139"/>
      <c r="R103" s="141"/>
      <c r="S103" s="139"/>
      <c r="T103" s="141"/>
      <c r="U103" s="133"/>
      <c r="V103" s="280"/>
    </row>
    <row r="104" spans="1:22" ht="15" thickTop="1">
      <c r="A104" s="132"/>
      <c r="B104" s="144" t="s">
        <v>398</v>
      </c>
      <c r="C104" s="133"/>
      <c r="D104" s="384" t="s">
        <v>262</v>
      </c>
      <c r="F104" s="384" t="s">
        <v>244</v>
      </c>
      <c r="G104" s="133"/>
      <c r="H104" s="144" t="s">
        <v>399</v>
      </c>
      <c r="I104" s="133"/>
      <c r="J104" s="384" t="s">
        <v>277</v>
      </c>
      <c r="K104" s="133"/>
      <c r="L104" s="384" t="s">
        <v>280</v>
      </c>
      <c r="M104" s="133"/>
      <c r="N104" s="144" t="s">
        <v>400</v>
      </c>
      <c r="O104" s="133"/>
      <c r="P104" s="144" t="s">
        <v>401</v>
      </c>
      <c r="Q104" s="133"/>
      <c r="R104" s="384" t="s">
        <v>402</v>
      </c>
      <c r="S104" s="133"/>
      <c r="T104" s="144" t="s">
        <v>403</v>
      </c>
      <c r="U104" s="133"/>
      <c r="V104" s="280"/>
    </row>
    <row r="105" spans="1:22">
      <c r="A105" s="132"/>
      <c r="B105" s="144" t="s">
        <v>343</v>
      </c>
      <c r="C105" s="133"/>
      <c r="D105" s="145" t="s">
        <v>242</v>
      </c>
      <c r="F105" s="145" t="s">
        <v>182</v>
      </c>
      <c r="G105" s="133"/>
      <c r="H105" s="144" t="s">
        <v>319</v>
      </c>
      <c r="I105" s="133"/>
      <c r="J105" s="145" t="s">
        <v>185</v>
      </c>
      <c r="K105" s="133"/>
      <c r="L105" s="145" t="s">
        <v>248</v>
      </c>
      <c r="M105" s="133"/>
      <c r="N105" s="144" t="s">
        <v>319</v>
      </c>
      <c r="O105" s="133"/>
      <c r="P105" s="144" t="s">
        <v>319</v>
      </c>
      <c r="Q105" s="133"/>
      <c r="R105" s="145" t="s">
        <v>248</v>
      </c>
      <c r="S105" s="133"/>
      <c r="T105" s="144" t="s">
        <v>319</v>
      </c>
      <c r="U105" s="133"/>
      <c r="V105" s="280"/>
    </row>
    <row r="106" spans="1:22">
      <c r="A106" s="132"/>
      <c r="B106" s="282" t="s">
        <v>375</v>
      </c>
      <c r="C106" s="133"/>
      <c r="D106" s="282" t="s">
        <v>375</v>
      </c>
      <c r="F106" s="282" t="s">
        <v>375</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84" t="s">
        <v>404</v>
      </c>
      <c r="C113" s="133"/>
      <c r="D113" s="144" t="s">
        <v>405</v>
      </c>
      <c r="F113" s="384" t="s">
        <v>406</v>
      </c>
      <c r="G113" s="133"/>
      <c r="H113" s="384" t="s">
        <v>290</v>
      </c>
      <c r="I113" s="133"/>
      <c r="J113" s="384" t="s">
        <v>407</v>
      </c>
      <c r="K113" s="133"/>
      <c r="L113" s="144" t="s">
        <v>408</v>
      </c>
      <c r="M113" s="133"/>
      <c r="N113" s="144" t="s">
        <v>409</v>
      </c>
      <c r="O113" s="133"/>
      <c r="P113" s="144" t="s">
        <v>410</v>
      </c>
      <c r="Q113" s="133"/>
      <c r="R113" s="144" t="s">
        <v>411</v>
      </c>
      <c r="S113" s="133"/>
      <c r="T113" s="144" t="s">
        <v>412</v>
      </c>
      <c r="U113" s="133"/>
      <c r="V113" s="280"/>
    </row>
    <row r="114" spans="1:22">
      <c r="A114" s="132"/>
      <c r="B114" s="145" t="s">
        <v>248</v>
      </c>
      <c r="C114" s="133"/>
      <c r="D114" s="144" t="s">
        <v>343</v>
      </c>
      <c r="F114" s="145" t="s">
        <v>182</v>
      </c>
      <c r="G114" s="133"/>
      <c r="H114" s="145" t="s">
        <v>182</v>
      </c>
      <c r="I114" s="133"/>
      <c r="J114" s="145" t="s">
        <v>182</v>
      </c>
      <c r="K114" s="133"/>
      <c r="L114" s="144" t="s">
        <v>319</v>
      </c>
      <c r="M114" s="133"/>
      <c r="N114" s="144" t="s">
        <v>319</v>
      </c>
      <c r="O114" s="133"/>
      <c r="P114" s="144" t="s">
        <v>413</v>
      </c>
      <c r="Q114" s="133"/>
      <c r="R114" s="144" t="s">
        <v>413</v>
      </c>
      <c r="S114" s="133"/>
      <c r="T114" s="144" t="s">
        <v>344</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408">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354</v>
      </c>
      <c r="G118" s="139"/>
      <c r="H118" s="140"/>
      <c r="I118" s="139"/>
      <c r="J118" s="141" t="s">
        <v>354</v>
      </c>
      <c r="K118" s="133"/>
      <c r="L118" s="141" t="s">
        <v>354</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84" t="s">
        <v>414</v>
      </c>
      <c r="C120" s="133"/>
      <c r="D120" s="144" t="s">
        <v>415</v>
      </c>
      <c r="F120" s="384" t="s">
        <v>217</v>
      </c>
      <c r="G120" s="133"/>
      <c r="H120" s="144" t="s">
        <v>416</v>
      </c>
      <c r="I120" s="133"/>
      <c r="J120" s="384" t="s">
        <v>294</v>
      </c>
      <c r="K120" s="133"/>
      <c r="L120" s="384" t="s">
        <v>276</v>
      </c>
      <c r="N120" s="144" t="s">
        <v>417</v>
      </c>
      <c r="O120" s="133"/>
      <c r="P120" s="384" t="s">
        <v>418</v>
      </c>
      <c r="Q120" s="133"/>
      <c r="R120" s="144" t="s">
        <v>419</v>
      </c>
      <c r="S120" s="133"/>
      <c r="T120" s="145" t="s">
        <v>420</v>
      </c>
      <c r="U120" s="133"/>
      <c r="V120" s="409" t="s">
        <v>421</v>
      </c>
    </row>
    <row r="121" spans="1:22">
      <c r="A121" s="132"/>
      <c r="B121" s="145" t="s">
        <v>248</v>
      </c>
      <c r="C121" s="133"/>
      <c r="D121" s="144" t="s">
        <v>119</v>
      </c>
      <c r="F121" s="145" t="s">
        <v>182</v>
      </c>
      <c r="G121" s="133"/>
      <c r="H121" s="144" t="s">
        <v>319</v>
      </c>
      <c r="I121" s="133"/>
      <c r="J121" s="145" t="s">
        <v>182</v>
      </c>
      <c r="K121" s="133"/>
      <c r="L121" s="145" t="s">
        <v>182</v>
      </c>
      <c r="N121" s="144" t="s">
        <v>319</v>
      </c>
      <c r="O121" s="133"/>
      <c r="P121" s="145" t="s">
        <v>185</v>
      </c>
      <c r="Q121" s="133"/>
      <c r="R121" s="144" t="s">
        <v>319</v>
      </c>
      <c r="S121" s="133"/>
      <c r="T121" s="145" t="s">
        <v>182</v>
      </c>
      <c r="U121" s="133"/>
      <c r="V121" s="180" t="s">
        <v>319</v>
      </c>
    </row>
    <row r="122" spans="1:22">
      <c r="A122" s="132"/>
      <c r="B122" s="144"/>
      <c r="C122" s="133"/>
      <c r="D122" s="145"/>
      <c r="E122" s="133"/>
      <c r="F122" s="145"/>
      <c r="G122" s="133"/>
      <c r="H122" s="144"/>
      <c r="I122" s="133"/>
      <c r="J122" s="193"/>
      <c r="K122" s="193"/>
      <c r="L122" s="193"/>
      <c r="M122" s="193"/>
      <c r="O122" s="193"/>
      <c r="P122" s="144" t="s">
        <v>220</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354</v>
      </c>
      <c r="N126" s="140"/>
      <c r="P126" s="140"/>
      <c r="Q126" s="133"/>
      <c r="R126" s="140"/>
      <c r="T126" s="140"/>
      <c r="U126" s="133"/>
      <c r="V126" s="197"/>
    </row>
    <row r="127" spans="1:22" ht="15.5" thickTop="1" thickBot="1">
      <c r="A127" s="132"/>
      <c r="B127" s="141" t="s">
        <v>390</v>
      </c>
      <c r="C127" s="133"/>
      <c r="D127" s="141"/>
      <c r="F127" s="141"/>
      <c r="H127" s="141"/>
      <c r="J127" s="141"/>
      <c r="L127" s="141"/>
      <c r="N127" s="141"/>
      <c r="P127" s="141"/>
      <c r="Q127" s="133"/>
      <c r="R127" s="141"/>
      <c r="T127" s="141"/>
      <c r="U127" s="133"/>
      <c r="V127" s="198"/>
    </row>
    <row r="128" spans="1:22" ht="15" thickTop="1">
      <c r="A128" s="132"/>
      <c r="B128" s="384" t="s">
        <v>289</v>
      </c>
      <c r="C128" s="191"/>
      <c r="D128" s="384" t="s">
        <v>422</v>
      </c>
      <c r="F128" s="384" t="s">
        <v>423</v>
      </c>
      <c r="H128" s="384" t="s">
        <v>424</v>
      </c>
      <c r="J128" s="384" t="s">
        <v>425</v>
      </c>
      <c r="L128" s="384" t="s">
        <v>279</v>
      </c>
      <c r="N128" s="384" t="s">
        <v>426</v>
      </c>
      <c r="P128" s="384" t="s">
        <v>427</v>
      </c>
      <c r="Q128" s="133"/>
      <c r="R128" s="384" t="s">
        <v>428</v>
      </c>
      <c r="T128" s="384" t="s">
        <v>291</v>
      </c>
      <c r="U128" s="133"/>
      <c r="V128" s="409" t="s">
        <v>429</v>
      </c>
    </row>
    <row r="129" spans="1:22">
      <c r="A129" s="132"/>
      <c r="B129" s="145" t="s">
        <v>182</v>
      </c>
      <c r="C129" s="133"/>
      <c r="D129" s="145" t="s">
        <v>343</v>
      </c>
      <c r="F129" s="145" t="s">
        <v>182</v>
      </c>
      <c r="H129" s="145" t="s">
        <v>430</v>
      </c>
      <c r="J129" s="145" t="s">
        <v>115</v>
      </c>
      <c r="L129" s="145" t="s">
        <v>242</v>
      </c>
      <c r="N129" s="145" t="s">
        <v>182</v>
      </c>
      <c r="P129" s="145" t="s">
        <v>182</v>
      </c>
      <c r="Q129" s="133"/>
      <c r="R129" s="145" t="s">
        <v>242</v>
      </c>
      <c r="T129" s="145" t="s">
        <v>185</v>
      </c>
      <c r="U129" s="133"/>
      <c r="V129" s="180" t="s">
        <v>185</v>
      </c>
    </row>
    <row r="130" spans="1:22">
      <c r="A130" s="132"/>
      <c r="B130" s="145"/>
      <c r="C130" s="133"/>
      <c r="D130" s="145"/>
      <c r="F130" s="410" t="s">
        <v>220</v>
      </c>
      <c r="H130" s="145"/>
      <c r="J130" s="145"/>
      <c r="L130" s="145"/>
      <c r="N130" s="145"/>
      <c r="P130" s="410" t="s">
        <v>220</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84" t="s">
        <v>431</v>
      </c>
      <c r="C137" s="191"/>
      <c r="D137" s="384" t="s">
        <v>432</v>
      </c>
      <c r="F137" s="384" t="s">
        <v>433</v>
      </c>
      <c r="H137" s="384" t="s">
        <v>434</v>
      </c>
      <c r="J137" s="411" t="s">
        <v>435</v>
      </c>
      <c r="L137" s="384" t="s">
        <v>436</v>
      </c>
      <c r="N137" s="384" t="s">
        <v>437</v>
      </c>
      <c r="P137" s="384" t="s">
        <v>438</v>
      </c>
      <c r="Q137" s="133"/>
      <c r="R137" s="384" t="s">
        <v>439</v>
      </c>
      <c r="T137" s="384" t="s">
        <v>440</v>
      </c>
      <c r="U137" s="133"/>
      <c r="V137" s="409" t="s">
        <v>441</v>
      </c>
    </row>
    <row r="138" spans="1:22">
      <c r="A138" s="132"/>
      <c r="B138" s="145" t="s">
        <v>344</v>
      </c>
      <c r="C138" s="133"/>
      <c r="D138" s="145" t="s">
        <v>182</v>
      </c>
      <c r="F138" s="145" t="s">
        <v>182</v>
      </c>
      <c r="H138" s="145" t="s">
        <v>319</v>
      </c>
      <c r="J138" s="145" t="s">
        <v>242</v>
      </c>
      <c r="L138" s="145" t="s">
        <v>442</v>
      </c>
      <c r="N138" s="145" t="s">
        <v>143</v>
      </c>
      <c r="P138" s="145" t="s">
        <v>182</v>
      </c>
      <c r="Q138" s="133"/>
      <c r="R138" s="145" t="s">
        <v>182</v>
      </c>
      <c r="T138" s="145" t="s">
        <v>115</v>
      </c>
      <c r="U138" s="133"/>
      <c r="V138" s="180" t="s">
        <v>242</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84" t="s">
        <v>443</v>
      </c>
      <c r="C146" s="191"/>
      <c r="D146" s="384" t="s">
        <v>444</v>
      </c>
      <c r="F146" s="384" t="s">
        <v>445</v>
      </c>
      <c r="H146" s="384" t="s">
        <v>446</v>
      </c>
      <c r="J146" s="384" t="s">
        <v>447</v>
      </c>
      <c r="L146" s="384" t="s">
        <v>448</v>
      </c>
      <c r="N146" s="411" t="s">
        <v>449</v>
      </c>
      <c r="P146" s="384" t="s">
        <v>450</v>
      </c>
      <c r="Q146" s="133"/>
      <c r="R146" s="384" t="s">
        <v>451</v>
      </c>
      <c r="T146" s="411" t="s">
        <v>452</v>
      </c>
      <c r="U146" s="133"/>
      <c r="V146" s="409" t="s">
        <v>453</v>
      </c>
    </row>
    <row r="147" spans="1:22">
      <c r="A147" s="132"/>
      <c r="B147" s="145" t="s">
        <v>132</v>
      </c>
      <c r="C147" s="133"/>
      <c r="D147" s="145" t="s">
        <v>123</v>
      </c>
      <c r="F147" s="145" t="s">
        <v>132</v>
      </c>
      <c r="H147" s="145" t="s">
        <v>182</v>
      </c>
      <c r="J147" s="145" t="s">
        <v>182</v>
      </c>
      <c r="L147" s="145" t="s">
        <v>125</v>
      </c>
      <c r="N147" s="145" t="s">
        <v>185</v>
      </c>
      <c r="P147" s="145" t="s">
        <v>128</v>
      </c>
      <c r="Q147" s="133"/>
      <c r="R147" s="145" t="s">
        <v>143</v>
      </c>
      <c r="T147" s="145" t="s">
        <v>248</v>
      </c>
      <c r="U147" s="133"/>
      <c r="V147" s="180" t="s">
        <v>115</v>
      </c>
    </row>
    <row r="148" spans="1:22">
      <c r="A148" s="132"/>
      <c r="B148" s="145"/>
      <c r="C148" s="133"/>
      <c r="D148" s="410" t="s">
        <v>220</v>
      </c>
      <c r="F148" s="410" t="s">
        <v>220</v>
      </c>
      <c r="H148" s="145"/>
      <c r="J148" s="145"/>
      <c r="L148" s="145"/>
      <c r="N148" s="145"/>
      <c r="P148" s="145"/>
      <c r="Q148" s="133"/>
      <c r="R148" s="145"/>
      <c r="T148" s="145"/>
      <c r="U148" s="133"/>
      <c r="V148" s="412" t="s">
        <v>454</v>
      </c>
    </row>
    <row r="149" spans="1:22">
      <c r="A149" s="132"/>
      <c r="B149" s="145"/>
      <c r="C149" s="133"/>
      <c r="D149" s="410"/>
      <c r="F149" s="410"/>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84" t="s">
        <v>455</v>
      </c>
      <c r="C155" s="191"/>
      <c r="D155" s="384" t="s">
        <v>456</v>
      </c>
      <c r="F155" s="384" t="s">
        <v>457</v>
      </c>
      <c r="H155" s="384" t="s">
        <v>458</v>
      </c>
      <c r="J155" s="384" t="s">
        <v>459</v>
      </c>
      <c r="L155" s="384" t="s">
        <v>460</v>
      </c>
      <c r="N155" s="384" t="s">
        <v>461</v>
      </c>
      <c r="P155" s="384" t="s">
        <v>462</v>
      </c>
      <c r="Q155" s="133"/>
      <c r="R155" s="411" t="s">
        <v>463</v>
      </c>
      <c r="T155" s="384" t="s">
        <v>464</v>
      </c>
      <c r="U155" s="133"/>
      <c r="V155" s="413" t="s">
        <v>465</v>
      </c>
    </row>
    <row r="156" spans="1:22">
      <c r="A156" s="132"/>
      <c r="B156" s="145" t="s">
        <v>137</v>
      </c>
      <c r="C156" s="133"/>
      <c r="D156" s="145" t="s">
        <v>167</v>
      </c>
      <c r="F156" s="145" t="s">
        <v>115</v>
      </c>
      <c r="H156" s="145" t="s">
        <v>132</v>
      </c>
      <c r="J156" s="145" t="s">
        <v>123</v>
      </c>
      <c r="L156" s="145" t="s">
        <v>125</v>
      </c>
      <c r="N156" s="145" t="s">
        <v>115</v>
      </c>
      <c r="P156" s="145" t="s">
        <v>115</v>
      </c>
      <c r="Q156" s="133"/>
      <c r="R156" s="145" t="s">
        <v>248</v>
      </c>
      <c r="T156" s="145" t="s">
        <v>115</v>
      </c>
      <c r="U156" s="133"/>
      <c r="V156" s="180" t="s">
        <v>132</v>
      </c>
    </row>
    <row r="157" spans="1:22">
      <c r="A157" s="132"/>
      <c r="B157" s="145"/>
      <c r="C157" s="133"/>
      <c r="D157" s="410"/>
      <c r="F157" s="410"/>
      <c r="H157" s="410" t="s">
        <v>466</v>
      </c>
      <c r="J157" s="410" t="s">
        <v>466</v>
      </c>
      <c r="L157" s="145"/>
      <c r="N157" s="145"/>
      <c r="P157" s="145"/>
      <c r="Q157" s="133"/>
      <c r="R157" s="145"/>
      <c r="T157" s="410" t="s">
        <v>454</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84" t="s">
        <v>467</v>
      </c>
      <c r="C163" s="191"/>
      <c r="D163" s="411" t="s">
        <v>468</v>
      </c>
      <c r="F163" s="384" t="s">
        <v>469</v>
      </c>
      <c r="H163" s="411" t="s">
        <v>470</v>
      </c>
      <c r="J163" s="411" t="s">
        <v>471</v>
      </c>
      <c r="L163" s="384" t="s">
        <v>472</v>
      </c>
      <c r="N163" s="384" t="s">
        <v>473</v>
      </c>
      <c r="P163" s="384" t="s">
        <v>474</v>
      </c>
      <c r="Q163" s="133"/>
      <c r="R163" s="384" t="s">
        <v>475</v>
      </c>
      <c r="T163" s="384" t="s">
        <v>476</v>
      </c>
      <c r="U163" s="133"/>
      <c r="V163" s="413" t="s">
        <v>477</v>
      </c>
    </row>
    <row r="164" spans="1:22">
      <c r="A164" s="132"/>
      <c r="B164" s="145" t="s">
        <v>125</v>
      </c>
      <c r="C164" s="133"/>
      <c r="D164" s="145" t="s">
        <v>182</v>
      </c>
      <c r="F164" s="145" t="s">
        <v>125</v>
      </c>
      <c r="H164" s="145" t="s">
        <v>185</v>
      </c>
      <c r="J164" s="145" t="s">
        <v>132</v>
      </c>
      <c r="L164" s="145" t="s">
        <v>137</v>
      </c>
      <c r="N164" s="145" t="s">
        <v>143</v>
      </c>
      <c r="P164" s="145" t="s">
        <v>185</v>
      </c>
      <c r="Q164" s="133"/>
      <c r="R164" s="145" t="s">
        <v>185</v>
      </c>
      <c r="T164" s="145" t="s">
        <v>115</v>
      </c>
      <c r="U164" s="133"/>
      <c r="V164" s="180" t="s">
        <v>242</v>
      </c>
    </row>
    <row r="165" spans="1:22">
      <c r="A165" s="132"/>
      <c r="B165" s="145"/>
      <c r="C165" s="133"/>
      <c r="D165" s="410" t="s">
        <v>366</v>
      </c>
      <c r="F165" s="410" t="s">
        <v>220</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84" t="s">
        <v>478</v>
      </c>
      <c r="C171" s="191"/>
      <c r="D171" s="384" t="s">
        <v>863</v>
      </c>
      <c r="F171" s="411" t="s">
        <v>734</v>
      </c>
      <c r="H171" s="411" t="s">
        <v>735</v>
      </c>
      <c r="J171" s="411" t="s">
        <v>864</v>
      </c>
      <c r="L171" s="411" t="s">
        <v>865</v>
      </c>
      <c r="N171" s="411" t="s">
        <v>866</v>
      </c>
      <c r="P171" s="411" t="s">
        <v>739</v>
      </c>
      <c r="Q171" s="133"/>
      <c r="R171" s="411" t="s">
        <v>740</v>
      </c>
      <c r="T171" s="411" t="s">
        <v>741</v>
      </c>
      <c r="U171" s="133"/>
      <c r="V171" s="413" t="s">
        <v>177</v>
      </c>
    </row>
    <row r="172" spans="1:22">
      <c r="A172" s="132"/>
      <c r="B172" s="145" t="s">
        <v>125</v>
      </c>
      <c r="C172" s="133"/>
      <c r="D172" s="145" t="s">
        <v>128</v>
      </c>
      <c r="F172" s="145" t="s">
        <v>185</v>
      </c>
      <c r="H172" s="145" t="s">
        <v>185</v>
      </c>
      <c r="J172" s="145" t="s">
        <v>115</v>
      </c>
      <c r="L172" s="145" t="s">
        <v>137</v>
      </c>
      <c r="N172" s="145" t="s">
        <v>137</v>
      </c>
      <c r="P172" s="145" t="s">
        <v>182</v>
      </c>
      <c r="Q172" s="133"/>
      <c r="R172" s="145" t="s">
        <v>182</v>
      </c>
      <c r="T172" s="145" t="s">
        <v>182</v>
      </c>
      <c r="U172" s="133"/>
      <c r="V172" s="180" t="s">
        <v>115</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411" t="s">
        <v>743</v>
      </c>
      <c r="C178" s="133"/>
      <c r="D178" s="411" t="s">
        <v>744</v>
      </c>
      <c r="F178" s="411" t="s">
        <v>745</v>
      </c>
      <c r="H178" s="411" t="s">
        <v>867</v>
      </c>
      <c r="J178" s="411" t="s">
        <v>747</v>
      </c>
      <c r="L178" s="411" t="s">
        <v>868</v>
      </c>
      <c r="N178" s="411" t="s">
        <v>749</v>
      </c>
      <c r="P178" s="411" t="s">
        <v>869</v>
      </c>
      <c r="Q178" s="133"/>
      <c r="R178" s="411" t="s">
        <v>751</v>
      </c>
      <c r="T178" s="411" t="s">
        <v>752</v>
      </c>
      <c r="U178" s="133"/>
      <c r="V178" s="411" t="s">
        <v>870</v>
      </c>
    </row>
    <row r="179" spans="1:22">
      <c r="A179" s="132"/>
      <c r="B179" s="145" t="s">
        <v>242</v>
      </c>
      <c r="C179" s="133"/>
      <c r="D179" s="145" t="s">
        <v>185</v>
      </c>
      <c r="F179" s="145" t="s">
        <v>242</v>
      </c>
      <c r="H179" s="145" t="s">
        <v>192</v>
      </c>
      <c r="J179" s="145" t="s">
        <v>248</v>
      </c>
      <c r="L179" s="145" t="s">
        <v>137</v>
      </c>
      <c r="N179" s="145" t="s">
        <v>242</v>
      </c>
      <c r="P179" s="145" t="s">
        <v>115</v>
      </c>
      <c r="Q179" s="133"/>
      <c r="R179" s="145" t="s">
        <v>185</v>
      </c>
      <c r="T179" s="145" t="s">
        <v>248</v>
      </c>
      <c r="U179" s="133"/>
      <c r="V179" s="145" t="s">
        <v>128</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411" t="s">
        <v>754</v>
      </c>
      <c r="D185" s="411" t="s">
        <v>178</v>
      </c>
      <c r="J185" s="145"/>
      <c r="L185" s="145"/>
      <c r="N185" s="145"/>
      <c r="P185" s="145"/>
      <c r="Q185" s="133"/>
      <c r="R185" s="145"/>
      <c r="T185" s="145"/>
      <c r="U185" s="133"/>
      <c r="V185" s="180"/>
    </row>
    <row r="186" spans="1:22">
      <c r="A186" s="132"/>
      <c r="B186" s="145" t="s">
        <v>182</v>
      </c>
      <c r="D186" s="145" t="s">
        <v>125</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403" t="s">
        <v>182</v>
      </c>
    </row>
    <row r="206" spans="1:22" hidden="1"/>
    <row r="207" spans="1:22" hidden="1">
      <c r="B207" s="417">
        <v>50</v>
      </c>
      <c r="C207" s="417">
        <v>28</v>
      </c>
      <c r="D207" s="417">
        <v>21</v>
      </c>
      <c r="E207" s="417">
        <v>20</v>
      </c>
      <c r="F207" s="417">
        <v>119</v>
      </c>
      <c r="G207" s="348">
        <v>3</v>
      </c>
      <c r="H207" s="348">
        <v>2</v>
      </c>
      <c r="I207" s="348">
        <v>1</v>
      </c>
      <c r="J207" s="349">
        <v>7</v>
      </c>
      <c r="K207">
        <v>13</v>
      </c>
      <c r="L207" s="418">
        <v>12</v>
      </c>
      <c r="M207" s="418">
        <v>6</v>
      </c>
      <c r="N207" s="418">
        <v>4</v>
      </c>
      <c r="O207" s="418">
        <v>2</v>
      </c>
      <c r="P207">
        <v>24</v>
      </c>
      <c r="Q207" s="419">
        <v>9</v>
      </c>
      <c r="R207" s="419">
        <v>5</v>
      </c>
      <c r="S207" s="419">
        <v>1</v>
      </c>
      <c r="T207" s="419">
        <v>0</v>
      </c>
      <c r="U207" s="419">
        <v>15</v>
      </c>
    </row>
    <row r="208" spans="1:22" hidden="1"/>
    <row r="209" spans="2:9" hidden="1"/>
    <row r="210" spans="2:9">
      <c r="B210" s="403" t="s">
        <v>1091</v>
      </c>
    </row>
    <row r="211" spans="2:9">
      <c r="B211" s="415" t="s">
        <v>1092</v>
      </c>
      <c r="C211" s="415" t="s">
        <v>1093</v>
      </c>
      <c r="D211" s="415" t="s">
        <v>1092</v>
      </c>
      <c r="E211" s="415" t="s">
        <v>1093</v>
      </c>
      <c r="F211" s="415" t="s">
        <v>1092</v>
      </c>
      <c r="G211" s="416" t="s">
        <v>1093</v>
      </c>
      <c r="H211" s="415" t="s">
        <v>1092</v>
      </c>
      <c r="I211" s="415" t="s">
        <v>1093</v>
      </c>
    </row>
    <row r="212" spans="2:9">
      <c r="B212" s="414" t="s">
        <v>182</v>
      </c>
      <c r="C212" s="310">
        <v>50</v>
      </c>
      <c r="D212" s="414" t="s">
        <v>119</v>
      </c>
      <c r="E212" s="310">
        <v>3</v>
      </c>
      <c r="F212" s="414" t="s">
        <v>115</v>
      </c>
      <c r="G212" s="310">
        <v>12</v>
      </c>
      <c r="H212" s="414" t="s">
        <v>125</v>
      </c>
      <c r="I212" s="310">
        <v>9</v>
      </c>
    </row>
    <row r="213" spans="2:9">
      <c r="B213" s="414" t="s">
        <v>185</v>
      </c>
      <c r="C213" s="310">
        <v>28</v>
      </c>
      <c r="D213" s="414" t="s">
        <v>188</v>
      </c>
      <c r="E213" s="310">
        <v>2</v>
      </c>
      <c r="F213" s="414" t="s">
        <v>137</v>
      </c>
      <c r="G213" s="310">
        <v>6</v>
      </c>
      <c r="H213" s="414" t="s">
        <v>143</v>
      </c>
      <c r="I213" s="310">
        <v>5</v>
      </c>
    </row>
    <row r="214" spans="2:9">
      <c r="B214" s="414" t="s">
        <v>242</v>
      </c>
      <c r="C214" s="310">
        <v>21</v>
      </c>
      <c r="D214" s="414" t="s">
        <v>167</v>
      </c>
      <c r="E214" s="310">
        <v>1</v>
      </c>
      <c r="F214" s="414" t="s">
        <v>128</v>
      </c>
      <c r="G214" s="310">
        <v>4</v>
      </c>
      <c r="H214" s="414" t="s">
        <v>192</v>
      </c>
      <c r="I214" s="310">
        <v>1</v>
      </c>
    </row>
    <row r="215" spans="2:9">
      <c r="B215" s="414" t="s">
        <v>248</v>
      </c>
      <c r="C215" s="310">
        <v>20</v>
      </c>
      <c r="D215" s="414" t="s">
        <v>132</v>
      </c>
      <c r="E215" s="310">
        <v>7</v>
      </c>
      <c r="F215" s="414" t="s">
        <v>123</v>
      </c>
      <c r="G215" s="310">
        <v>2</v>
      </c>
      <c r="H215" s="414" t="s">
        <v>147</v>
      </c>
      <c r="I215" s="310">
        <v>0</v>
      </c>
    </row>
    <row r="216" spans="2:9">
      <c r="B216" s="310"/>
      <c r="C216" s="310">
        <f>SUM(C212:C215)</f>
        <v>119</v>
      </c>
      <c r="D216" s="310"/>
      <c r="E216" s="310">
        <f>SUM(E212:E215)</f>
        <v>13</v>
      </c>
      <c r="F216" s="310"/>
      <c r="G216" s="310">
        <f>SUM(G212:G215)</f>
        <v>24</v>
      </c>
      <c r="H216" s="414" t="s">
        <v>117</v>
      </c>
      <c r="I216" s="310"/>
    </row>
    <row r="217" spans="2:9">
      <c r="B217" s="403"/>
      <c r="H217" s="414" t="s">
        <v>113</v>
      </c>
      <c r="I217" s="310"/>
    </row>
    <row r="218" spans="2:9">
      <c r="B218" s="403"/>
      <c r="H218" s="414" t="s">
        <v>201</v>
      </c>
      <c r="I218" s="310"/>
    </row>
    <row r="219" spans="2:9">
      <c r="B219" s="403"/>
      <c r="H219" s="403"/>
      <c r="I219">
        <f>SUM(I212:I218)</f>
        <v>15</v>
      </c>
    </row>
    <row r="220" spans="2:9">
      <c r="B220" s="426"/>
      <c r="C220" s="403"/>
      <c r="D220" s="403"/>
    </row>
    <row r="221" spans="2:9">
      <c r="B221" s="403"/>
      <c r="C221" s="403"/>
    </row>
    <row r="222" spans="2:9">
      <c r="B222" s="403"/>
      <c r="C222" s="1677"/>
    </row>
    <row r="223" spans="2:9">
      <c r="B223" s="403"/>
      <c r="C223" s="1677"/>
    </row>
    <row r="224" spans="2:9">
      <c r="B224" s="403"/>
      <c r="C224" s="1677"/>
    </row>
    <row r="226" spans="2:2">
      <c r="B226" s="403"/>
    </row>
    <row r="227" spans="2:2">
      <c r="B227" s="403"/>
    </row>
    <row r="228" spans="2:2">
      <c r="B228" s="403"/>
    </row>
    <row r="229" spans="2:2">
      <c r="B229" s="403"/>
    </row>
    <row r="231" spans="2:2">
      <c r="B231" s="403"/>
    </row>
    <row r="232" spans="2:2">
      <c r="B232" s="403"/>
    </row>
    <row r="233" spans="2:2">
      <c r="B233" s="403"/>
    </row>
    <row r="234" spans="2:2">
      <c r="B234" s="403"/>
    </row>
    <row r="236" spans="2:2">
      <c r="B236" s="403"/>
    </row>
    <row r="237" spans="2:2">
      <c r="B237" s="403"/>
    </row>
    <row r="238" spans="2:2">
      <c r="B238" s="403"/>
    </row>
    <row r="239" spans="2:2">
      <c r="B239" s="403"/>
    </row>
    <row r="240" spans="2:2">
      <c r="B240" s="403"/>
    </row>
    <row r="241" spans="2:2">
      <c r="B241" s="403"/>
    </row>
    <row r="242" spans="2:2">
      <c r="B242" s="403"/>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44"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526" t="s">
        <v>78</v>
      </c>
      <c r="B1" s="1527"/>
      <c r="C1" s="1527"/>
      <c r="D1" s="1527"/>
      <c r="E1" s="1527"/>
      <c r="F1" s="1527"/>
      <c r="G1" s="1527"/>
      <c r="H1" s="1527"/>
      <c r="I1" s="1527"/>
      <c r="J1" s="1527"/>
      <c r="K1" s="1527"/>
      <c r="L1" s="1527"/>
      <c r="M1" s="1527"/>
      <c r="N1" s="1527"/>
      <c r="O1" s="1527"/>
      <c r="P1" s="1527"/>
      <c r="Q1" s="1527"/>
      <c r="R1" s="1527"/>
      <c r="S1" s="1527"/>
      <c r="T1" s="1527"/>
      <c r="U1" s="1527"/>
      <c r="V1" s="1527"/>
      <c r="W1" s="1527"/>
      <c r="X1" s="1527"/>
      <c r="Y1" s="1527"/>
      <c r="Z1" s="1527"/>
      <c r="AA1" s="1527"/>
      <c r="AB1" s="1527"/>
      <c r="AC1" s="1528"/>
    </row>
    <row r="2" spans="1:29" ht="15.5">
      <c r="A2" s="1529" t="s">
        <v>79</v>
      </c>
      <c r="B2" s="1417"/>
      <c r="C2" s="1417"/>
      <c r="D2" s="1417"/>
      <c r="E2" s="1417"/>
      <c r="F2" s="1417"/>
      <c r="G2" s="1417"/>
      <c r="H2" s="1417"/>
      <c r="I2" s="1417"/>
      <c r="J2" s="1417"/>
      <c r="K2" s="1417"/>
      <c r="L2" s="1417"/>
      <c r="M2" s="1417"/>
      <c r="N2" s="1417"/>
      <c r="O2" s="1417"/>
      <c r="P2" s="1417"/>
      <c r="Q2" s="1417"/>
      <c r="R2" s="1417"/>
      <c r="S2" s="1417"/>
      <c r="T2" s="1417"/>
      <c r="U2" s="1417"/>
      <c r="V2" s="1417"/>
      <c r="W2" s="1417"/>
      <c r="X2" s="1417"/>
      <c r="Y2" s="1417"/>
      <c r="Z2" s="1417"/>
      <c r="AA2" s="1417"/>
      <c r="AB2" s="1417"/>
      <c r="AC2" s="1530"/>
    </row>
    <row r="3" spans="1:29" ht="15.5">
      <c r="A3" s="1529" t="s">
        <v>80</v>
      </c>
      <c r="B3" s="1417"/>
      <c r="C3" s="1417"/>
      <c r="D3" s="1417"/>
      <c r="E3" s="1417"/>
      <c r="F3" s="1417"/>
      <c r="G3" s="1417"/>
      <c r="H3" s="1417"/>
      <c r="I3" s="1417"/>
      <c r="J3" s="1417"/>
      <c r="K3" s="1417"/>
      <c r="L3" s="1417"/>
      <c r="M3" s="1417"/>
      <c r="N3" s="1417"/>
      <c r="O3" s="1417"/>
      <c r="P3" s="1417"/>
      <c r="Q3" s="1417"/>
      <c r="R3" s="1417"/>
      <c r="S3" s="1417"/>
      <c r="T3" s="1417"/>
      <c r="U3" s="1417"/>
      <c r="V3" s="1417"/>
      <c r="W3" s="1417"/>
      <c r="X3" s="1417"/>
      <c r="Y3" s="1417"/>
      <c r="Z3" s="1417"/>
      <c r="AA3" s="1417"/>
      <c r="AB3" s="1417"/>
      <c r="AC3" s="1530"/>
    </row>
    <row r="4" spans="1:29" ht="18.5">
      <c r="A4" s="1679" t="s">
        <v>871</v>
      </c>
      <c r="B4" s="1418"/>
      <c r="C4" s="1418"/>
      <c r="D4" s="1418"/>
      <c r="E4" s="1418"/>
      <c r="F4" s="1418"/>
      <c r="G4" s="1418"/>
      <c r="H4" s="1418"/>
      <c r="I4" s="1418"/>
      <c r="J4" s="1418"/>
      <c r="K4" s="1418"/>
      <c r="L4" s="1418"/>
      <c r="M4" s="1418"/>
      <c r="N4" s="1418"/>
      <c r="O4" s="1418"/>
      <c r="P4" s="1418"/>
      <c r="Q4" s="1418"/>
      <c r="R4" s="1418"/>
      <c r="S4" s="1418"/>
      <c r="T4" s="1418"/>
      <c r="U4" s="1418"/>
      <c r="V4" s="1418"/>
      <c r="W4" s="1418"/>
      <c r="X4" s="1418"/>
      <c r="Y4" s="1418"/>
      <c r="Z4" s="1418"/>
      <c r="AA4" s="1418"/>
      <c r="AB4" s="1418"/>
      <c r="AC4" s="1680"/>
    </row>
    <row r="5" spans="1:29" ht="15.5">
      <c r="A5" s="1681" t="s">
        <v>872</v>
      </c>
      <c r="B5" s="1682"/>
      <c r="C5" s="1682"/>
      <c r="D5" s="1682"/>
      <c r="E5" s="1682"/>
      <c r="F5" s="1682"/>
      <c r="G5" s="1682"/>
      <c r="H5" s="1682"/>
      <c r="I5" s="1682"/>
      <c r="J5" s="1682"/>
      <c r="K5" s="1682"/>
      <c r="L5" s="1682"/>
      <c r="M5" s="1682"/>
      <c r="N5" s="1682"/>
      <c r="O5" s="1682"/>
      <c r="P5" s="1682"/>
      <c r="Q5" s="1682"/>
      <c r="R5" s="1682"/>
      <c r="S5" s="1682"/>
      <c r="T5" s="1682"/>
      <c r="U5" s="1682"/>
      <c r="V5" s="1682"/>
      <c r="W5" s="1682"/>
      <c r="X5" s="1682"/>
      <c r="Y5" s="1682"/>
      <c r="Z5" s="1682"/>
      <c r="AA5" s="1682"/>
      <c r="AB5" s="1682"/>
      <c r="AC5" s="1683"/>
    </row>
    <row r="6" spans="1:29" ht="21">
      <c r="A6" s="1684" t="s">
        <v>873</v>
      </c>
      <c r="B6" s="1685"/>
      <c r="C6" s="1685"/>
      <c r="D6" s="1685"/>
      <c r="E6" s="1685"/>
      <c r="F6" s="1685"/>
      <c r="G6" s="1685"/>
      <c r="H6" s="1686" t="s">
        <v>874</v>
      </c>
      <c r="I6" s="1686"/>
      <c r="J6" s="1686"/>
      <c r="K6" s="1686"/>
      <c r="L6" s="1687"/>
      <c r="M6" s="1686"/>
      <c r="N6" s="1686"/>
      <c r="O6" s="1686"/>
      <c r="P6" s="1686"/>
      <c r="Q6" s="1686"/>
      <c r="R6" s="1686"/>
      <c r="S6" s="1686"/>
      <c r="T6" s="1686"/>
      <c r="U6" s="1686"/>
      <c r="V6" s="1686"/>
      <c r="W6" s="1686"/>
      <c r="X6" s="1686"/>
      <c r="Y6" s="1686"/>
      <c r="Z6" s="1686"/>
      <c r="AA6" s="1686"/>
      <c r="AB6" s="91"/>
      <c r="AC6" s="92"/>
    </row>
    <row r="7" spans="1:29" ht="15" customHeight="1">
      <c r="A7" s="1706" t="s">
        <v>875</v>
      </c>
      <c r="B7" s="1708" t="s">
        <v>876</v>
      </c>
      <c r="C7" s="1710" t="s">
        <v>109</v>
      </c>
      <c r="D7" s="1712" t="s">
        <v>877</v>
      </c>
      <c r="E7" s="1708" t="s">
        <v>878</v>
      </c>
      <c r="F7" s="1714" t="s">
        <v>879</v>
      </c>
      <c r="G7" s="1710" t="s">
        <v>880</v>
      </c>
      <c r="H7" s="1688" t="s">
        <v>875</v>
      </c>
      <c r="I7" s="1693" t="s">
        <v>876</v>
      </c>
      <c r="J7" s="1688" t="s">
        <v>109</v>
      </c>
      <c r="K7" s="1695" t="s">
        <v>877</v>
      </c>
      <c r="L7" s="1697" t="s">
        <v>881</v>
      </c>
      <c r="M7" s="1693" t="s">
        <v>878</v>
      </c>
      <c r="N7" s="1699" t="s">
        <v>879</v>
      </c>
      <c r="O7" s="1688" t="s">
        <v>880</v>
      </c>
      <c r="P7" s="1688" t="s">
        <v>882</v>
      </c>
      <c r="Q7" s="1688"/>
      <c r="R7" s="1688"/>
      <c r="S7" s="1695" t="s">
        <v>883</v>
      </c>
      <c r="T7" s="1689" t="s">
        <v>884</v>
      </c>
      <c r="U7" s="1689"/>
      <c r="V7" s="1689"/>
      <c r="W7" s="1689" t="s">
        <v>885</v>
      </c>
      <c r="X7" s="1689"/>
      <c r="Y7" s="1689"/>
      <c r="Z7" s="1688" t="s">
        <v>886</v>
      </c>
      <c r="AA7" s="1690" t="s">
        <v>887</v>
      </c>
      <c r="AB7" s="1690"/>
      <c r="AC7" s="1691"/>
    </row>
    <row r="8" spans="1:29" ht="56.5" customHeight="1">
      <c r="A8" s="1707"/>
      <c r="B8" s="1709"/>
      <c r="C8" s="1711"/>
      <c r="D8" s="1713"/>
      <c r="E8" s="1709"/>
      <c r="F8" s="1715"/>
      <c r="G8" s="1711"/>
      <c r="H8" s="1692"/>
      <c r="I8" s="1694"/>
      <c r="J8" s="1692"/>
      <c r="K8" s="1696"/>
      <c r="L8" s="1698"/>
      <c r="M8" s="1694"/>
      <c r="N8" s="1700"/>
      <c r="O8" s="1692"/>
      <c r="P8" s="70" t="s">
        <v>888</v>
      </c>
      <c r="Q8" s="70" t="s">
        <v>889</v>
      </c>
      <c r="R8" s="70" t="s">
        <v>481</v>
      </c>
      <c r="S8" s="1696"/>
      <c r="T8" s="70" t="s">
        <v>888</v>
      </c>
      <c r="U8" s="70" t="s">
        <v>889</v>
      </c>
      <c r="V8" s="70" t="s">
        <v>481</v>
      </c>
      <c r="W8" s="70" t="s">
        <v>888</v>
      </c>
      <c r="X8" s="70" t="s">
        <v>889</v>
      </c>
      <c r="Y8" s="70" t="s">
        <v>481</v>
      </c>
      <c r="Z8" s="1692"/>
      <c r="AA8" s="93" t="s">
        <v>890</v>
      </c>
      <c r="AB8" s="93" t="s">
        <v>891</v>
      </c>
      <c r="AC8" s="94" t="s">
        <v>892</v>
      </c>
    </row>
    <row r="9" spans="1:29" ht="26">
      <c r="A9" s="47">
        <v>1</v>
      </c>
      <c r="B9" s="48" t="s">
        <v>893</v>
      </c>
      <c r="C9" s="48" t="s">
        <v>894</v>
      </c>
      <c r="D9" s="49"/>
      <c r="E9" s="48" t="s">
        <v>895</v>
      </c>
      <c r="F9" s="50"/>
      <c r="G9" s="51"/>
      <c r="H9" s="52">
        <v>1</v>
      </c>
      <c r="I9" s="48" t="s">
        <v>893</v>
      </c>
      <c r="J9" s="48" t="s">
        <v>894</v>
      </c>
      <c r="K9" s="71"/>
      <c r="L9" s="72" t="s">
        <v>332</v>
      </c>
      <c r="M9" s="73" t="s">
        <v>896</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716">
        <v>2920</v>
      </c>
      <c r="H10" s="58"/>
      <c r="I10" s="58"/>
      <c r="J10" s="58"/>
      <c r="K10" s="75"/>
      <c r="L10" s="76"/>
      <c r="M10" s="54"/>
      <c r="N10" s="56">
        <v>345.19</v>
      </c>
      <c r="O10" s="1716">
        <v>2920</v>
      </c>
      <c r="P10" s="77"/>
      <c r="Q10" s="77"/>
      <c r="R10" s="77"/>
      <c r="S10" s="77"/>
      <c r="T10" s="77"/>
      <c r="U10" s="77"/>
      <c r="V10" s="77"/>
      <c r="W10" s="77"/>
      <c r="X10" s="77"/>
      <c r="Y10" s="77"/>
      <c r="Z10" s="98" t="s">
        <v>897</v>
      </c>
      <c r="AA10" s="99"/>
      <c r="AB10" s="99"/>
      <c r="AC10" s="100"/>
    </row>
    <row r="11" spans="1:29">
      <c r="A11" s="59">
        <v>2</v>
      </c>
      <c r="B11" s="60" t="s">
        <v>898</v>
      </c>
      <c r="C11" s="60" t="s">
        <v>899</v>
      </c>
      <c r="D11" s="55"/>
      <c r="E11" s="54"/>
      <c r="F11" s="54"/>
      <c r="G11" s="1716"/>
      <c r="H11" s="61">
        <v>2</v>
      </c>
      <c r="I11" s="60" t="s">
        <v>898</v>
      </c>
      <c r="J11" s="60" t="s">
        <v>899</v>
      </c>
      <c r="K11" s="75"/>
      <c r="L11" s="76"/>
      <c r="M11" s="54"/>
      <c r="N11" s="54"/>
      <c r="O11" s="1716"/>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716"/>
      <c r="H12" s="58"/>
      <c r="I12" s="58"/>
      <c r="J12" s="58"/>
      <c r="K12" s="75"/>
      <c r="L12" s="76"/>
      <c r="M12" s="54"/>
      <c r="N12" s="56">
        <v>332.38</v>
      </c>
      <c r="O12" s="1716"/>
      <c r="P12" s="77"/>
      <c r="Q12" s="77"/>
      <c r="R12" s="77"/>
      <c r="S12" s="77"/>
      <c r="T12" s="77"/>
      <c r="U12" s="77"/>
      <c r="V12" s="77"/>
      <c r="W12" s="77"/>
      <c r="X12" s="77"/>
      <c r="Y12" s="77"/>
      <c r="Z12" s="98" t="s">
        <v>900</v>
      </c>
      <c r="AA12" s="99"/>
      <c r="AB12" s="99"/>
      <c r="AC12" s="100"/>
    </row>
    <row r="13" spans="1:29">
      <c r="A13" s="59">
        <v>3</v>
      </c>
      <c r="B13" s="60" t="s">
        <v>901</v>
      </c>
      <c r="C13" s="60" t="s">
        <v>899</v>
      </c>
      <c r="D13" s="55"/>
      <c r="E13" s="54"/>
      <c r="F13" s="54"/>
      <c r="G13" s="1716"/>
      <c r="H13" s="61">
        <v>3</v>
      </c>
      <c r="I13" s="60" t="s">
        <v>901</v>
      </c>
      <c r="J13" s="60" t="s">
        <v>899</v>
      </c>
      <c r="K13" s="75"/>
      <c r="L13" s="76"/>
      <c r="M13" s="54"/>
      <c r="N13" s="54"/>
      <c r="O13" s="1716"/>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716"/>
      <c r="H14" s="58"/>
      <c r="I14" s="58"/>
      <c r="J14" s="58"/>
      <c r="K14" s="75"/>
      <c r="L14" s="76"/>
      <c r="M14" s="54"/>
      <c r="N14" s="56">
        <v>393.62</v>
      </c>
      <c r="O14" s="1716"/>
      <c r="P14" s="77"/>
      <c r="Q14" s="77"/>
      <c r="R14" s="77"/>
      <c r="S14" s="77"/>
      <c r="T14" s="77"/>
      <c r="U14" s="77"/>
      <c r="V14" s="77"/>
      <c r="W14" s="77"/>
      <c r="X14" s="77"/>
      <c r="Y14" s="77"/>
      <c r="Z14" s="77"/>
      <c r="AA14" s="99"/>
      <c r="AB14" s="99"/>
      <c r="AC14" s="100"/>
    </row>
    <row r="15" spans="1:29">
      <c r="A15" s="59">
        <v>4</v>
      </c>
      <c r="B15" s="60" t="s">
        <v>902</v>
      </c>
      <c r="C15" s="60" t="s">
        <v>903</v>
      </c>
      <c r="D15" s="55"/>
      <c r="E15" s="54"/>
      <c r="F15" s="54"/>
      <c r="G15" s="1716"/>
      <c r="H15" s="61">
        <v>4</v>
      </c>
      <c r="I15" s="60" t="s">
        <v>902</v>
      </c>
      <c r="J15" s="60" t="s">
        <v>903</v>
      </c>
      <c r="K15" s="75"/>
      <c r="L15" s="76"/>
      <c r="M15" s="54"/>
      <c r="N15" s="54"/>
      <c r="O15" s="1716"/>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716"/>
      <c r="H16" s="58"/>
      <c r="I16" s="58"/>
      <c r="J16" s="58"/>
      <c r="K16" s="75"/>
      <c r="L16" s="76"/>
      <c r="M16" s="54"/>
      <c r="N16" s="56">
        <v>387.95</v>
      </c>
      <c r="O16" s="1716"/>
      <c r="P16" s="77"/>
      <c r="Q16" s="77"/>
      <c r="R16" s="77"/>
      <c r="S16" s="77"/>
      <c r="T16" s="77"/>
      <c r="U16" s="77"/>
      <c r="V16" s="77"/>
      <c r="W16" s="77"/>
      <c r="X16" s="77"/>
      <c r="Y16" s="77"/>
      <c r="Z16" s="98" t="s">
        <v>904</v>
      </c>
      <c r="AA16" s="99"/>
      <c r="AB16" s="99"/>
      <c r="AC16" s="100"/>
    </row>
    <row r="17" spans="1:29">
      <c r="A17" s="59">
        <v>5</v>
      </c>
      <c r="B17" s="60" t="s">
        <v>905</v>
      </c>
      <c r="C17" s="60" t="s">
        <v>899</v>
      </c>
      <c r="D17" s="55"/>
      <c r="E17" s="54"/>
      <c r="F17" s="54"/>
      <c r="G17" s="1716"/>
      <c r="H17" s="61">
        <v>5</v>
      </c>
      <c r="I17" s="60" t="s">
        <v>905</v>
      </c>
      <c r="J17" s="60" t="s">
        <v>899</v>
      </c>
      <c r="K17" s="75"/>
      <c r="L17" s="76"/>
      <c r="M17" s="54"/>
      <c r="N17" s="54"/>
      <c r="O17" s="1716"/>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716"/>
      <c r="H18" s="58"/>
      <c r="I18" s="58"/>
      <c r="J18" s="58"/>
      <c r="K18" s="75"/>
      <c r="L18" s="76"/>
      <c r="M18" s="54"/>
      <c r="N18" s="56">
        <v>340.35</v>
      </c>
      <c r="O18" s="1716"/>
      <c r="P18" s="77"/>
      <c r="Q18" s="77"/>
      <c r="R18" s="77"/>
      <c r="S18" s="77"/>
      <c r="T18" s="77"/>
      <c r="U18" s="77"/>
      <c r="V18" s="77"/>
      <c r="W18" s="77"/>
      <c r="X18" s="77"/>
      <c r="Y18" s="77"/>
      <c r="Z18" s="98" t="s">
        <v>906</v>
      </c>
      <c r="AA18" s="99"/>
      <c r="AB18" s="99"/>
      <c r="AC18" s="100"/>
    </row>
    <row r="19" spans="1:29">
      <c r="A19" s="59">
        <v>6</v>
      </c>
      <c r="B19" s="60" t="s">
        <v>907</v>
      </c>
      <c r="C19" s="60" t="s">
        <v>899</v>
      </c>
      <c r="D19" s="55"/>
      <c r="E19" s="54"/>
      <c r="F19" s="54"/>
      <c r="G19" s="1716"/>
      <c r="H19" s="61">
        <v>6</v>
      </c>
      <c r="I19" s="60" t="s">
        <v>907</v>
      </c>
      <c r="J19" s="60" t="s">
        <v>899</v>
      </c>
      <c r="K19" s="75"/>
      <c r="L19" s="76"/>
      <c r="M19" s="54"/>
      <c r="N19" s="54"/>
      <c r="O19" s="1716"/>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716"/>
      <c r="H20" s="58"/>
      <c r="I20" s="58"/>
      <c r="J20" s="58"/>
      <c r="K20" s="75"/>
      <c r="L20" s="76"/>
      <c r="M20" s="54"/>
      <c r="N20" s="56">
        <v>393.12</v>
      </c>
      <c r="O20" s="1716"/>
      <c r="P20" s="77"/>
      <c r="Q20" s="77"/>
      <c r="R20" s="77"/>
      <c r="S20" s="77"/>
      <c r="T20" s="77"/>
      <c r="U20" s="77"/>
      <c r="V20" s="77"/>
      <c r="W20" s="77"/>
      <c r="X20" s="77"/>
      <c r="Y20" s="77"/>
      <c r="Z20" s="77"/>
      <c r="AA20" s="99"/>
      <c r="AB20" s="99"/>
      <c r="AC20" s="100"/>
    </row>
    <row r="21" spans="1:29">
      <c r="A21" s="59">
        <v>7</v>
      </c>
      <c r="B21" s="60" t="s">
        <v>908</v>
      </c>
      <c r="C21" s="60" t="s">
        <v>899</v>
      </c>
      <c r="D21" s="55"/>
      <c r="E21" s="54"/>
      <c r="F21" s="54"/>
      <c r="G21" s="1716"/>
      <c r="H21" s="61">
        <v>7</v>
      </c>
      <c r="I21" s="60" t="s">
        <v>908</v>
      </c>
      <c r="J21" s="60" t="s">
        <v>899</v>
      </c>
      <c r="K21" s="75"/>
      <c r="L21" s="76"/>
      <c r="M21" s="54"/>
      <c r="N21" s="54"/>
      <c r="O21" s="1716"/>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716"/>
      <c r="H22" s="58"/>
      <c r="I22" s="58"/>
      <c r="J22" s="58"/>
      <c r="K22" s="75"/>
      <c r="L22" s="76"/>
      <c r="M22" s="54"/>
      <c r="N22" s="56">
        <v>328.54</v>
      </c>
      <c r="O22" s="1716"/>
      <c r="P22" s="77"/>
      <c r="Q22" s="77"/>
      <c r="R22" s="77"/>
      <c r="S22" s="77"/>
      <c r="T22" s="77"/>
      <c r="U22" s="77"/>
      <c r="V22" s="77"/>
      <c r="W22" s="77"/>
      <c r="X22" s="77"/>
      <c r="Y22" s="77"/>
      <c r="Z22" s="77"/>
      <c r="AA22" s="99"/>
      <c r="AB22" s="99"/>
      <c r="AC22" s="100"/>
    </row>
    <row r="23" spans="1:29">
      <c r="A23" s="59">
        <v>8</v>
      </c>
      <c r="B23" s="60" t="s">
        <v>909</v>
      </c>
      <c r="C23" s="60" t="s">
        <v>899</v>
      </c>
      <c r="D23" s="55"/>
      <c r="E23" s="54"/>
      <c r="F23" s="54"/>
      <c r="G23" s="1716"/>
      <c r="H23" s="61">
        <v>8</v>
      </c>
      <c r="I23" s="60" t="s">
        <v>909</v>
      </c>
      <c r="J23" s="60" t="s">
        <v>899</v>
      </c>
      <c r="K23" s="75"/>
      <c r="L23" s="76"/>
      <c r="M23" s="54"/>
      <c r="N23" s="54"/>
      <c r="O23" s="1716"/>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716"/>
      <c r="H24" s="58"/>
      <c r="I24" s="58"/>
      <c r="J24" s="58"/>
      <c r="K24" s="75"/>
      <c r="L24" s="76"/>
      <c r="M24" s="54"/>
      <c r="N24" s="56">
        <v>398.52</v>
      </c>
      <c r="O24" s="1716"/>
      <c r="P24" s="77"/>
      <c r="Q24" s="77"/>
      <c r="R24" s="77"/>
      <c r="S24" s="77"/>
      <c r="T24" s="77"/>
      <c r="U24" s="77"/>
      <c r="V24" s="77"/>
      <c r="W24" s="77"/>
      <c r="X24" s="77"/>
      <c r="Y24" s="77"/>
      <c r="Z24" s="98" t="s">
        <v>906</v>
      </c>
      <c r="AA24" s="99"/>
      <c r="AB24" s="99"/>
      <c r="AC24" s="100"/>
    </row>
    <row r="25" spans="1:29" ht="19">
      <c r="A25" s="62">
        <v>9</v>
      </c>
      <c r="B25" s="63" t="s">
        <v>910</v>
      </c>
      <c r="C25" s="63" t="s">
        <v>894</v>
      </c>
      <c r="D25" s="64"/>
      <c r="E25" s="63" t="s">
        <v>911</v>
      </c>
      <c r="F25" s="65"/>
      <c r="G25" s="66"/>
      <c r="H25" s="67">
        <v>9</v>
      </c>
      <c r="I25" s="63" t="s">
        <v>910</v>
      </c>
      <c r="J25" s="63" t="s">
        <v>894</v>
      </c>
      <c r="K25" s="79"/>
      <c r="L25" s="66"/>
      <c r="M25" s="63" t="s">
        <v>911</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716">
        <v>835</v>
      </c>
      <c r="H26" s="58"/>
      <c r="I26" s="58"/>
      <c r="J26" s="58"/>
      <c r="K26" s="75"/>
      <c r="L26" s="76"/>
      <c r="M26" s="54"/>
      <c r="N26" s="56">
        <v>425.85</v>
      </c>
      <c r="O26" s="1716">
        <v>835</v>
      </c>
      <c r="P26" s="77"/>
      <c r="Q26" s="77"/>
      <c r="R26" s="77"/>
      <c r="S26" s="77"/>
      <c r="T26" s="77"/>
      <c r="U26" s="77"/>
      <c r="V26" s="77"/>
      <c r="W26" s="77"/>
      <c r="X26" s="77"/>
      <c r="Y26" s="77"/>
      <c r="Z26" s="98" t="s">
        <v>906</v>
      </c>
      <c r="AA26" s="99"/>
      <c r="AB26" s="99"/>
      <c r="AC26" s="100"/>
    </row>
    <row r="27" spans="1:29">
      <c r="A27" s="59">
        <v>10</v>
      </c>
      <c r="B27" s="60" t="s">
        <v>912</v>
      </c>
      <c r="C27" s="60" t="s">
        <v>913</v>
      </c>
      <c r="D27" s="55"/>
      <c r="E27" s="54"/>
      <c r="F27" s="54"/>
      <c r="G27" s="1716"/>
      <c r="H27" s="61">
        <v>10</v>
      </c>
      <c r="I27" s="60" t="s">
        <v>912</v>
      </c>
      <c r="J27" s="60" t="s">
        <v>913</v>
      </c>
      <c r="K27" s="75"/>
      <c r="L27" s="76"/>
      <c r="M27" s="54"/>
      <c r="N27" s="54"/>
      <c r="O27" s="1716"/>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716"/>
      <c r="H28" s="58"/>
      <c r="I28" s="58"/>
      <c r="J28" s="58"/>
      <c r="K28" s="75"/>
      <c r="L28" s="76"/>
      <c r="M28" s="54"/>
      <c r="N28" s="56">
        <v>409.37</v>
      </c>
      <c r="O28" s="1716"/>
      <c r="P28" s="77"/>
      <c r="Q28" s="77"/>
      <c r="R28" s="77"/>
      <c r="S28" s="77"/>
      <c r="T28" s="77"/>
      <c r="U28" s="77"/>
      <c r="V28" s="77"/>
      <c r="W28" s="77"/>
      <c r="X28" s="77"/>
      <c r="Y28" s="77"/>
      <c r="Z28" s="77"/>
      <c r="AA28" s="99"/>
      <c r="AB28" s="99"/>
      <c r="AC28" s="100"/>
    </row>
    <row r="29" spans="1:29" ht="19">
      <c r="A29" s="62">
        <v>11</v>
      </c>
      <c r="B29" s="63" t="s">
        <v>914</v>
      </c>
      <c r="C29" s="63" t="s">
        <v>915</v>
      </c>
      <c r="D29" s="64"/>
      <c r="E29" s="63" t="s">
        <v>916</v>
      </c>
      <c r="F29" s="65"/>
      <c r="G29" s="66"/>
      <c r="H29" s="67">
        <v>11</v>
      </c>
      <c r="I29" s="63" t="s">
        <v>914</v>
      </c>
      <c r="J29" s="63" t="s">
        <v>915</v>
      </c>
      <c r="K29" s="79"/>
      <c r="L29" s="66"/>
      <c r="M29" s="63" t="s">
        <v>916</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716">
        <v>2306</v>
      </c>
      <c r="H30" s="58"/>
      <c r="I30" s="58"/>
      <c r="J30" s="58"/>
      <c r="K30" s="75"/>
      <c r="L30" s="76"/>
      <c r="M30" s="54"/>
      <c r="N30" s="56">
        <v>388.46</v>
      </c>
      <c r="O30" s="1716">
        <v>2306</v>
      </c>
      <c r="P30" s="77"/>
      <c r="Q30" s="77"/>
      <c r="R30" s="77"/>
      <c r="S30" s="77"/>
      <c r="T30" s="77"/>
      <c r="U30" s="77"/>
      <c r="V30" s="77"/>
      <c r="W30" s="77"/>
      <c r="X30" s="77"/>
      <c r="Y30" s="77"/>
      <c r="Z30" s="77"/>
      <c r="AA30" s="99"/>
      <c r="AB30" s="99"/>
      <c r="AC30" s="100"/>
    </row>
    <row r="31" spans="1:29">
      <c r="A31" s="59">
        <v>12</v>
      </c>
      <c r="B31" s="60" t="s">
        <v>917</v>
      </c>
      <c r="C31" s="60" t="s">
        <v>899</v>
      </c>
      <c r="D31" s="55"/>
      <c r="E31" s="54"/>
      <c r="F31" s="54"/>
      <c r="G31" s="1716"/>
      <c r="H31" s="61">
        <v>12</v>
      </c>
      <c r="I31" s="60" t="s">
        <v>917</v>
      </c>
      <c r="J31" s="60" t="s">
        <v>899</v>
      </c>
      <c r="K31" s="75"/>
      <c r="L31" s="76"/>
      <c r="M31" s="54"/>
      <c r="N31" s="54"/>
      <c r="O31" s="1716"/>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716"/>
      <c r="H32" s="58"/>
      <c r="I32" s="58"/>
      <c r="J32" s="58"/>
      <c r="K32" s="75"/>
      <c r="L32" s="76"/>
      <c r="M32" s="54"/>
      <c r="N32" s="56">
        <v>380.96</v>
      </c>
      <c r="O32" s="1716"/>
      <c r="P32" s="77"/>
      <c r="Q32" s="77"/>
      <c r="R32" s="77"/>
      <c r="S32" s="77"/>
      <c r="T32" s="77"/>
      <c r="U32" s="77"/>
      <c r="V32" s="77"/>
      <c r="W32" s="77"/>
      <c r="X32" s="77"/>
      <c r="Y32" s="77"/>
      <c r="Z32" s="98" t="s">
        <v>918</v>
      </c>
      <c r="AA32" s="99"/>
      <c r="AB32" s="99"/>
      <c r="AC32" s="100"/>
    </row>
    <row r="33" spans="1:29" ht="26">
      <c r="A33" s="59">
        <v>13</v>
      </c>
      <c r="B33" s="60" t="s">
        <v>919</v>
      </c>
      <c r="C33" s="60" t="s">
        <v>903</v>
      </c>
      <c r="D33" s="55"/>
      <c r="E33" s="54"/>
      <c r="F33" s="54"/>
      <c r="G33" s="1716"/>
      <c r="H33" s="61">
        <v>13</v>
      </c>
      <c r="I33" s="60" t="s">
        <v>919</v>
      </c>
      <c r="J33" s="60" t="s">
        <v>903</v>
      </c>
      <c r="K33" s="75"/>
      <c r="L33" s="81" t="s">
        <v>332</v>
      </c>
      <c r="M33" s="54"/>
      <c r="N33" s="54"/>
      <c r="O33" s="1716"/>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716"/>
      <c r="H34" s="58"/>
      <c r="I34" s="58"/>
      <c r="J34" s="58"/>
      <c r="K34" s="75"/>
      <c r="L34" s="76"/>
      <c r="M34" s="54"/>
      <c r="N34" s="56">
        <v>381.39</v>
      </c>
      <c r="O34" s="1716"/>
      <c r="P34" s="77"/>
      <c r="Q34" s="77"/>
      <c r="R34" s="77"/>
      <c r="S34" s="77"/>
      <c r="T34" s="77"/>
      <c r="U34" s="77"/>
      <c r="V34" s="77"/>
      <c r="W34" s="77"/>
      <c r="X34" s="77"/>
      <c r="Y34" s="77"/>
      <c r="Z34" s="98" t="s">
        <v>906</v>
      </c>
      <c r="AA34" s="99"/>
      <c r="AB34" s="99"/>
      <c r="AC34" s="100"/>
    </row>
    <row r="35" spans="1:29">
      <c r="A35" s="59">
        <v>14</v>
      </c>
      <c r="B35" s="60" t="s">
        <v>920</v>
      </c>
      <c r="C35" s="60" t="s">
        <v>899</v>
      </c>
      <c r="D35" s="55"/>
      <c r="E35" s="54"/>
      <c r="F35" s="54"/>
      <c r="G35" s="1716"/>
      <c r="H35" s="61">
        <v>14</v>
      </c>
      <c r="I35" s="60" t="s">
        <v>920</v>
      </c>
      <c r="J35" s="60" t="s">
        <v>899</v>
      </c>
      <c r="K35" s="75"/>
      <c r="L35" s="76"/>
      <c r="M35" s="54"/>
      <c r="N35" s="54"/>
      <c r="O35" s="1716"/>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716"/>
      <c r="H36" s="58"/>
      <c r="I36" s="58"/>
      <c r="J36" s="58"/>
      <c r="K36" s="75"/>
      <c r="L36" s="76"/>
      <c r="M36" s="54"/>
      <c r="N36" s="56">
        <v>344.6</v>
      </c>
      <c r="O36" s="1716"/>
      <c r="P36" s="77"/>
      <c r="Q36" s="77"/>
      <c r="R36" s="77"/>
      <c r="S36" s="77"/>
      <c r="T36" s="77"/>
      <c r="U36" s="77"/>
      <c r="V36" s="77"/>
      <c r="W36" s="77"/>
      <c r="X36" s="77"/>
      <c r="Y36" s="77"/>
      <c r="Z36" s="98" t="s">
        <v>921</v>
      </c>
      <c r="AA36" s="99"/>
      <c r="AB36" s="99"/>
      <c r="AC36" s="100"/>
    </row>
    <row r="37" spans="1:29">
      <c r="A37" s="59">
        <v>15</v>
      </c>
      <c r="B37" s="60" t="s">
        <v>922</v>
      </c>
      <c r="C37" s="60" t="s">
        <v>903</v>
      </c>
      <c r="D37" s="55"/>
      <c r="E37" s="54"/>
      <c r="F37" s="54"/>
      <c r="G37" s="1716"/>
      <c r="H37" s="61">
        <v>15</v>
      </c>
      <c r="I37" s="60" t="s">
        <v>922</v>
      </c>
      <c r="J37" s="60" t="s">
        <v>903</v>
      </c>
      <c r="K37" s="75"/>
      <c r="L37" s="76"/>
      <c r="M37" s="54"/>
      <c r="N37" s="54"/>
      <c r="O37" s="1716"/>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716"/>
      <c r="H38" s="58"/>
      <c r="I38" s="58"/>
      <c r="J38" s="58"/>
      <c r="K38" s="75"/>
      <c r="L38" s="76"/>
      <c r="M38" s="54"/>
      <c r="N38" s="56">
        <v>395.64</v>
      </c>
      <c r="O38" s="1716"/>
      <c r="P38" s="77"/>
      <c r="Q38" s="77"/>
      <c r="R38" s="77"/>
      <c r="S38" s="77"/>
      <c r="T38" s="77"/>
      <c r="U38" s="77"/>
      <c r="V38" s="77"/>
      <c r="W38" s="77"/>
      <c r="X38" s="77"/>
      <c r="Y38" s="77"/>
      <c r="Z38" s="77"/>
      <c r="AA38" s="99"/>
      <c r="AB38" s="99"/>
      <c r="AC38" s="100"/>
    </row>
    <row r="39" spans="1:29">
      <c r="A39" s="59">
        <v>16</v>
      </c>
      <c r="B39" s="60" t="s">
        <v>923</v>
      </c>
      <c r="C39" s="60" t="s">
        <v>913</v>
      </c>
      <c r="D39" s="55"/>
      <c r="E39" s="54"/>
      <c r="F39" s="54"/>
      <c r="G39" s="1716"/>
      <c r="H39" s="61">
        <v>16</v>
      </c>
      <c r="I39" s="60" t="s">
        <v>923</v>
      </c>
      <c r="J39" s="60" t="s">
        <v>913</v>
      </c>
      <c r="K39" s="75"/>
      <c r="L39" s="76"/>
      <c r="M39" s="54"/>
      <c r="N39" s="54"/>
      <c r="O39" s="1716"/>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716"/>
      <c r="H40" s="58"/>
      <c r="I40" s="58"/>
      <c r="J40" s="58"/>
      <c r="K40" s="75"/>
      <c r="L40" s="76"/>
      <c r="M40" s="54"/>
      <c r="N40" s="56">
        <v>414.76</v>
      </c>
      <c r="O40" s="1716"/>
      <c r="P40" s="77"/>
      <c r="Q40" s="77"/>
      <c r="R40" s="77"/>
      <c r="S40" s="77"/>
      <c r="T40" s="77"/>
      <c r="U40" s="77"/>
      <c r="V40" s="77"/>
      <c r="W40" s="77"/>
      <c r="X40" s="77"/>
      <c r="Y40" s="77"/>
      <c r="Z40" s="98" t="s">
        <v>906</v>
      </c>
      <c r="AA40" s="99"/>
      <c r="AB40" s="99"/>
      <c r="AC40" s="100"/>
    </row>
    <row r="41" spans="1:29" ht="19">
      <c r="A41" s="62">
        <v>17</v>
      </c>
      <c r="B41" s="63" t="s">
        <v>924</v>
      </c>
      <c r="C41" s="63" t="s">
        <v>894</v>
      </c>
      <c r="D41" s="64"/>
      <c r="E41" s="63" t="s">
        <v>925</v>
      </c>
      <c r="F41" s="65"/>
      <c r="G41" s="66"/>
      <c r="H41" s="67">
        <v>17</v>
      </c>
      <c r="I41" s="63" t="s">
        <v>924</v>
      </c>
      <c r="J41" s="63" t="s">
        <v>894</v>
      </c>
      <c r="K41" s="79"/>
      <c r="L41" s="66"/>
      <c r="M41" s="63" t="s">
        <v>925</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716">
        <v>757</v>
      </c>
      <c r="H42" s="58"/>
      <c r="I42" s="58"/>
      <c r="J42" s="58"/>
      <c r="K42" s="75"/>
      <c r="L42" s="76"/>
      <c r="M42" s="54"/>
      <c r="N42" s="56">
        <v>401.93</v>
      </c>
      <c r="O42" s="1716">
        <v>757</v>
      </c>
      <c r="P42" s="77"/>
      <c r="Q42" s="77"/>
      <c r="R42" s="77"/>
      <c r="S42" s="77"/>
      <c r="T42" s="77"/>
      <c r="U42" s="77"/>
      <c r="V42" s="77"/>
      <c r="W42" s="77"/>
      <c r="X42" s="77"/>
      <c r="Y42" s="77"/>
      <c r="Z42" s="98" t="s">
        <v>926</v>
      </c>
      <c r="AA42" s="99"/>
      <c r="AB42" s="99"/>
      <c r="AC42" s="100"/>
    </row>
    <row r="43" spans="1:29">
      <c r="A43" s="59">
        <v>18</v>
      </c>
      <c r="B43" s="60" t="s">
        <v>927</v>
      </c>
      <c r="C43" s="60" t="s">
        <v>903</v>
      </c>
      <c r="D43" s="68">
        <v>1</v>
      </c>
      <c r="E43" s="54"/>
      <c r="F43" s="54"/>
      <c r="G43" s="1716"/>
      <c r="H43" s="61">
        <v>18</v>
      </c>
      <c r="I43" s="60" t="s">
        <v>927</v>
      </c>
      <c r="J43" s="60" t="s">
        <v>903</v>
      </c>
      <c r="K43" s="68">
        <v>1</v>
      </c>
      <c r="L43" s="76"/>
      <c r="M43" s="54"/>
      <c r="N43" s="54"/>
      <c r="O43" s="1716"/>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716"/>
      <c r="H44" s="58"/>
      <c r="I44" s="58"/>
      <c r="J44" s="58"/>
      <c r="K44" s="75"/>
      <c r="L44" s="76"/>
      <c r="M44" s="54"/>
      <c r="N44" s="56">
        <v>354.95</v>
      </c>
      <c r="O44" s="1716"/>
      <c r="P44" s="77"/>
      <c r="Q44" s="77"/>
      <c r="R44" s="77"/>
      <c r="S44" s="77"/>
      <c r="T44" s="77"/>
      <c r="U44" s="77"/>
      <c r="V44" s="77"/>
      <c r="W44" s="77"/>
      <c r="X44" s="77"/>
      <c r="Y44" s="77"/>
      <c r="Z44" s="77"/>
      <c r="AA44" s="99"/>
      <c r="AB44" s="99"/>
      <c r="AC44" s="100"/>
    </row>
    <row r="45" spans="1:29" ht="19">
      <c r="A45" s="62">
        <v>19</v>
      </c>
      <c r="B45" s="63" t="s">
        <v>928</v>
      </c>
      <c r="C45" s="63" t="s">
        <v>929</v>
      </c>
      <c r="D45" s="64"/>
      <c r="E45" s="63" t="s">
        <v>930</v>
      </c>
      <c r="F45" s="65"/>
      <c r="G45" s="66"/>
      <c r="H45" s="67">
        <v>19</v>
      </c>
      <c r="I45" s="63" t="s">
        <v>928</v>
      </c>
      <c r="J45" s="63" t="s">
        <v>929</v>
      </c>
      <c r="K45" s="79"/>
      <c r="L45" s="66"/>
      <c r="M45" s="63" t="s">
        <v>930</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716">
        <v>1192</v>
      </c>
      <c r="H46" s="58"/>
      <c r="I46" s="58"/>
      <c r="J46" s="58"/>
      <c r="K46" s="75"/>
      <c r="L46" s="76"/>
      <c r="M46" s="54"/>
      <c r="N46" s="56">
        <v>425</v>
      </c>
      <c r="O46" s="1716">
        <v>1192</v>
      </c>
      <c r="P46" s="77"/>
      <c r="Q46" s="77"/>
      <c r="R46" s="77"/>
      <c r="S46" s="77"/>
      <c r="T46" s="77"/>
      <c r="U46" s="77"/>
      <c r="V46" s="77"/>
      <c r="W46" s="77"/>
      <c r="X46" s="77"/>
      <c r="Y46" s="77"/>
      <c r="Z46" s="98" t="s">
        <v>931</v>
      </c>
      <c r="AA46" s="99"/>
      <c r="AB46" s="99"/>
      <c r="AC46" s="100"/>
    </row>
    <row r="47" spans="1:29">
      <c r="A47" s="59">
        <v>20</v>
      </c>
      <c r="B47" s="60" t="s">
        <v>932</v>
      </c>
      <c r="C47" s="60" t="s">
        <v>933</v>
      </c>
      <c r="D47" s="55"/>
      <c r="E47" s="54"/>
      <c r="F47" s="54"/>
      <c r="G47" s="1716"/>
      <c r="H47" s="61">
        <v>20</v>
      </c>
      <c r="I47" s="60" t="s">
        <v>932</v>
      </c>
      <c r="J47" s="60" t="s">
        <v>933</v>
      </c>
      <c r="K47" s="75"/>
      <c r="L47" s="76"/>
      <c r="M47" s="54"/>
      <c r="N47" s="54"/>
      <c r="O47" s="1716"/>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716"/>
      <c r="H48" s="58"/>
      <c r="I48" s="58"/>
      <c r="J48" s="58"/>
      <c r="K48" s="75"/>
      <c r="L48" s="76"/>
      <c r="M48" s="54"/>
      <c r="N48" s="56">
        <v>414</v>
      </c>
      <c r="O48" s="1716"/>
      <c r="P48" s="77"/>
      <c r="Q48" s="77"/>
      <c r="R48" s="77"/>
      <c r="S48" s="77"/>
      <c r="T48" s="77"/>
      <c r="U48" s="77"/>
      <c r="V48" s="77"/>
      <c r="W48" s="77"/>
      <c r="X48" s="77"/>
      <c r="Y48" s="77"/>
      <c r="Z48" s="77"/>
      <c r="AA48" s="99"/>
      <c r="AB48" s="99"/>
      <c r="AC48" s="100"/>
    </row>
    <row r="49" spans="1:29" ht="26">
      <c r="A49" s="59">
        <v>21</v>
      </c>
      <c r="B49" s="60" t="s">
        <v>934</v>
      </c>
      <c r="C49" s="60" t="s">
        <v>899</v>
      </c>
      <c r="D49" s="68">
        <v>1</v>
      </c>
      <c r="E49" s="54"/>
      <c r="F49" s="54"/>
      <c r="G49" s="1716"/>
      <c r="H49" s="61">
        <v>21</v>
      </c>
      <c r="I49" s="60" t="s">
        <v>934</v>
      </c>
      <c r="J49" s="60" t="s">
        <v>899</v>
      </c>
      <c r="K49" s="68">
        <v>1</v>
      </c>
      <c r="L49" s="81" t="s">
        <v>332</v>
      </c>
      <c r="M49" s="54"/>
      <c r="N49" s="54"/>
      <c r="O49" s="1716"/>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716"/>
      <c r="H50" s="58"/>
      <c r="I50" s="58"/>
      <c r="J50" s="58"/>
      <c r="K50" s="75"/>
      <c r="L50" s="76"/>
      <c r="M50" s="54"/>
      <c r="N50" s="56">
        <v>353.05</v>
      </c>
      <c r="O50" s="1716"/>
      <c r="P50" s="77"/>
      <c r="Q50" s="77"/>
      <c r="R50" s="77"/>
      <c r="S50" s="77"/>
      <c r="T50" s="77"/>
      <c r="U50" s="77"/>
      <c r="V50" s="77"/>
      <c r="W50" s="77"/>
      <c r="X50" s="77"/>
      <c r="Y50" s="77"/>
      <c r="Z50" s="98" t="s">
        <v>906</v>
      </c>
      <c r="AA50" s="99"/>
      <c r="AB50" s="99"/>
      <c r="AC50" s="100"/>
    </row>
    <row r="51" spans="1:29" ht="19">
      <c r="A51" s="62">
        <v>22</v>
      </c>
      <c r="B51" s="63" t="s">
        <v>935</v>
      </c>
      <c r="C51" s="63" t="s">
        <v>936</v>
      </c>
      <c r="D51" s="69">
        <v>1</v>
      </c>
      <c r="E51" s="63" t="s">
        <v>937</v>
      </c>
      <c r="F51" s="65"/>
      <c r="G51" s="66"/>
      <c r="H51" s="67">
        <v>22</v>
      </c>
      <c r="I51" s="63" t="s">
        <v>935</v>
      </c>
      <c r="J51" s="63" t="s">
        <v>936</v>
      </c>
      <c r="K51" s="69">
        <v>1</v>
      </c>
      <c r="L51" s="66"/>
      <c r="M51" s="63" t="s">
        <v>937</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716">
        <v>829</v>
      </c>
      <c r="H52" s="58"/>
      <c r="I52" s="58"/>
      <c r="J52" s="58"/>
      <c r="K52" s="75"/>
      <c r="L52" s="76"/>
      <c r="M52" s="54"/>
      <c r="N52" s="56">
        <v>441.06</v>
      </c>
      <c r="O52" s="1716">
        <v>829</v>
      </c>
      <c r="P52" s="77"/>
      <c r="Q52" s="77"/>
      <c r="R52" s="77"/>
      <c r="S52" s="77"/>
      <c r="T52" s="77"/>
      <c r="U52" s="77"/>
      <c r="V52" s="77"/>
      <c r="W52" s="77"/>
      <c r="X52" s="77"/>
      <c r="Y52" s="77"/>
      <c r="Z52" s="98" t="s">
        <v>938</v>
      </c>
      <c r="AA52" s="99"/>
      <c r="AB52" s="99"/>
      <c r="AC52" s="100"/>
    </row>
    <row r="53" spans="1:29" ht="26">
      <c r="A53" s="59">
        <v>23</v>
      </c>
      <c r="B53" s="60" t="s">
        <v>939</v>
      </c>
      <c r="C53" s="60" t="s">
        <v>933</v>
      </c>
      <c r="D53" s="55"/>
      <c r="E53" s="54"/>
      <c r="F53" s="54"/>
      <c r="G53" s="1716"/>
      <c r="H53" s="61">
        <v>23</v>
      </c>
      <c r="I53" s="60" t="s">
        <v>939</v>
      </c>
      <c r="J53" s="60" t="s">
        <v>933</v>
      </c>
      <c r="K53" s="75"/>
      <c r="L53" s="81" t="s">
        <v>332</v>
      </c>
      <c r="M53" s="54"/>
      <c r="N53" s="54"/>
      <c r="O53" s="1716"/>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716"/>
      <c r="H54" s="58"/>
      <c r="I54" s="58"/>
      <c r="J54" s="58"/>
      <c r="K54" s="75"/>
      <c r="L54" s="76"/>
      <c r="M54" s="54"/>
      <c r="N54" s="56">
        <v>387.5</v>
      </c>
      <c r="O54" s="1716"/>
      <c r="P54" s="77"/>
      <c r="Q54" s="77"/>
      <c r="R54" s="77"/>
      <c r="S54" s="77"/>
      <c r="T54" s="77"/>
      <c r="U54" s="77"/>
      <c r="V54" s="77"/>
      <c r="W54" s="77"/>
      <c r="X54" s="77"/>
      <c r="Y54" s="77"/>
      <c r="Z54" s="98" t="s">
        <v>940</v>
      </c>
      <c r="AA54" s="99"/>
      <c r="AB54" s="99"/>
      <c r="AC54" s="100"/>
    </row>
    <row r="55" spans="1:29" ht="19">
      <c r="A55" s="62">
        <v>24</v>
      </c>
      <c r="B55" s="63" t="s">
        <v>941</v>
      </c>
      <c r="C55" s="63" t="s">
        <v>942</v>
      </c>
      <c r="D55" s="64"/>
      <c r="E55" s="63" t="s">
        <v>943</v>
      </c>
      <c r="F55" s="65"/>
      <c r="G55" s="66"/>
      <c r="H55" s="67">
        <v>24</v>
      </c>
      <c r="I55" s="63" t="s">
        <v>941</v>
      </c>
      <c r="J55" s="63" t="s">
        <v>942</v>
      </c>
      <c r="K55" s="79"/>
      <c r="L55" s="66"/>
      <c r="M55" s="63" t="s">
        <v>943</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716">
        <v>2400</v>
      </c>
      <c r="H56" s="58"/>
      <c r="I56" s="58"/>
      <c r="J56" s="58"/>
      <c r="K56" s="75"/>
      <c r="L56" s="76"/>
      <c r="M56" s="54"/>
      <c r="N56" s="56">
        <v>372.63</v>
      </c>
      <c r="O56" s="1716">
        <v>2400</v>
      </c>
      <c r="P56" s="77"/>
      <c r="Q56" s="77"/>
      <c r="R56" s="77"/>
      <c r="S56" s="77"/>
      <c r="T56" s="77"/>
      <c r="U56" s="77"/>
      <c r="V56" s="77"/>
      <c r="W56" s="77"/>
      <c r="X56" s="77"/>
      <c r="Y56" s="77"/>
      <c r="Z56" s="98" t="s">
        <v>904</v>
      </c>
      <c r="AA56" s="99"/>
      <c r="AB56" s="99"/>
      <c r="AC56" s="100"/>
    </row>
    <row r="57" spans="1:29" ht="39">
      <c r="A57" s="59">
        <v>25</v>
      </c>
      <c r="B57" s="60" t="s">
        <v>944</v>
      </c>
      <c r="C57" s="60" t="s">
        <v>899</v>
      </c>
      <c r="D57" s="55"/>
      <c r="E57" s="54"/>
      <c r="F57" s="54"/>
      <c r="G57" s="1716"/>
      <c r="H57" s="61">
        <v>25</v>
      </c>
      <c r="I57" s="60" t="s">
        <v>944</v>
      </c>
      <c r="J57" s="60" t="s">
        <v>899</v>
      </c>
      <c r="K57" s="75"/>
      <c r="L57" s="81" t="s">
        <v>945</v>
      </c>
      <c r="M57" s="54"/>
      <c r="N57" s="54"/>
      <c r="O57" s="1716"/>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716"/>
      <c r="H58" s="58"/>
      <c r="I58" s="58"/>
      <c r="J58" s="58"/>
      <c r="K58" s="75"/>
      <c r="L58" s="76"/>
      <c r="M58" s="54"/>
      <c r="N58" s="56">
        <v>415.3</v>
      </c>
      <c r="O58" s="1716"/>
      <c r="P58" s="77"/>
      <c r="Q58" s="77"/>
      <c r="R58" s="77"/>
      <c r="S58" s="77"/>
      <c r="T58" s="77"/>
      <c r="U58" s="77"/>
      <c r="V58" s="77"/>
      <c r="W58" s="77"/>
      <c r="X58" s="77"/>
      <c r="Y58" s="77"/>
      <c r="Z58" s="98" t="s">
        <v>946</v>
      </c>
      <c r="AA58" s="99"/>
      <c r="AB58" s="99"/>
      <c r="AC58" s="100"/>
    </row>
    <row r="59" spans="1:29">
      <c r="A59" s="59">
        <v>26</v>
      </c>
      <c r="B59" s="60" t="s">
        <v>947</v>
      </c>
      <c r="C59" s="60" t="s">
        <v>903</v>
      </c>
      <c r="D59" s="55"/>
      <c r="E59" s="54"/>
      <c r="F59" s="54"/>
      <c r="G59" s="1716"/>
      <c r="H59" s="61">
        <v>26</v>
      </c>
      <c r="I59" s="60" t="s">
        <v>947</v>
      </c>
      <c r="J59" s="60" t="s">
        <v>903</v>
      </c>
      <c r="K59" s="75"/>
      <c r="L59" s="76"/>
      <c r="M59" s="54"/>
      <c r="N59" s="54"/>
      <c r="O59" s="1716"/>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716"/>
      <c r="H60" s="58"/>
      <c r="I60" s="58"/>
      <c r="J60" s="58"/>
      <c r="K60" s="75"/>
      <c r="L60" s="76"/>
      <c r="M60" s="54"/>
      <c r="N60" s="56">
        <v>424.58</v>
      </c>
      <c r="O60" s="1716"/>
      <c r="P60" s="77"/>
      <c r="Q60" s="77"/>
      <c r="R60" s="77"/>
      <c r="S60" s="77"/>
      <c r="T60" s="77"/>
      <c r="U60" s="77"/>
      <c r="V60" s="77"/>
      <c r="W60" s="77"/>
      <c r="X60" s="77"/>
      <c r="Y60" s="77"/>
      <c r="Z60" s="77"/>
      <c r="AA60" s="99"/>
      <c r="AB60" s="99"/>
      <c r="AC60" s="100"/>
    </row>
    <row r="61" spans="1:29">
      <c r="A61" s="59">
        <v>27</v>
      </c>
      <c r="B61" s="60" t="s">
        <v>948</v>
      </c>
      <c r="C61" s="60" t="s">
        <v>899</v>
      </c>
      <c r="D61" s="55"/>
      <c r="E61" s="54"/>
      <c r="F61" s="54"/>
      <c r="G61" s="1716"/>
      <c r="H61" s="61">
        <v>27</v>
      </c>
      <c r="I61" s="60" t="s">
        <v>948</v>
      </c>
      <c r="J61" s="60" t="s">
        <v>899</v>
      </c>
      <c r="K61" s="75"/>
      <c r="L61" s="76"/>
      <c r="M61" s="54"/>
      <c r="N61" s="54"/>
      <c r="O61" s="1716"/>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716"/>
      <c r="H62" s="58"/>
      <c r="I62" s="58"/>
      <c r="J62" s="58"/>
      <c r="K62" s="75"/>
      <c r="L62" s="76"/>
      <c r="M62" s="54"/>
      <c r="N62" s="56">
        <v>391.7</v>
      </c>
      <c r="O62" s="1716"/>
      <c r="P62" s="77"/>
      <c r="Q62" s="77"/>
      <c r="R62" s="77"/>
      <c r="S62" s="77"/>
      <c r="T62" s="77"/>
      <c r="U62" s="77"/>
      <c r="V62" s="77"/>
      <c r="W62" s="77"/>
      <c r="X62" s="77"/>
      <c r="Y62" s="77"/>
      <c r="Z62" s="77"/>
      <c r="AA62" s="99"/>
      <c r="AB62" s="99"/>
      <c r="AC62" s="100"/>
    </row>
    <row r="63" spans="1:29">
      <c r="A63" s="59">
        <v>28</v>
      </c>
      <c r="B63" s="60" t="s">
        <v>949</v>
      </c>
      <c r="C63" s="60" t="s">
        <v>899</v>
      </c>
      <c r="D63" s="55"/>
      <c r="E63" s="54"/>
      <c r="F63" s="54"/>
      <c r="G63" s="1716"/>
      <c r="H63" s="61">
        <v>28</v>
      </c>
      <c r="I63" s="60" t="s">
        <v>949</v>
      </c>
      <c r="J63" s="60" t="s">
        <v>899</v>
      </c>
      <c r="K63" s="75"/>
      <c r="L63" s="76"/>
      <c r="M63" s="54"/>
      <c r="N63" s="54"/>
      <c r="O63" s="1716"/>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716"/>
      <c r="H64" s="58"/>
      <c r="I64" s="58"/>
      <c r="J64" s="58"/>
      <c r="K64" s="75"/>
      <c r="L64" s="76"/>
      <c r="M64" s="54"/>
      <c r="N64" s="56">
        <v>410.47</v>
      </c>
      <c r="O64" s="1716"/>
      <c r="P64" s="77"/>
      <c r="Q64" s="77"/>
      <c r="R64" s="77"/>
      <c r="S64" s="77"/>
      <c r="T64" s="77"/>
      <c r="U64" s="77"/>
      <c r="V64" s="77"/>
      <c r="W64" s="77"/>
      <c r="X64" s="77"/>
      <c r="Y64" s="77"/>
      <c r="Z64" s="98" t="s">
        <v>950</v>
      </c>
      <c r="AA64" s="99"/>
      <c r="AB64" s="99"/>
      <c r="AC64" s="100"/>
    </row>
    <row r="65" spans="1:29">
      <c r="A65" s="59">
        <v>29</v>
      </c>
      <c r="B65" s="60" t="s">
        <v>951</v>
      </c>
      <c r="C65" s="60" t="s">
        <v>913</v>
      </c>
      <c r="D65" s="55"/>
      <c r="E65" s="54"/>
      <c r="F65" s="54"/>
      <c r="G65" s="1716"/>
      <c r="H65" s="61">
        <v>29</v>
      </c>
      <c r="I65" s="60" t="s">
        <v>951</v>
      </c>
      <c r="J65" s="60" t="s">
        <v>913</v>
      </c>
      <c r="K65" s="75"/>
      <c r="L65" s="76"/>
      <c r="M65" s="54"/>
      <c r="N65" s="54"/>
      <c r="O65" s="1716"/>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716"/>
      <c r="H66" s="58"/>
      <c r="I66" s="58"/>
      <c r="J66" s="58"/>
      <c r="K66" s="75"/>
      <c r="L66" s="76"/>
      <c r="M66" s="54"/>
      <c r="N66" s="56">
        <v>385.54</v>
      </c>
      <c r="O66" s="1716"/>
      <c r="P66" s="77"/>
      <c r="Q66" s="77"/>
      <c r="R66" s="77"/>
      <c r="S66" s="77"/>
      <c r="T66" s="77"/>
      <c r="U66" s="77"/>
      <c r="V66" s="77"/>
      <c r="W66" s="77"/>
      <c r="X66" s="77"/>
      <c r="Y66" s="77"/>
      <c r="Z66" s="98" t="s">
        <v>952</v>
      </c>
      <c r="AA66" s="99"/>
      <c r="AB66" s="99"/>
      <c r="AC66" s="100"/>
    </row>
    <row r="67" spans="1:29" ht="19">
      <c r="A67" s="62">
        <v>30</v>
      </c>
      <c r="B67" s="63" t="s">
        <v>953</v>
      </c>
      <c r="C67" s="63" t="s">
        <v>936</v>
      </c>
      <c r="D67" s="64"/>
      <c r="E67" s="63" t="s">
        <v>954</v>
      </c>
      <c r="F67" s="65"/>
      <c r="G67" s="66"/>
      <c r="H67" s="67">
        <v>30</v>
      </c>
      <c r="I67" s="63" t="s">
        <v>953</v>
      </c>
      <c r="J67" s="63" t="s">
        <v>936</v>
      </c>
      <c r="K67" s="79"/>
      <c r="L67" s="66"/>
      <c r="M67" s="63" t="s">
        <v>954</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716">
        <v>1242</v>
      </c>
      <c r="H68" s="58"/>
      <c r="I68" s="58"/>
      <c r="J68" s="58"/>
      <c r="K68" s="75"/>
      <c r="L68" s="76"/>
      <c r="M68" s="54"/>
      <c r="N68" s="56">
        <v>418.31</v>
      </c>
      <c r="O68" s="1716">
        <v>1242</v>
      </c>
      <c r="P68" s="77"/>
      <c r="Q68" s="77"/>
      <c r="R68" s="77"/>
      <c r="S68" s="77"/>
      <c r="T68" s="77"/>
      <c r="U68" s="77"/>
      <c r="V68" s="77"/>
      <c r="W68" s="77"/>
      <c r="X68" s="77"/>
      <c r="Y68" s="77"/>
      <c r="Z68" s="98" t="s">
        <v>904</v>
      </c>
      <c r="AA68" s="99"/>
      <c r="AB68" s="99"/>
      <c r="AC68" s="100"/>
    </row>
    <row r="69" spans="1:29">
      <c r="A69" s="59">
        <v>31</v>
      </c>
      <c r="B69" s="60" t="s">
        <v>955</v>
      </c>
      <c r="C69" s="60" t="s">
        <v>899</v>
      </c>
      <c r="D69" s="68">
        <v>1</v>
      </c>
      <c r="E69" s="54"/>
      <c r="F69" s="54"/>
      <c r="G69" s="1716"/>
      <c r="H69" s="61">
        <v>31</v>
      </c>
      <c r="I69" s="60" t="s">
        <v>955</v>
      </c>
      <c r="J69" s="60" t="s">
        <v>899</v>
      </c>
      <c r="K69" s="68">
        <v>1</v>
      </c>
      <c r="L69" s="76"/>
      <c r="M69" s="54"/>
      <c r="N69" s="54"/>
      <c r="O69" s="1716"/>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716"/>
      <c r="H70" s="58"/>
      <c r="I70" s="58"/>
      <c r="J70" s="58"/>
      <c r="K70" s="75"/>
      <c r="L70" s="76"/>
      <c r="M70" s="54"/>
      <c r="N70" s="56">
        <v>421.47</v>
      </c>
      <c r="O70" s="1716"/>
      <c r="P70" s="77"/>
      <c r="Q70" s="77"/>
      <c r="R70" s="77"/>
      <c r="S70" s="77"/>
      <c r="T70" s="77"/>
      <c r="U70" s="77"/>
      <c r="V70" s="77"/>
      <c r="W70" s="77"/>
      <c r="X70" s="77"/>
      <c r="Y70" s="77"/>
      <c r="Z70" s="98" t="s">
        <v>906</v>
      </c>
      <c r="AA70" s="99"/>
      <c r="AB70" s="99"/>
      <c r="AC70" s="100"/>
    </row>
    <row r="71" spans="1:29">
      <c r="A71" s="59">
        <v>32</v>
      </c>
      <c r="B71" s="60" t="s">
        <v>956</v>
      </c>
      <c r="C71" s="60" t="s">
        <v>903</v>
      </c>
      <c r="D71" s="55"/>
      <c r="E71" s="54"/>
      <c r="F71" s="54"/>
      <c r="G71" s="1716"/>
      <c r="H71" s="61">
        <v>32</v>
      </c>
      <c r="I71" s="60" t="s">
        <v>956</v>
      </c>
      <c r="J71" s="60" t="s">
        <v>903</v>
      </c>
      <c r="K71" s="75"/>
      <c r="L71" s="76"/>
      <c r="M71" s="54"/>
      <c r="N71" s="54"/>
      <c r="O71" s="1716"/>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716"/>
      <c r="H72" s="58"/>
      <c r="I72" s="58"/>
      <c r="J72" s="58"/>
      <c r="K72" s="75"/>
      <c r="L72" s="76"/>
      <c r="M72" s="54"/>
      <c r="N72" s="56">
        <v>401.98</v>
      </c>
      <c r="O72" s="1716"/>
      <c r="P72" s="77"/>
      <c r="Q72" s="77"/>
      <c r="R72" s="77"/>
      <c r="S72" s="77"/>
      <c r="T72" s="77"/>
      <c r="U72" s="77"/>
      <c r="V72" s="77"/>
      <c r="W72" s="77"/>
      <c r="X72" s="77"/>
      <c r="Y72" s="77"/>
      <c r="Z72" s="98" t="s">
        <v>906</v>
      </c>
      <c r="AA72" s="99"/>
      <c r="AB72" s="99"/>
      <c r="AC72" s="100"/>
    </row>
    <row r="73" spans="1:29" ht="19">
      <c r="A73" s="62">
        <v>33</v>
      </c>
      <c r="B73" s="63" t="s">
        <v>957</v>
      </c>
      <c r="C73" s="63" t="s">
        <v>894</v>
      </c>
      <c r="D73" s="64"/>
      <c r="E73" s="63" t="s">
        <v>958</v>
      </c>
      <c r="F73" s="65"/>
      <c r="G73" s="66"/>
      <c r="H73" s="67">
        <v>33</v>
      </c>
      <c r="I73" s="63" t="s">
        <v>957</v>
      </c>
      <c r="J73" s="63" t="s">
        <v>894</v>
      </c>
      <c r="K73" s="79"/>
      <c r="L73" s="66"/>
      <c r="M73" s="63" t="s">
        <v>958</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716">
        <v>833</v>
      </c>
      <c r="H74" s="58"/>
      <c r="I74" s="58"/>
      <c r="J74" s="58"/>
      <c r="K74" s="75"/>
      <c r="L74" s="76"/>
      <c r="M74" s="54"/>
      <c r="N74" s="56">
        <v>429.38</v>
      </c>
      <c r="O74" s="1716">
        <v>833</v>
      </c>
      <c r="P74" s="77"/>
      <c r="Q74" s="77"/>
      <c r="R74" s="77"/>
      <c r="S74" s="77"/>
      <c r="T74" s="77"/>
      <c r="U74" s="77"/>
      <c r="V74" s="77"/>
      <c r="W74" s="77"/>
      <c r="X74" s="77"/>
      <c r="Y74" s="77"/>
      <c r="Z74" s="98" t="s">
        <v>959</v>
      </c>
      <c r="AA74" s="99"/>
      <c r="AB74" s="99"/>
      <c r="AC74" s="100"/>
    </row>
    <row r="75" spans="1:29">
      <c r="A75" s="59">
        <v>34</v>
      </c>
      <c r="B75" s="60" t="s">
        <v>960</v>
      </c>
      <c r="C75" s="60" t="s">
        <v>903</v>
      </c>
      <c r="D75" s="55"/>
      <c r="E75" s="54"/>
      <c r="F75" s="54"/>
      <c r="G75" s="1716"/>
      <c r="H75" s="61">
        <v>34</v>
      </c>
      <c r="I75" s="60" t="s">
        <v>960</v>
      </c>
      <c r="J75" s="60" t="s">
        <v>903</v>
      </c>
      <c r="K75" s="75"/>
      <c r="L75" s="76"/>
      <c r="M75" s="54"/>
      <c r="N75" s="54"/>
      <c r="O75" s="1716"/>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716"/>
      <c r="H76" s="58"/>
      <c r="I76" s="58"/>
      <c r="J76" s="58"/>
      <c r="K76" s="75"/>
      <c r="L76" s="76"/>
      <c r="M76" s="54"/>
      <c r="N76" s="56">
        <v>403.83</v>
      </c>
      <c r="O76" s="1716"/>
      <c r="P76" s="77"/>
      <c r="Q76" s="77"/>
      <c r="R76" s="77"/>
      <c r="S76" s="77"/>
      <c r="T76" s="77"/>
      <c r="U76" s="77"/>
      <c r="V76" s="77"/>
      <c r="W76" s="77"/>
      <c r="X76" s="77"/>
      <c r="Y76" s="77"/>
      <c r="Z76" s="98" t="s">
        <v>938</v>
      </c>
      <c r="AA76" s="99"/>
      <c r="AB76" s="99"/>
      <c r="AC76" s="100"/>
    </row>
    <row r="77" spans="1:29" ht="19">
      <c r="A77" s="62">
        <v>35</v>
      </c>
      <c r="B77" s="63" t="s">
        <v>961</v>
      </c>
      <c r="C77" s="63" t="s">
        <v>962</v>
      </c>
      <c r="D77" s="64"/>
      <c r="E77" s="63" t="s">
        <v>963</v>
      </c>
      <c r="F77" s="65"/>
      <c r="G77" s="66"/>
      <c r="H77" s="67">
        <v>35</v>
      </c>
      <c r="I77" s="63" t="s">
        <v>961</v>
      </c>
      <c r="J77" s="63" t="s">
        <v>962</v>
      </c>
      <c r="K77" s="79"/>
      <c r="L77" s="66"/>
      <c r="M77" s="63" t="s">
        <v>963</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904</v>
      </c>
      <c r="AA78" s="99"/>
      <c r="AB78" s="99"/>
      <c r="AC78" s="100"/>
    </row>
    <row r="79" spans="1:29" ht="19">
      <c r="A79" s="62">
        <v>36</v>
      </c>
      <c r="B79" s="63" t="s">
        <v>964</v>
      </c>
      <c r="C79" s="63" t="s">
        <v>894</v>
      </c>
      <c r="D79" s="64"/>
      <c r="E79" s="63" t="s">
        <v>965</v>
      </c>
      <c r="F79" s="65"/>
      <c r="G79" s="107"/>
      <c r="H79" s="67">
        <v>36</v>
      </c>
      <c r="I79" s="63" t="s">
        <v>964</v>
      </c>
      <c r="J79" s="63" t="s">
        <v>894</v>
      </c>
      <c r="K79" s="79"/>
      <c r="L79" s="66"/>
      <c r="M79" s="63" t="s">
        <v>965</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716">
        <v>735</v>
      </c>
      <c r="H80" s="58"/>
      <c r="I80" s="58"/>
      <c r="J80" s="58"/>
      <c r="K80" s="75"/>
      <c r="L80" s="76"/>
      <c r="M80" s="54"/>
      <c r="N80" s="56">
        <v>380.68</v>
      </c>
      <c r="O80" s="1716">
        <v>735</v>
      </c>
      <c r="P80" s="77"/>
      <c r="Q80" s="77"/>
      <c r="R80" s="77"/>
      <c r="S80" s="77"/>
      <c r="T80" s="77"/>
      <c r="U80" s="77"/>
      <c r="V80" s="77"/>
      <c r="W80" s="77"/>
      <c r="X80" s="77"/>
      <c r="Y80" s="77"/>
      <c r="Z80" s="98" t="s">
        <v>906</v>
      </c>
      <c r="AA80" s="99"/>
      <c r="AB80" s="99"/>
      <c r="AC80" s="100"/>
    </row>
    <row r="81" spans="1:29">
      <c r="A81" s="59">
        <v>37</v>
      </c>
      <c r="B81" s="60" t="s">
        <v>966</v>
      </c>
      <c r="C81" s="60" t="s">
        <v>899</v>
      </c>
      <c r="D81" s="55"/>
      <c r="E81" s="54"/>
      <c r="F81" s="54"/>
      <c r="G81" s="1716"/>
      <c r="H81" s="61">
        <v>37</v>
      </c>
      <c r="I81" s="60" t="s">
        <v>966</v>
      </c>
      <c r="J81" s="60" t="s">
        <v>899</v>
      </c>
      <c r="K81" s="75"/>
      <c r="L81" s="76"/>
      <c r="M81" s="54"/>
      <c r="N81" s="54"/>
      <c r="O81" s="1716"/>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716"/>
      <c r="H82" s="58"/>
      <c r="I82" s="58"/>
      <c r="J82" s="58"/>
      <c r="K82" s="75"/>
      <c r="L82" s="76"/>
      <c r="M82" s="54"/>
      <c r="N82" s="56">
        <v>354.53</v>
      </c>
      <c r="O82" s="1716"/>
      <c r="P82" s="77"/>
      <c r="Q82" s="77"/>
      <c r="R82" s="77"/>
      <c r="S82" s="77"/>
      <c r="T82" s="77"/>
      <c r="U82" s="77"/>
      <c r="V82" s="77"/>
      <c r="W82" s="77"/>
      <c r="X82" s="77"/>
      <c r="Y82" s="77"/>
      <c r="Z82" s="98" t="s">
        <v>904</v>
      </c>
      <c r="AA82" s="99"/>
      <c r="AB82" s="99"/>
      <c r="AC82" s="100"/>
    </row>
    <row r="83" spans="1:29" ht="19">
      <c r="A83" s="62">
        <v>38</v>
      </c>
      <c r="B83" s="63" t="s">
        <v>967</v>
      </c>
      <c r="C83" s="63" t="s">
        <v>929</v>
      </c>
      <c r="D83" s="64"/>
      <c r="E83" s="63" t="s">
        <v>968</v>
      </c>
      <c r="F83" s="65"/>
      <c r="G83" s="66"/>
      <c r="H83" s="67">
        <v>38</v>
      </c>
      <c r="I83" s="63" t="s">
        <v>967</v>
      </c>
      <c r="J83" s="63" t="s">
        <v>929</v>
      </c>
      <c r="K83" s="79"/>
      <c r="L83" s="66"/>
      <c r="M83" s="63" t="s">
        <v>968</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716">
        <v>1203</v>
      </c>
      <c r="H84" s="58"/>
      <c r="I84" s="58"/>
      <c r="J84" s="58"/>
      <c r="K84" s="75"/>
      <c r="L84" s="76"/>
      <c r="M84" s="54"/>
      <c r="N84" s="56">
        <v>405.57</v>
      </c>
      <c r="O84" s="1716">
        <v>1203</v>
      </c>
      <c r="P84" s="77"/>
      <c r="Q84" s="77"/>
      <c r="R84" s="77"/>
      <c r="S84" s="77"/>
      <c r="T84" s="77"/>
      <c r="U84" s="77"/>
      <c r="V84" s="77"/>
      <c r="W84" s="77"/>
      <c r="X84" s="77"/>
      <c r="Y84" s="77"/>
      <c r="Z84" s="77"/>
      <c r="AA84" s="99"/>
      <c r="AB84" s="99"/>
      <c r="AC84" s="100"/>
    </row>
    <row r="85" spans="1:29">
      <c r="A85" s="59">
        <v>39</v>
      </c>
      <c r="B85" s="60" t="s">
        <v>969</v>
      </c>
      <c r="C85" s="60" t="s">
        <v>913</v>
      </c>
      <c r="D85" s="55"/>
      <c r="E85" s="54"/>
      <c r="F85" s="54"/>
      <c r="G85" s="1716"/>
      <c r="H85" s="61">
        <v>39</v>
      </c>
      <c r="I85" s="60" t="s">
        <v>969</v>
      </c>
      <c r="J85" s="60" t="s">
        <v>913</v>
      </c>
      <c r="K85" s="75"/>
      <c r="L85" s="76"/>
      <c r="M85" s="54"/>
      <c r="N85" s="54"/>
      <c r="O85" s="1716"/>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716"/>
      <c r="H86" s="58"/>
      <c r="I86" s="58"/>
      <c r="J86" s="58"/>
      <c r="K86" s="75"/>
      <c r="L86" s="76"/>
      <c r="M86" s="54"/>
      <c r="N86" s="56">
        <v>416.87</v>
      </c>
      <c r="O86" s="1716"/>
      <c r="P86" s="77"/>
      <c r="Q86" s="77"/>
      <c r="R86" s="77"/>
      <c r="S86" s="77"/>
      <c r="T86" s="77"/>
      <c r="U86" s="77"/>
      <c r="V86" s="77"/>
      <c r="W86" s="77"/>
      <c r="X86" s="77"/>
      <c r="Y86" s="77"/>
      <c r="Z86" s="98" t="s">
        <v>970</v>
      </c>
      <c r="AA86" s="99"/>
      <c r="AB86" s="99"/>
      <c r="AC86" s="100"/>
    </row>
    <row r="87" spans="1:29">
      <c r="A87" s="59">
        <v>40</v>
      </c>
      <c r="B87" s="60" t="s">
        <v>971</v>
      </c>
      <c r="C87" s="60" t="s">
        <v>899</v>
      </c>
      <c r="D87" s="55"/>
      <c r="E87" s="54"/>
      <c r="F87" s="54"/>
      <c r="G87" s="1716"/>
      <c r="H87" s="61">
        <v>40</v>
      </c>
      <c r="I87" s="60" t="s">
        <v>971</v>
      </c>
      <c r="J87" s="60" t="s">
        <v>899</v>
      </c>
      <c r="K87" s="75"/>
      <c r="L87" s="76"/>
      <c r="M87" s="54"/>
      <c r="N87" s="54"/>
      <c r="O87" s="1716"/>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716"/>
      <c r="H88" s="58"/>
      <c r="I88" s="58"/>
      <c r="J88" s="58"/>
      <c r="K88" s="75"/>
      <c r="L88" s="76"/>
      <c r="M88" s="54"/>
      <c r="N88" s="56">
        <v>380.77</v>
      </c>
      <c r="O88" s="1716"/>
      <c r="P88" s="77"/>
      <c r="Q88" s="77"/>
      <c r="R88" s="77"/>
      <c r="S88" s="77"/>
      <c r="T88" s="77"/>
      <c r="U88" s="77"/>
      <c r="V88" s="77"/>
      <c r="W88" s="77"/>
      <c r="X88" s="77"/>
      <c r="Y88" s="77"/>
      <c r="Z88" s="98" t="s">
        <v>904</v>
      </c>
      <c r="AA88" s="99"/>
      <c r="AB88" s="99"/>
      <c r="AC88" s="100"/>
    </row>
    <row r="89" spans="1:29" ht="19">
      <c r="A89" s="62">
        <v>41</v>
      </c>
      <c r="B89" s="63" t="s">
        <v>972</v>
      </c>
      <c r="C89" s="63" t="s">
        <v>894</v>
      </c>
      <c r="D89" s="64"/>
      <c r="E89" s="63" t="s">
        <v>973</v>
      </c>
      <c r="F89" s="65"/>
      <c r="G89" s="66"/>
      <c r="H89" s="67">
        <v>41</v>
      </c>
      <c r="I89" s="63" t="s">
        <v>972</v>
      </c>
      <c r="J89" s="63" t="s">
        <v>894</v>
      </c>
      <c r="K89" s="79"/>
      <c r="L89" s="66"/>
      <c r="M89" s="63" t="s">
        <v>973</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716">
        <v>1101</v>
      </c>
      <c r="H90" s="58"/>
      <c r="I90" s="58"/>
      <c r="J90" s="58"/>
      <c r="K90" s="75"/>
      <c r="L90" s="76"/>
      <c r="M90" s="54"/>
      <c r="N90" s="56">
        <v>411.81</v>
      </c>
      <c r="O90" s="1716">
        <v>1101</v>
      </c>
      <c r="P90" s="77"/>
      <c r="Q90" s="77"/>
      <c r="R90" s="77"/>
      <c r="S90" s="77"/>
      <c r="T90" s="77"/>
      <c r="U90" s="77"/>
      <c r="V90" s="77"/>
      <c r="W90" s="77"/>
      <c r="X90" s="77"/>
      <c r="Y90" s="77"/>
      <c r="Z90" s="98" t="s">
        <v>940</v>
      </c>
      <c r="AA90" s="99"/>
      <c r="AB90" s="99"/>
      <c r="AC90" s="100"/>
    </row>
    <row r="91" spans="1:29">
      <c r="A91" s="59">
        <v>42</v>
      </c>
      <c r="B91" s="60" t="s">
        <v>974</v>
      </c>
      <c r="C91" s="60" t="s">
        <v>903</v>
      </c>
      <c r="D91" s="55"/>
      <c r="E91" s="54"/>
      <c r="F91" s="54"/>
      <c r="G91" s="1716"/>
      <c r="H91" s="61">
        <v>42</v>
      </c>
      <c r="I91" s="60" t="s">
        <v>974</v>
      </c>
      <c r="J91" s="60" t="s">
        <v>903</v>
      </c>
      <c r="K91" s="75"/>
      <c r="L91" s="76"/>
      <c r="M91" s="54"/>
      <c r="N91" s="54"/>
      <c r="O91" s="1716"/>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716"/>
      <c r="H92" s="58"/>
      <c r="I92" s="58"/>
      <c r="J92" s="58"/>
      <c r="K92" s="75"/>
      <c r="L92" s="76"/>
      <c r="M92" s="54"/>
      <c r="N92" s="56">
        <v>392.08</v>
      </c>
      <c r="O92" s="1716"/>
      <c r="P92" s="77"/>
      <c r="Q92" s="77"/>
      <c r="R92" s="77"/>
      <c r="S92" s="77"/>
      <c r="T92" s="77"/>
      <c r="U92" s="77"/>
      <c r="V92" s="77"/>
      <c r="W92" s="77"/>
      <c r="X92" s="77"/>
      <c r="Y92" s="77"/>
      <c r="Z92" s="98" t="s">
        <v>904</v>
      </c>
      <c r="AA92" s="99"/>
      <c r="AB92" s="99"/>
      <c r="AC92" s="100"/>
    </row>
    <row r="93" spans="1:29">
      <c r="A93" s="59">
        <v>43</v>
      </c>
      <c r="B93" s="60" t="s">
        <v>975</v>
      </c>
      <c r="C93" s="60" t="s">
        <v>933</v>
      </c>
      <c r="D93" s="55"/>
      <c r="E93" s="54"/>
      <c r="F93" s="54"/>
      <c r="G93" s="1716"/>
      <c r="H93" s="61">
        <v>43</v>
      </c>
      <c r="I93" s="60" t="s">
        <v>975</v>
      </c>
      <c r="J93" s="60" t="s">
        <v>933</v>
      </c>
      <c r="K93" s="75"/>
      <c r="L93" s="76"/>
      <c r="M93" s="54"/>
      <c r="N93" s="54"/>
      <c r="O93" s="1716"/>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716"/>
      <c r="H94" s="58"/>
      <c r="I94" s="58"/>
      <c r="J94" s="58"/>
      <c r="K94" s="75"/>
      <c r="L94" s="76"/>
      <c r="M94" s="54"/>
      <c r="N94" s="56">
        <v>296.87</v>
      </c>
      <c r="O94" s="1716"/>
      <c r="P94" s="77"/>
      <c r="Q94" s="77"/>
      <c r="R94" s="77"/>
      <c r="S94" s="77"/>
      <c r="T94" s="77"/>
      <c r="U94" s="77"/>
      <c r="V94" s="77"/>
      <c r="W94" s="77"/>
      <c r="X94" s="77"/>
      <c r="Y94" s="77"/>
      <c r="Z94" s="121" t="s">
        <v>976</v>
      </c>
      <c r="AA94" s="99"/>
      <c r="AB94" s="99"/>
      <c r="AC94" s="100"/>
    </row>
    <row r="95" spans="1:29" ht="19">
      <c r="A95" s="62">
        <v>44</v>
      </c>
      <c r="B95" s="63" t="s">
        <v>977</v>
      </c>
      <c r="C95" s="63" t="s">
        <v>894</v>
      </c>
      <c r="D95" s="64"/>
      <c r="E95" s="63" t="s">
        <v>978</v>
      </c>
      <c r="F95" s="65"/>
      <c r="G95" s="66"/>
      <c r="H95" s="67">
        <v>44</v>
      </c>
      <c r="I95" s="63" t="s">
        <v>977</v>
      </c>
      <c r="J95" s="63" t="s">
        <v>894</v>
      </c>
      <c r="K95" s="79"/>
      <c r="L95" s="66"/>
      <c r="M95" s="63" t="s">
        <v>978</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979</v>
      </c>
      <c r="C97" s="63" t="s">
        <v>894</v>
      </c>
      <c r="D97" s="64"/>
      <c r="E97" s="63" t="s">
        <v>980</v>
      </c>
      <c r="F97" s="65"/>
      <c r="G97" s="66"/>
      <c r="H97" s="67">
        <v>45</v>
      </c>
      <c r="I97" s="63" t="s">
        <v>979</v>
      </c>
      <c r="J97" s="63" t="s">
        <v>894</v>
      </c>
      <c r="K97" s="79"/>
      <c r="L97" s="66"/>
      <c r="M97" s="63" t="s">
        <v>980</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716">
        <v>835</v>
      </c>
      <c r="H98" s="58"/>
      <c r="I98" s="58"/>
      <c r="J98" s="58"/>
      <c r="K98" s="75"/>
      <c r="L98" s="76"/>
      <c r="M98" s="54"/>
      <c r="N98" s="56">
        <v>382.17</v>
      </c>
      <c r="O98" s="1716">
        <v>835</v>
      </c>
      <c r="P98" s="77"/>
      <c r="Q98" s="77"/>
      <c r="R98" s="77"/>
      <c r="S98" s="77"/>
      <c r="T98" s="77"/>
      <c r="U98" s="77"/>
      <c r="V98" s="77"/>
      <c r="W98" s="77"/>
      <c r="X98" s="77"/>
      <c r="Y98" s="77"/>
      <c r="Z98" s="98" t="s">
        <v>981</v>
      </c>
      <c r="AA98" s="99"/>
      <c r="AB98" s="99"/>
      <c r="AC98" s="100"/>
    </row>
    <row r="99" spans="1:29">
      <c r="A99" s="59">
        <v>46</v>
      </c>
      <c r="B99" s="60" t="s">
        <v>982</v>
      </c>
      <c r="C99" s="60" t="s">
        <v>933</v>
      </c>
      <c r="D99" s="55"/>
      <c r="E99" s="54"/>
      <c r="F99" s="54"/>
      <c r="G99" s="1716"/>
      <c r="H99" s="61">
        <v>46</v>
      </c>
      <c r="I99" s="60" t="s">
        <v>982</v>
      </c>
      <c r="J99" s="60" t="s">
        <v>933</v>
      </c>
      <c r="K99" s="75"/>
      <c r="L99" s="76"/>
      <c r="M99" s="54"/>
      <c r="N99" s="54"/>
      <c r="O99" s="1716"/>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716"/>
      <c r="H100" s="58"/>
      <c r="I100" s="58"/>
      <c r="J100" s="58"/>
      <c r="K100" s="75"/>
      <c r="L100" s="76"/>
      <c r="M100" s="54"/>
      <c r="N100" s="56">
        <v>452.74</v>
      </c>
      <c r="O100" s="1716"/>
      <c r="P100" s="77"/>
      <c r="Q100" s="77"/>
      <c r="R100" s="77"/>
      <c r="S100" s="77"/>
      <c r="T100" s="77"/>
      <c r="U100" s="77"/>
      <c r="V100" s="77"/>
      <c r="W100" s="77"/>
      <c r="X100" s="77"/>
      <c r="Y100" s="77"/>
      <c r="Z100" s="98" t="s">
        <v>983</v>
      </c>
      <c r="AA100" s="99"/>
      <c r="AB100" s="99"/>
      <c r="AC100" s="100"/>
    </row>
    <row r="101" spans="1:29" ht="19">
      <c r="A101" s="62">
        <v>47</v>
      </c>
      <c r="B101" s="63" t="s">
        <v>984</v>
      </c>
      <c r="C101" s="63" t="s">
        <v>894</v>
      </c>
      <c r="D101" s="64"/>
      <c r="E101" s="63" t="s">
        <v>985</v>
      </c>
      <c r="F101" s="65"/>
      <c r="G101" s="66"/>
      <c r="H101" s="67">
        <v>47</v>
      </c>
      <c r="I101" s="63" t="s">
        <v>984</v>
      </c>
      <c r="J101" s="63" t="s">
        <v>894</v>
      </c>
      <c r="K101" s="79"/>
      <c r="L101" s="66"/>
      <c r="M101" s="63" t="s">
        <v>985</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716">
        <v>815</v>
      </c>
      <c r="H102" s="58"/>
      <c r="I102" s="58"/>
      <c r="J102" s="58"/>
      <c r="K102" s="75"/>
      <c r="L102" s="76"/>
      <c r="M102" s="54"/>
      <c r="N102" s="56">
        <v>420.21</v>
      </c>
      <c r="O102" s="1716">
        <v>815</v>
      </c>
      <c r="P102" s="77"/>
      <c r="Q102" s="77"/>
      <c r="R102" s="77"/>
      <c r="S102" s="77"/>
      <c r="T102" s="77"/>
      <c r="U102" s="77"/>
      <c r="V102" s="77"/>
      <c r="W102" s="77"/>
      <c r="X102" s="77"/>
      <c r="Y102" s="77"/>
      <c r="Z102" s="77"/>
      <c r="AA102" s="99"/>
      <c r="AB102" s="99"/>
      <c r="AC102" s="100"/>
    </row>
    <row r="103" spans="1:29">
      <c r="A103" s="59">
        <v>48</v>
      </c>
      <c r="B103" s="60" t="s">
        <v>986</v>
      </c>
      <c r="C103" s="60" t="s">
        <v>933</v>
      </c>
      <c r="D103" s="55"/>
      <c r="E103" s="54"/>
      <c r="F103" s="54"/>
      <c r="G103" s="1716"/>
      <c r="H103" s="61">
        <v>48</v>
      </c>
      <c r="I103" s="60" t="s">
        <v>986</v>
      </c>
      <c r="J103" s="60" t="s">
        <v>933</v>
      </c>
      <c r="K103" s="75"/>
      <c r="L103" s="76"/>
      <c r="M103" s="54"/>
      <c r="N103" s="54"/>
      <c r="O103" s="1716"/>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716"/>
      <c r="H104" s="58"/>
      <c r="I104" s="58"/>
      <c r="J104" s="58"/>
      <c r="K104" s="75"/>
      <c r="L104" s="76"/>
      <c r="M104" s="54"/>
      <c r="N104" s="56">
        <v>395.01</v>
      </c>
      <c r="O104" s="1716"/>
      <c r="P104" s="77"/>
      <c r="Q104" s="77"/>
      <c r="R104" s="77"/>
      <c r="S104" s="77"/>
      <c r="T104" s="77"/>
      <c r="U104" s="77"/>
      <c r="V104" s="77"/>
      <c r="W104" s="77"/>
      <c r="X104" s="77"/>
      <c r="Y104" s="77"/>
      <c r="Z104" s="98" t="s">
        <v>987</v>
      </c>
      <c r="AA104" s="99"/>
      <c r="AB104" s="99"/>
      <c r="AC104" s="100"/>
    </row>
    <row r="105" spans="1:29" ht="19">
      <c r="A105" s="62">
        <v>49</v>
      </c>
      <c r="B105" s="63" t="s">
        <v>988</v>
      </c>
      <c r="C105" s="63" t="s">
        <v>929</v>
      </c>
      <c r="D105" s="64"/>
      <c r="E105" s="63" t="s">
        <v>989</v>
      </c>
      <c r="F105" s="65"/>
      <c r="G105" s="66"/>
      <c r="H105" s="67">
        <v>49</v>
      </c>
      <c r="I105" s="63" t="s">
        <v>988</v>
      </c>
      <c r="J105" s="63" t="s">
        <v>929</v>
      </c>
      <c r="K105" s="79"/>
      <c r="L105" s="66"/>
      <c r="M105" s="63" t="s">
        <v>989</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716">
        <v>1473</v>
      </c>
      <c r="H106" s="58"/>
      <c r="I106" s="58"/>
      <c r="J106" s="58"/>
      <c r="K106" s="75"/>
      <c r="L106" s="76"/>
      <c r="M106" s="54"/>
      <c r="N106" s="56">
        <v>386.74</v>
      </c>
      <c r="O106" s="1716">
        <v>1473</v>
      </c>
      <c r="P106" s="77"/>
      <c r="Q106" s="77"/>
      <c r="R106" s="77"/>
      <c r="S106" s="77"/>
      <c r="T106" s="77"/>
      <c r="U106" s="77"/>
      <c r="V106" s="77"/>
      <c r="W106" s="77"/>
      <c r="X106" s="77"/>
      <c r="Y106" s="77"/>
      <c r="Z106" s="77"/>
      <c r="AA106" s="99"/>
      <c r="AB106" s="99"/>
      <c r="AC106" s="100"/>
    </row>
    <row r="107" spans="1:29">
      <c r="A107" s="59">
        <v>50</v>
      </c>
      <c r="B107" s="60" t="s">
        <v>990</v>
      </c>
      <c r="C107" s="60" t="s">
        <v>899</v>
      </c>
      <c r="D107" s="55"/>
      <c r="E107" s="54"/>
      <c r="F107" s="54"/>
      <c r="G107" s="1716"/>
      <c r="H107" s="61">
        <v>50</v>
      </c>
      <c r="I107" s="60" t="s">
        <v>990</v>
      </c>
      <c r="J107" s="60" t="s">
        <v>899</v>
      </c>
      <c r="K107" s="75"/>
      <c r="L107" s="76"/>
      <c r="M107" s="54"/>
      <c r="N107" s="54"/>
      <c r="O107" s="1716"/>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716"/>
      <c r="H108" s="58"/>
      <c r="I108" s="58"/>
      <c r="J108" s="58"/>
      <c r="K108" s="75"/>
      <c r="L108" s="76"/>
      <c r="M108" s="54"/>
      <c r="N108" s="56">
        <v>378.62</v>
      </c>
      <c r="O108" s="1716"/>
      <c r="P108" s="77"/>
      <c r="Q108" s="77"/>
      <c r="R108" s="77"/>
      <c r="S108" s="77"/>
      <c r="T108" s="77"/>
      <c r="U108" s="77"/>
      <c r="V108" s="77"/>
      <c r="W108" s="77"/>
      <c r="X108" s="77"/>
      <c r="Y108" s="77"/>
      <c r="Z108" s="77"/>
      <c r="AA108" s="99"/>
      <c r="AB108" s="99"/>
      <c r="AC108" s="100"/>
    </row>
    <row r="109" spans="1:29">
      <c r="A109" s="59">
        <v>51</v>
      </c>
      <c r="B109" s="60" t="s">
        <v>991</v>
      </c>
      <c r="C109" s="60" t="s">
        <v>899</v>
      </c>
      <c r="D109" s="55"/>
      <c r="E109" s="54"/>
      <c r="F109" s="54"/>
      <c r="G109" s="1716"/>
      <c r="H109" s="61">
        <v>51</v>
      </c>
      <c r="I109" s="60" t="s">
        <v>991</v>
      </c>
      <c r="J109" s="60" t="s">
        <v>899</v>
      </c>
      <c r="K109" s="75"/>
      <c r="L109" s="76"/>
      <c r="M109" s="54"/>
      <c r="N109" s="54"/>
      <c r="O109" s="1716"/>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716"/>
      <c r="H110" s="58"/>
      <c r="I110" s="58"/>
      <c r="J110" s="58"/>
      <c r="K110" s="75"/>
      <c r="L110" s="76"/>
      <c r="M110" s="54"/>
      <c r="N110" s="56">
        <v>350.22</v>
      </c>
      <c r="O110" s="1716"/>
      <c r="P110" s="77"/>
      <c r="Q110" s="77"/>
      <c r="R110" s="77"/>
      <c r="S110" s="77"/>
      <c r="T110" s="77"/>
      <c r="U110" s="77"/>
      <c r="V110" s="77"/>
      <c r="W110" s="77"/>
      <c r="X110" s="77"/>
      <c r="Y110" s="77"/>
      <c r="Z110" s="98" t="s">
        <v>992</v>
      </c>
      <c r="AA110" s="99"/>
      <c r="AB110" s="99"/>
      <c r="AC110" s="100"/>
    </row>
    <row r="111" spans="1:29">
      <c r="A111" s="59">
        <v>52</v>
      </c>
      <c r="B111" s="60" t="s">
        <v>993</v>
      </c>
      <c r="C111" s="60" t="s">
        <v>899</v>
      </c>
      <c r="D111" s="55"/>
      <c r="E111" s="54"/>
      <c r="F111" s="54"/>
      <c r="G111" s="1716"/>
      <c r="H111" s="61">
        <v>52</v>
      </c>
      <c r="I111" s="60" t="s">
        <v>993</v>
      </c>
      <c r="J111" s="60" t="s">
        <v>899</v>
      </c>
      <c r="K111" s="75"/>
      <c r="L111" s="76"/>
      <c r="M111" s="54"/>
      <c r="N111" s="54"/>
      <c r="O111" s="1716"/>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716"/>
      <c r="H112" s="58"/>
      <c r="I112" s="58"/>
      <c r="J112" s="58"/>
      <c r="K112" s="75"/>
      <c r="L112" s="76"/>
      <c r="M112" s="54"/>
      <c r="N112" s="56">
        <v>357.91</v>
      </c>
      <c r="O112" s="1716"/>
      <c r="P112" s="77"/>
      <c r="Q112" s="77"/>
      <c r="R112" s="77"/>
      <c r="S112" s="77"/>
      <c r="T112" s="77"/>
      <c r="U112" s="77"/>
      <c r="V112" s="77"/>
      <c r="W112" s="77"/>
      <c r="X112" s="77"/>
      <c r="Y112" s="77"/>
      <c r="Z112" s="77"/>
      <c r="AA112" s="99"/>
      <c r="AB112" s="99"/>
      <c r="AC112" s="100"/>
    </row>
    <row r="113" spans="1:29" ht="19">
      <c r="A113" s="108">
        <v>53</v>
      </c>
      <c r="B113" s="109" t="s">
        <v>994</v>
      </c>
      <c r="C113" s="109" t="s">
        <v>894</v>
      </c>
      <c r="D113" s="110"/>
      <c r="E113" s="109" t="s">
        <v>995</v>
      </c>
      <c r="F113" s="111"/>
      <c r="G113" s="112"/>
      <c r="H113" s="113">
        <v>53</v>
      </c>
      <c r="I113" s="109" t="s">
        <v>994</v>
      </c>
      <c r="J113" s="109" t="s">
        <v>894</v>
      </c>
      <c r="K113" s="115"/>
      <c r="L113" s="112"/>
      <c r="M113" s="116" t="s">
        <v>996</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997</v>
      </c>
    </row>
    <row r="116" spans="1:29">
      <c r="E116" s="1701" t="s">
        <v>998</v>
      </c>
      <c r="F116" s="1701"/>
      <c r="G116" s="1701"/>
      <c r="H116" s="114"/>
      <c r="I116" s="114"/>
      <c r="J116" s="1701" t="s">
        <v>999</v>
      </c>
      <c r="K116" s="1701"/>
      <c r="L116" s="1701"/>
    </row>
    <row r="117" spans="1:29">
      <c r="E117" s="46" t="s">
        <v>1000</v>
      </c>
      <c r="G117" s="46" t="s">
        <v>1001</v>
      </c>
      <c r="J117" s="46" t="s">
        <v>1000</v>
      </c>
      <c r="L117" s="46" t="s">
        <v>1001</v>
      </c>
    </row>
    <row r="118" spans="1:29">
      <c r="E118" s="46" t="s">
        <v>182</v>
      </c>
      <c r="F118" s="46" t="s">
        <v>1002</v>
      </c>
      <c r="G118" s="46">
        <f>COUNTIF($C$9:$C$113,"DA+0")</f>
        <v>18</v>
      </c>
      <c r="J118" s="46" t="s">
        <v>182</v>
      </c>
      <c r="K118" s="46" t="s">
        <v>1002</v>
      </c>
      <c r="L118" s="46">
        <f>COUNTIF($J$9:$J$113,"DA+0")</f>
        <v>18</v>
      </c>
    </row>
    <row r="119" spans="1:29">
      <c r="E119" s="46" t="s">
        <v>185</v>
      </c>
      <c r="F119" s="46" t="s">
        <v>1002</v>
      </c>
      <c r="G119" s="46">
        <f>COUNTIF($C$9:$C$113,"DA+3")</f>
        <v>8</v>
      </c>
      <c r="J119" s="46" t="s">
        <v>185</v>
      </c>
      <c r="K119" s="46" t="s">
        <v>1002</v>
      </c>
      <c r="L119" s="46">
        <f>COUNTIF($J$9:$J$113,"DA+3")</f>
        <v>8</v>
      </c>
    </row>
    <row r="120" spans="1:29">
      <c r="E120" s="46" t="s">
        <v>242</v>
      </c>
      <c r="F120" s="46" t="s">
        <v>1002</v>
      </c>
      <c r="G120" s="46">
        <f>COUNTIF($C$9:$C$113,"DA+6")</f>
        <v>4</v>
      </c>
      <c r="J120" s="46" t="s">
        <v>242</v>
      </c>
      <c r="K120" s="46" t="s">
        <v>1002</v>
      </c>
      <c r="L120" s="46">
        <f>COUNTIF($J$9:$J$113,"DA+6")</f>
        <v>4</v>
      </c>
    </row>
    <row r="121" spans="1:29">
      <c r="E121" s="46" t="s">
        <v>248</v>
      </c>
      <c r="F121" s="46" t="s">
        <v>1002</v>
      </c>
      <c r="G121" s="46">
        <f>COUNTIF($C$9:$C$113,"DA+9")</f>
        <v>5</v>
      </c>
      <c r="J121" s="46" t="s">
        <v>248</v>
      </c>
      <c r="K121" s="46" t="s">
        <v>1002</v>
      </c>
      <c r="L121" s="46">
        <f>COUNTIF($J$9:$J$113,"DA+9")</f>
        <v>5</v>
      </c>
    </row>
    <row r="122" spans="1:29">
      <c r="E122" s="46" t="s">
        <v>119</v>
      </c>
      <c r="F122" s="46" t="s">
        <v>1002</v>
      </c>
      <c r="G122" s="46">
        <f>COUNTIF($C$9:$C$113,"DB+0")</f>
        <v>1</v>
      </c>
      <c r="J122" s="46" t="s">
        <v>119</v>
      </c>
      <c r="K122" s="46" t="s">
        <v>1002</v>
      </c>
      <c r="L122" s="46">
        <f>COUNTIF($J$9:$J$113,"DB+0")</f>
        <v>1</v>
      </c>
    </row>
    <row r="123" spans="1:29">
      <c r="E123" s="46" t="s">
        <v>188</v>
      </c>
      <c r="F123" s="46" t="s">
        <v>1002</v>
      </c>
      <c r="G123" s="46">
        <f>COUNTIF($C$9:$C$113,"DB+3")</f>
        <v>2</v>
      </c>
      <c r="J123" s="46" t="s">
        <v>188</v>
      </c>
      <c r="K123" s="46" t="s">
        <v>1002</v>
      </c>
      <c r="L123" s="46">
        <f>COUNTIF($J$9:$J$113,"DB+3")</f>
        <v>2</v>
      </c>
    </row>
    <row r="124" spans="1:29">
      <c r="E124" s="46" t="s">
        <v>167</v>
      </c>
      <c r="F124" s="46" t="s">
        <v>1002</v>
      </c>
      <c r="G124" s="46">
        <f>COUNTIF($C$9:$C$113,"DB+6")</f>
        <v>0</v>
      </c>
      <c r="J124" s="46" t="s">
        <v>167</v>
      </c>
      <c r="K124" s="46" t="s">
        <v>1002</v>
      </c>
      <c r="L124" s="46">
        <f>COUNTIF($J$9:$J$113,"DB+6")</f>
        <v>0</v>
      </c>
    </row>
    <row r="125" spans="1:29">
      <c r="E125" s="46" t="s">
        <v>132</v>
      </c>
      <c r="F125" s="46" t="s">
        <v>1002</v>
      </c>
      <c r="G125" s="46">
        <f>COUNTIF($C$9:$C$113,"DB+9")</f>
        <v>1</v>
      </c>
      <c r="J125" s="46" t="s">
        <v>132</v>
      </c>
      <c r="K125" s="46" t="s">
        <v>1002</v>
      </c>
      <c r="L125" s="46">
        <f>COUNTIF($J$9:$J$113,"DB+9")</f>
        <v>1</v>
      </c>
    </row>
    <row r="126" spans="1:29">
      <c r="E126" s="46" t="s">
        <v>115</v>
      </c>
      <c r="F126" s="46" t="s">
        <v>1002</v>
      </c>
      <c r="G126" s="46">
        <f>COUNTIF($C$9:$C$113,"DC+0")</f>
        <v>10</v>
      </c>
      <c r="J126" s="46" t="s">
        <v>115</v>
      </c>
      <c r="K126" s="46" t="s">
        <v>1002</v>
      </c>
      <c r="L126" s="46">
        <f>COUNTIF($J$9:$J$113,"DC+0")</f>
        <v>10</v>
      </c>
    </row>
    <row r="127" spans="1:29">
      <c r="E127" s="46" t="s">
        <v>137</v>
      </c>
      <c r="F127" s="46" t="s">
        <v>1002</v>
      </c>
      <c r="G127" s="46">
        <f>COUNTIF($C$9:$C$113,"DC+3")</f>
        <v>0</v>
      </c>
      <c r="J127" s="46" t="s">
        <v>137</v>
      </c>
      <c r="K127" s="46" t="s">
        <v>1002</v>
      </c>
      <c r="L127" s="46">
        <f>COUNTIF($J$9:$J$113,"DC+3")</f>
        <v>0</v>
      </c>
    </row>
    <row r="128" spans="1:29">
      <c r="E128" s="46" t="s">
        <v>128</v>
      </c>
      <c r="F128" s="46" t="s">
        <v>1002</v>
      </c>
      <c r="G128" s="46">
        <f>COUNTIF($C$9:$C$113,"DC+6")</f>
        <v>1</v>
      </c>
      <c r="J128" s="46" t="s">
        <v>128</v>
      </c>
      <c r="K128" s="46" t="s">
        <v>1002</v>
      </c>
      <c r="L128" s="46">
        <f>COUNTIF($J$9:$J$113,"DC+6")</f>
        <v>1</v>
      </c>
    </row>
    <row r="129" spans="1:29">
      <c r="E129" s="46" t="s">
        <v>123</v>
      </c>
      <c r="F129" s="46" t="s">
        <v>1002</v>
      </c>
      <c r="G129" s="46">
        <f>COUNTIF($C$9:$C$113,"DC+9")</f>
        <v>0</v>
      </c>
      <c r="J129" s="46" t="s">
        <v>123</v>
      </c>
      <c r="K129" s="46" t="s">
        <v>1002</v>
      </c>
      <c r="L129" s="46">
        <f>COUNTIF($J$9:$J$113,"DC+9")</f>
        <v>0</v>
      </c>
    </row>
    <row r="130" spans="1:29">
      <c r="E130" s="46" t="s">
        <v>125</v>
      </c>
      <c r="F130" s="46" t="s">
        <v>1002</v>
      </c>
      <c r="G130" s="46">
        <f>COUNTIF($C$9:$C$113,"DD+0")</f>
        <v>3</v>
      </c>
      <c r="J130" s="46" t="s">
        <v>125</v>
      </c>
      <c r="K130" s="46" t="s">
        <v>1002</v>
      </c>
      <c r="L130" s="46">
        <f>COUNTIF($J$9:$J$113,"DD+0")</f>
        <v>3</v>
      </c>
    </row>
    <row r="131" spans="1:29">
      <c r="E131" s="46" t="s">
        <v>143</v>
      </c>
      <c r="F131" s="46" t="s">
        <v>1002</v>
      </c>
      <c r="G131" s="46">
        <f>COUNTIF($C$9:$C$113,"DD+3")</f>
        <v>0</v>
      </c>
      <c r="J131" s="46" t="s">
        <v>143</v>
      </c>
      <c r="K131" s="46" t="s">
        <v>1002</v>
      </c>
      <c r="L131" s="46">
        <f>COUNTIF($J$9:$J$113,"DD+3")</f>
        <v>0</v>
      </c>
    </row>
    <row r="132" spans="1:29">
      <c r="E132" s="46" t="s">
        <v>192</v>
      </c>
      <c r="F132" s="46" t="s">
        <v>1002</v>
      </c>
      <c r="G132" s="46">
        <f>COUNTIF($C$9:$C$113,"DD+6")</f>
        <v>0</v>
      </c>
      <c r="J132" s="46" t="s">
        <v>192</v>
      </c>
      <c r="K132" s="46" t="s">
        <v>1002</v>
      </c>
      <c r="L132" s="46">
        <f>COUNTIF($J$9:$J$113,"DD+6")</f>
        <v>0</v>
      </c>
    </row>
    <row r="133" spans="1:29">
      <c r="E133" s="46" t="s">
        <v>147</v>
      </c>
      <c r="F133" s="46" t="s">
        <v>1002</v>
      </c>
      <c r="G133" s="46">
        <f>COUNTIF($C$9:$C$113,"DD+9")</f>
        <v>0</v>
      </c>
      <c r="J133" s="46" t="s">
        <v>147</v>
      </c>
      <c r="K133" s="46" t="s">
        <v>1002</v>
      </c>
      <c r="L133" s="46">
        <f>COUNTIF($J$9:$J$113,"DD+9")</f>
        <v>0</v>
      </c>
    </row>
    <row r="134" spans="1:29">
      <c r="E134" s="46" t="s">
        <v>117</v>
      </c>
      <c r="F134" s="46" t="s">
        <v>1002</v>
      </c>
      <c r="G134" s="46">
        <f>COUNTIF($C$9:$C$113,"DD+18")</f>
        <v>0</v>
      </c>
      <c r="J134" s="46" t="s">
        <v>117</v>
      </c>
      <c r="K134" s="46" t="s">
        <v>1002</v>
      </c>
      <c r="L134" s="46">
        <f>COUNTIF($J$9:$J$113,"DD+18")</f>
        <v>0</v>
      </c>
    </row>
    <row r="135" spans="1:29">
      <c r="E135" s="46" t="s">
        <v>113</v>
      </c>
      <c r="F135" s="46" t="s">
        <v>1002</v>
      </c>
      <c r="G135" s="46">
        <f>COUNTIF($C$9:$C$113,"DD+25")</f>
        <v>0</v>
      </c>
      <c r="J135" s="46" t="s">
        <v>113</v>
      </c>
      <c r="K135" s="46" t="s">
        <v>1002</v>
      </c>
      <c r="L135" s="46">
        <f>COUNTIF($J$9:$J$113,"DD+25")</f>
        <v>0</v>
      </c>
    </row>
    <row r="136" spans="1:29">
      <c r="E136" s="46" t="s">
        <v>201</v>
      </c>
      <c r="F136" s="46" t="s">
        <v>1002</v>
      </c>
      <c r="G136" s="46">
        <f>COUNTIF($C$9:$C$113,"DD+30")</f>
        <v>0</v>
      </c>
      <c r="J136" s="46" t="s">
        <v>201</v>
      </c>
      <c r="K136" s="46" t="s">
        <v>1002</v>
      </c>
      <c r="L136" s="46">
        <f>COUNTIF($J$9:$J$113,"DD+30")</f>
        <v>0</v>
      </c>
    </row>
    <row r="137" spans="1:29">
      <c r="E137" s="114" t="s">
        <v>481</v>
      </c>
      <c r="F137" s="114" t="s">
        <v>1002</v>
      </c>
      <c r="G137" s="114">
        <f>SUM(G118:G136)</f>
        <v>53</v>
      </c>
      <c r="H137" s="114"/>
      <c r="I137" s="114"/>
      <c r="J137" s="114" t="s">
        <v>481</v>
      </c>
      <c r="K137" s="114" t="s">
        <v>1002</v>
      </c>
      <c r="L137" s="114">
        <f>SUM(L118:L136)</f>
        <v>53</v>
      </c>
    </row>
    <row r="138" spans="1:29" ht="33.75" customHeight="1">
      <c r="A138" s="1702" t="s">
        <v>1003</v>
      </c>
      <c r="B138" s="1703"/>
      <c r="C138" s="1703"/>
      <c r="D138" s="1703"/>
      <c r="E138" s="1703"/>
      <c r="F138" s="1703"/>
      <c r="G138" s="1703"/>
      <c r="H138" s="1703"/>
      <c r="I138" s="1703"/>
      <c r="J138" s="1703"/>
      <c r="K138" s="1703"/>
      <c r="L138" s="1703"/>
      <c r="M138" s="1703"/>
      <c r="N138" s="1703"/>
      <c r="O138" s="1704" t="s">
        <v>1004</v>
      </c>
      <c r="P138" s="1704"/>
      <c r="Q138" s="1704"/>
      <c r="R138" s="1704"/>
      <c r="S138" s="1704"/>
      <c r="T138" s="1704"/>
      <c r="U138" s="1704"/>
      <c r="V138" s="1704"/>
      <c r="W138" s="1704"/>
      <c r="X138" s="1704"/>
      <c r="Y138" s="1704"/>
      <c r="Z138" s="1704"/>
      <c r="AA138" s="1704"/>
      <c r="AB138" s="1704"/>
      <c r="AC138" s="1705"/>
    </row>
    <row r="139" spans="1:29" ht="12.75" customHeight="1">
      <c r="A139" s="1718" t="s">
        <v>1005</v>
      </c>
      <c r="B139" s="1718"/>
      <c r="C139" s="1718"/>
      <c r="D139" s="1718"/>
      <c r="E139" s="1718"/>
      <c r="F139" s="1717" t="s">
        <v>1006</v>
      </c>
      <c r="G139" s="1717"/>
      <c r="H139" s="1717"/>
      <c r="I139" s="1717"/>
      <c r="J139" s="1718" t="s">
        <v>1007</v>
      </c>
      <c r="K139" s="1718"/>
      <c r="L139" s="1718"/>
      <c r="M139" s="1718"/>
      <c r="N139" s="1718"/>
      <c r="O139" s="1717" t="s">
        <v>1006</v>
      </c>
      <c r="P139" s="1717"/>
      <c r="Q139" s="1717"/>
      <c r="R139" s="1717"/>
      <c r="S139" s="1717"/>
      <c r="T139" s="1718" t="s">
        <v>1008</v>
      </c>
      <c r="U139" s="1718"/>
      <c r="V139" s="1718"/>
      <c r="W139" s="1718"/>
      <c r="X139" s="1718"/>
      <c r="Y139" s="1718"/>
      <c r="Z139" s="1718" t="s">
        <v>1009</v>
      </c>
      <c r="AA139" s="1718"/>
      <c r="AB139" s="1718"/>
      <c r="AC139" s="1718"/>
    </row>
    <row r="140" spans="1:29" ht="12.75" customHeight="1">
      <c r="A140" s="1718"/>
      <c r="B140" s="1718"/>
      <c r="C140" s="1718"/>
      <c r="D140" s="1718"/>
      <c r="E140" s="1718"/>
      <c r="F140" s="1717"/>
      <c r="G140" s="1717"/>
      <c r="H140" s="1717"/>
      <c r="I140" s="1717"/>
      <c r="J140" s="1718"/>
      <c r="K140" s="1718"/>
      <c r="L140" s="1718"/>
      <c r="M140" s="1718"/>
      <c r="N140" s="1718"/>
      <c r="O140" s="1717"/>
      <c r="P140" s="1717"/>
      <c r="Q140" s="1717"/>
      <c r="R140" s="1717"/>
      <c r="S140" s="1717"/>
      <c r="T140" s="1718"/>
      <c r="U140" s="1718"/>
      <c r="V140" s="1718"/>
      <c r="W140" s="1718"/>
      <c r="X140" s="1718"/>
      <c r="Y140" s="1718"/>
      <c r="Z140" s="1718"/>
      <c r="AA140" s="1718"/>
      <c r="AB140" s="1718"/>
      <c r="AC140" s="1718"/>
    </row>
    <row r="141" spans="1:29" ht="12.75" customHeight="1">
      <c r="A141" s="1718"/>
      <c r="B141" s="1718"/>
      <c r="C141" s="1718"/>
      <c r="D141" s="1718"/>
      <c r="E141" s="1718"/>
      <c r="F141" s="1717"/>
      <c r="G141" s="1717"/>
      <c r="H141" s="1717"/>
      <c r="I141" s="1717"/>
      <c r="J141" s="1718"/>
      <c r="K141" s="1718"/>
      <c r="L141" s="1718"/>
      <c r="M141" s="1718"/>
      <c r="N141" s="1718"/>
      <c r="O141" s="1717"/>
      <c r="P141" s="1717"/>
      <c r="Q141" s="1717"/>
      <c r="R141" s="1717"/>
      <c r="S141" s="1717"/>
      <c r="T141" s="1718"/>
      <c r="U141" s="1718"/>
      <c r="V141" s="1718"/>
      <c r="W141" s="1718"/>
      <c r="X141" s="1718"/>
      <c r="Y141" s="1718"/>
      <c r="Z141" s="1718"/>
      <c r="AA141" s="1718"/>
      <c r="AB141" s="1718"/>
      <c r="AC141" s="1718"/>
    </row>
    <row r="142" spans="1:29" ht="36.75" customHeight="1">
      <c r="A142" s="1718"/>
      <c r="B142" s="1718"/>
      <c r="C142" s="1718"/>
      <c r="D142" s="1718"/>
      <c r="E142" s="1718"/>
      <c r="F142" s="1717"/>
      <c r="G142" s="1717"/>
      <c r="H142" s="1717"/>
      <c r="I142" s="1717"/>
      <c r="J142" s="1718"/>
      <c r="K142" s="1718"/>
      <c r="L142" s="1718"/>
      <c r="M142" s="1718"/>
      <c r="N142" s="1718"/>
      <c r="O142" s="1717"/>
      <c r="P142" s="1717"/>
      <c r="Q142" s="1717"/>
      <c r="R142" s="1717"/>
      <c r="S142" s="1717"/>
      <c r="T142" s="1718"/>
      <c r="U142" s="1718"/>
      <c r="V142" s="1718"/>
      <c r="W142" s="1718"/>
      <c r="X142" s="1718"/>
      <c r="Y142" s="1718"/>
      <c r="Z142" s="1718"/>
      <c r="AA142" s="1718"/>
      <c r="AB142" s="1718"/>
      <c r="AC142" s="1718"/>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F380"/>
  <sheetViews>
    <sheetView zoomScale="47" zoomScaleNormal="47" workbookViewId="0">
      <selection activeCell="E11" sqref="E11:E12"/>
    </sheetView>
  </sheetViews>
  <sheetFormatPr defaultColWidth="8.81640625" defaultRowHeight="21"/>
  <cols>
    <col min="1" max="1" width="18.453125" style="1238" bestFit="1" customWidth="1"/>
    <col min="2" max="2" width="10.90625" style="1238" customWidth="1"/>
    <col min="3" max="3" width="14.90625" style="1238" customWidth="1"/>
    <col min="4" max="4" width="15.1796875" style="1238" bestFit="1" customWidth="1"/>
    <col min="5" max="5" width="17.453125" style="1238" customWidth="1"/>
    <col min="6" max="6" width="15.08984375" style="1238" customWidth="1"/>
    <col min="7" max="7" width="16.1796875" style="1238" customWidth="1"/>
    <col min="8" max="8" width="12.81640625" style="1238" customWidth="1"/>
    <col min="9" max="9" width="18.54296875" style="1238" bestFit="1" customWidth="1"/>
    <col min="10" max="10" width="9.08984375" style="1238" bestFit="1" customWidth="1"/>
    <col min="11" max="11" width="13.81640625" style="1238" customWidth="1"/>
    <col min="12" max="12" width="9.08984375" style="1238" bestFit="1" customWidth="1"/>
    <col min="13" max="13" width="14.81640625" style="1238" customWidth="1"/>
    <col min="14" max="14" width="11.36328125" style="1238" customWidth="1"/>
    <col min="15" max="15" width="15.1796875" style="1238" customWidth="1"/>
    <col min="16" max="16" width="9.36328125" style="1238" customWidth="1"/>
    <col min="17" max="17" width="16.6328125" style="1238" customWidth="1"/>
    <col min="18" max="18" width="9.08984375" style="1238" bestFit="1" customWidth="1"/>
    <col min="19" max="19" width="14.54296875" style="1238" customWidth="1"/>
    <col min="20" max="20" width="9.08984375" style="1238" bestFit="1" customWidth="1"/>
    <col min="21" max="21" width="15.36328125" style="1238" customWidth="1"/>
    <col min="22" max="22" width="13.1796875" style="1238" customWidth="1"/>
    <col min="23" max="23" width="14.81640625" style="1238" customWidth="1"/>
    <col min="24" max="24" width="11.90625" style="1238" customWidth="1"/>
    <col min="25" max="16384" width="8.81640625" style="1238"/>
  </cols>
  <sheetData>
    <row r="1" spans="1:24" ht="18.649999999999999" customHeight="1">
      <c r="A1" s="1752" t="s">
        <v>27</v>
      </c>
      <c r="B1" s="1752"/>
      <c r="C1" s="1752" t="s">
        <v>1018</v>
      </c>
      <c r="D1" s="1752" t="s">
        <v>1158</v>
      </c>
      <c r="E1" s="1752" t="s">
        <v>103</v>
      </c>
      <c r="F1" s="1752" t="s">
        <v>857</v>
      </c>
      <c r="G1" s="1237"/>
      <c r="U1" s="1731" t="s">
        <v>1819</v>
      </c>
      <c r="V1" s="1746">
        <f ca="1">NOW()-1</f>
        <v>45969.45282233796</v>
      </c>
      <c r="W1" s="1747"/>
      <c r="X1" s="1748"/>
    </row>
    <row r="2" spans="1:24" ht="19" customHeight="1">
      <c r="A2" s="1752"/>
      <c r="B2" s="1752"/>
      <c r="C2" s="1752"/>
      <c r="D2" s="1752"/>
      <c r="E2" s="1752"/>
      <c r="F2" s="1752"/>
      <c r="G2" s="1237"/>
      <c r="I2" s="1240"/>
      <c r="J2" s="1241"/>
      <c r="U2" s="1731"/>
      <c r="V2" s="1749"/>
      <c r="W2" s="1750"/>
      <c r="X2" s="1751"/>
    </row>
    <row r="3" spans="1:24" ht="28" customHeight="1">
      <c r="A3" s="1730" t="s">
        <v>1820</v>
      </c>
      <c r="B3" s="1730"/>
      <c r="C3" s="1236" t="s">
        <v>1821</v>
      </c>
      <c r="D3" s="1242">
        <v>188.44399999999999</v>
      </c>
      <c r="E3" s="1242">
        <v>188.44399999999999</v>
      </c>
      <c r="F3" s="1242">
        <v>0</v>
      </c>
      <c r="G3" s="1237"/>
      <c r="H3" s="1241" t="s">
        <v>278</v>
      </c>
    </row>
    <row r="4" spans="1:24" ht="28" customHeight="1">
      <c r="A4" s="1730" t="s">
        <v>1377</v>
      </c>
      <c r="B4" s="1730"/>
      <c r="C4" s="1236" t="s">
        <v>1821</v>
      </c>
      <c r="D4" s="1242">
        <v>188.44399999999999</v>
      </c>
      <c r="E4" s="1242">
        <v>178.07499999999999</v>
      </c>
      <c r="F4" s="1242">
        <v>10.369</v>
      </c>
      <c r="G4" s="1241"/>
      <c r="H4" s="1241"/>
      <c r="I4" s="1241" t="s">
        <v>1822</v>
      </c>
      <c r="K4" s="1241" t="s">
        <v>1823</v>
      </c>
      <c r="L4" s="1241"/>
    </row>
    <row r="5" spans="1:24" ht="16" customHeight="1">
      <c r="A5" s="1730" t="s">
        <v>1180</v>
      </c>
      <c r="B5" s="1730"/>
      <c r="C5" s="1731" t="s">
        <v>860</v>
      </c>
      <c r="D5" s="1731">
        <v>512</v>
      </c>
      <c r="E5" s="1738">
        <v>226</v>
      </c>
      <c r="F5" s="1738">
        <f>D5-E5</f>
        <v>286</v>
      </c>
      <c r="G5" s="1243"/>
      <c r="N5" s="1244" t="s">
        <v>1824</v>
      </c>
    </row>
    <row r="6" spans="1:24" ht="16" customHeight="1">
      <c r="A6" s="1730"/>
      <c r="B6" s="1730"/>
      <c r="C6" s="1731"/>
      <c r="D6" s="1731"/>
      <c r="E6" s="1745"/>
      <c r="F6" s="1737"/>
      <c r="G6" s="1243"/>
    </row>
    <row r="7" spans="1:24" ht="16" customHeight="1">
      <c r="A7" s="1730" t="s">
        <v>1825</v>
      </c>
      <c r="B7" s="1730"/>
      <c r="C7" s="1731" t="s">
        <v>860</v>
      </c>
      <c r="D7" s="1731">
        <v>512</v>
      </c>
      <c r="E7" s="1738">
        <v>219</v>
      </c>
      <c r="F7" s="1738">
        <f t="shared" ref="F7" si="0">D7-E7</f>
        <v>293</v>
      </c>
      <c r="G7" s="1243"/>
      <c r="H7" s="1246"/>
      <c r="I7" s="1246"/>
      <c r="J7" s="1246"/>
      <c r="K7" s="1246"/>
      <c r="L7" s="1246"/>
      <c r="M7" s="1246"/>
      <c r="N7" s="1244" t="s">
        <v>1826</v>
      </c>
      <c r="P7" s="1244"/>
      <c r="Q7" s="1244"/>
      <c r="R7" s="1247" t="s">
        <v>1827</v>
      </c>
      <c r="S7" s="1248"/>
      <c r="T7" s="1246"/>
      <c r="U7" s="1248"/>
      <c r="V7" s="1248"/>
      <c r="W7" s="1248"/>
    </row>
    <row r="8" spans="1:24" ht="16" customHeight="1">
      <c r="A8" s="1730"/>
      <c r="B8" s="1730"/>
      <c r="C8" s="1731"/>
      <c r="D8" s="1731"/>
      <c r="E8" s="1745"/>
      <c r="F8" s="1737"/>
      <c r="G8" s="1243"/>
      <c r="H8" s="1249"/>
      <c r="I8" s="1246"/>
      <c r="J8" s="1249"/>
      <c r="K8" s="1246"/>
      <c r="L8" s="1248"/>
      <c r="M8" s="1246"/>
      <c r="N8" s="1244"/>
      <c r="P8" s="1244"/>
      <c r="Q8" s="1244"/>
      <c r="R8" s="1244"/>
      <c r="S8" s="1248"/>
      <c r="T8" s="1246"/>
      <c r="U8" s="1248"/>
      <c r="V8" s="1248"/>
      <c r="W8" s="1248"/>
    </row>
    <row r="9" spans="1:24" ht="16" customHeight="1">
      <c r="A9" s="1730" t="s">
        <v>305</v>
      </c>
      <c r="B9" s="1730"/>
      <c r="C9" s="1731" t="s">
        <v>860</v>
      </c>
      <c r="D9" s="1731">
        <v>512</v>
      </c>
      <c r="E9" s="1736">
        <v>193</v>
      </c>
      <c r="F9" s="1738">
        <f t="shared" ref="F9" si="1">D9-E9</f>
        <v>319</v>
      </c>
      <c r="G9" s="1250"/>
      <c r="H9" s="1249"/>
      <c r="I9" s="1246"/>
      <c r="J9" s="1249"/>
      <c r="K9" s="1246"/>
      <c r="L9" s="1246"/>
      <c r="M9" s="1246"/>
      <c r="N9" s="1735" t="s">
        <v>1828</v>
      </c>
      <c r="O9" s="1735"/>
      <c r="P9" s="1735"/>
      <c r="Q9" s="1735"/>
      <c r="R9" s="1244"/>
      <c r="S9" s="1244"/>
      <c r="T9" s="1244"/>
      <c r="U9" s="1241" t="s">
        <v>1829</v>
      </c>
      <c r="V9" s="1248"/>
      <c r="W9" s="1248"/>
    </row>
    <row r="10" spans="1:24" ht="16" customHeight="1">
      <c r="A10" s="1730"/>
      <c r="B10" s="1730"/>
      <c r="C10" s="1731"/>
      <c r="D10" s="1731"/>
      <c r="E10" s="1737"/>
      <c r="F10" s="1737"/>
      <c r="G10" s="1250"/>
      <c r="H10" s="1249"/>
      <c r="I10" s="1246"/>
      <c r="J10" s="1249"/>
      <c r="K10" s="1246"/>
      <c r="L10" s="1248"/>
      <c r="M10" s="1246"/>
      <c r="N10" s="1729"/>
      <c r="O10" s="1729"/>
      <c r="P10" s="1729"/>
      <c r="Q10" s="1244"/>
      <c r="R10" s="1244"/>
      <c r="S10" s="1248"/>
      <c r="T10" s="1251"/>
      <c r="U10" s="1248"/>
      <c r="V10" s="1248"/>
      <c r="W10" s="1248"/>
    </row>
    <row r="11" spans="1:24" ht="16" customHeight="1">
      <c r="A11" s="1730" t="s">
        <v>1178</v>
      </c>
      <c r="B11" s="1730"/>
      <c r="C11" s="1731" t="s">
        <v>860</v>
      </c>
      <c r="D11" s="1731">
        <v>512</v>
      </c>
      <c r="E11" s="1736">
        <v>114</v>
      </c>
      <c r="F11" s="1738">
        <f t="shared" ref="F11" si="2">D11-E11</f>
        <v>398</v>
      </c>
      <c r="G11" s="1250"/>
      <c r="H11" s="1739"/>
      <c r="I11" s="1246"/>
      <c r="J11" s="1742"/>
      <c r="K11" s="1246"/>
      <c r="L11" s="1246"/>
      <c r="M11" s="1246"/>
      <c r="N11" s="1729"/>
      <c r="O11" s="1729"/>
      <c r="P11" s="1729"/>
      <c r="Q11" s="1244"/>
      <c r="R11" s="1244"/>
      <c r="S11" s="1248"/>
      <c r="T11" s="1248"/>
      <c r="U11" s="1248"/>
      <c r="V11" s="1248"/>
      <c r="W11" s="1248"/>
    </row>
    <row r="12" spans="1:24" ht="16" customHeight="1">
      <c r="A12" s="1730"/>
      <c r="B12" s="1730"/>
      <c r="C12" s="1731"/>
      <c r="D12" s="1731"/>
      <c r="E12" s="1737"/>
      <c r="F12" s="1737"/>
      <c r="G12" s="1250"/>
      <c r="H12" s="1740"/>
      <c r="I12" s="1246"/>
      <c r="J12" s="1743"/>
      <c r="K12" s="1246"/>
      <c r="L12" s="1246"/>
      <c r="M12" s="1246"/>
      <c r="N12" s="1729" t="s">
        <v>1830</v>
      </c>
      <c r="O12" s="1729"/>
      <c r="P12" s="1729"/>
      <c r="Q12" s="1252" t="s">
        <v>1831</v>
      </c>
      <c r="R12" s="1244"/>
      <c r="S12" s="1244"/>
      <c r="T12" s="1241"/>
      <c r="U12" s="1241"/>
      <c r="W12" s="1241"/>
    </row>
    <row r="13" spans="1:24" ht="16" customHeight="1">
      <c r="A13" s="1730" t="s">
        <v>1832</v>
      </c>
      <c r="B13" s="1730"/>
      <c r="C13" s="1731" t="s">
        <v>1821</v>
      </c>
      <c r="D13" s="1732">
        <v>188.44399999999999</v>
      </c>
      <c r="E13" s="1733"/>
      <c r="F13" s="1733">
        <v>188.44399999999999</v>
      </c>
      <c r="G13" s="1253"/>
      <c r="H13" s="1741"/>
      <c r="I13" s="1246"/>
      <c r="J13" s="1744"/>
      <c r="K13" s="1246"/>
      <c r="L13" s="1246"/>
      <c r="M13" s="1246"/>
      <c r="N13" s="1254"/>
      <c r="P13" s="1254"/>
      <c r="Q13" s="1254"/>
      <c r="R13" s="1254"/>
      <c r="S13" s="1248"/>
      <c r="U13" s="1248"/>
      <c r="V13" s="1248"/>
      <c r="W13" s="1248"/>
    </row>
    <row r="14" spans="1:24" ht="16" customHeight="1">
      <c r="A14" s="1730"/>
      <c r="B14" s="1730"/>
      <c r="C14" s="1731"/>
      <c r="D14" s="1732"/>
      <c r="E14" s="1734"/>
      <c r="F14" s="1734"/>
      <c r="G14" s="1253"/>
      <c r="N14" s="1729" t="s">
        <v>1833</v>
      </c>
      <c r="O14" s="1729"/>
      <c r="T14" s="1729" t="s">
        <v>509</v>
      </c>
      <c r="U14" s="1729"/>
      <c r="V14" s="1729"/>
    </row>
    <row r="15" spans="1:24" ht="16" customHeight="1">
      <c r="A15" s="1730" t="s">
        <v>1834</v>
      </c>
      <c r="B15" s="1730"/>
      <c r="C15" s="1731" t="s">
        <v>1821</v>
      </c>
      <c r="D15" s="1732">
        <v>188.44399999999999</v>
      </c>
      <c r="E15" s="1732"/>
      <c r="F15" s="1733">
        <v>188.44399999999999</v>
      </c>
      <c r="G15" s="1241"/>
      <c r="H15" s="1241"/>
      <c r="I15" s="1241"/>
      <c r="J15" s="1241"/>
      <c r="K15" s="1241"/>
      <c r="L15" s="1241"/>
      <c r="M15" s="1241"/>
      <c r="N15" s="1241"/>
      <c r="O15" s="1241"/>
      <c r="P15" s="1241"/>
      <c r="Q15" s="1241"/>
      <c r="R15" s="1241"/>
      <c r="S15" s="1241"/>
      <c r="T15" s="1729"/>
      <c r="U15" s="1729"/>
      <c r="V15" s="1729"/>
      <c r="W15" s="1241"/>
      <c r="X15" s="1241"/>
    </row>
    <row r="16" spans="1:24" ht="16" customHeight="1">
      <c r="A16" s="1730"/>
      <c r="B16" s="1730"/>
      <c r="C16" s="1731"/>
      <c r="D16" s="1732"/>
      <c r="E16" s="1732"/>
      <c r="F16" s="1734"/>
      <c r="G16" s="1241"/>
      <c r="H16" s="1241"/>
      <c r="I16" s="1241"/>
      <c r="J16" s="1241"/>
      <c r="K16" s="1241"/>
      <c r="L16" s="1241"/>
      <c r="M16" s="1241"/>
      <c r="N16" s="1241"/>
      <c r="O16" s="1241"/>
      <c r="P16" s="1241"/>
      <c r="Q16" s="1241"/>
      <c r="R16" s="1241"/>
      <c r="S16" s="1241"/>
      <c r="T16" s="1241"/>
      <c r="U16" s="1241"/>
      <c r="V16" s="1241"/>
      <c r="W16" s="1241"/>
      <c r="X16" s="1241"/>
    </row>
    <row r="17" spans="1:24">
      <c r="A17" s="1255" t="s">
        <v>1515</v>
      </c>
      <c r="B17" s="1241"/>
      <c r="C17" s="1241" t="s">
        <v>520</v>
      </c>
      <c r="D17" s="1241"/>
      <c r="E17" s="1241" t="s">
        <v>1185</v>
      </c>
      <c r="F17" s="1241"/>
      <c r="G17" s="1241" t="s">
        <v>521</v>
      </c>
      <c r="H17" s="1256" t="s">
        <v>1835</v>
      </c>
      <c r="I17" s="1241" t="s">
        <v>522</v>
      </c>
      <c r="J17" s="1241"/>
      <c r="K17" s="1241" t="s">
        <v>1186</v>
      </c>
      <c r="L17" s="1241"/>
      <c r="M17" s="1241" t="s">
        <v>524</v>
      </c>
      <c r="N17" s="1241"/>
      <c r="O17" s="1241" t="s">
        <v>525</v>
      </c>
      <c r="P17" s="1241"/>
      <c r="Q17" s="1241" t="s">
        <v>532</v>
      </c>
      <c r="R17" s="1257" t="s">
        <v>1513</v>
      </c>
      <c r="S17" s="1258" t="s">
        <v>533</v>
      </c>
      <c r="T17" s="1241"/>
      <c r="U17" s="1241" t="s">
        <v>1187</v>
      </c>
      <c r="V17" s="1241"/>
      <c r="W17" s="1258" t="s">
        <v>1188</v>
      </c>
      <c r="X17" s="1259"/>
    </row>
    <row r="18" spans="1:24" ht="15.65" customHeight="1">
      <c r="A18" s="1260"/>
      <c r="C18" s="1249"/>
      <c r="E18" s="1249"/>
      <c r="F18" s="1249"/>
      <c r="G18" s="1249"/>
      <c r="I18" s="1249"/>
      <c r="K18" s="1249"/>
      <c r="M18" s="1249"/>
      <c r="N18" s="1249"/>
      <c r="O18" s="1249"/>
      <c r="Q18" s="1249"/>
      <c r="S18" s="1249"/>
      <c r="U18" s="1249"/>
      <c r="W18" s="1249"/>
      <c r="X18" s="1259"/>
    </row>
    <row r="19" spans="1:24">
      <c r="A19" s="1260"/>
      <c r="B19" s="1241">
        <v>97</v>
      </c>
      <c r="C19" s="1261"/>
      <c r="D19" s="1241">
        <v>114</v>
      </c>
      <c r="E19" s="1261"/>
      <c r="F19" s="1261">
        <v>291</v>
      </c>
      <c r="G19" s="1261"/>
      <c r="H19" s="1241">
        <v>214</v>
      </c>
      <c r="I19" s="1261"/>
      <c r="J19" s="1241">
        <v>452</v>
      </c>
      <c r="K19" s="1261"/>
      <c r="L19" s="1241">
        <v>419</v>
      </c>
      <c r="M19" s="1261"/>
      <c r="N19" s="1261">
        <v>420</v>
      </c>
      <c r="O19" s="1261"/>
      <c r="P19" s="1241">
        <v>417</v>
      </c>
      <c r="Q19" s="1261"/>
      <c r="R19" s="1241">
        <v>356</v>
      </c>
      <c r="S19" s="1261"/>
      <c r="T19" s="1241">
        <v>343</v>
      </c>
      <c r="U19" s="1261"/>
      <c r="V19" s="1241">
        <v>381</v>
      </c>
      <c r="W19" s="1261"/>
      <c r="X19" s="1262">
        <v>373</v>
      </c>
    </row>
    <row r="20" spans="1:24" ht="16.5" customHeight="1">
      <c r="A20" s="1260"/>
      <c r="B20" s="1241"/>
      <c r="C20" s="1261"/>
      <c r="D20" s="1241"/>
      <c r="E20" s="1261"/>
      <c r="F20" s="1261"/>
      <c r="G20" s="1261"/>
      <c r="H20" s="1241"/>
      <c r="I20" s="1261"/>
      <c r="J20" s="1241"/>
      <c r="K20" s="1261"/>
      <c r="L20" s="1241"/>
      <c r="M20" s="1261"/>
      <c r="N20" s="1261"/>
      <c r="O20" s="1261"/>
      <c r="P20" s="1241"/>
      <c r="Q20" s="1261"/>
      <c r="R20" s="1241"/>
      <c r="S20" s="1261"/>
      <c r="T20" s="1241"/>
      <c r="U20" s="1261"/>
      <c r="V20" s="1241"/>
      <c r="W20" s="1261"/>
      <c r="X20" s="1262"/>
    </row>
    <row r="21" spans="1:24" ht="40" customHeight="1">
      <c r="A21" s="1260"/>
      <c r="C21" s="1263"/>
      <c r="E21" s="1263"/>
      <c r="F21" s="1264"/>
      <c r="G21" s="1263"/>
      <c r="I21" s="1263"/>
      <c r="K21" s="1263"/>
      <c r="M21" s="1263"/>
      <c r="N21" s="1264"/>
      <c r="O21" s="1263"/>
      <c r="Q21" s="1263"/>
      <c r="S21" s="1265"/>
      <c r="U21" s="1263"/>
      <c r="W21" s="1263"/>
      <c r="X21" s="1259"/>
    </row>
    <row r="22" spans="1:24">
      <c r="A22" s="1723" t="s">
        <v>1515</v>
      </c>
      <c r="B22" s="1724"/>
      <c r="C22" s="1266" t="s">
        <v>125</v>
      </c>
      <c r="D22" s="1267"/>
      <c r="E22" s="1266" t="s">
        <v>143</v>
      </c>
      <c r="F22" s="1267"/>
      <c r="G22" s="1266" t="s">
        <v>113</v>
      </c>
      <c r="H22" s="1268"/>
      <c r="I22" s="1266" t="s">
        <v>113</v>
      </c>
      <c r="J22" s="1268"/>
      <c r="K22" s="1266" t="s">
        <v>167</v>
      </c>
      <c r="L22" s="1269"/>
      <c r="M22" s="1269" t="s">
        <v>182</v>
      </c>
      <c r="N22" s="1269"/>
      <c r="O22" s="1269" t="s">
        <v>248</v>
      </c>
      <c r="P22" s="1269"/>
      <c r="Q22" s="1266" t="s">
        <v>115</v>
      </c>
      <c r="R22" s="1269"/>
      <c r="S22" s="1269" t="s">
        <v>182</v>
      </c>
      <c r="T22" s="1269"/>
      <c r="U22" s="1269" t="s">
        <v>182</v>
      </c>
      <c r="V22" s="1269"/>
      <c r="W22" s="1269" t="s">
        <v>242</v>
      </c>
      <c r="X22" s="1259"/>
    </row>
    <row r="23" spans="1:24" ht="21.5" thickBot="1">
      <c r="A23" s="1270"/>
      <c r="B23" s="1271"/>
      <c r="C23" s="1271"/>
      <c r="D23" s="1271"/>
      <c r="E23" s="1271"/>
      <c r="F23" s="1271"/>
      <c r="G23" s="1271"/>
      <c r="H23" s="1271"/>
      <c r="I23" s="1271"/>
      <c r="J23" s="1271"/>
      <c r="K23" s="1271"/>
      <c r="L23" s="1271"/>
      <c r="M23" s="1271"/>
      <c r="N23" s="1271"/>
      <c r="O23" s="1271"/>
      <c r="P23" s="1271"/>
      <c r="Q23" s="1271"/>
      <c r="R23" s="1271"/>
      <c r="S23" s="1271"/>
      <c r="T23" s="1271"/>
      <c r="U23" s="1271"/>
      <c r="V23" s="1271"/>
      <c r="W23" s="1271"/>
      <c r="X23" s="1272"/>
    </row>
    <row r="24" spans="1:24">
      <c r="A24" s="1273"/>
      <c r="B24" s="1274"/>
      <c r="C24" s="1274"/>
      <c r="D24" s="1274"/>
      <c r="E24" s="1274"/>
      <c r="F24" s="1274"/>
      <c r="G24" s="1274"/>
      <c r="H24" s="1274"/>
      <c r="I24" s="1274"/>
      <c r="J24" s="1274"/>
      <c r="K24" s="1274"/>
      <c r="L24" s="1274"/>
      <c r="M24" s="1274"/>
      <c r="N24" s="1274"/>
      <c r="O24" s="1274"/>
      <c r="P24" s="1274"/>
      <c r="Q24" s="1274"/>
      <c r="R24" s="1274"/>
      <c r="S24" s="1274"/>
      <c r="T24" s="1274"/>
      <c r="U24" s="1274"/>
      <c r="V24" s="1274"/>
      <c r="W24" s="1274"/>
      <c r="X24" s="1275"/>
    </row>
    <row r="25" spans="1:24">
      <c r="A25" s="1255" t="s">
        <v>1189</v>
      </c>
      <c r="B25" s="1241"/>
      <c r="C25" s="1241" t="s">
        <v>1190</v>
      </c>
      <c r="D25" s="1241"/>
      <c r="E25" s="1241" t="s">
        <v>1195</v>
      </c>
      <c r="F25" s="1241"/>
      <c r="G25" s="1241" t="s">
        <v>1196</v>
      </c>
      <c r="H25" s="1241"/>
      <c r="I25" s="1241" t="s">
        <v>1197</v>
      </c>
      <c r="J25" s="1241"/>
      <c r="K25" s="1241" t="s">
        <v>1198</v>
      </c>
      <c r="L25" s="1241"/>
      <c r="M25" s="1241" t="s">
        <v>534</v>
      </c>
      <c r="N25" s="1256" t="s">
        <v>1836</v>
      </c>
      <c r="O25" s="1241" t="s">
        <v>537</v>
      </c>
      <c r="P25" s="1241"/>
      <c r="Q25" s="1241" t="s">
        <v>1199</v>
      </c>
      <c r="R25" s="1241"/>
      <c r="S25" s="1241" t="s">
        <v>1200</v>
      </c>
      <c r="T25" s="1241"/>
      <c r="U25" s="1241" t="s">
        <v>1201</v>
      </c>
      <c r="V25" s="1241"/>
      <c r="W25" s="1241" t="s">
        <v>1202</v>
      </c>
      <c r="X25" s="1262"/>
    </row>
    <row r="26" spans="1:24">
      <c r="A26" s="1276"/>
      <c r="B26" s="1241"/>
      <c r="C26" s="1261"/>
      <c r="D26" s="1241"/>
      <c r="E26" s="1261"/>
      <c r="F26" s="1261"/>
      <c r="G26" s="1261"/>
      <c r="H26" s="1241"/>
      <c r="I26" s="1261"/>
      <c r="J26" s="1241"/>
      <c r="K26" s="1261"/>
      <c r="L26" s="1241"/>
      <c r="M26" s="1261"/>
      <c r="N26" s="1261"/>
      <c r="O26" s="1261"/>
      <c r="P26" s="1241"/>
      <c r="Q26" s="1261"/>
      <c r="R26" s="1241"/>
      <c r="S26" s="1261"/>
      <c r="T26" s="1241"/>
      <c r="U26" s="1261"/>
      <c r="V26" s="1241"/>
      <c r="W26" s="1261"/>
      <c r="X26" s="1262"/>
    </row>
    <row r="27" spans="1:24">
      <c r="A27" s="1276"/>
      <c r="B27" s="1241">
        <v>246</v>
      </c>
      <c r="C27" s="1261"/>
      <c r="D27" s="1241">
        <v>249</v>
      </c>
      <c r="E27" s="1261"/>
      <c r="F27" s="1261">
        <v>400</v>
      </c>
      <c r="G27" s="1261"/>
      <c r="H27" s="1241">
        <v>439</v>
      </c>
      <c r="I27" s="1261"/>
      <c r="J27" s="1241">
        <v>401</v>
      </c>
      <c r="K27" s="1261"/>
      <c r="L27" s="1241">
        <v>439</v>
      </c>
      <c r="M27" s="1261"/>
      <c r="N27" s="1261">
        <v>226</v>
      </c>
      <c r="O27" s="1261"/>
      <c r="P27" s="1241">
        <v>443</v>
      </c>
      <c r="Q27" s="1261"/>
      <c r="R27" s="1241">
        <v>389</v>
      </c>
      <c r="S27" s="1261"/>
      <c r="T27" s="1241">
        <v>359</v>
      </c>
      <c r="U27" s="1261"/>
      <c r="V27" s="1241">
        <v>405</v>
      </c>
      <c r="W27" s="1261"/>
      <c r="X27" s="1262">
        <v>427</v>
      </c>
    </row>
    <row r="28" spans="1:24" ht="13.5" customHeight="1">
      <c r="A28" s="1277"/>
      <c r="C28" s="1249"/>
      <c r="E28" s="1249"/>
      <c r="F28" s="1249"/>
      <c r="G28" s="1249"/>
      <c r="I28" s="1249"/>
      <c r="K28" s="1249"/>
      <c r="M28" s="1249"/>
      <c r="N28" s="1249"/>
      <c r="O28" s="1249"/>
      <c r="Q28" s="1249"/>
      <c r="S28" s="1249"/>
      <c r="U28" s="1249"/>
      <c r="W28" s="1249"/>
      <c r="X28" s="1259"/>
    </row>
    <row r="29" spans="1:24" ht="57.5" customHeight="1">
      <c r="A29" s="1263"/>
      <c r="B29" s="1278"/>
      <c r="C29" s="1263"/>
      <c r="D29" s="1278"/>
      <c r="E29" s="1263"/>
      <c r="F29" s="1263"/>
      <c r="G29" s="1263"/>
      <c r="H29" s="1278"/>
      <c r="I29" s="1263"/>
      <c r="J29" s="1278"/>
      <c r="K29" s="1263"/>
      <c r="L29" s="1278"/>
      <c r="M29" s="1263"/>
      <c r="N29" s="1263"/>
      <c r="O29" s="1263"/>
      <c r="P29" s="1278"/>
      <c r="Q29" s="1263"/>
      <c r="R29" s="1278"/>
      <c r="S29" s="1265"/>
      <c r="T29" s="1278"/>
      <c r="U29" s="1263"/>
      <c r="V29" s="1278"/>
      <c r="W29" s="1263"/>
      <c r="X29" s="1259"/>
    </row>
    <row r="30" spans="1:24" ht="21.5" thickBot="1">
      <c r="A30" s="1279" t="s">
        <v>185</v>
      </c>
      <c r="B30" s="1269"/>
      <c r="C30" s="1266" t="s">
        <v>119</v>
      </c>
      <c r="E30" s="1269" t="s">
        <v>182</v>
      </c>
      <c r="F30" s="1269"/>
      <c r="G30" s="1269" t="s">
        <v>242</v>
      </c>
      <c r="H30" s="1269"/>
      <c r="I30" s="1269" t="s">
        <v>242</v>
      </c>
      <c r="J30" s="1269"/>
      <c r="K30" s="1269" t="s">
        <v>185</v>
      </c>
      <c r="L30" s="1269"/>
      <c r="M30" s="1266" t="s">
        <v>117</v>
      </c>
      <c r="N30" s="1269"/>
      <c r="O30" s="1266" t="s">
        <v>117</v>
      </c>
      <c r="P30" s="1269"/>
      <c r="Q30" s="1269" t="s">
        <v>185</v>
      </c>
      <c r="R30" s="1269"/>
      <c r="S30" s="1269" t="s">
        <v>182</v>
      </c>
      <c r="T30" s="1269"/>
      <c r="U30" s="1269" t="s">
        <v>182</v>
      </c>
      <c r="V30" s="1269"/>
      <c r="W30" s="1269" t="s">
        <v>182</v>
      </c>
      <c r="X30" s="1259"/>
    </row>
    <row r="31" spans="1:24" ht="17.5" customHeight="1">
      <c r="A31" s="1273"/>
      <c r="B31" s="1274"/>
      <c r="C31" s="1274"/>
      <c r="D31" s="1274"/>
      <c r="E31" s="1274"/>
      <c r="F31" s="1274"/>
      <c r="G31" s="1274"/>
      <c r="H31" s="1274"/>
      <c r="I31" s="1274"/>
      <c r="J31" s="1274"/>
      <c r="K31" s="1274"/>
      <c r="L31" s="1274"/>
      <c r="M31" s="1274"/>
      <c r="N31" s="1274"/>
      <c r="O31" s="1274"/>
      <c r="P31" s="1274"/>
      <c r="Q31" s="1274"/>
      <c r="R31" s="1274"/>
      <c r="S31" s="1274"/>
      <c r="T31" s="1274"/>
      <c r="U31" s="1274"/>
      <c r="V31" s="1274"/>
      <c r="W31" s="1274"/>
      <c r="X31" s="1275"/>
    </row>
    <row r="32" spans="1:24">
      <c r="A32" s="1255" t="s">
        <v>1203</v>
      </c>
      <c r="B32" s="1241"/>
      <c r="C32" s="1241" t="s">
        <v>1204</v>
      </c>
      <c r="D32" s="1241"/>
      <c r="E32" s="1241" t="s">
        <v>1205</v>
      </c>
      <c r="F32" s="1241"/>
      <c r="G32" s="1241" t="s">
        <v>538</v>
      </c>
      <c r="H32" s="1241"/>
      <c r="I32" s="1241" t="s">
        <v>539</v>
      </c>
      <c r="J32" s="1241"/>
      <c r="K32" s="1241" t="s">
        <v>542</v>
      </c>
      <c r="L32" s="1241"/>
      <c r="M32" s="1241" t="s">
        <v>543</v>
      </c>
      <c r="N32" s="1241"/>
      <c r="O32" s="1241" t="s">
        <v>544</v>
      </c>
      <c r="P32" s="1241"/>
      <c r="Q32" s="1241" t="s">
        <v>545</v>
      </c>
      <c r="R32" s="1241"/>
      <c r="S32" s="1241" t="s">
        <v>546</v>
      </c>
      <c r="T32" s="1241"/>
      <c r="U32" s="1241" t="s">
        <v>1206</v>
      </c>
      <c r="V32" s="1241"/>
      <c r="W32" s="1241" t="s">
        <v>1207</v>
      </c>
      <c r="X32" s="1262"/>
    </row>
    <row r="33" spans="1:24">
      <c r="A33" s="1276"/>
      <c r="B33" s="1241"/>
      <c r="C33" s="1261"/>
      <c r="D33" s="1241"/>
      <c r="E33" s="1261"/>
      <c r="F33" s="1261"/>
      <c r="G33" s="1261"/>
      <c r="H33" s="1241"/>
      <c r="I33" s="1261"/>
      <c r="J33" s="1241"/>
      <c r="K33" s="1261"/>
      <c r="L33" s="1241"/>
      <c r="M33" s="1261"/>
      <c r="N33" s="1261"/>
      <c r="O33" s="1261"/>
      <c r="P33" s="1241"/>
      <c r="Q33" s="1261"/>
      <c r="R33" s="1241"/>
      <c r="S33" s="1261"/>
      <c r="T33" s="1241"/>
      <c r="U33" s="1261"/>
      <c r="V33" s="1241"/>
      <c r="W33" s="1261"/>
      <c r="X33" s="1262"/>
    </row>
    <row r="34" spans="1:24">
      <c r="A34" s="1276"/>
      <c r="B34" s="1241">
        <v>356</v>
      </c>
      <c r="C34" s="1261"/>
      <c r="D34" s="1241">
        <v>369</v>
      </c>
      <c r="E34" s="1261"/>
      <c r="F34" s="1261">
        <v>375</v>
      </c>
      <c r="G34" s="1261"/>
      <c r="H34" s="1241">
        <v>384</v>
      </c>
      <c r="I34" s="1261"/>
      <c r="J34" s="1241">
        <v>396</v>
      </c>
      <c r="K34" s="1261"/>
      <c r="L34" s="1241">
        <v>393</v>
      </c>
      <c r="M34" s="1261"/>
      <c r="N34" s="1261">
        <v>332</v>
      </c>
      <c r="O34" s="1261"/>
      <c r="P34" s="1241">
        <v>352</v>
      </c>
      <c r="Q34" s="1261"/>
      <c r="R34" s="1241">
        <v>389</v>
      </c>
      <c r="S34" s="1261"/>
      <c r="T34" s="1241">
        <v>374</v>
      </c>
      <c r="U34" s="1261"/>
      <c r="V34" s="1241">
        <v>420</v>
      </c>
      <c r="W34" s="1261"/>
      <c r="X34" s="1262">
        <v>388</v>
      </c>
    </row>
    <row r="35" spans="1:24" ht="15" customHeight="1" thickBot="1">
      <c r="A35" s="1277"/>
      <c r="C35" s="1249"/>
      <c r="E35" s="1249"/>
      <c r="F35" s="1249"/>
      <c r="G35" s="1249"/>
      <c r="I35" s="1249"/>
      <c r="K35" s="1249"/>
      <c r="M35" s="1249"/>
      <c r="N35" s="1249"/>
      <c r="O35" s="1249"/>
      <c r="Q35" s="1249"/>
      <c r="S35" s="1249"/>
      <c r="U35" s="1249"/>
      <c r="W35" s="1249"/>
      <c r="X35" s="1259"/>
    </row>
    <row r="36" spans="1:24" ht="55" customHeight="1" thickBot="1">
      <c r="A36" s="1280"/>
      <c r="C36" s="1263"/>
      <c r="E36" s="1263"/>
      <c r="F36" s="1264"/>
      <c r="G36" s="1263"/>
      <c r="I36" s="1281"/>
      <c r="K36" s="1263"/>
      <c r="M36" s="1263"/>
      <c r="N36" s="1264"/>
      <c r="O36" s="1263"/>
      <c r="Q36" s="1263"/>
      <c r="S36" s="1265"/>
      <c r="U36" s="1263"/>
      <c r="W36" s="1263"/>
      <c r="X36" s="1259"/>
    </row>
    <row r="37" spans="1:24" ht="19.5" customHeight="1">
      <c r="A37" s="1269" t="s">
        <v>182</v>
      </c>
      <c r="B37" s="1269"/>
      <c r="C37" s="1269" t="s">
        <v>182</v>
      </c>
      <c r="D37" s="1269"/>
      <c r="E37" s="1269" t="s">
        <v>182</v>
      </c>
      <c r="F37" s="1269"/>
      <c r="G37" s="1266" t="s">
        <v>119</v>
      </c>
      <c r="H37" s="1241"/>
      <c r="I37" s="1282" t="s">
        <v>182</v>
      </c>
      <c r="J37" s="1269"/>
      <c r="K37" s="1282" t="s">
        <v>182</v>
      </c>
      <c r="L37" s="1269"/>
      <c r="M37" s="1282" t="s">
        <v>182</v>
      </c>
      <c r="N37" s="1269"/>
      <c r="O37" s="1282" t="s">
        <v>182</v>
      </c>
      <c r="P37" s="1269"/>
      <c r="Q37" s="1282" t="s">
        <v>182</v>
      </c>
      <c r="R37" s="1269"/>
      <c r="S37" s="1282" t="s">
        <v>182</v>
      </c>
      <c r="T37" s="1269"/>
      <c r="U37" s="1282" t="s">
        <v>182</v>
      </c>
      <c r="V37" s="1269"/>
      <c r="W37" s="1282" t="s">
        <v>185</v>
      </c>
      <c r="X37" s="1269"/>
    </row>
    <row r="38" spans="1:24" ht="19" customHeight="1">
      <c r="A38" s="1260"/>
      <c r="X38" s="1259"/>
    </row>
    <row r="39" spans="1:24">
      <c r="A39" s="1255" t="s">
        <v>1208</v>
      </c>
      <c r="B39" s="1241"/>
      <c r="C39" s="1241" t="s">
        <v>1209</v>
      </c>
      <c r="D39" s="1241"/>
      <c r="E39" s="1241" t="s">
        <v>548</v>
      </c>
      <c r="F39" s="1241"/>
      <c r="G39" s="1241" t="s">
        <v>1210</v>
      </c>
      <c r="H39" s="1241"/>
      <c r="I39" s="1241" t="s">
        <v>1211</v>
      </c>
      <c r="J39" s="1241"/>
      <c r="K39" s="1241" t="s">
        <v>1212</v>
      </c>
      <c r="L39" s="1241"/>
      <c r="M39" s="1241" t="s">
        <v>1213</v>
      </c>
      <c r="N39" s="1241"/>
      <c r="O39" s="1241" t="s">
        <v>556</v>
      </c>
      <c r="P39" s="1241"/>
      <c r="Q39" s="1241" t="s">
        <v>1214</v>
      </c>
      <c r="R39" s="1241"/>
      <c r="S39" s="1241" t="s">
        <v>1215</v>
      </c>
      <c r="T39" s="1241"/>
      <c r="U39" s="1241" t="s">
        <v>1216</v>
      </c>
      <c r="V39" s="1241"/>
      <c r="W39" s="1241" t="s">
        <v>1217</v>
      </c>
      <c r="X39" s="1262"/>
    </row>
    <row r="40" spans="1:24">
      <c r="A40" s="1277"/>
      <c r="C40" s="1249"/>
      <c r="E40" s="1249"/>
      <c r="F40" s="1249"/>
      <c r="G40" s="1249"/>
      <c r="I40" s="1249"/>
      <c r="K40" s="1249"/>
      <c r="M40" s="1249"/>
      <c r="N40" s="1249"/>
      <c r="O40" s="1249"/>
      <c r="Q40" s="1249"/>
      <c r="S40" s="1249"/>
      <c r="U40" s="1249"/>
      <c r="W40" s="1249"/>
      <c r="X40" s="1259"/>
    </row>
    <row r="41" spans="1:24">
      <c r="A41" s="1277"/>
      <c r="B41" s="1241">
        <v>408</v>
      </c>
      <c r="C41" s="1261"/>
      <c r="D41" s="1241">
        <v>402</v>
      </c>
      <c r="E41" s="1261"/>
      <c r="F41" s="1261">
        <v>372</v>
      </c>
      <c r="G41" s="1261"/>
      <c r="H41" s="1241">
        <v>411</v>
      </c>
      <c r="I41" s="1261"/>
      <c r="J41" s="1241">
        <v>379</v>
      </c>
      <c r="K41" s="1261"/>
      <c r="L41" s="1241">
        <v>413</v>
      </c>
      <c r="M41" s="1261"/>
      <c r="N41" s="1261">
        <v>340</v>
      </c>
      <c r="O41" s="1261"/>
      <c r="P41" s="1241">
        <v>411</v>
      </c>
      <c r="Q41" s="1261"/>
      <c r="R41" s="1241">
        <v>428</v>
      </c>
      <c r="S41" s="1261"/>
      <c r="T41" s="1241">
        <v>404</v>
      </c>
      <c r="U41" s="1261"/>
      <c r="V41" s="1241">
        <v>398</v>
      </c>
      <c r="W41" s="1261"/>
      <c r="X41" s="1262">
        <v>432</v>
      </c>
    </row>
    <row r="42" spans="1:24" ht="16" customHeight="1">
      <c r="A42" s="1277"/>
      <c r="B42" s="1241"/>
      <c r="C42" s="1261"/>
      <c r="D42" s="1241"/>
      <c r="E42" s="1261"/>
      <c r="F42" s="1261"/>
      <c r="G42" s="1261"/>
      <c r="H42" s="1241"/>
      <c r="I42" s="1261"/>
      <c r="J42" s="1241"/>
      <c r="K42" s="1261"/>
      <c r="L42" s="1241"/>
      <c r="M42" s="1261"/>
      <c r="N42" s="1261"/>
      <c r="O42" s="1261"/>
      <c r="P42" s="1241"/>
      <c r="Q42" s="1261"/>
      <c r="R42" s="1241"/>
      <c r="S42" s="1261"/>
      <c r="T42" s="1241"/>
      <c r="U42" s="1261"/>
      <c r="V42" s="1241"/>
      <c r="W42" s="1261"/>
      <c r="X42" s="1262"/>
    </row>
    <row r="43" spans="1:24" ht="40" customHeight="1">
      <c r="A43" s="1263"/>
      <c r="C43" s="1263"/>
      <c r="E43" s="1263"/>
      <c r="F43" s="1264"/>
      <c r="G43" s="1263"/>
      <c r="I43" s="1263"/>
      <c r="K43" s="1263"/>
      <c r="M43" s="1263"/>
      <c r="N43" s="1264"/>
      <c r="O43" s="1263"/>
      <c r="Q43" s="1263"/>
      <c r="S43" s="1265"/>
      <c r="U43" s="1263"/>
      <c r="W43" s="1263"/>
      <c r="X43" s="1259"/>
    </row>
    <row r="44" spans="1:24" ht="21.5" thickBot="1">
      <c r="A44" s="1725" t="s">
        <v>1875</v>
      </c>
      <c r="B44" s="1725"/>
      <c r="C44" s="1282" t="s">
        <v>185</v>
      </c>
      <c r="D44" s="1269"/>
      <c r="E44" s="1266" t="s">
        <v>119</v>
      </c>
      <c r="F44" s="1269"/>
      <c r="G44" s="1282" t="s">
        <v>182</v>
      </c>
      <c r="H44" s="1269"/>
      <c r="I44" s="1282" t="s">
        <v>182</v>
      </c>
      <c r="J44" s="1241"/>
      <c r="K44" s="1269" t="s">
        <v>182</v>
      </c>
      <c r="L44" s="1269"/>
      <c r="M44" s="1269" t="s">
        <v>185</v>
      </c>
      <c r="N44" s="1269"/>
      <c r="O44" s="1266" t="s">
        <v>119</v>
      </c>
      <c r="P44" s="1269"/>
      <c r="Q44" s="1269" t="s">
        <v>185</v>
      </c>
      <c r="R44" s="1269"/>
      <c r="S44" s="1269" t="s">
        <v>242</v>
      </c>
      <c r="T44" s="1269"/>
      <c r="U44" s="1269" t="s">
        <v>182</v>
      </c>
      <c r="V44" s="1269"/>
      <c r="W44" s="1269" t="s">
        <v>185</v>
      </c>
      <c r="X44" s="1262"/>
    </row>
    <row r="45" spans="1:24" ht="17.5" customHeight="1">
      <c r="A45" s="1273"/>
      <c r="B45" s="1274"/>
      <c r="C45" s="1274"/>
      <c r="D45" s="1274"/>
      <c r="E45" s="1274"/>
      <c r="F45" s="1274"/>
      <c r="G45" s="1274"/>
      <c r="H45" s="1274"/>
      <c r="I45" s="1274"/>
      <c r="J45" s="1274"/>
      <c r="K45" s="1274"/>
      <c r="L45" s="1274"/>
      <c r="M45" s="1274"/>
      <c r="N45" s="1274"/>
      <c r="O45" s="1274"/>
      <c r="P45" s="1274"/>
      <c r="Q45" s="1274"/>
      <c r="R45" s="1274"/>
      <c r="S45" s="1274"/>
      <c r="T45" s="1274"/>
      <c r="U45" s="1274"/>
      <c r="V45" s="1274"/>
      <c r="W45" s="1274"/>
      <c r="X45" s="1275"/>
    </row>
    <row r="46" spans="1:24">
      <c r="A46" s="1255" t="s">
        <v>1218</v>
      </c>
      <c r="B46" s="1241"/>
      <c r="C46" s="1241" t="s">
        <v>563</v>
      </c>
      <c r="D46" s="1241"/>
      <c r="E46" s="1241" t="s">
        <v>1219</v>
      </c>
      <c r="F46" s="1241"/>
      <c r="G46" s="1241" t="s">
        <v>1220</v>
      </c>
      <c r="H46" s="1241"/>
      <c r="I46" s="1241" t="s">
        <v>1221</v>
      </c>
      <c r="J46" s="1241"/>
      <c r="K46" s="1241" t="s">
        <v>1222</v>
      </c>
      <c r="L46" s="1241"/>
      <c r="M46" s="1241" t="s">
        <v>1223</v>
      </c>
      <c r="N46" s="1241"/>
      <c r="O46" s="1241" t="s">
        <v>1224</v>
      </c>
      <c r="P46" s="1241"/>
      <c r="Q46" s="1241" t="s">
        <v>1225</v>
      </c>
      <c r="R46" s="1241"/>
      <c r="S46" s="1241" t="s">
        <v>1226</v>
      </c>
      <c r="T46" s="1241"/>
      <c r="U46" s="1241" t="s">
        <v>1227</v>
      </c>
      <c r="V46" s="1241"/>
      <c r="W46" s="1241" t="s">
        <v>1228</v>
      </c>
      <c r="X46" s="1262"/>
    </row>
    <row r="47" spans="1:24">
      <c r="A47" s="1277"/>
      <c r="C47" s="1249"/>
      <c r="E47" s="1249"/>
      <c r="F47" s="1249"/>
      <c r="G47" s="1249"/>
      <c r="I47" s="1249"/>
      <c r="K47" s="1249"/>
      <c r="M47" s="1249"/>
      <c r="N47" s="1249"/>
      <c r="O47" s="1249"/>
      <c r="Q47" s="1249"/>
      <c r="S47" s="1249"/>
      <c r="U47" s="1249"/>
      <c r="W47" s="1249"/>
      <c r="X47" s="1259"/>
    </row>
    <row r="48" spans="1:24">
      <c r="A48" s="1277"/>
      <c r="B48" s="1241">
        <v>486</v>
      </c>
      <c r="C48" s="1261"/>
      <c r="D48" s="1241">
        <v>370</v>
      </c>
      <c r="E48" s="1261"/>
      <c r="F48" s="1261">
        <v>389</v>
      </c>
      <c r="G48" s="1261"/>
      <c r="H48" s="1241">
        <v>396</v>
      </c>
      <c r="I48" s="1261"/>
      <c r="J48" s="1241">
        <v>372</v>
      </c>
      <c r="K48" s="1261"/>
      <c r="L48" s="1241">
        <v>432</v>
      </c>
      <c r="M48" s="1261"/>
      <c r="N48" s="1261">
        <v>371</v>
      </c>
      <c r="O48" s="1261"/>
      <c r="P48" s="1241">
        <v>345</v>
      </c>
      <c r="Q48" s="1261"/>
      <c r="R48" s="1241">
        <v>382</v>
      </c>
      <c r="S48" s="1261"/>
      <c r="T48" s="1241">
        <v>367</v>
      </c>
      <c r="U48" s="1261"/>
      <c r="V48" s="1241">
        <v>424</v>
      </c>
      <c r="W48" s="1261"/>
      <c r="X48" s="1262">
        <v>400</v>
      </c>
    </row>
    <row r="49" spans="1:24" ht="16" customHeight="1">
      <c r="A49" s="1277"/>
      <c r="B49" s="1241"/>
      <c r="C49" s="1261"/>
      <c r="D49" s="1241"/>
      <c r="E49" s="1261"/>
      <c r="F49" s="1261"/>
      <c r="G49" s="1261"/>
      <c r="H49" s="1241"/>
      <c r="I49" s="1261"/>
      <c r="J49" s="1241"/>
      <c r="K49" s="1261"/>
      <c r="L49" s="1241"/>
      <c r="M49" s="1261"/>
      <c r="N49" s="1261"/>
      <c r="O49" s="1261"/>
      <c r="P49" s="1241"/>
      <c r="Q49" s="1261"/>
      <c r="R49" s="1241"/>
      <c r="S49" s="1261"/>
      <c r="T49" s="1241"/>
      <c r="U49" s="1261"/>
      <c r="V49" s="1241"/>
      <c r="W49" s="1261"/>
      <c r="X49" s="1262"/>
    </row>
    <row r="50" spans="1:24" ht="40" customHeight="1">
      <c r="A50" s="1280"/>
      <c r="C50" s="1263"/>
      <c r="E50" s="1263"/>
      <c r="F50" s="1264"/>
      <c r="G50" s="1263"/>
      <c r="I50" s="1263"/>
      <c r="K50" s="1263"/>
      <c r="M50" s="1263"/>
      <c r="N50" s="1264"/>
      <c r="O50" s="1263"/>
      <c r="Q50" s="1263"/>
      <c r="S50" s="1265"/>
      <c r="U50" s="1263"/>
      <c r="W50" s="1263"/>
      <c r="X50" s="1259"/>
    </row>
    <row r="51" spans="1:24">
      <c r="A51" s="1266" t="s">
        <v>132</v>
      </c>
      <c r="B51" s="1269"/>
      <c r="C51" s="1266" t="s">
        <v>137</v>
      </c>
      <c r="D51" s="1269"/>
      <c r="E51" s="1269" t="s">
        <v>185</v>
      </c>
      <c r="F51" s="1269"/>
      <c r="G51" s="1269" t="s">
        <v>182</v>
      </c>
      <c r="H51" s="1269"/>
      <c r="I51" s="1269" t="s">
        <v>185</v>
      </c>
      <c r="J51" s="1269"/>
      <c r="K51" s="1269" t="s">
        <v>242</v>
      </c>
      <c r="L51" s="1269"/>
      <c r="M51" s="1269" t="s">
        <v>182</v>
      </c>
      <c r="O51" s="1269" t="s">
        <v>182</v>
      </c>
      <c r="P51" s="1269"/>
      <c r="Q51" s="1269" t="s">
        <v>182</v>
      </c>
      <c r="R51" s="1269"/>
      <c r="S51" s="1269" t="s">
        <v>182</v>
      </c>
      <c r="T51" s="1269"/>
      <c r="U51" s="1266" t="s">
        <v>119</v>
      </c>
      <c r="V51" s="1269"/>
      <c r="W51" s="1269" t="s">
        <v>182</v>
      </c>
      <c r="X51" s="1259"/>
    </row>
    <row r="52" spans="1:24" ht="21.5" thickBot="1">
      <c r="A52" s="1260"/>
      <c r="Q52" s="1283" t="s">
        <v>1620</v>
      </c>
      <c r="W52" s="1283" t="s">
        <v>1620</v>
      </c>
      <c r="X52" s="1259"/>
    </row>
    <row r="53" spans="1:24" ht="17.5" customHeight="1">
      <c r="A53" s="1273"/>
      <c r="B53" s="1274"/>
      <c r="C53" s="1274"/>
      <c r="D53" s="1274"/>
      <c r="E53" s="1274"/>
      <c r="F53" s="1274"/>
      <c r="G53" s="1274"/>
      <c r="H53" s="1274"/>
      <c r="I53" s="1274"/>
      <c r="J53" s="1274"/>
      <c r="K53" s="1274"/>
      <c r="L53" s="1274"/>
      <c r="M53" s="1274"/>
      <c r="N53" s="1274"/>
      <c r="O53" s="1274"/>
      <c r="P53" s="1274"/>
      <c r="Q53" s="1274"/>
      <c r="R53" s="1274"/>
      <c r="S53" s="1274"/>
      <c r="T53" s="1274"/>
      <c r="U53" s="1274"/>
      <c r="V53" s="1274"/>
      <c r="W53" s="1274"/>
      <c r="X53" s="1275"/>
    </row>
    <row r="54" spans="1:24">
      <c r="A54" s="1255" t="s">
        <v>1229</v>
      </c>
      <c r="B54" s="1241"/>
      <c r="C54" s="1241" t="s">
        <v>1230</v>
      </c>
      <c r="D54" s="1241"/>
      <c r="E54" s="1241" t="s">
        <v>1231</v>
      </c>
      <c r="F54" s="1241"/>
      <c r="G54" s="1241" t="s">
        <v>1232</v>
      </c>
      <c r="H54" s="1241"/>
      <c r="I54" s="1241" t="s">
        <v>1233</v>
      </c>
      <c r="J54" s="1241"/>
      <c r="K54" s="1241" t="s">
        <v>573</v>
      </c>
      <c r="L54" s="1241"/>
      <c r="M54" s="1241" t="s">
        <v>1234</v>
      </c>
      <c r="N54" s="1241"/>
      <c r="O54" s="1241" t="s">
        <v>1235</v>
      </c>
      <c r="P54" s="1241"/>
      <c r="Q54" s="1241" t="s">
        <v>1236</v>
      </c>
      <c r="R54" s="1241"/>
      <c r="S54" s="1241" t="s">
        <v>1237</v>
      </c>
      <c r="T54" s="1241"/>
      <c r="U54" s="1241" t="s">
        <v>1238</v>
      </c>
      <c r="V54" s="1241"/>
      <c r="W54" s="1241" t="s">
        <v>1239</v>
      </c>
      <c r="X54" s="1259"/>
    </row>
    <row r="55" spans="1:24">
      <c r="A55" s="1260"/>
      <c r="X55" s="1259"/>
    </row>
    <row r="56" spans="1:24">
      <c r="A56" s="1277"/>
      <c r="C56" s="1249"/>
      <c r="E56" s="1249"/>
      <c r="F56" s="1249"/>
      <c r="G56" s="1249"/>
      <c r="I56" s="1249"/>
      <c r="K56" s="1249"/>
      <c r="M56" s="1249"/>
      <c r="N56" s="1249"/>
      <c r="O56" s="1249"/>
      <c r="Q56" s="1249"/>
      <c r="S56" s="1249"/>
      <c r="U56" s="1249"/>
      <c r="W56" s="1249"/>
      <c r="X56" s="1259"/>
    </row>
    <row r="57" spans="1:24">
      <c r="A57" s="1277"/>
      <c r="B57" s="1238">
        <v>404</v>
      </c>
      <c r="C57" s="1249"/>
      <c r="D57" s="1238">
        <v>438</v>
      </c>
      <c r="E57" s="1249"/>
      <c r="F57" s="1249">
        <v>400</v>
      </c>
      <c r="G57" s="1249"/>
      <c r="H57" s="1238">
        <v>438</v>
      </c>
      <c r="I57" s="1249"/>
      <c r="J57" s="1238">
        <v>378</v>
      </c>
      <c r="K57" s="1249"/>
      <c r="L57" s="1238">
        <v>420</v>
      </c>
      <c r="M57" s="1249"/>
      <c r="N57" s="1249">
        <v>385</v>
      </c>
      <c r="O57" s="1249"/>
      <c r="P57" s="1238">
        <v>324</v>
      </c>
      <c r="Q57" s="1249"/>
      <c r="R57" s="1238">
        <v>384</v>
      </c>
      <c r="S57" s="1249"/>
      <c r="T57" s="1238">
        <v>381</v>
      </c>
      <c r="U57" s="1249"/>
      <c r="V57" s="1238">
        <v>336</v>
      </c>
      <c r="W57" s="1249"/>
      <c r="X57" s="1259">
        <v>439</v>
      </c>
    </row>
    <row r="58" spans="1:24" ht="16.5" customHeight="1">
      <c r="A58" s="1277"/>
      <c r="C58" s="1249"/>
      <c r="E58" s="1249"/>
      <c r="F58" s="1249"/>
      <c r="G58" s="1249"/>
      <c r="I58" s="1249"/>
      <c r="K58" s="1249"/>
      <c r="M58" s="1249"/>
      <c r="N58" s="1249"/>
      <c r="O58" s="1249"/>
      <c r="Q58" s="1249"/>
      <c r="S58" s="1249"/>
      <c r="U58" s="1249"/>
      <c r="W58" s="1249"/>
      <c r="X58" s="1259"/>
    </row>
    <row r="59" spans="1:24" ht="49" customHeight="1">
      <c r="A59" s="1280"/>
      <c r="C59" s="1263"/>
      <c r="E59" s="1263"/>
      <c r="F59" s="1264"/>
      <c r="G59" s="1263"/>
      <c r="I59" s="1263"/>
      <c r="K59" s="1263"/>
      <c r="M59" s="1263"/>
      <c r="N59" s="1264"/>
      <c r="O59" s="1263"/>
      <c r="Q59" s="1263"/>
      <c r="S59" s="1265"/>
      <c r="U59" s="1263"/>
      <c r="W59" s="1263"/>
      <c r="X59" s="1259"/>
    </row>
    <row r="60" spans="1:24" ht="21.5" thickBot="1">
      <c r="A60" s="1269" t="s">
        <v>185</v>
      </c>
      <c r="C60" s="1269" t="s">
        <v>185</v>
      </c>
      <c r="D60" s="1269"/>
      <c r="E60" s="1269" t="s">
        <v>185</v>
      </c>
      <c r="F60" s="1269"/>
      <c r="G60" s="1269" t="s">
        <v>182</v>
      </c>
      <c r="H60" s="1269"/>
      <c r="I60" s="1269" t="s">
        <v>242</v>
      </c>
      <c r="J60" s="1269"/>
      <c r="K60" s="1266" t="s">
        <v>119</v>
      </c>
      <c r="L60" s="1269"/>
      <c r="M60" s="1269" t="s">
        <v>185</v>
      </c>
      <c r="N60" s="1269"/>
      <c r="O60" s="1269" t="s">
        <v>182</v>
      </c>
      <c r="P60" s="1269"/>
      <c r="Q60" s="1269" t="s">
        <v>182</v>
      </c>
      <c r="S60" s="1269" t="s">
        <v>182</v>
      </c>
      <c r="T60" s="1269"/>
      <c r="U60" s="1269" t="s">
        <v>182</v>
      </c>
      <c r="V60" s="1269"/>
      <c r="W60" s="1269" t="s">
        <v>182</v>
      </c>
      <c r="X60" s="1259"/>
    </row>
    <row r="61" spans="1:24" ht="17.5" customHeight="1">
      <c r="A61" s="1273"/>
      <c r="B61" s="1274"/>
      <c r="C61" s="1274"/>
      <c r="D61" s="1274"/>
      <c r="E61" s="1274"/>
      <c r="F61" s="1274"/>
      <c r="G61" s="1274"/>
      <c r="H61" s="1274"/>
      <c r="I61" s="1274"/>
      <c r="J61" s="1274"/>
      <c r="K61" s="1274"/>
      <c r="L61" s="1274"/>
      <c r="M61" s="1274"/>
      <c r="N61" s="1274"/>
      <c r="O61" s="1274"/>
      <c r="P61" s="1274"/>
      <c r="Q61" s="1274"/>
      <c r="R61" s="1274"/>
      <c r="S61" s="1274"/>
      <c r="T61" s="1274"/>
      <c r="U61" s="1274"/>
      <c r="V61" s="1274"/>
      <c r="W61" s="1274"/>
      <c r="X61" s="1275"/>
    </row>
    <row r="62" spans="1:24">
      <c r="A62" s="1255" t="s">
        <v>575</v>
      </c>
      <c r="B62" s="1241"/>
      <c r="C62" s="1241" t="s">
        <v>1240</v>
      </c>
      <c r="D62" s="1241"/>
      <c r="E62" s="1241" t="s">
        <v>1241</v>
      </c>
      <c r="F62" s="1241"/>
      <c r="G62" s="1241" t="s">
        <v>584</v>
      </c>
      <c r="H62" s="1241"/>
      <c r="I62" s="1241" t="s">
        <v>1242</v>
      </c>
      <c r="J62" s="1241"/>
      <c r="K62" s="1241" t="s">
        <v>1243</v>
      </c>
      <c r="L62" s="1241"/>
      <c r="M62" s="1241" t="s">
        <v>1244</v>
      </c>
      <c r="N62" s="1241"/>
      <c r="O62" s="1241" t="s">
        <v>589</v>
      </c>
      <c r="P62" s="1241"/>
      <c r="Q62" s="1241" t="s">
        <v>1245</v>
      </c>
      <c r="R62" s="1241"/>
      <c r="S62" s="1241" t="s">
        <v>590</v>
      </c>
      <c r="T62" s="1241"/>
      <c r="U62" s="1241" t="s">
        <v>1246</v>
      </c>
      <c r="V62" s="1241"/>
      <c r="W62" s="1241" t="s">
        <v>595</v>
      </c>
      <c r="X62" s="1262"/>
    </row>
    <row r="63" spans="1:24">
      <c r="A63" s="1255"/>
      <c r="B63" s="1241"/>
      <c r="C63" s="1241"/>
      <c r="D63" s="1241"/>
      <c r="E63" s="1241"/>
      <c r="F63" s="1241"/>
      <c r="G63" s="1241"/>
      <c r="H63" s="1241"/>
      <c r="I63" s="1241"/>
      <c r="J63" s="1241"/>
      <c r="K63" s="1241"/>
      <c r="L63" s="1241"/>
      <c r="M63" s="1241"/>
      <c r="N63" s="1241"/>
      <c r="O63" s="1241"/>
      <c r="P63" s="1241"/>
      <c r="Q63" s="1241"/>
      <c r="R63" s="1241"/>
      <c r="S63" s="1241"/>
      <c r="T63" s="1241"/>
      <c r="U63" s="1241"/>
      <c r="V63" s="1241"/>
      <c r="W63" s="1241"/>
      <c r="X63" s="1262"/>
    </row>
    <row r="64" spans="1:24">
      <c r="A64" s="1276"/>
      <c r="B64" s="1241"/>
      <c r="C64" s="1261"/>
      <c r="D64" s="1241"/>
      <c r="E64" s="1261"/>
      <c r="F64" s="1261"/>
      <c r="G64" s="1261"/>
      <c r="H64" s="1241"/>
      <c r="I64" s="1261"/>
      <c r="J64" s="1241"/>
      <c r="K64" s="1261"/>
      <c r="L64" s="1241"/>
      <c r="M64" s="1261"/>
      <c r="N64" s="1261"/>
      <c r="O64" s="1261"/>
      <c r="P64" s="1241"/>
      <c r="Q64" s="1261"/>
      <c r="R64" s="1241"/>
      <c r="S64" s="1261"/>
      <c r="T64" s="1241"/>
      <c r="U64" s="1261"/>
      <c r="V64" s="1241"/>
      <c r="W64" s="1261"/>
      <c r="X64" s="1262"/>
    </row>
    <row r="65" spans="1:24">
      <c r="A65" s="1276"/>
      <c r="B65" s="1241">
        <v>395</v>
      </c>
      <c r="C65" s="1261"/>
      <c r="D65" s="1241">
        <v>388</v>
      </c>
      <c r="E65" s="1261"/>
      <c r="F65" s="1261">
        <v>364</v>
      </c>
      <c r="G65" s="1261"/>
      <c r="H65" s="1241">
        <v>405</v>
      </c>
      <c r="I65" s="1261"/>
      <c r="J65" s="1241">
        <v>432</v>
      </c>
      <c r="K65" s="1261"/>
      <c r="L65" s="1241">
        <v>404</v>
      </c>
      <c r="M65" s="1261"/>
      <c r="N65" s="1261">
        <v>417</v>
      </c>
      <c r="O65" s="1261"/>
      <c r="P65" s="1241">
        <v>468</v>
      </c>
      <c r="Q65" s="1261"/>
      <c r="R65" s="1241">
        <v>432</v>
      </c>
      <c r="S65" s="1261"/>
      <c r="T65" s="1241">
        <v>465</v>
      </c>
      <c r="U65" s="1261"/>
      <c r="V65" s="1241">
        <v>370</v>
      </c>
      <c r="W65" s="1261"/>
      <c r="X65" s="1262">
        <v>284</v>
      </c>
    </row>
    <row r="66" spans="1:24" ht="15" customHeight="1">
      <c r="A66" s="1276"/>
      <c r="B66" s="1241"/>
      <c r="C66" s="1261"/>
      <c r="D66" s="1241"/>
      <c r="E66" s="1261"/>
      <c r="F66" s="1261"/>
      <c r="G66" s="1261"/>
      <c r="H66" s="1241"/>
      <c r="I66" s="1261"/>
      <c r="J66" s="1241"/>
      <c r="K66" s="1261"/>
      <c r="L66" s="1241"/>
      <c r="M66" s="1261"/>
      <c r="N66" s="1261"/>
      <c r="O66" s="1261"/>
      <c r="P66" s="1241"/>
      <c r="Q66" s="1261"/>
      <c r="R66" s="1241"/>
      <c r="S66" s="1261"/>
      <c r="T66" s="1241"/>
      <c r="U66" s="1261"/>
      <c r="V66" s="1241"/>
      <c r="W66" s="1261"/>
      <c r="X66" s="1262"/>
    </row>
    <row r="67" spans="1:24" ht="40" customHeight="1">
      <c r="A67" s="1284"/>
      <c r="B67" s="1241"/>
      <c r="C67" s="1285"/>
      <c r="D67" s="1241"/>
      <c r="E67" s="1285"/>
      <c r="F67" s="1286"/>
      <c r="G67" s="1285"/>
      <c r="H67" s="1241"/>
      <c r="I67" s="1285"/>
      <c r="J67" s="1241"/>
      <c r="K67" s="1285"/>
      <c r="L67" s="1241"/>
      <c r="M67" s="1285"/>
      <c r="N67" s="1286"/>
      <c r="O67" s="1285"/>
      <c r="P67" s="1241"/>
      <c r="Q67" s="1285"/>
      <c r="R67" s="1241"/>
      <c r="S67" s="1287"/>
      <c r="T67" s="1241"/>
      <c r="U67" s="1285"/>
      <c r="V67" s="1241"/>
      <c r="W67" s="1285"/>
      <c r="X67" s="1262"/>
    </row>
    <row r="68" spans="1:24">
      <c r="A68" s="1255"/>
      <c r="B68" s="1241"/>
      <c r="C68" s="1241"/>
      <c r="D68" s="1241"/>
      <c r="E68" s="1241"/>
      <c r="F68" s="1241"/>
      <c r="G68" s="1241"/>
      <c r="H68" s="1241"/>
      <c r="I68" s="1241"/>
      <c r="J68" s="1241"/>
      <c r="K68" s="1241"/>
      <c r="L68" s="1241"/>
      <c r="M68" s="1241"/>
      <c r="N68" s="1241"/>
      <c r="O68" s="1241"/>
      <c r="P68" s="1241"/>
      <c r="Q68" s="1241"/>
      <c r="R68" s="1241"/>
      <c r="S68" s="1241"/>
      <c r="T68" s="1241"/>
      <c r="U68" s="1241"/>
      <c r="V68" s="1241"/>
      <c r="W68" s="1241"/>
      <c r="X68" s="1262"/>
    </row>
    <row r="69" spans="1:24">
      <c r="A69" s="1266" t="s">
        <v>119</v>
      </c>
      <c r="B69" s="1269"/>
      <c r="C69" s="1269" t="s">
        <v>182</v>
      </c>
      <c r="D69" s="1269"/>
      <c r="E69" s="1269" t="s">
        <v>185</v>
      </c>
      <c r="F69" s="1269"/>
      <c r="G69" s="1266" t="s">
        <v>115</v>
      </c>
      <c r="H69" s="1269"/>
      <c r="I69" s="1269" t="s">
        <v>248</v>
      </c>
      <c r="J69" s="1269"/>
      <c r="K69" s="1269" t="s">
        <v>242</v>
      </c>
      <c r="L69" s="1269"/>
      <c r="M69" s="1269" t="s">
        <v>185</v>
      </c>
      <c r="N69" s="1269"/>
      <c r="O69" s="1266" t="s">
        <v>119</v>
      </c>
      <c r="P69" s="1269"/>
      <c r="Q69" s="1266" t="s">
        <v>132</v>
      </c>
      <c r="R69" s="1269"/>
      <c r="S69" s="1266" t="s">
        <v>123</v>
      </c>
      <c r="T69" s="1269"/>
      <c r="U69" s="1269" t="s">
        <v>242</v>
      </c>
      <c r="V69" s="1241"/>
      <c r="W69" s="1266" t="s">
        <v>125</v>
      </c>
      <c r="X69" s="1262"/>
    </row>
    <row r="70" spans="1:24" ht="24" customHeight="1" thickBot="1">
      <c r="A70" s="1260"/>
      <c r="B70" s="1726" t="s">
        <v>1837</v>
      </c>
      <c r="C70" s="1726"/>
      <c r="D70" s="1726"/>
      <c r="E70" s="1727" t="s">
        <v>1838</v>
      </c>
      <c r="F70" s="1727"/>
      <c r="N70" s="1728" t="s">
        <v>1685</v>
      </c>
      <c r="O70" s="1728"/>
      <c r="P70" s="1728"/>
      <c r="X70" s="1259"/>
    </row>
    <row r="71" spans="1:24" ht="17.5" customHeight="1">
      <c r="A71" s="1273"/>
      <c r="B71" s="1274"/>
      <c r="C71" s="1274"/>
      <c r="D71" s="1274"/>
      <c r="E71" s="1274"/>
      <c r="F71" s="1274"/>
      <c r="G71" s="1274"/>
      <c r="H71" s="1274"/>
      <c r="I71" s="1274"/>
      <c r="J71" s="1274"/>
      <c r="K71" s="1274"/>
      <c r="L71" s="1274"/>
      <c r="M71" s="1274"/>
      <c r="N71" s="1274"/>
      <c r="O71" s="1274"/>
      <c r="P71" s="1274"/>
      <c r="Q71" s="1274"/>
      <c r="R71" s="1274"/>
      <c r="S71" s="1274"/>
      <c r="T71" s="1274"/>
      <c r="U71" s="1274"/>
      <c r="V71" s="1274"/>
      <c r="W71" s="1274"/>
      <c r="X71" s="1275"/>
    </row>
    <row r="72" spans="1:24">
      <c r="A72" s="1255" t="s">
        <v>1247</v>
      </c>
      <c r="B72" s="1241"/>
      <c r="C72" s="1241" t="s">
        <v>604</v>
      </c>
      <c r="D72" s="1241"/>
      <c r="E72" s="1241" t="s">
        <v>1248</v>
      </c>
      <c r="F72" s="1241"/>
      <c r="G72" s="1241" t="s">
        <v>608</v>
      </c>
      <c r="H72" s="1241"/>
      <c r="I72" s="1241" t="s">
        <v>1249</v>
      </c>
      <c r="J72" s="1241"/>
      <c r="K72" s="1241" t="s">
        <v>609</v>
      </c>
      <c r="L72" s="1241"/>
      <c r="M72" s="1241" t="s">
        <v>1250</v>
      </c>
      <c r="N72" s="1241"/>
      <c r="O72" s="1241" t="s">
        <v>1251</v>
      </c>
      <c r="P72" s="1241"/>
      <c r="Q72" s="1241" t="s">
        <v>1252</v>
      </c>
      <c r="R72" s="1241"/>
      <c r="S72" s="1241" t="s">
        <v>610</v>
      </c>
      <c r="T72" s="1241"/>
      <c r="U72" s="1241" t="s">
        <v>1253</v>
      </c>
      <c r="V72" s="1241"/>
      <c r="W72" s="1241" t="s">
        <v>1254</v>
      </c>
      <c r="X72" s="1262"/>
    </row>
    <row r="73" spans="1:24">
      <c r="A73" s="1255"/>
      <c r="B73" s="1241"/>
      <c r="C73" s="1241"/>
      <c r="D73" s="1241"/>
      <c r="E73" s="1241"/>
      <c r="F73" s="1241"/>
      <c r="G73" s="1241"/>
      <c r="H73" s="1241"/>
      <c r="I73" s="1241"/>
      <c r="J73" s="1241"/>
      <c r="K73" s="1241"/>
      <c r="L73" s="1241"/>
      <c r="M73" s="1241"/>
      <c r="N73" s="1241"/>
      <c r="O73" s="1241"/>
      <c r="P73" s="1241"/>
      <c r="Q73" s="1241"/>
      <c r="R73" s="1241"/>
      <c r="S73" s="1241"/>
      <c r="T73" s="1241"/>
      <c r="U73" s="1241"/>
      <c r="V73" s="1241"/>
      <c r="W73" s="1241"/>
      <c r="X73" s="1262"/>
    </row>
    <row r="74" spans="1:24">
      <c r="A74" s="1276"/>
      <c r="B74" s="1241"/>
      <c r="C74" s="1261"/>
      <c r="D74" s="1241"/>
      <c r="E74" s="1261"/>
      <c r="F74" s="1261"/>
      <c r="G74" s="1261"/>
      <c r="H74" s="1241"/>
      <c r="I74" s="1261"/>
      <c r="J74" s="1241"/>
      <c r="K74" s="1261"/>
      <c r="L74" s="1241"/>
      <c r="M74" s="1261"/>
      <c r="N74" s="1261"/>
      <c r="O74" s="1261"/>
      <c r="P74" s="1241"/>
      <c r="Q74" s="1261"/>
      <c r="R74" s="1241"/>
      <c r="S74" s="1261"/>
      <c r="T74" s="1241"/>
      <c r="U74" s="1261"/>
      <c r="V74" s="1241"/>
      <c r="W74" s="1261"/>
      <c r="X74" s="1262"/>
    </row>
    <row r="75" spans="1:24">
      <c r="A75" s="1276"/>
      <c r="B75" s="1241">
        <v>271</v>
      </c>
      <c r="C75" s="1261"/>
      <c r="D75" s="1241">
        <v>287</v>
      </c>
      <c r="E75" s="1261"/>
      <c r="F75" s="1261">
        <v>292</v>
      </c>
      <c r="G75" s="1261"/>
      <c r="H75" s="1241">
        <v>399</v>
      </c>
      <c r="I75" s="1261"/>
      <c r="J75" s="1241">
        <v>425</v>
      </c>
      <c r="K75" s="1261"/>
      <c r="L75" s="1241">
        <v>384</v>
      </c>
      <c r="M75" s="1261"/>
      <c r="N75" s="1261">
        <v>403</v>
      </c>
      <c r="O75" s="1261"/>
      <c r="P75" s="1241">
        <v>355</v>
      </c>
      <c r="Q75" s="1261"/>
      <c r="R75" s="1241">
        <v>400</v>
      </c>
      <c r="S75" s="1261"/>
      <c r="T75" s="1241">
        <v>287</v>
      </c>
      <c r="U75" s="1261"/>
      <c r="V75" s="1241">
        <v>391</v>
      </c>
      <c r="W75" s="1261"/>
      <c r="X75" s="1262">
        <v>364</v>
      </c>
    </row>
    <row r="76" spans="1:24" ht="16.5" customHeight="1">
      <c r="A76" s="1277"/>
      <c r="C76" s="1249"/>
      <c r="E76" s="1249"/>
      <c r="F76" s="1249"/>
      <c r="G76" s="1249"/>
      <c r="I76" s="1249"/>
      <c r="K76" s="1249"/>
      <c r="M76" s="1249"/>
      <c r="N76" s="1249"/>
      <c r="O76" s="1249"/>
      <c r="Q76" s="1249"/>
      <c r="S76" s="1249"/>
      <c r="U76" s="1249"/>
      <c r="W76" s="1249"/>
      <c r="X76" s="1259"/>
    </row>
    <row r="77" spans="1:24" ht="48" customHeight="1">
      <c r="A77" s="1280"/>
      <c r="C77" s="1263"/>
      <c r="E77" s="1263"/>
      <c r="F77" s="1264"/>
      <c r="G77" s="1263"/>
      <c r="I77" s="1263"/>
      <c r="K77" s="1263"/>
      <c r="M77" s="1263"/>
      <c r="N77" s="1264"/>
      <c r="O77" s="1263"/>
      <c r="Q77" s="1263"/>
      <c r="S77" s="1265"/>
      <c r="U77" s="1263"/>
      <c r="W77" s="1263"/>
      <c r="X77" s="1259"/>
    </row>
    <row r="78" spans="1:24">
      <c r="A78" s="1269" t="s">
        <v>182</v>
      </c>
      <c r="B78" s="1269"/>
      <c r="C78" s="1266" t="s">
        <v>119</v>
      </c>
      <c r="D78" s="1269"/>
      <c r="E78" s="1269" t="s">
        <v>182</v>
      </c>
      <c r="F78" s="1269"/>
      <c r="G78" s="1266" t="s">
        <v>115</v>
      </c>
      <c r="H78" s="1269"/>
      <c r="I78" s="1269" t="s">
        <v>242</v>
      </c>
      <c r="J78" s="1269"/>
      <c r="K78" s="1266" t="s">
        <v>125</v>
      </c>
      <c r="L78" s="1269"/>
      <c r="M78" s="1269" t="s">
        <v>185</v>
      </c>
      <c r="N78" s="1269"/>
      <c r="O78" s="1269" t="s">
        <v>182</v>
      </c>
      <c r="P78" s="1269"/>
      <c r="Q78" s="1269" t="s">
        <v>185</v>
      </c>
      <c r="R78" s="1269"/>
      <c r="S78" s="1266" t="s">
        <v>115</v>
      </c>
      <c r="T78" s="1269"/>
      <c r="U78" s="1269" t="s">
        <v>182</v>
      </c>
      <c r="V78" s="1269"/>
      <c r="W78" s="1269" t="s">
        <v>182</v>
      </c>
      <c r="X78" s="1259"/>
    </row>
    <row r="79" spans="1:24" ht="21.5" thickBot="1">
      <c r="A79" s="1260"/>
      <c r="K79" s="1719" t="s">
        <v>1521</v>
      </c>
      <c r="L79" s="1719"/>
      <c r="U79" s="1719" t="s">
        <v>1522</v>
      </c>
      <c r="V79" s="1719"/>
      <c r="X79" s="1259"/>
    </row>
    <row r="80" spans="1:24" ht="17.5" customHeight="1">
      <c r="A80" s="1273"/>
      <c r="B80" s="1274"/>
      <c r="C80" s="1274"/>
      <c r="D80" s="1274"/>
      <c r="E80" s="1274"/>
      <c r="F80" s="1274"/>
      <c r="G80" s="1274"/>
      <c r="H80" s="1274"/>
      <c r="I80" s="1274"/>
      <c r="J80" s="1274"/>
      <c r="K80" s="1274"/>
      <c r="L80" s="1274"/>
      <c r="M80" s="1274"/>
      <c r="N80" s="1274"/>
      <c r="O80" s="1274"/>
      <c r="P80" s="1274"/>
      <c r="Q80" s="1274"/>
      <c r="R80" s="1274"/>
      <c r="S80" s="1274"/>
      <c r="T80" s="1274"/>
      <c r="U80" s="1274"/>
      <c r="V80" s="1274"/>
      <c r="W80" s="1274"/>
      <c r="X80" s="1275"/>
    </row>
    <row r="81" spans="1:24">
      <c r="A81" s="1255" t="s">
        <v>1255</v>
      </c>
      <c r="B81" s="1241"/>
      <c r="C81" s="1241" t="s">
        <v>1256</v>
      </c>
      <c r="D81" s="1241"/>
      <c r="E81" s="1241" t="s">
        <v>1257</v>
      </c>
      <c r="F81" s="1241"/>
      <c r="G81" s="1241" t="s">
        <v>1258</v>
      </c>
      <c r="H81" s="1241"/>
      <c r="I81" s="1241" t="s">
        <v>616</v>
      </c>
      <c r="J81" s="1241"/>
      <c r="K81" s="1241" t="s">
        <v>1259</v>
      </c>
      <c r="L81" s="1241"/>
      <c r="M81" s="1241" t="s">
        <v>1260</v>
      </c>
      <c r="N81" s="1241"/>
      <c r="O81" s="1241" t="s">
        <v>620</v>
      </c>
      <c r="P81" s="1241"/>
      <c r="Q81" s="1241" t="s">
        <v>623</v>
      </c>
      <c r="R81" s="1241"/>
      <c r="S81" s="1241" t="s">
        <v>1261</v>
      </c>
      <c r="T81" s="1241"/>
      <c r="U81" s="1241" t="s">
        <v>1262</v>
      </c>
      <c r="V81" s="1241"/>
      <c r="W81" s="1241" t="s">
        <v>1263</v>
      </c>
      <c r="X81" s="1262"/>
    </row>
    <row r="82" spans="1:24">
      <c r="A82" s="1255"/>
      <c r="B82" s="1241"/>
      <c r="C82" s="1241"/>
      <c r="D82" s="1241"/>
      <c r="E82" s="1241"/>
      <c r="F82" s="1241"/>
      <c r="G82" s="1241"/>
      <c r="H82" s="1241"/>
      <c r="I82" s="1241"/>
      <c r="J82" s="1241"/>
      <c r="K82" s="1241"/>
      <c r="L82" s="1241"/>
      <c r="M82" s="1241"/>
      <c r="N82" s="1241"/>
      <c r="O82" s="1241"/>
      <c r="P82" s="1241"/>
      <c r="Q82" s="1241"/>
      <c r="R82" s="1241"/>
      <c r="S82" s="1241"/>
      <c r="T82" s="1241"/>
      <c r="U82" s="1241"/>
      <c r="V82" s="1241"/>
      <c r="W82" s="1241"/>
      <c r="X82" s="1262"/>
    </row>
    <row r="83" spans="1:24">
      <c r="A83" s="1276"/>
      <c r="B83" s="1241"/>
      <c r="C83" s="1261"/>
      <c r="D83" s="1241"/>
      <c r="E83" s="1261"/>
      <c r="F83" s="1261"/>
      <c r="G83" s="1261"/>
      <c r="H83" s="1241"/>
      <c r="I83" s="1261"/>
      <c r="J83" s="1241"/>
      <c r="K83" s="1261"/>
      <c r="L83" s="1241"/>
      <c r="M83" s="1261"/>
      <c r="N83" s="1261"/>
      <c r="O83" s="1261"/>
      <c r="P83" s="1241"/>
      <c r="Q83" s="1261"/>
      <c r="R83" s="1241"/>
      <c r="S83" s="1261"/>
      <c r="T83" s="1241"/>
      <c r="U83" s="1261"/>
      <c r="V83" s="1241"/>
      <c r="W83" s="1261"/>
      <c r="X83" s="1262"/>
    </row>
    <row r="84" spans="1:24">
      <c r="A84" s="1276"/>
      <c r="B84" s="1241">
        <v>338</v>
      </c>
      <c r="C84" s="1261"/>
      <c r="D84" s="1241">
        <v>348</v>
      </c>
      <c r="E84" s="1261"/>
      <c r="F84" s="1261">
        <v>419</v>
      </c>
      <c r="G84" s="1261"/>
      <c r="H84" s="1241">
        <v>409</v>
      </c>
      <c r="I84" s="1261"/>
      <c r="J84" s="1241">
        <v>365</v>
      </c>
      <c r="K84" s="1261"/>
      <c r="L84" s="1241">
        <v>437</v>
      </c>
      <c r="M84" s="1261"/>
      <c r="N84" s="1261">
        <v>363</v>
      </c>
      <c r="O84" s="1261"/>
      <c r="P84" s="1241">
        <v>160</v>
      </c>
      <c r="Q84" s="1261"/>
      <c r="R84" s="1241">
        <v>300</v>
      </c>
      <c r="S84" s="1261"/>
      <c r="T84" s="1241">
        <v>293</v>
      </c>
      <c r="U84" s="1261"/>
      <c r="V84" s="1241">
        <v>357</v>
      </c>
      <c r="W84" s="1261"/>
      <c r="X84" s="1262">
        <v>341</v>
      </c>
    </row>
    <row r="85" spans="1:24" ht="16" customHeight="1">
      <c r="A85" s="1277"/>
      <c r="C85" s="1249"/>
      <c r="E85" s="1249"/>
      <c r="F85" s="1249"/>
      <c r="G85" s="1249"/>
      <c r="I85" s="1249"/>
      <c r="K85" s="1249"/>
      <c r="M85" s="1249"/>
      <c r="N85" s="1249"/>
      <c r="O85" s="1249"/>
      <c r="Q85" s="1249"/>
      <c r="S85" s="1249"/>
      <c r="U85" s="1249"/>
      <c r="W85" s="1249"/>
      <c r="X85" s="1259"/>
    </row>
    <row r="86" spans="1:24" ht="53.5" customHeight="1">
      <c r="A86" s="1278"/>
      <c r="B86" s="1278"/>
      <c r="C86" s="1278"/>
      <c r="D86" s="1278"/>
      <c r="E86" s="1278"/>
      <c r="F86" s="1278"/>
      <c r="G86" s="1278"/>
      <c r="H86" s="1278"/>
      <c r="I86" s="1278"/>
      <c r="J86" s="1278"/>
      <c r="K86" s="1278"/>
      <c r="L86" s="1278"/>
      <c r="M86" s="1278"/>
      <c r="O86" s="1278"/>
      <c r="P86" s="1278"/>
      <c r="Q86" s="1278"/>
      <c r="R86" s="1278"/>
      <c r="S86" s="1278"/>
      <c r="T86" s="1278"/>
      <c r="U86" s="1278"/>
      <c r="V86" s="1278"/>
      <c r="W86" s="1278"/>
    </row>
    <row r="87" spans="1:24">
      <c r="A87" s="1269" t="s">
        <v>182</v>
      </c>
      <c r="C87" s="1269" t="s">
        <v>182</v>
      </c>
      <c r="D87" s="1269"/>
      <c r="E87" s="1269" t="s">
        <v>185</v>
      </c>
      <c r="F87" s="1269"/>
      <c r="G87" s="1269" t="s">
        <v>248</v>
      </c>
      <c r="H87" s="1269"/>
      <c r="I87" s="1266" t="s">
        <v>143</v>
      </c>
      <c r="J87" s="1269"/>
      <c r="K87" s="1269" t="s">
        <v>182</v>
      </c>
      <c r="L87" s="1269"/>
      <c r="M87" s="1269" t="s">
        <v>242</v>
      </c>
      <c r="N87" s="1269"/>
      <c r="O87" s="1266" t="s">
        <v>188</v>
      </c>
      <c r="P87" s="1269"/>
      <c r="Q87" s="1266" t="s">
        <v>125</v>
      </c>
      <c r="R87" s="1269"/>
      <c r="S87" s="1266" t="s">
        <v>188</v>
      </c>
      <c r="T87" s="1269"/>
      <c r="U87" s="1269" t="s">
        <v>182</v>
      </c>
      <c r="V87" s="1269"/>
      <c r="W87" s="1269" t="s">
        <v>182</v>
      </c>
      <c r="X87" s="1259"/>
    </row>
    <row r="88" spans="1:24" ht="21.5" thickBot="1">
      <c r="A88" s="1260"/>
      <c r="G88" s="1288" t="s">
        <v>1621</v>
      </c>
      <c r="X88" s="1259"/>
    </row>
    <row r="89" spans="1:24" ht="18.5" customHeight="1">
      <c r="A89" s="1273"/>
      <c r="B89" s="1274"/>
      <c r="C89" s="1274"/>
      <c r="D89" s="1274"/>
      <c r="E89" s="1274"/>
      <c r="F89" s="1274"/>
      <c r="G89" s="1274"/>
      <c r="H89" s="1274"/>
      <c r="I89" s="1274"/>
      <c r="J89" s="1274"/>
      <c r="K89" s="1274"/>
      <c r="L89" s="1274"/>
      <c r="M89" s="1274"/>
      <c r="N89" s="1274"/>
      <c r="O89" s="1274"/>
      <c r="P89" s="1274"/>
      <c r="Q89" s="1274"/>
      <c r="R89" s="1274"/>
      <c r="S89" s="1274"/>
      <c r="T89" s="1274"/>
      <c r="U89" s="1274"/>
      <c r="V89" s="1274"/>
      <c r="W89" s="1274"/>
      <c r="X89" s="1275"/>
    </row>
    <row r="90" spans="1:24">
      <c r="A90" s="1255" t="s">
        <v>624</v>
      </c>
      <c r="B90" s="1241"/>
      <c r="C90" s="1241" t="s">
        <v>1264</v>
      </c>
      <c r="D90" s="1241"/>
      <c r="E90" s="1241" t="s">
        <v>625</v>
      </c>
      <c r="F90" s="1241"/>
      <c r="G90" s="1241" t="s">
        <v>627</v>
      </c>
      <c r="H90" s="1241"/>
      <c r="I90" s="1241" t="s">
        <v>634</v>
      </c>
      <c r="J90" s="1241"/>
      <c r="K90" s="1241" t="s">
        <v>1265</v>
      </c>
      <c r="L90" s="1241"/>
      <c r="M90" s="1241" t="s">
        <v>1266</v>
      </c>
      <c r="N90" s="1241"/>
      <c r="O90" s="1241" t="s">
        <v>1267</v>
      </c>
      <c r="P90" s="1241"/>
      <c r="Q90" s="1241" t="s">
        <v>1839</v>
      </c>
      <c r="R90" s="1241"/>
      <c r="S90" s="1241" t="s">
        <v>1270</v>
      </c>
      <c r="T90" s="1241"/>
      <c r="U90" s="1241" t="s">
        <v>1271</v>
      </c>
      <c r="V90" s="1241"/>
      <c r="W90" s="1241" t="s">
        <v>1272</v>
      </c>
      <c r="X90" s="1262"/>
    </row>
    <row r="91" spans="1:24">
      <c r="A91" s="1255"/>
      <c r="B91" s="1241"/>
      <c r="C91" s="1241"/>
      <c r="D91" s="1241"/>
      <c r="E91" s="1241"/>
      <c r="F91" s="1241"/>
      <c r="G91" s="1241"/>
      <c r="H91" s="1241"/>
      <c r="I91" s="1241"/>
      <c r="J91" s="1241"/>
      <c r="K91" s="1241"/>
      <c r="L91" s="1241"/>
      <c r="M91" s="1241"/>
      <c r="N91" s="1241"/>
      <c r="O91" s="1241"/>
      <c r="P91" s="1241"/>
      <c r="Q91" s="1241"/>
      <c r="R91" s="1241"/>
      <c r="S91" s="1241"/>
      <c r="T91" s="1241"/>
      <c r="U91" s="1241"/>
      <c r="V91" s="1241"/>
      <c r="W91" s="1241"/>
      <c r="X91" s="1262"/>
    </row>
    <row r="92" spans="1:24">
      <c r="A92" s="1276"/>
      <c r="B92" s="1241"/>
      <c r="C92" s="1261"/>
      <c r="D92" s="1241"/>
      <c r="E92" s="1261"/>
      <c r="F92" s="1261"/>
      <c r="G92" s="1261"/>
      <c r="H92" s="1241"/>
      <c r="I92" s="1261"/>
      <c r="J92" s="1241"/>
      <c r="K92" s="1261"/>
      <c r="L92" s="1241"/>
      <c r="M92" s="1261"/>
      <c r="N92" s="1261"/>
      <c r="O92" s="1261"/>
      <c r="P92" s="1241"/>
      <c r="Q92" s="1261"/>
      <c r="R92" s="1241"/>
      <c r="S92" s="1261"/>
      <c r="T92" s="1241"/>
      <c r="U92" s="1261"/>
      <c r="V92" s="1241"/>
      <c r="W92" s="1261"/>
      <c r="X92" s="1262"/>
    </row>
    <row r="93" spans="1:24">
      <c r="A93" s="1276"/>
      <c r="B93" s="1241">
        <v>363</v>
      </c>
      <c r="C93" s="1261"/>
      <c r="D93" s="1241">
        <v>421</v>
      </c>
      <c r="E93" s="1261"/>
      <c r="F93" s="1261">
        <v>216</v>
      </c>
      <c r="G93" s="1261"/>
      <c r="H93" s="1241">
        <v>440</v>
      </c>
      <c r="I93" s="1261"/>
      <c r="J93" s="1241">
        <v>243</v>
      </c>
      <c r="K93" s="1261"/>
      <c r="L93" s="1241">
        <v>333</v>
      </c>
      <c r="M93" s="1261"/>
      <c r="N93" s="1261">
        <v>358</v>
      </c>
      <c r="O93" s="1261"/>
      <c r="P93" s="1241">
        <v>365</v>
      </c>
      <c r="Q93" s="1261"/>
      <c r="R93" s="1241">
        <v>411</v>
      </c>
      <c r="S93" s="1261"/>
      <c r="T93" s="1241">
        <v>418</v>
      </c>
      <c r="U93" s="1261"/>
      <c r="V93" s="1241">
        <v>418</v>
      </c>
      <c r="W93" s="1261"/>
      <c r="X93" s="1262">
        <v>373</v>
      </c>
    </row>
    <row r="94" spans="1:24" ht="13.5" customHeight="1">
      <c r="A94" s="1277"/>
      <c r="C94" s="1249"/>
      <c r="E94" s="1249"/>
      <c r="F94" s="1249"/>
      <c r="G94" s="1249"/>
      <c r="I94" s="1249"/>
      <c r="K94" s="1249"/>
      <c r="M94" s="1249"/>
      <c r="N94" s="1249"/>
      <c r="O94" s="1249"/>
      <c r="Q94" s="1249"/>
      <c r="S94" s="1249"/>
      <c r="U94" s="1249"/>
      <c r="W94" s="1249"/>
      <c r="X94" s="1259"/>
    </row>
    <row r="95" spans="1:24" ht="54" customHeight="1">
      <c r="A95" s="1280"/>
      <c r="C95" s="1263"/>
      <c r="E95" s="1263"/>
      <c r="F95" s="1264"/>
      <c r="G95" s="1263"/>
      <c r="I95" s="1263"/>
      <c r="K95" s="1263"/>
      <c r="M95" s="1263"/>
      <c r="N95" s="1264"/>
      <c r="O95" s="1263"/>
      <c r="Q95" s="1263"/>
      <c r="S95" s="1265"/>
      <c r="U95" s="1263"/>
      <c r="W95" s="1263"/>
      <c r="X95" s="1259"/>
    </row>
    <row r="96" spans="1:24">
      <c r="A96" s="1260"/>
      <c r="E96" s="1289"/>
      <c r="F96" s="1256" t="s">
        <v>1835</v>
      </c>
      <c r="G96" s="1289"/>
      <c r="H96" s="1290"/>
      <c r="I96" s="1289"/>
      <c r="J96" s="1256" t="s">
        <v>1840</v>
      </c>
      <c r="K96" s="1291"/>
      <c r="X96" s="1259"/>
    </row>
    <row r="97" spans="1:24" ht="21.5" thickBot="1">
      <c r="A97" s="1266" t="s">
        <v>123</v>
      </c>
      <c r="B97" s="1269"/>
      <c r="C97" s="1269" t="s">
        <v>248</v>
      </c>
      <c r="D97" s="1269"/>
      <c r="E97" s="1266" t="s">
        <v>192</v>
      </c>
      <c r="G97" s="1266" t="s">
        <v>119</v>
      </c>
      <c r="H97" s="1269"/>
      <c r="I97" s="1266" t="s">
        <v>123</v>
      </c>
      <c r="J97" s="1269"/>
      <c r="K97" s="1266" t="s">
        <v>147</v>
      </c>
      <c r="L97" s="1269"/>
      <c r="M97" s="1269" t="s">
        <v>182</v>
      </c>
      <c r="N97" s="1269"/>
      <c r="O97" s="1269" t="s">
        <v>242</v>
      </c>
      <c r="P97" s="1269"/>
      <c r="Q97" s="1266" t="s">
        <v>115</v>
      </c>
      <c r="R97" s="1269"/>
      <c r="S97" s="1269" t="s">
        <v>242</v>
      </c>
      <c r="T97" s="1269"/>
      <c r="U97" s="1269" t="s">
        <v>182</v>
      </c>
      <c r="V97" s="1269"/>
      <c r="W97" s="1269" t="s">
        <v>248</v>
      </c>
      <c r="X97" s="1259"/>
    </row>
    <row r="98" spans="1:24" ht="18.5" customHeight="1">
      <c r="A98" s="1273"/>
      <c r="B98" s="1274"/>
      <c r="C98" s="1274"/>
      <c r="D98" s="1274"/>
      <c r="E98" s="1274"/>
      <c r="F98" s="1274"/>
      <c r="G98" s="1274"/>
      <c r="H98" s="1274"/>
      <c r="I98" s="1274"/>
      <c r="J98" s="1274"/>
      <c r="K98" s="1274"/>
      <c r="L98" s="1274"/>
      <c r="M98" s="1274"/>
      <c r="N98" s="1274"/>
      <c r="O98" s="1274"/>
      <c r="P98" s="1274"/>
      <c r="Q98" s="1274"/>
      <c r="R98" s="1274"/>
      <c r="S98" s="1274"/>
      <c r="T98" s="1274"/>
      <c r="U98" s="1274"/>
      <c r="V98" s="1274"/>
      <c r="W98" s="1274"/>
      <c r="X98" s="1275"/>
    </row>
    <row r="99" spans="1:24">
      <c r="A99" s="1255" t="s">
        <v>1841</v>
      </c>
      <c r="B99" s="1241"/>
      <c r="C99" s="1292" t="s">
        <v>1842</v>
      </c>
      <c r="D99" s="1241"/>
      <c r="E99" s="1241" t="s">
        <v>138</v>
      </c>
      <c r="F99" s="1241"/>
      <c r="G99" s="1292" t="s">
        <v>1843</v>
      </c>
      <c r="H99" s="1241"/>
      <c r="I99" s="1241" t="s">
        <v>644</v>
      </c>
      <c r="J99" s="1241"/>
      <c r="K99" s="1292" t="s">
        <v>1844</v>
      </c>
      <c r="L99" s="1241"/>
      <c r="M99" s="1241" t="s">
        <v>1845</v>
      </c>
      <c r="N99" s="1241"/>
      <c r="O99" s="1292" t="s">
        <v>1846</v>
      </c>
      <c r="P99" s="1241"/>
      <c r="Q99" s="1241" t="s">
        <v>647</v>
      </c>
      <c r="R99" s="1241"/>
      <c r="S99" s="1292" t="s">
        <v>1847</v>
      </c>
      <c r="T99" s="1241"/>
      <c r="U99" s="1241" t="s">
        <v>139</v>
      </c>
      <c r="V99" s="1241"/>
      <c r="W99" s="1241" t="s">
        <v>1848</v>
      </c>
      <c r="X99" s="1262"/>
    </row>
    <row r="100" spans="1:24">
      <c r="A100" s="1255"/>
      <c r="B100" s="1241"/>
      <c r="C100" s="1241"/>
      <c r="D100" s="1241"/>
      <c r="E100" s="1241"/>
      <c r="F100" s="1241"/>
      <c r="G100" s="1241"/>
      <c r="H100" s="1241"/>
      <c r="I100" s="1241"/>
      <c r="J100" s="1241"/>
      <c r="K100" s="1241"/>
      <c r="L100" s="1241"/>
      <c r="M100" s="1241"/>
      <c r="N100" s="1241"/>
      <c r="O100" s="1241"/>
      <c r="P100" s="1241"/>
      <c r="Q100" s="1241"/>
      <c r="R100" s="1241"/>
      <c r="S100" s="1241"/>
      <c r="T100" s="1241"/>
      <c r="U100" s="1241"/>
      <c r="V100" s="1241"/>
      <c r="W100" s="1241"/>
      <c r="X100" s="1262"/>
    </row>
    <row r="101" spans="1:24">
      <c r="A101" s="1276"/>
      <c r="B101" s="1241"/>
      <c r="C101" s="1261"/>
      <c r="D101" s="1241"/>
      <c r="E101" s="1261"/>
      <c r="F101" s="1261"/>
      <c r="G101" s="1261"/>
      <c r="H101" s="1241"/>
      <c r="I101" s="1261"/>
      <c r="J101" s="1241"/>
      <c r="K101" s="1261"/>
      <c r="L101" s="1241"/>
      <c r="M101" s="1261"/>
      <c r="N101" s="1261"/>
      <c r="O101" s="1261"/>
      <c r="P101" s="1241"/>
      <c r="Q101" s="1261"/>
      <c r="R101" s="1241"/>
      <c r="S101" s="1261"/>
      <c r="T101" s="1241"/>
      <c r="U101" s="1261"/>
      <c r="V101" s="1241"/>
      <c r="W101" s="1261"/>
      <c r="X101" s="1262"/>
    </row>
    <row r="102" spans="1:24">
      <c r="A102" s="1276"/>
      <c r="B102" s="1241">
        <v>400</v>
      </c>
      <c r="C102" s="1261"/>
      <c r="D102" s="1241">
        <v>408</v>
      </c>
      <c r="E102" s="1261"/>
      <c r="F102" s="1261">
        <v>424</v>
      </c>
      <c r="G102" s="1261"/>
      <c r="H102" s="1241">
        <v>416</v>
      </c>
      <c r="I102" s="1261"/>
      <c r="J102" s="1241">
        <v>380</v>
      </c>
      <c r="K102" s="1261"/>
      <c r="L102" s="1241">
        <v>485</v>
      </c>
      <c r="M102" s="1261"/>
      <c r="N102" s="1261">
        <v>288</v>
      </c>
      <c r="O102" s="1261"/>
      <c r="P102" s="1241">
        <v>337</v>
      </c>
      <c r="Q102" s="1261"/>
      <c r="R102" s="1241">
        <v>325</v>
      </c>
      <c r="S102" s="1261"/>
      <c r="T102" s="1241">
        <v>214</v>
      </c>
      <c r="U102" s="1261"/>
      <c r="V102" s="1241">
        <v>456</v>
      </c>
      <c r="W102" s="1261"/>
      <c r="X102" s="1262">
        <v>421</v>
      </c>
    </row>
    <row r="103" spans="1:24" ht="15.5" customHeight="1">
      <c r="A103" s="1277"/>
      <c r="C103" s="1249"/>
      <c r="E103" s="1249"/>
      <c r="F103" s="1249"/>
      <c r="G103" s="1249"/>
      <c r="I103" s="1249"/>
      <c r="K103" s="1249"/>
      <c r="M103" s="1249"/>
      <c r="N103" s="1249"/>
      <c r="O103" s="1249"/>
      <c r="Q103" s="1249"/>
      <c r="S103" s="1249"/>
      <c r="U103" s="1249"/>
      <c r="W103" s="1249"/>
      <c r="X103" s="1259"/>
    </row>
    <row r="104" spans="1:24" ht="40" customHeight="1">
      <c r="A104" s="1280"/>
      <c r="C104" s="1263"/>
      <c r="E104" s="1263"/>
      <c r="F104" s="1264"/>
      <c r="G104" s="1263"/>
      <c r="I104" s="1263"/>
      <c r="K104" s="1263"/>
      <c r="M104" s="1263"/>
      <c r="N104" s="1264"/>
      <c r="O104" s="1263"/>
      <c r="Q104" s="1263"/>
      <c r="S104" s="1265"/>
      <c r="U104" s="1263"/>
      <c r="W104" s="1263"/>
      <c r="X104" s="1259"/>
    </row>
    <row r="105" spans="1:24">
      <c r="A105" s="1260"/>
      <c r="E105" s="1293"/>
      <c r="F105" s="1256" t="s">
        <v>1849</v>
      </c>
      <c r="G105" s="1291"/>
      <c r="H105" s="1291"/>
      <c r="I105" s="1291"/>
      <c r="K105" s="1294" t="s">
        <v>466</v>
      </c>
      <c r="X105" s="1259"/>
    </row>
    <row r="106" spans="1:24" ht="21.5" thickBot="1">
      <c r="A106" s="1266" t="s">
        <v>188</v>
      </c>
      <c r="B106" s="1269"/>
      <c r="C106" s="1269" t="s">
        <v>185</v>
      </c>
      <c r="D106" s="1269"/>
      <c r="E106" s="1266" t="s">
        <v>132</v>
      </c>
      <c r="G106" s="1269" t="s">
        <v>242</v>
      </c>
      <c r="H106" s="1269"/>
      <c r="I106" s="1269" t="s">
        <v>248</v>
      </c>
      <c r="J106" s="1269"/>
      <c r="K106" s="1269" t="s">
        <v>132</v>
      </c>
      <c r="L106" s="1269"/>
      <c r="M106" s="1266" t="s">
        <v>115</v>
      </c>
      <c r="N106" s="1269"/>
      <c r="O106" s="1269" t="s">
        <v>182</v>
      </c>
      <c r="P106" s="1269"/>
      <c r="Q106" s="1269" t="s">
        <v>182</v>
      </c>
      <c r="R106" s="1269"/>
      <c r="S106" s="1269" t="s">
        <v>182</v>
      </c>
      <c r="T106" s="1269"/>
      <c r="U106" s="1266" t="s">
        <v>123</v>
      </c>
      <c r="V106" s="1267"/>
      <c r="W106" s="1266" t="s">
        <v>123</v>
      </c>
      <c r="X106" s="1259"/>
    </row>
    <row r="107" spans="1:24" ht="19.5" customHeight="1">
      <c r="A107" s="1273"/>
      <c r="B107" s="1274"/>
      <c r="C107" s="1274"/>
      <c r="D107" s="1274"/>
      <c r="E107" s="1274"/>
      <c r="F107" s="1274"/>
      <c r="G107" s="1274"/>
      <c r="H107" s="1274"/>
      <c r="I107" s="1274"/>
      <c r="J107" s="1274"/>
      <c r="K107" s="1274"/>
      <c r="L107" s="1274"/>
      <c r="M107" s="1274"/>
      <c r="N107" s="1274"/>
      <c r="O107" s="1274"/>
      <c r="P107" s="1274"/>
      <c r="Q107" s="1274"/>
      <c r="R107" s="1274"/>
      <c r="S107" s="1274"/>
      <c r="T107" s="1274"/>
      <c r="U107" s="1274"/>
      <c r="V107" s="1274"/>
      <c r="W107" s="1274"/>
      <c r="X107" s="1275"/>
    </row>
    <row r="108" spans="1:24">
      <c r="A108" s="1255" t="s">
        <v>651</v>
      </c>
      <c r="B108" s="1241"/>
      <c r="C108" s="1241" t="s">
        <v>652</v>
      </c>
      <c r="D108" s="1241"/>
      <c r="E108" s="1241" t="s">
        <v>653</v>
      </c>
      <c r="F108" s="1241"/>
      <c r="G108" s="1241" t="s">
        <v>1850</v>
      </c>
      <c r="H108" s="1241"/>
      <c r="I108" s="1241" t="s">
        <v>1851</v>
      </c>
      <c r="J108" s="1241"/>
      <c r="K108" s="1241" t="s">
        <v>656</v>
      </c>
      <c r="L108" s="1241"/>
      <c r="M108" s="1241" t="s">
        <v>1852</v>
      </c>
      <c r="N108" s="1241"/>
      <c r="O108" s="1241" t="s">
        <v>658</v>
      </c>
      <c r="P108" s="1241"/>
      <c r="Q108" s="1241" t="s">
        <v>1853</v>
      </c>
      <c r="R108" s="1241"/>
      <c r="S108" s="1241" t="s">
        <v>660</v>
      </c>
      <c r="T108" s="1241"/>
      <c r="U108" s="1241" t="s">
        <v>661</v>
      </c>
      <c r="V108" s="1241"/>
      <c r="W108" s="1241" t="s">
        <v>1854</v>
      </c>
      <c r="X108" s="1262"/>
    </row>
    <row r="109" spans="1:24">
      <c r="A109" s="1255"/>
      <c r="B109" s="1241"/>
      <c r="C109" s="1241"/>
      <c r="D109" s="1241"/>
      <c r="E109" s="1241"/>
      <c r="F109" s="1241"/>
      <c r="G109" s="1241"/>
      <c r="H109" s="1241"/>
      <c r="I109" s="1241"/>
      <c r="J109" s="1241"/>
      <c r="K109" s="1241"/>
      <c r="L109" s="1241"/>
      <c r="M109" s="1241"/>
      <c r="N109" s="1241"/>
      <c r="O109" s="1241"/>
      <c r="P109" s="1241"/>
      <c r="Q109" s="1241"/>
      <c r="R109" s="1241"/>
      <c r="S109" s="1241"/>
      <c r="T109" s="1241"/>
      <c r="U109" s="1241"/>
      <c r="V109" s="1241"/>
      <c r="W109" s="1241"/>
      <c r="X109" s="1262"/>
    </row>
    <row r="110" spans="1:24">
      <c r="A110" s="1276"/>
      <c r="B110" s="1241"/>
      <c r="C110" s="1261"/>
      <c r="D110" s="1241"/>
      <c r="E110" s="1261"/>
      <c r="F110" s="1261"/>
      <c r="G110" s="1261"/>
      <c r="H110" s="1241"/>
      <c r="I110" s="1261"/>
      <c r="J110" s="1241"/>
      <c r="K110" s="1261"/>
      <c r="L110" s="1241"/>
      <c r="M110" s="1261"/>
      <c r="N110" s="1261"/>
      <c r="O110" s="1261"/>
      <c r="P110" s="1241"/>
      <c r="Q110" s="1261"/>
      <c r="R110" s="1241"/>
      <c r="S110" s="1261"/>
      <c r="T110" s="1241"/>
      <c r="U110" s="1261"/>
      <c r="V110" s="1241"/>
      <c r="W110" s="1261"/>
      <c r="X110" s="1262"/>
    </row>
    <row r="111" spans="1:24">
      <c r="A111" s="1276"/>
      <c r="B111" s="1241">
        <v>419</v>
      </c>
      <c r="C111" s="1261"/>
      <c r="D111" s="1241">
        <v>408</v>
      </c>
      <c r="E111" s="1261"/>
      <c r="F111" s="1261">
        <v>410</v>
      </c>
      <c r="G111" s="1261"/>
      <c r="H111" s="1241">
        <v>324</v>
      </c>
      <c r="I111" s="1261"/>
      <c r="J111" s="1241">
        <v>367</v>
      </c>
      <c r="K111" s="1261"/>
      <c r="L111" s="1241">
        <v>473</v>
      </c>
      <c r="M111" s="1261"/>
      <c r="N111" s="1261">
        <v>358</v>
      </c>
      <c r="O111" s="1261"/>
      <c r="P111" s="1241">
        <v>478</v>
      </c>
      <c r="Q111" s="1261"/>
      <c r="R111" s="1241">
        <v>360</v>
      </c>
      <c r="S111" s="1261"/>
      <c r="T111" s="1241">
        <v>383</v>
      </c>
      <c r="U111" s="1261"/>
      <c r="V111" s="1241">
        <v>281</v>
      </c>
      <c r="W111" s="1261"/>
      <c r="X111" s="1262">
        <v>396</v>
      </c>
    </row>
    <row r="112" spans="1:24" ht="12.5" customHeight="1">
      <c r="A112" s="1277"/>
      <c r="C112" s="1249"/>
      <c r="E112" s="1249"/>
      <c r="F112" s="1249"/>
      <c r="G112" s="1249"/>
      <c r="I112" s="1249"/>
      <c r="K112" s="1249"/>
      <c r="M112" s="1249"/>
      <c r="N112" s="1249"/>
      <c r="O112" s="1249"/>
      <c r="Q112" s="1249"/>
      <c r="S112" s="1249"/>
      <c r="U112" s="1249"/>
      <c r="W112" s="1249"/>
      <c r="X112" s="1259"/>
    </row>
    <row r="113" spans="1:24" ht="52" customHeight="1">
      <c r="A113" s="1280"/>
      <c r="C113" s="1263"/>
      <c r="E113" s="1263"/>
      <c r="F113" s="1264"/>
      <c r="G113" s="1263"/>
      <c r="I113" s="1263"/>
      <c r="K113" s="1263"/>
      <c r="M113" s="1263"/>
      <c r="N113" s="1264"/>
      <c r="O113" s="1263"/>
      <c r="Q113" s="1263"/>
      <c r="S113" s="1265"/>
      <c r="U113" s="1263"/>
      <c r="W113" s="1263"/>
      <c r="X113" s="1259"/>
    </row>
    <row r="114" spans="1:24" ht="49.5" customHeight="1" thickBot="1">
      <c r="A114" s="1269" t="s">
        <v>185</v>
      </c>
      <c r="B114" s="1269"/>
      <c r="C114" s="1269" t="s">
        <v>185</v>
      </c>
      <c r="D114" s="1269"/>
      <c r="E114" s="1269" t="s">
        <v>248</v>
      </c>
      <c r="F114" s="1269"/>
      <c r="G114" s="1266" t="s">
        <v>119</v>
      </c>
      <c r="H114" s="1267"/>
      <c r="I114" s="1266" t="s">
        <v>128</v>
      </c>
      <c r="J114" s="1269"/>
      <c r="K114" s="1269" t="s">
        <v>248</v>
      </c>
      <c r="M114" s="1266" t="s">
        <v>123</v>
      </c>
      <c r="N114" s="1269"/>
      <c r="O114" s="1269" t="s">
        <v>248</v>
      </c>
      <c r="P114" s="1269"/>
      <c r="Q114" s="1266" t="s">
        <v>128</v>
      </c>
      <c r="R114" s="1269"/>
      <c r="S114" s="1269" t="s">
        <v>248</v>
      </c>
      <c r="T114" s="1269"/>
      <c r="U114" s="1269" t="s">
        <v>182</v>
      </c>
      <c r="V114" s="1269"/>
      <c r="W114" s="1269" t="s">
        <v>125</v>
      </c>
      <c r="X114" s="1295" t="s">
        <v>1849</v>
      </c>
    </row>
    <row r="115" spans="1:24">
      <c r="A115" s="1273"/>
      <c r="B115" s="1274"/>
      <c r="C115" s="1274"/>
      <c r="D115" s="1274"/>
      <c r="E115" s="1274"/>
      <c r="F115" s="1274"/>
      <c r="G115" s="1274"/>
      <c r="H115" s="1274"/>
      <c r="I115" s="1274"/>
      <c r="J115" s="1274"/>
      <c r="K115" s="1274"/>
      <c r="L115" s="1274"/>
      <c r="M115" s="1274"/>
      <c r="N115" s="1274"/>
      <c r="O115" s="1274"/>
      <c r="P115" s="1274"/>
      <c r="Q115" s="1274"/>
      <c r="R115" s="1274"/>
      <c r="S115" s="1274"/>
      <c r="T115" s="1274"/>
      <c r="U115" s="1274"/>
      <c r="V115" s="1274"/>
      <c r="W115" s="1274"/>
      <c r="X115" s="1275"/>
    </row>
    <row r="116" spans="1:24">
      <c r="A116" s="1255" t="s">
        <v>1855</v>
      </c>
      <c r="B116" s="1241"/>
      <c r="C116" s="1241" t="s">
        <v>141</v>
      </c>
      <c r="D116" s="1241"/>
      <c r="E116" s="1241" t="s">
        <v>665</v>
      </c>
      <c r="F116" s="1241"/>
      <c r="G116" s="1241" t="s">
        <v>666</v>
      </c>
      <c r="H116" s="1241"/>
      <c r="I116" s="1241" t="s">
        <v>667</v>
      </c>
      <c r="J116" s="1241"/>
      <c r="K116" s="1241" t="s">
        <v>1643</v>
      </c>
      <c r="L116" s="1241"/>
      <c r="M116" s="1241" t="s">
        <v>1644</v>
      </c>
      <c r="N116" s="1241"/>
      <c r="O116" s="1241" t="s">
        <v>1856</v>
      </c>
      <c r="P116" s="1241"/>
      <c r="Q116" s="1241" t="s">
        <v>669</v>
      </c>
      <c r="R116" s="1241"/>
      <c r="S116" s="1241" t="s">
        <v>670</v>
      </c>
      <c r="T116" s="1241"/>
      <c r="U116" s="1241" t="s">
        <v>671</v>
      </c>
      <c r="V116" s="1241"/>
      <c r="W116" s="1241" t="s">
        <v>672</v>
      </c>
      <c r="X116" s="1262"/>
    </row>
    <row r="117" spans="1:24">
      <c r="A117" s="1255"/>
      <c r="B117" s="1241"/>
      <c r="C117" s="1241"/>
      <c r="D117" s="1241"/>
      <c r="E117" s="1241"/>
      <c r="F117" s="1241"/>
      <c r="G117" s="1241"/>
      <c r="H117" s="1241"/>
      <c r="I117" s="1241"/>
      <c r="J117" s="1241"/>
      <c r="K117" s="1241"/>
      <c r="L117" s="1241"/>
      <c r="M117" s="1241"/>
      <c r="N117" s="1241"/>
      <c r="O117" s="1241"/>
      <c r="P117" s="1241"/>
      <c r="Q117" s="1241"/>
      <c r="R117" s="1241"/>
      <c r="S117" s="1241"/>
      <c r="T117" s="1241"/>
      <c r="U117" s="1241"/>
      <c r="V117" s="1241"/>
      <c r="W117" s="1241"/>
      <c r="X117" s="1262"/>
    </row>
    <row r="118" spans="1:24">
      <c r="A118" s="1276"/>
      <c r="B118" s="1241"/>
      <c r="C118" s="1261"/>
      <c r="D118" s="1241"/>
      <c r="E118" s="1261"/>
      <c r="F118" s="1261"/>
      <c r="G118" s="1261"/>
      <c r="H118" s="1241"/>
      <c r="I118" s="1261"/>
      <c r="J118" s="1241"/>
      <c r="K118" s="1261"/>
      <c r="L118" s="1241"/>
      <c r="M118" s="1261"/>
      <c r="N118" s="1261"/>
      <c r="O118" s="1261"/>
      <c r="P118" s="1241"/>
      <c r="Q118" s="1261"/>
      <c r="R118" s="1241"/>
      <c r="S118" s="1261"/>
      <c r="T118" s="1241"/>
      <c r="U118" s="1261"/>
      <c r="V118" s="1241"/>
      <c r="W118" s="1261"/>
      <c r="X118" s="1262"/>
    </row>
    <row r="119" spans="1:24">
      <c r="A119" s="1276"/>
      <c r="B119" s="1241">
        <v>307</v>
      </c>
      <c r="C119" s="1261"/>
      <c r="D119" s="1241">
        <v>449</v>
      </c>
      <c r="E119" s="1261"/>
      <c r="F119" s="1261">
        <v>449</v>
      </c>
      <c r="G119" s="1261"/>
      <c r="H119" s="1241">
        <v>415</v>
      </c>
      <c r="I119" s="1261"/>
      <c r="J119" s="1241">
        <v>404</v>
      </c>
      <c r="K119" s="1261"/>
      <c r="L119" s="1241">
        <v>424</v>
      </c>
      <c r="M119" s="1261"/>
      <c r="N119" s="1261">
        <v>412</v>
      </c>
      <c r="O119" s="1261"/>
      <c r="P119" s="1241">
        <v>327</v>
      </c>
      <c r="Q119" s="1261"/>
      <c r="R119" s="1241">
        <v>301</v>
      </c>
      <c r="S119" s="1261"/>
      <c r="T119" s="1241">
        <v>354</v>
      </c>
      <c r="U119" s="1261"/>
      <c r="V119" s="1241">
        <v>426</v>
      </c>
      <c r="W119" s="1261"/>
      <c r="X119" s="1262">
        <v>395</v>
      </c>
    </row>
    <row r="120" spans="1:24" ht="14.5" customHeight="1">
      <c r="A120" s="1277"/>
      <c r="C120" s="1249"/>
      <c r="E120" s="1249"/>
      <c r="F120" s="1249"/>
      <c r="G120" s="1249"/>
      <c r="I120" s="1249"/>
      <c r="K120" s="1249"/>
      <c r="M120" s="1249"/>
      <c r="N120" s="1249"/>
      <c r="O120" s="1249"/>
      <c r="Q120" s="1249"/>
      <c r="S120" s="1249"/>
      <c r="U120" s="1249"/>
      <c r="W120" s="1249"/>
      <c r="X120" s="1259"/>
    </row>
    <row r="121" spans="1:24" ht="51" customHeight="1">
      <c r="A121" s="1280"/>
      <c r="C121" s="1263"/>
      <c r="E121" s="1263"/>
      <c r="F121" s="1264"/>
      <c r="G121" s="1263"/>
      <c r="I121" s="1263"/>
      <c r="K121" s="1263"/>
      <c r="M121" s="1263"/>
      <c r="N121" s="1264"/>
      <c r="O121" s="1263"/>
      <c r="Q121" s="1263"/>
      <c r="S121" s="1265"/>
      <c r="U121" s="1263"/>
      <c r="W121" s="1263"/>
      <c r="X121" s="1259"/>
    </row>
    <row r="122" spans="1:24" ht="21.5" thickBot="1">
      <c r="A122" s="1266" t="s">
        <v>125</v>
      </c>
      <c r="B122" s="1269"/>
      <c r="C122" s="1266" t="s">
        <v>119</v>
      </c>
      <c r="D122" s="1269"/>
      <c r="E122" s="1269" t="s">
        <v>167</v>
      </c>
      <c r="F122" s="1269"/>
      <c r="G122" s="1269" t="s">
        <v>185</v>
      </c>
      <c r="H122" s="1269"/>
      <c r="I122" s="1269" t="s">
        <v>248</v>
      </c>
      <c r="J122" s="1269"/>
      <c r="K122" s="1269" t="s">
        <v>182</v>
      </c>
      <c r="L122" s="1269"/>
      <c r="M122" s="1269" t="s">
        <v>248</v>
      </c>
      <c r="N122" s="1269"/>
      <c r="O122" s="1266" t="s">
        <v>188</v>
      </c>
      <c r="P122" s="1269"/>
      <c r="Q122" s="1269" t="s">
        <v>242</v>
      </c>
      <c r="R122" s="1269"/>
      <c r="S122" s="1269" t="s">
        <v>182</v>
      </c>
      <c r="T122" s="1291"/>
      <c r="U122" s="1269" t="s">
        <v>182</v>
      </c>
      <c r="V122" s="1269"/>
      <c r="W122" s="1269" t="s">
        <v>242</v>
      </c>
      <c r="X122" s="1259"/>
    </row>
    <row r="123" spans="1:24" ht="17.5" customHeight="1">
      <c r="A123" s="1273"/>
      <c r="B123" s="1274"/>
      <c r="C123" s="1274"/>
      <c r="D123" s="1274"/>
      <c r="E123" s="1274"/>
      <c r="F123" s="1274"/>
      <c r="G123" s="1274"/>
      <c r="H123" s="1274"/>
      <c r="I123" s="1274"/>
      <c r="J123" s="1274"/>
      <c r="K123" s="1274"/>
      <c r="L123" s="1274"/>
      <c r="M123" s="1274"/>
      <c r="N123" s="1274"/>
      <c r="O123" s="1274"/>
      <c r="P123" s="1274"/>
      <c r="Q123" s="1274"/>
      <c r="R123" s="1274"/>
      <c r="S123" s="1274"/>
      <c r="T123" s="1274"/>
      <c r="U123" s="1274"/>
      <c r="V123" s="1274"/>
      <c r="W123" s="1274"/>
      <c r="X123" s="1275"/>
    </row>
    <row r="124" spans="1:24">
      <c r="A124" s="1255" t="s">
        <v>142</v>
      </c>
      <c r="B124" s="1241"/>
      <c r="C124" s="1241" t="s">
        <v>675</v>
      </c>
      <c r="D124" s="1241"/>
      <c r="E124" s="1241" t="s">
        <v>676</v>
      </c>
      <c r="F124" s="1241"/>
      <c r="G124" s="1241" t="s">
        <v>677</v>
      </c>
      <c r="H124" s="1241"/>
      <c r="I124" s="1241" t="s">
        <v>678</v>
      </c>
      <c r="J124" s="1241"/>
      <c r="K124" s="1241" t="s">
        <v>679</v>
      </c>
      <c r="L124" s="1241"/>
      <c r="M124" s="1241" t="s">
        <v>680</v>
      </c>
      <c r="N124" s="1241"/>
      <c r="O124" s="1241" t="s">
        <v>681</v>
      </c>
      <c r="P124" s="1241"/>
      <c r="Q124" s="1241" t="s">
        <v>682</v>
      </c>
      <c r="R124" s="1241"/>
      <c r="S124" s="1257" t="s">
        <v>683</v>
      </c>
      <c r="T124" s="1241"/>
      <c r="U124" s="1241" t="s">
        <v>684</v>
      </c>
      <c r="V124" s="1241"/>
      <c r="W124" s="1241" t="s">
        <v>685</v>
      </c>
      <c r="X124" s="1262"/>
    </row>
    <row r="125" spans="1:24">
      <c r="A125" s="1255"/>
      <c r="B125" s="1241"/>
      <c r="C125" s="1241"/>
      <c r="D125" s="1241"/>
      <c r="E125" s="1241"/>
      <c r="F125" s="1241"/>
      <c r="G125" s="1241"/>
      <c r="H125" s="1241"/>
      <c r="I125" s="1241"/>
      <c r="J125" s="1241"/>
      <c r="K125" s="1241"/>
      <c r="L125" s="1241"/>
      <c r="M125" s="1241"/>
      <c r="N125" s="1241"/>
      <c r="O125" s="1241"/>
      <c r="P125" s="1241"/>
      <c r="Q125" s="1241"/>
      <c r="R125" s="1241"/>
      <c r="S125" s="1241"/>
      <c r="T125" s="1241"/>
      <c r="U125" s="1241"/>
      <c r="V125" s="1241"/>
      <c r="W125" s="1241"/>
      <c r="X125" s="1262"/>
    </row>
    <row r="126" spans="1:24">
      <c r="A126" s="1276"/>
      <c r="B126" s="1241"/>
      <c r="C126" s="1261"/>
      <c r="D126" s="1241"/>
      <c r="E126" s="1261"/>
      <c r="F126" s="1261"/>
      <c r="G126" s="1261"/>
      <c r="H126" s="1241"/>
      <c r="I126" s="1261"/>
      <c r="J126" s="1241"/>
      <c r="L126" s="1241"/>
      <c r="M126" s="1261"/>
      <c r="N126" s="1261"/>
      <c r="O126" s="1261"/>
      <c r="P126" s="1241"/>
      <c r="Q126" s="1261"/>
      <c r="R126" s="1241"/>
      <c r="S126" s="1261"/>
      <c r="T126" s="1241"/>
      <c r="U126" s="1261"/>
      <c r="V126" s="1241"/>
      <c r="W126" s="1261"/>
      <c r="X126" s="1262"/>
    </row>
    <row r="127" spans="1:24">
      <c r="A127" s="1276"/>
      <c r="B127" s="1241">
        <v>370</v>
      </c>
      <c r="C127" s="1261"/>
      <c r="D127" s="1241">
        <v>437</v>
      </c>
      <c r="E127" s="1261"/>
      <c r="F127" s="1261">
        <v>398</v>
      </c>
      <c r="G127" s="1261"/>
      <c r="H127" s="1241">
        <v>413</v>
      </c>
      <c r="I127" s="1261"/>
      <c r="J127" s="1241">
        <v>424</v>
      </c>
      <c r="K127" s="1261"/>
      <c r="L127" s="1241">
        <v>416</v>
      </c>
      <c r="M127" s="1261"/>
      <c r="N127" s="1261">
        <v>415</v>
      </c>
      <c r="O127" s="1261"/>
      <c r="P127" s="1241">
        <v>395</v>
      </c>
      <c r="Q127" s="1261"/>
      <c r="R127" s="1241">
        <v>430</v>
      </c>
      <c r="S127" s="1261"/>
      <c r="T127" s="1241">
        <v>382</v>
      </c>
      <c r="U127" s="1261"/>
      <c r="V127" s="1241">
        <v>405</v>
      </c>
      <c r="W127" s="1261"/>
      <c r="X127" s="1262">
        <v>338</v>
      </c>
    </row>
    <row r="128" spans="1:24" ht="13.5" customHeight="1">
      <c r="A128" s="1277"/>
      <c r="C128" s="1249"/>
      <c r="E128" s="1249"/>
      <c r="F128" s="1249"/>
      <c r="G128" s="1249"/>
      <c r="I128" s="1249"/>
      <c r="K128" s="1249"/>
      <c r="M128" s="1249"/>
      <c r="N128" s="1249"/>
      <c r="O128" s="1249"/>
      <c r="Q128" s="1249"/>
      <c r="S128" s="1249"/>
      <c r="U128" s="1249"/>
      <c r="W128" s="1249"/>
      <c r="X128" s="1259"/>
    </row>
    <row r="129" spans="1:24" ht="53" customHeight="1">
      <c r="A129" s="1263"/>
      <c r="B129" s="1278"/>
      <c r="C129" s="1263"/>
      <c r="D129" s="1278"/>
      <c r="E129" s="1263"/>
      <c r="F129" s="1263"/>
      <c r="G129" s="1263"/>
      <c r="I129" s="1263"/>
      <c r="K129" s="1263"/>
      <c r="M129" s="1263"/>
      <c r="N129" s="1264"/>
      <c r="O129" s="1263"/>
      <c r="Q129" s="1296" t="s">
        <v>390</v>
      </c>
      <c r="S129" s="1265"/>
      <c r="U129" s="1263"/>
      <c r="W129" s="1263"/>
      <c r="X129" s="1259"/>
    </row>
    <row r="130" spans="1:24">
      <c r="A130" s="1297" t="s">
        <v>143</v>
      </c>
      <c r="B130" s="1241"/>
      <c r="C130" s="1297" t="s">
        <v>167</v>
      </c>
      <c r="D130" s="1241"/>
      <c r="E130" s="1297" t="s">
        <v>242</v>
      </c>
      <c r="F130" s="1241"/>
      <c r="G130" s="1297" t="s">
        <v>119</v>
      </c>
      <c r="I130" s="1269" t="s">
        <v>248</v>
      </c>
      <c r="J130" s="1269"/>
      <c r="K130" s="1269" t="s">
        <v>182</v>
      </c>
      <c r="L130" s="1269"/>
      <c r="M130" s="1269" t="s">
        <v>248</v>
      </c>
      <c r="N130" s="1269"/>
      <c r="O130" s="1266" t="s">
        <v>137</v>
      </c>
      <c r="P130" s="1269"/>
      <c r="Q130" s="1269" t="s">
        <v>248</v>
      </c>
      <c r="R130" s="1269"/>
      <c r="S130" s="1298" t="s">
        <v>1273</v>
      </c>
      <c r="T130" s="1269"/>
      <c r="U130" s="1269" t="s">
        <v>248</v>
      </c>
      <c r="W130" s="1269" t="s">
        <v>248</v>
      </c>
      <c r="X130" s="1259"/>
    </row>
    <row r="131" spans="1:24" ht="21.5" thickBot="1">
      <c r="A131" s="1260"/>
      <c r="U131" s="1294" t="s">
        <v>1621</v>
      </c>
      <c r="W131" s="1288" t="s">
        <v>1621</v>
      </c>
      <c r="X131" s="1259"/>
    </row>
    <row r="132" spans="1:24" ht="17.5" customHeight="1">
      <c r="A132" s="1273"/>
      <c r="B132" s="1274"/>
      <c r="C132" s="1274"/>
      <c r="D132" s="1274"/>
      <c r="E132" s="1274"/>
      <c r="F132" s="1274"/>
      <c r="G132" s="1274"/>
      <c r="H132" s="1274"/>
      <c r="I132" s="1274"/>
      <c r="J132" s="1274"/>
      <c r="K132" s="1274"/>
      <c r="L132" s="1274"/>
      <c r="M132" s="1274"/>
      <c r="N132" s="1274"/>
      <c r="O132" s="1274"/>
      <c r="P132" s="1274"/>
      <c r="Q132" s="1274"/>
      <c r="R132" s="1274"/>
      <c r="S132" s="1274"/>
      <c r="T132" s="1274"/>
      <c r="U132" s="1274"/>
      <c r="V132" s="1274"/>
      <c r="W132" s="1274"/>
      <c r="X132" s="1275"/>
    </row>
    <row r="133" spans="1:24">
      <c r="A133" s="1255" t="s">
        <v>686</v>
      </c>
      <c r="B133" s="1241"/>
      <c r="C133" s="1241" t="s">
        <v>687</v>
      </c>
      <c r="D133" s="1241"/>
      <c r="E133" s="1241" t="s">
        <v>688</v>
      </c>
      <c r="F133" s="1241"/>
      <c r="G133" s="1241" t="s">
        <v>689</v>
      </c>
      <c r="H133" s="1294"/>
      <c r="I133" s="1241" t="s">
        <v>690</v>
      </c>
      <c r="J133" s="1241"/>
      <c r="K133" s="1241" t="s">
        <v>691</v>
      </c>
      <c r="L133" s="1241"/>
      <c r="M133" s="1241" t="s">
        <v>692</v>
      </c>
      <c r="N133" s="1241"/>
      <c r="O133" s="1241" t="s">
        <v>693</v>
      </c>
      <c r="P133" s="1241"/>
      <c r="Q133" s="1241" t="s">
        <v>694</v>
      </c>
      <c r="R133" s="1241"/>
      <c r="S133" s="1241" t="s">
        <v>695</v>
      </c>
      <c r="T133" s="1241"/>
      <c r="U133" s="1241" t="s">
        <v>696</v>
      </c>
      <c r="V133" s="1241"/>
      <c r="W133" s="1241" t="s">
        <v>697</v>
      </c>
      <c r="X133" s="1262"/>
    </row>
    <row r="134" spans="1:24">
      <c r="A134" s="1255"/>
      <c r="B134" s="1241"/>
      <c r="C134" s="1241"/>
      <c r="D134" s="1241"/>
      <c r="E134" s="1241"/>
      <c r="F134" s="1241"/>
      <c r="G134" s="1241"/>
      <c r="H134" s="1241"/>
      <c r="I134" s="1241"/>
      <c r="J134" s="1241"/>
      <c r="K134" s="1241"/>
      <c r="L134" s="1241"/>
      <c r="M134" s="1241"/>
      <c r="N134" s="1241"/>
      <c r="O134" s="1241"/>
      <c r="P134" s="1241"/>
      <c r="Q134" s="1241"/>
      <c r="R134" s="1241"/>
      <c r="S134" s="1241"/>
      <c r="T134" s="1241"/>
      <c r="U134" s="1241"/>
      <c r="V134" s="1241"/>
      <c r="W134" s="1241"/>
      <c r="X134" s="1262"/>
    </row>
    <row r="135" spans="1:24">
      <c r="A135" s="1276"/>
      <c r="B135" s="1241"/>
      <c r="C135" s="1261"/>
      <c r="D135" s="1241"/>
      <c r="E135" s="1261"/>
      <c r="F135" s="1261"/>
      <c r="G135" s="1261"/>
      <c r="H135" s="1241"/>
      <c r="I135" s="1261"/>
      <c r="J135" s="1241"/>
      <c r="K135" s="1261"/>
      <c r="L135" s="1241"/>
      <c r="M135" s="1261"/>
      <c r="N135" s="1261"/>
      <c r="O135" s="1261"/>
      <c r="P135" s="1241"/>
      <c r="Q135" s="1261"/>
      <c r="R135" s="1241"/>
      <c r="S135" s="1261"/>
      <c r="T135" s="1241"/>
      <c r="U135" s="1261"/>
      <c r="V135" s="1241"/>
      <c r="W135" s="1261"/>
      <c r="X135" s="1262"/>
    </row>
    <row r="136" spans="1:24">
      <c r="A136" s="1276"/>
      <c r="B136" s="1241">
        <v>288</v>
      </c>
      <c r="C136" s="1261"/>
      <c r="D136" s="1241">
        <v>297</v>
      </c>
      <c r="E136" s="1261"/>
      <c r="F136" s="1261">
        <v>196</v>
      </c>
      <c r="G136" s="1261"/>
      <c r="H136" s="1241">
        <v>250</v>
      </c>
      <c r="I136" s="1261"/>
      <c r="J136" s="1241">
        <v>374</v>
      </c>
      <c r="K136" s="1261"/>
      <c r="L136" s="1241">
        <v>432</v>
      </c>
      <c r="M136" s="1261"/>
      <c r="N136" s="1261">
        <v>415</v>
      </c>
      <c r="O136" s="1261"/>
      <c r="P136" s="1241">
        <v>341</v>
      </c>
      <c r="Q136" s="1261"/>
      <c r="R136" s="1241">
        <v>305</v>
      </c>
      <c r="S136" s="1261"/>
      <c r="T136" s="1241">
        <v>320</v>
      </c>
      <c r="U136" s="1261"/>
      <c r="V136" s="1241">
        <v>346</v>
      </c>
      <c r="W136" s="1261"/>
      <c r="X136" s="1262">
        <v>223</v>
      </c>
    </row>
    <row r="137" spans="1:24" ht="17" customHeight="1">
      <c r="A137" s="1277"/>
      <c r="C137" s="1249"/>
      <c r="E137" s="1249"/>
      <c r="F137" s="1249"/>
      <c r="G137" s="1249"/>
      <c r="I137" s="1249"/>
      <c r="K137" s="1249"/>
      <c r="M137" s="1249"/>
      <c r="N137" s="1249"/>
      <c r="O137" s="1249"/>
      <c r="Q137" s="1249"/>
      <c r="S137" s="1249"/>
      <c r="U137" s="1249"/>
      <c r="W137" s="1249"/>
      <c r="X137" s="1259"/>
    </row>
    <row r="138" spans="1:24" ht="52" customHeight="1">
      <c r="A138" s="1280"/>
      <c r="C138" s="1263"/>
      <c r="E138" s="1263"/>
      <c r="F138" s="1264"/>
      <c r="G138" s="1263"/>
      <c r="I138" s="1263"/>
      <c r="K138" s="1263"/>
      <c r="M138" s="1263"/>
      <c r="N138" s="1264"/>
      <c r="O138" s="1263"/>
      <c r="Q138" s="1263"/>
      <c r="S138" s="1265"/>
      <c r="U138" s="1263"/>
      <c r="W138" s="1263"/>
      <c r="X138" s="1259"/>
    </row>
    <row r="139" spans="1:24" ht="21.5" thickBot="1">
      <c r="A139" s="1260"/>
      <c r="G139" s="1299"/>
      <c r="H139" s="1300" t="s">
        <v>1512</v>
      </c>
      <c r="I139" s="1299"/>
      <c r="W139" s="1301" t="s">
        <v>1857</v>
      </c>
      <c r="X139" s="1302"/>
    </row>
    <row r="140" spans="1:24">
      <c r="A140" s="1269" t="s">
        <v>182</v>
      </c>
      <c r="B140" s="1269"/>
      <c r="C140" s="1269" t="s">
        <v>185</v>
      </c>
      <c r="D140" s="1269"/>
      <c r="E140" s="1269" t="s">
        <v>182</v>
      </c>
      <c r="F140" s="1269"/>
      <c r="G140" s="1266" t="s">
        <v>128</v>
      </c>
      <c r="H140" s="1269"/>
      <c r="I140" s="1266" t="s">
        <v>132</v>
      </c>
      <c r="J140" s="1269"/>
      <c r="K140" s="1269" t="s">
        <v>248</v>
      </c>
      <c r="L140" s="1269"/>
      <c r="M140" s="1266" t="s">
        <v>147</v>
      </c>
      <c r="N140" s="1269"/>
      <c r="O140" s="1269" t="s">
        <v>182</v>
      </c>
      <c r="P140" s="1269"/>
      <c r="Q140" s="1269" t="s">
        <v>185</v>
      </c>
      <c r="R140" s="1269"/>
      <c r="S140" s="1269" t="s">
        <v>182</v>
      </c>
      <c r="T140" s="1269"/>
      <c r="U140" s="1269" t="s">
        <v>242</v>
      </c>
      <c r="V140" s="1269"/>
      <c r="W140" s="1266" t="s">
        <v>143</v>
      </c>
      <c r="X140" s="1259"/>
    </row>
    <row r="141" spans="1:24" ht="21.5" thickBot="1">
      <c r="A141" s="1288" t="s">
        <v>366</v>
      </c>
      <c r="B141" s="1303"/>
      <c r="C141" s="1288" t="s">
        <v>1623</v>
      </c>
      <c r="D141" s="1303"/>
      <c r="E141" s="1288" t="s">
        <v>366</v>
      </c>
      <c r="F141" s="1303"/>
      <c r="G141" s="1304"/>
      <c r="H141" s="1303"/>
      <c r="I141" s="1288" t="s">
        <v>1524</v>
      </c>
      <c r="J141" s="1303"/>
      <c r="K141" s="1288" t="s">
        <v>1524</v>
      </c>
      <c r="X141" s="1259"/>
    </row>
    <row r="142" spans="1:24" ht="16.5" customHeight="1">
      <c r="A142" s="1273"/>
      <c r="B142" s="1274"/>
      <c r="C142" s="1274"/>
      <c r="D142" s="1274"/>
      <c r="E142" s="1274"/>
      <c r="F142" s="1274"/>
      <c r="G142" s="1274"/>
      <c r="H142" s="1274"/>
      <c r="I142" s="1274"/>
      <c r="J142" s="1274"/>
      <c r="K142" s="1274"/>
      <c r="L142" s="1274"/>
      <c r="M142" s="1274"/>
      <c r="N142" s="1274"/>
      <c r="O142" s="1274"/>
      <c r="P142" s="1274"/>
      <c r="Q142" s="1274"/>
      <c r="R142" s="1274"/>
      <c r="S142" s="1274"/>
      <c r="T142" s="1274"/>
      <c r="U142" s="1274"/>
      <c r="V142" s="1274"/>
      <c r="W142" s="1274"/>
      <c r="X142" s="1275"/>
    </row>
    <row r="143" spans="1:24" s="1241" customFormat="1">
      <c r="A143" s="1255" t="s">
        <v>698</v>
      </c>
      <c r="C143" s="1241" t="s">
        <v>699</v>
      </c>
      <c r="E143" s="1241" t="s">
        <v>700</v>
      </c>
      <c r="G143" s="1241" t="s">
        <v>701</v>
      </c>
      <c r="I143" s="1241" t="s">
        <v>702</v>
      </c>
      <c r="K143" s="1241" t="s">
        <v>1275</v>
      </c>
      <c r="M143" s="1241" t="s">
        <v>310</v>
      </c>
      <c r="O143" s="1241" t="s">
        <v>272</v>
      </c>
      <c r="Q143" s="1241" t="s">
        <v>273</v>
      </c>
      <c r="S143" s="1241" t="s">
        <v>311</v>
      </c>
      <c r="U143" s="1241" t="s">
        <v>312</v>
      </c>
      <c r="W143" s="1241" t="s">
        <v>313</v>
      </c>
      <c r="X143" s="1262"/>
    </row>
    <row r="144" spans="1:24" s="1241" customFormat="1">
      <c r="A144" s="1255"/>
      <c r="X144" s="1262"/>
    </row>
    <row r="145" spans="1:24" s="1241" customFormat="1">
      <c r="A145" s="1276"/>
      <c r="C145" s="1261"/>
      <c r="E145" s="1261"/>
      <c r="F145" s="1261"/>
      <c r="G145" s="1261"/>
      <c r="I145" s="1261"/>
      <c r="K145" s="1261"/>
      <c r="M145" s="1261"/>
      <c r="N145" s="1261"/>
      <c r="O145" s="1261"/>
      <c r="Q145" s="1261"/>
      <c r="S145" s="1261"/>
      <c r="U145" s="1261"/>
      <c r="W145" s="1261"/>
      <c r="X145" s="1262"/>
    </row>
    <row r="146" spans="1:24" s="1241" customFormat="1">
      <c r="A146" s="1276"/>
      <c r="B146" s="1241">
        <v>394</v>
      </c>
      <c r="C146" s="1261"/>
      <c r="D146" s="1241">
        <v>435</v>
      </c>
      <c r="E146" s="1261"/>
      <c r="F146" s="1261">
        <v>403</v>
      </c>
      <c r="G146" s="1261"/>
      <c r="H146" s="1241">
        <v>423</v>
      </c>
      <c r="I146" s="1261"/>
      <c r="J146" s="1241">
        <v>353</v>
      </c>
      <c r="K146" s="1261"/>
      <c r="L146" s="1241">
        <v>275</v>
      </c>
      <c r="M146" s="1261"/>
      <c r="N146" s="1261">
        <v>465</v>
      </c>
      <c r="O146" s="1261"/>
      <c r="P146" s="1241">
        <v>374</v>
      </c>
      <c r="Q146" s="1261"/>
      <c r="R146" s="1241">
        <v>417</v>
      </c>
      <c r="S146" s="1261"/>
      <c r="T146" s="1241">
        <v>381</v>
      </c>
      <c r="U146" s="1261"/>
      <c r="V146" s="1241">
        <v>392</v>
      </c>
      <c r="W146" s="1261"/>
      <c r="X146" s="1262">
        <v>375</v>
      </c>
    </row>
    <row r="147" spans="1:24" s="1241" customFormat="1" ht="14.5" customHeight="1">
      <c r="A147" s="1276"/>
      <c r="C147" s="1261"/>
      <c r="E147" s="1261"/>
      <c r="F147" s="1261"/>
      <c r="G147" s="1261"/>
      <c r="I147" s="1261"/>
      <c r="K147" s="1261"/>
      <c r="M147" s="1261"/>
      <c r="N147" s="1261"/>
      <c r="O147" s="1261"/>
      <c r="Q147" s="1261"/>
      <c r="S147" s="1261"/>
      <c r="U147" s="1261"/>
      <c r="W147" s="1261"/>
      <c r="X147" s="1262"/>
    </row>
    <row r="148" spans="1:24" s="1241" customFormat="1" ht="45.5" customHeight="1">
      <c r="A148" s="1284"/>
      <c r="C148" s="1285"/>
      <c r="E148" s="1305" t="s">
        <v>390</v>
      </c>
      <c r="F148" s="1286"/>
      <c r="G148" s="1306"/>
      <c r="I148" s="1285"/>
      <c r="K148" s="1285"/>
      <c r="M148" s="1285"/>
      <c r="N148" s="1286"/>
      <c r="O148" s="1285"/>
      <c r="Q148" s="1307"/>
      <c r="S148" s="1308"/>
      <c r="U148" s="1285"/>
      <c r="W148" s="1285"/>
      <c r="X148" s="1262"/>
    </row>
    <row r="149" spans="1:24" s="1241" customFormat="1">
      <c r="A149" s="1309"/>
      <c r="B149" s="1310"/>
      <c r="K149" s="1288" t="s">
        <v>1524</v>
      </c>
      <c r="X149" s="1262"/>
    </row>
    <row r="150" spans="1:24" s="1241" customFormat="1">
      <c r="A150" s="1266" t="s">
        <v>147</v>
      </c>
      <c r="C150" s="1282" t="s">
        <v>248</v>
      </c>
      <c r="D150" s="1269"/>
      <c r="E150" s="1282" t="s">
        <v>248</v>
      </c>
      <c r="F150" s="1269"/>
      <c r="G150" s="1266" t="s">
        <v>143</v>
      </c>
      <c r="H150" s="1269"/>
      <c r="I150" s="1266" t="s">
        <v>143</v>
      </c>
      <c r="J150" s="1269"/>
      <c r="K150" s="1266" t="s">
        <v>147</v>
      </c>
      <c r="L150" s="1269"/>
      <c r="M150" s="1266" t="s">
        <v>117</v>
      </c>
      <c r="N150" s="1269"/>
      <c r="O150" s="1282" t="s">
        <v>185</v>
      </c>
      <c r="P150" s="1269"/>
      <c r="Q150" s="1282" t="s">
        <v>182</v>
      </c>
      <c r="R150" s="1269"/>
      <c r="S150" s="1282" t="s">
        <v>185</v>
      </c>
      <c r="T150" s="1269"/>
      <c r="U150" s="1266" t="s">
        <v>119</v>
      </c>
      <c r="V150" s="1269"/>
      <c r="W150" s="1282" t="s">
        <v>242</v>
      </c>
      <c r="X150" s="1262"/>
    </row>
    <row r="151" spans="1:24" ht="21.5" thickBot="1">
      <c r="A151" s="1260"/>
      <c r="K151" s="1311"/>
      <c r="L151" s="1312" t="s">
        <v>1840</v>
      </c>
      <c r="M151" s="1311"/>
      <c r="N151" s="1291"/>
      <c r="O151" s="1291"/>
      <c r="P151" s="1291"/>
      <c r="Q151" s="1291"/>
      <c r="R151" s="1291"/>
      <c r="S151" s="1291"/>
      <c r="T151" s="1291"/>
      <c r="U151" s="1283" t="s">
        <v>1687</v>
      </c>
      <c r="V151" s="1269"/>
      <c r="W151" s="1283" t="s">
        <v>1624</v>
      </c>
      <c r="X151" s="1313"/>
    </row>
    <row r="152" spans="1:24">
      <c r="A152" s="1273"/>
      <c r="B152" s="1274"/>
      <c r="C152" s="1274"/>
      <c r="D152" s="1274"/>
      <c r="E152" s="1274"/>
      <c r="F152" s="1274"/>
      <c r="G152" s="1274"/>
      <c r="H152" s="1274"/>
      <c r="I152" s="1274"/>
      <c r="J152" s="1274"/>
      <c r="K152" s="1274"/>
      <c r="L152" s="1274"/>
      <c r="M152" s="1274"/>
      <c r="N152" s="1274"/>
      <c r="O152" s="1274"/>
      <c r="P152" s="1274"/>
      <c r="Q152" s="1274"/>
      <c r="R152" s="1274"/>
      <c r="S152" s="1274"/>
      <c r="T152" s="1274"/>
      <c r="U152" s="1274"/>
      <c r="V152" s="1274"/>
      <c r="W152" s="1274"/>
      <c r="X152" s="1275"/>
    </row>
    <row r="153" spans="1:24">
      <c r="A153" s="1255" t="s">
        <v>314</v>
      </c>
      <c r="C153" s="1241" t="s">
        <v>315</v>
      </c>
      <c r="E153" s="1241" t="s">
        <v>316</v>
      </c>
      <c r="G153" s="1241" t="s">
        <v>320</v>
      </c>
      <c r="I153" s="1241" t="s">
        <v>321</v>
      </c>
      <c r="K153" s="1241" t="s">
        <v>322</v>
      </c>
      <c r="M153" s="1241" t="s">
        <v>323</v>
      </c>
      <c r="O153" s="1241" t="s">
        <v>324</v>
      </c>
      <c r="Q153" s="1241" t="s">
        <v>325</v>
      </c>
      <c r="S153" s="1241" t="s">
        <v>326</v>
      </c>
      <c r="U153" s="1241" t="s">
        <v>327</v>
      </c>
      <c r="W153" s="1241" t="s">
        <v>328</v>
      </c>
      <c r="X153" s="1259"/>
    </row>
    <row r="154" spans="1:24" s="1241" customFormat="1">
      <c r="A154" s="1255"/>
      <c r="X154" s="1262"/>
    </row>
    <row r="155" spans="1:24" s="1241" customFormat="1">
      <c r="A155" s="1276"/>
      <c r="C155" s="1261"/>
      <c r="E155" s="1261"/>
      <c r="F155" s="1261"/>
      <c r="G155" s="1261"/>
      <c r="I155" s="1261"/>
      <c r="K155" s="1261"/>
      <c r="M155" s="1261"/>
      <c r="N155" s="1261"/>
      <c r="O155" s="1261"/>
      <c r="Q155" s="1261"/>
      <c r="S155" s="1261"/>
      <c r="U155" s="1261"/>
      <c r="W155" s="1261"/>
      <c r="X155" s="1262"/>
    </row>
    <row r="156" spans="1:24" s="1241" customFormat="1">
      <c r="A156" s="1276"/>
      <c r="B156" s="1241">
        <v>249</v>
      </c>
      <c r="C156" s="1261"/>
      <c r="D156" s="1241">
        <v>384</v>
      </c>
      <c r="E156" s="1261"/>
      <c r="F156" s="1261">
        <v>331</v>
      </c>
      <c r="G156" s="1261"/>
      <c r="H156" s="1241">
        <v>285</v>
      </c>
      <c r="I156" s="1261"/>
      <c r="J156" s="1241">
        <v>355</v>
      </c>
      <c r="K156" s="1261"/>
      <c r="L156" s="1241">
        <v>421</v>
      </c>
      <c r="M156" s="1261"/>
      <c r="N156" s="1261">
        <v>341</v>
      </c>
      <c r="O156" s="1261"/>
      <c r="P156" s="1241">
        <v>337</v>
      </c>
      <c r="Q156" s="1261"/>
      <c r="R156" s="1241">
        <v>376</v>
      </c>
      <c r="S156" s="1261"/>
      <c r="T156" s="1241">
        <v>308</v>
      </c>
      <c r="U156" s="1261"/>
      <c r="V156" s="1241">
        <v>445</v>
      </c>
      <c r="W156" s="1261"/>
      <c r="X156" s="1262">
        <v>392</v>
      </c>
    </row>
    <row r="157" spans="1:24" s="1241" customFormat="1" ht="14.5" customHeight="1">
      <c r="A157" s="1276"/>
      <c r="C157" s="1261"/>
      <c r="E157" s="1261"/>
      <c r="F157" s="1261"/>
      <c r="G157" s="1261"/>
      <c r="I157" s="1261"/>
      <c r="K157" s="1261"/>
      <c r="M157" s="1261"/>
      <c r="N157" s="1261"/>
      <c r="O157" s="1261"/>
      <c r="Q157" s="1261"/>
      <c r="S157" s="1261"/>
      <c r="U157" s="1261"/>
      <c r="W157" s="1261"/>
      <c r="X157" s="1262"/>
    </row>
    <row r="158" spans="1:24" s="1241" customFormat="1" ht="40" customHeight="1">
      <c r="A158" s="1284"/>
      <c r="C158" s="1285"/>
      <c r="E158" s="1285"/>
      <c r="F158" s="1286"/>
      <c r="G158" s="1285" t="s">
        <v>71</v>
      </c>
      <c r="I158" s="1285"/>
      <c r="K158" s="1285"/>
      <c r="M158" s="1285"/>
      <c r="N158" s="1286"/>
      <c r="O158" s="1307"/>
      <c r="Q158" s="1307"/>
      <c r="S158" s="1287"/>
      <c r="U158" s="1307"/>
      <c r="W158" s="1307"/>
      <c r="X158" s="1262"/>
    </row>
    <row r="159" spans="1:24" ht="21.5" thickBot="1">
      <c r="A159" s="1260"/>
      <c r="B159" s="1257" t="s">
        <v>1858</v>
      </c>
      <c r="G159" s="1314"/>
      <c r="H159" s="1269"/>
      <c r="I159" s="1283" t="s">
        <v>1625</v>
      </c>
      <c r="J159" s="1269"/>
      <c r="K159" s="1283" t="s">
        <v>1626</v>
      </c>
      <c r="L159" s="1269"/>
      <c r="M159" s="1283" t="s">
        <v>1688</v>
      </c>
      <c r="W159" s="1288" t="s">
        <v>1689</v>
      </c>
      <c r="X159" s="1259"/>
    </row>
    <row r="160" spans="1:24" s="1241" customFormat="1" ht="18.5" customHeight="1">
      <c r="A160" s="1315"/>
      <c r="B160" s="1316"/>
      <c r="C160" s="1316"/>
      <c r="D160" s="1316"/>
      <c r="E160" s="1316"/>
      <c r="F160" s="1316"/>
      <c r="G160" s="1316"/>
      <c r="H160" s="1316"/>
      <c r="I160" s="1316"/>
      <c r="J160" s="1316"/>
      <c r="K160" s="1316"/>
      <c r="L160" s="1316"/>
      <c r="M160" s="1316"/>
      <c r="N160" s="1316"/>
      <c r="O160" s="1316"/>
      <c r="P160" s="1316"/>
      <c r="Q160" s="1316"/>
      <c r="R160" s="1316"/>
      <c r="S160" s="1316"/>
      <c r="T160" s="1316"/>
      <c r="U160" s="1316"/>
      <c r="V160" s="1316"/>
      <c r="W160" s="1316"/>
      <c r="X160" s="1317"/>
    </row>
    <row r="161" spans="1:24" s="1241" customFormat="1">
      <c r="A161" s="1255" t="s">
        <v>329</v>
      </c>
      <c r="C161" s="1241" t="s">
        <v>333</v>
      </c>
      <c r="E161" s="1241" t="s">
        <v>334</v>
      </c>
      <c r="G161" s="1241" t="s">
        <v>335</v>
      </c>
      <c r="I161" s="1241" t="s">
        <v>336</v>
      </c>
      <c r="K161" s="1241" t="s">
        <v>337</v>
      </c>
      <c r="M161" s="1241" t="s">
        <v>338</v>
      </c>
      <c r="O161" s="1241" t="s">
        <v>339</v>
      </c>
      <c r="Q161" s="1241" t="s">
        <v>340</v>
      </c>
      <c r="S161" s="1241" t="s">
        <v>281</v>
      </c>
      <c r="U161" s="1241" t="s">
        <v>341</v>
      </c>
      <c r="W161" s="1241" t="s">
        <v>346</v>
      </c>
      <c r="X161" s="1262"/>
    </row>
    <row r="162" spans="1:24" s="1241" customFormat="1" ht="19.5" customHeight="1">
      <c r="A162" s="1255"/>
      <c r="X162" s="1262"/>
    </row>
    <row r="163" spans="1:24" s="1241" customFormat="1">
      <c r="A163" s="1276"/>
      <c r="C163" s="1261"/>
      <c r="E163" s="1261"/>
      <c r="F163" s="1261"/>
      <c r="G163" s="1261"/>
      <c r="I163" s="1261"/>
      <c r="K163" s="1261"/>
      <c r="M163" s="1261"/>
      <c r="N163" s="1261"/>
      <c r="O163" s="1261"/>
      <c r="Q163" s="1261"/>
      <c r="S163" s="1261"/>
      <c r="U163" s="1261"/>
      <c r="W163" s="1261"/>
      <c r="X163" s="1262"/>
    </row>
    <row r="164" spans="1:24" s="1241" customFormat="1">
      <c r="A164" s="1276"/>
      <c r="B164" s="1241">
        <v>408</v>
      </c>
      <c r="C164" s="1261"/>
      <c r="D164" s="1241">
        <v>206</v>
      </c>
      <c r="E164" s="1261"/>
      <c r="F164" s="1261">
        <v>417</v>
      </c>
      <c r="G164" s="1261"/>
      <c r="H164" s="1241">
        <v>305</v>
      </c>
      <c r="I164" s="1261"/>
      <c r="J164" s="1241">
        <v>396</v>
      </c>
      <c r="K164" s="1261"/>
      <c r="L164" s="1241">
        <v>431</v>
      </c>
      <c r="M164" s="1261"/>
      <c r="N164" s="1261">
        <v>403</v>
      </c>
      <c r="O164" s="1261"/>
      <c r="P164" s="1241">
        <v>420</v>
      </c>
      <c r="Q164" s="1261"/>
      <c r="R164" s="1241">
        <v>446</v>
      </c>
      <c r="S164" s="1261"/>
      <c r="T164" s="1241">
        <v>298</v>
      </c>
      <c r="U164" s="1261"/>
      <c r="V164" s="1241">
        <v>280</v>
      </c>
      <c r="W164" s="1261"/>
      <c r="X164" s="1262">
        <v>273</v>
      </c>
    </row>
    <row r="165" spans="1:24" s="1241" customFormat="1" ht="17" customHeight="1">
      <c r="A165" s="1276"/>
      <c r="C165" s="1261"/>
      <c r="E165" s="1261"/>
      <c r="F165" s="1261"/>
      <c r="G165" s="1261"/>
      <c r="I165" s="1261"/>
      <c r="K165" s="1261"/>
      <c r="M165" s="1261"/>
      <c r="N165" s="1261"/>
      <c r="O165" s="1261"/>
      <c r="Q165" s="1261"/>
      <c r="S165" s="1261"/>
      <c r="U165" s="1261"/>
      <c r="W165" s="1261"/>
      <c r="X165" s="1262"/>
    </row>
    <row r="166" spans="1:24" s="1241" customFormat="1" ht="40" customHeight="1">
      <c r="A166" s="1307"/>
      <c r="C166" s="1307"/>
      <c r="E166" s="1307"/>
      <c r="F166" s="1286"/>
      <c r="G166" s="1285"/>
      <c r="I166" s="1285"/>
      <c r="K166" s="1285"/>
      <c r="M166" s="1318"/>
      <c r="N166" s="1286"/>
      <c r="O166" s="1285"/>
      <c r="Q166" s="1285"/>
      <c r="S166" s="1287"/>
      <c r="U166" s="1285"/>
      <c r="W166" s="1285"/>
      <c r="X166" s="1262"/>
    </row>
    <row r="167" spans="1:24" s="1241" customFormat="1">
      <c r="A167" s="1255"/>
      <c r="X167" s="1262"/>
    </row>
    <row r="168" spans="1:24" s="1241" customFormat="1">
      <c r="A168" s="1266" t="s">
        <v>132</v>
      </c>
      <c r="B168" s="1269"/>
      <c r="C168" s="1266" t="s">
        <v>132</v>
      </c>
      <c r="D168" s="1269"/>
      <c r="E168" s="1266" t="s">
        <v>123</v>
      </c>
      <c r="F168" s="1269"/>
      <c r="G168" s="1319" t="s">
        <v>182</v>
      </c>
      <c r="H168" s="1269"/>
      <c r="I168" s="1266" t="s">
        <v>125</v>
      </c>
      <c r="K168" s="1282" t="s">
        <v>248</v>
      </c>
      <c r="L168" s="1269"/>
      <c r="M168" s="1282" t="s">
        <v>185</v>
      </c>
      <c r="N168" s="1269"/>
      <c r="O168" s="1282" t="s">
        <v>248</v>
      </c>
      <c r="P168" s="1269"/>
      <c r="Q168" s="1266" t="s">
        <v>115</v>
      </c>
      <c r="R168" s="1269"/>
      <c r="S168" s="1282" t="s">
        <v>248</v>
      </c>
      <c r="T168" s="1269"/>
      <c r="U168" s="1266" t="s">
        <v>119</v>
      </c>
      <c r="V168" s="1269"/>
      <c r="W168" s="1282" t="s">
        <v>182</v>
      </c>
      <c r="X168" s="1262"/>
    </row>
    <row r="169" spans="1:24" s="1241" customFormat="1" ht="21.5" thickBot="1">
      <c r="A169" s="1720" t="s">
        <v>1859</v>
      </c>
      <c r="B169" s="1721"/>
      <c r="D169" s="1256" t="s">
        <v>1836</v>
      </c>
      <c r="G169" s="1288" t="s">
        <v>366</v>
      </c>
      <c r="K169" s="1288" t="s">
        <v>1627</v>
      </c>
      <c r="L169" s="1269"/>
      <c r="M169" s="1282"/>
      <c r="N169" s="1269"/>
      <c r="O169" s="1282"/>
      <c r="P169" s="1269"/>
      <c r="Q169" s="1282"/>
      <c r="R169" s="1269"/>
      <c r="S169" s="1288" t="s">
        <v>1628</v>
      </c>
      <c r="U169" s="1282"/>
      <c r="V169" s="1269"/>
      <c r="W169" s="1288" t="s">
        <v>1628</v>
      </c>
      <c r="X169" s="1262"/>
    </row>
    <row r="170" spans="1:24" s="1241" customFormat="1" ht="17.5" customHeight="1">
      <c r="A170" s="1315"/>
      <c r="B170" s="1316"/>
      <c r="C170" s="1316"/>
      <c r="D170" s="1316"/>
      <c r="E170" s="1316"/>
      <c r="F170" s="1316"/>
      <c r="G170" s="1316"/>
      <c r="H170" s="1316"/>
      <c r="I170" s="1316"/>
      <c r="J170" s="1316"/>
      <c r="K170" s="1316"/>
      <c r="L170" s="1316"/>
      <c r="M170" s="1316"/>
      <c r="N170" s="1316"/>
      <c r="O170" s="1316"/>
      <c r="P170" s="1316"/>
      <c r="Q170" s="1316"/>
      <c r="R170" s="1316"/>
      <c r="S170" s="1316"/>
      <c r="T170" s="1316"/>
      <c r="U170" s="1316"/>
      <c r="V170" s="1316"/>
      <c r="W170" s="1316"/>
      <c r="X170" s="1317"/>
    </row>
    <row r="171" spans="1:24" s="1241" customFormat="1">
      <c r="A171" s="1255" t="s">
        <v>347</v>
      </c>
      <c r="C171" s="1241" t="s">
        <v>348</v>
      </c>
      <c r="E171" s="1241" t="s">
        <v>282</v>
      </c>
      <c r="G171" s="1241" t="s">
        <v>283</v>
      </c>
      <c r="I171" s="1241" t="s">
        <v>349</v>
      </c>
      <c r="K171" s="1241" t="s">
        <v>350</v>
      </c>
      <c r="M171" s="1241" t="s">
        <v>351</v>
      </c>
      <c r="O171" s="1241" t="s">
        <v>352</v>
      </c>
      <c r="Q171" s="1241" t="s">
        <v>353</v>
      </c>
      <c r="S171" s="1241" t="s">
        <v>274</v>
      </c>
      <c r="U171" s="1241" t="s">
        <v>275</v>
      </c>
      <c r="W171" s="1241" t="s">
        <v>355</v>
      </c>
      <c r="X171" s="1262"/>
    </row>
    <row r="172" spans="1:24" s="1241" customFormat="1">
      <c r="A172" s="1255"/>
      <c r="X172" s="1262"/>
    </row>
    <row r="173" spans="1:24" s="1241" customFormat="1">
      <c r="A173" s="1276"/>
      <c r="C173" s="1261"/>
      <c r="E173" s="1261"/>
      <c r="F173" s="1261"/>
      <c r="G173" s="1261"/>
      <c r="I173" s="1261"/>
      <c r="K173" s="1261"/>
      <c r="M173" s="1261"/>
      <c r="N173" s="1261"/>
      <c r="O173" s="1261"/>
      <c r="Q173" s="1261"/>
      <c r="S173" s="1261"/>
      <c r="U173" s="1261"/>
      <c r="W173" s="1261"/>
      <c r="X173" s="1262"/>
    </row>
    <row r="174" spans="1:24" s="1241" customFormat="1">
      <c r="A174" s="1276"/>
      <c r="B174" s="1241">
        <v>348</v>
      </c>
      <c r="C174" s="1261"/>
      <c r="D174" s="1241">
        <v>379</v>
      </c>
      <c r="E174" s="1261"/>
      <c r="F174" s="1261">
        <v>399</v>
      </c>
      <c r="G174" s="1261"/>
      <c r="H174" s="1241">
        <v>439</v>
      </c>
      <c r="I174" s="1261"/>
      <c r="J174" s="1241">
        <v>360</v>
      </c>
      <c r="K174" s="1261"/>
      <c r="L174" s="1241">
        <v>380</v>
      </c>
      <c r="M174" s="1261"/>
      <c r="N174" s="1261">
        <v>384</v>
      </c>
      <c r="O174" s="1261"/>
      <c r="P174" s="1241">
        <v>442</v>
      </c>
      <c r="Q174" s="1261"/>
      <c r="R174" s="1241">
        <v>397</v>
      </c>
      <c r="S174" s="1261"/>
      <c r="T174" s="1241">
        <v>395</v>
      </c>
      <c r="U174" s="1261"/>
      <c r="V174" s="1241">
        <v>432</v>
      </c>
      <c r="W174" s="1261"/>
      <c r="X174" s="1262">
        <v>408</v>
      </c>
    </row>
    <row r="175" spans="1:24" s="1241" customFormat="1" ht="14.5" customHeight="1">
      <c r="A175" s="1276"/>
      <c r="C175" s="1261"/>
      <c r="E175" s="1261"/>
      <c r="F175" s="1261"/>
      <c r="G175" s="1261"/>
      <c r="I175" s="1261"/>
      <c r="K175" s="1261"/>
      <c r="M175" s="1261"/>
      <c r="N175" s="1261"/>
      <c r="O175" s="1261"/>
      <c r="Q175" s="1261"/>
      <c r="S175" s="1261"/>
      <c r="U175" s="1261"/>
      <c r="W175" s="1261"/>
      <c r="X175" s="1262"/>
    </row>
    <row r="176" spans="1:24" s="1241" customFormat="1" ht="52" customHeight="1">
      <c r="A176" s="1284"/>
      <c r="C176" s="1285"/>
      <c r="E176" s="1307"/>
      <c r="F176" s="1286"/>
      <c r="G176" s="1308"/>
      <c r="I176" s="1285" t="s">
        <v>1703</v>
      </c>
      <c r="K176" s="1308"/>
      <c r="M176" s="1308"/>
      <c r="N176" s="1286"/>
      <c r="O176" s="1285" t="s">
        <v>1703</v>
      </c>
      <c r="Q176" s="1285" t="s">
        <v>1703</v>
      </c>
      <c r="S176" s="1307"/>
      <c r="U176" s="1307"/>
      <c r="W176" s="1307"/>
      <c r="X176" s="1262"/>
    </row>
    <row r="177" spans="1:24" s="1241" customFormat="1">
      <c r="A177" s="1282" t="s">
        <v>182</v>
      </c>
      <c r="B177" s="1269"/>
      <c r="C177" s="1282" t="s">
        <v>248</v>
      </c>
      <c r="D177" s="1269"/>
      <c r="E177" s="1282" t="s">
        <v>242</v>
      </c>
      <c r="F177" s="1269"/>
      <c r="G177" s="1282" t="s">
        <v>242</v>
      </c>
      <c r="H177" s="1269"/>
      <c r="I177" s="1266" t="s">
        <v>115</v>
      </c>
      <c r="J177" s="1269"/>
      <c r="K177" s="1282" t="s">
        <v>182</v>
      </c>
      <c r="L177" s="1269"/>
      <c r="M177" s="1266" t="s">
        <v>123</v>
      </c>
      <c r="O177" s="1269" t="s">
        <v>248</v>
      </c>
      <c r="P177" s="1269"/>
      <c r="Q177" s="1269" t="s">
        <v>248</v>
      </c>
      <c r="R177" s="1269"/>
      <c r="S177" s="1269" t="s">
        <v>248</v>
      </c>
      <c r="T177" s="1269"/>
      <c r="U177" s="1269" t="s">
        <v>248</v>
      </c>
      <c r="V177" s="1269"/>
      <c r="W177" s="1269" t="s">
        <v>248</v>
      </c>
      <c r="X177" s="1262"/>
    </row>
    <row r="178" spans="1:24" s="1241" customFormat="1">
      <c r="B178" s="1722" t="s">
        <v>1628</v>
      </c>
      <c r="C178" s="1722"/>
      <c r="D178" s="1722"/>
      <c r="I178" s="1267"/>
      <c r="M178" s="1320"/>
      <c r="O178" s="1288" t="s">
        <v>1626</v>
      </c>
      <c r="P178" s="1269"/>
      <c r="Q178" s="1288" t="s">
        <v>1629</v>
      </c>
    </row>
    <row r="179" spans="1:24" s="1241" customFormat="1" ht="17.5" customHeight="1">
      <c r="A179" s="1255"/>
      <c r="X179" s="1262"/>
    </row>
    <row r="180" spans="1:24" s="1241" customFormat="1">
      <c r="A180" s="1255" t="s">
        <v>284</v>
      </c>
      <c r="C180" s="1241" t="s">
        <v>285</v>
      </c>
      <c r="E180" s="1241" t="s">
        <v>705</v>
      </c>
      <c r="G180" s="1241" t="s">
        <v>357</v>
      </c>
      <c r="I180" s="1241" t="s">
        <v>706</v>
      </c>
      <c r="K180" s="1241" t="s">
        <v>247</v>
      </c>
      <c r="M180" s="1241" t="s">
        <v>260</v>
      </c>
      <c r="O180" s="1241" t="s">
        <v>261</v>
      </c>
      <c r="Q180" s="1241" t="s">
        <v>286</v>
      </c>
      <c r="S180" s="1241" t="s">
        <v>707</v>
      </c>
      <c r="U180" s="1241" t="s">
        <v>359</v>
      </c>
      <c r="W180" s="1241" t="s">
        <v>360</v>
      </c>
      <c r="X180" s="1262"/>
    </row>
    <row r="181" spans="1:24" s="1241" customFormat="1">
      <c r="A181" s="1255"/>
      <c r="X181" s="1262"/>
    </row>
    <row r="182" spans="1:24" s="1241" customFormat="1">
      <c r="A182" s="1276"/>
      <c r="C182" s="1261"/>
      <c r="E182" s="1261"/>
      <c r="F182" s="1261"/>
      <c r="G182" s="1261"/>
      <c r="I182" s="1261"/>
      <c r="K182" s="1261"/>
      <c r="M182" s="1261"/>
      <c r="N182" s="1261"/>
      <c r="O182" s="1261"/>
      <c r="Q182" s="1261"/>
      <c r="S182" s="1261"/>
      <c r="U182" s="1261"/>
      <c r="W182" s="1261"/>
      <c r="X182" s="1262"/>
    </row>
    <row r="183" spans="1:24" s="1241" customFormat="1">
      <c r="A183" s="1276"/>
      <c r="B183" s="1241">
        <v>426</v>
      </c>
      <c r="C183" s="1261"/>
      <c r="D183" s="1241">
        <v>393</v>
      </c>
      <c r="E183" s="1261"/>
      <c r="F183" s="1261">
        <v>432</v>
      </c>
      <c r="G183" s="1261"/>
      <c r="H183" s="1241">
        <v>426</v>
      </c>
      <c r="I183" s="1261"/>
      <c r="J183" s="1241">
        <v>401</v>
      </c>
      <c r="K183" s="1261"/>
      <c r="L183" s="1241">
        <v>437</v>
      </c>
      <c r="M183" s="1261"/>
      <c r="N183" s="1261">
        <v>402</v>
      </c>
      <c r="O183" s="1261"/>
      <c r="P183" s="1241">
        <v>436</v>
      </c>
      <c r="Q183" s="1261"/>
      <c r="R183" s="1241">
        <v>392</v>
      </c>
      <c r="S183" s="1261"/>
      <c r="T183" s="1241">
        <v>403</v>
      </c>
      <c r="U183" s="1261"/>
      <c r="V183" s="1241">
        <v>412</v>
      </c>
      <c r="W183" s="1261"/>
      <c r="X183" s="1262">
        <v>438</v>
      </c>
    </row>
    <row r="184" spans="1:24" s="1241" customFormat="1" ht="15" customHeight="1">
      <c r="A184" s="1276"/>
      <c r="C184" s="1261"/>
      <c r="E184" s="1261"/>
      <c r="F184" s="1261"/>
      <c r="G184" s="1261"/>
      <c r="I184" s="1261"/>
      <c r="K184" s="1261"/>
      <c r="M184" s="1261"/>
      <c r="N184" s="1261"/>
      <c r="O184" s="1261"/>
      <c r="Q184" s="1261"/>
      <c r="S184" s="1261"/>
      <c r="U184" s="1261"/>
      <c r="W184" s="1261"/>
      <c r="X184" s="1262"/>
    </row>
    <row r="185" spans="1:24" s="1241" customFormat="1" ht="56" customHeight="1">
      <c r="A185" s="1321"/>
      <c r="C185" s="1307"/>
      <c r="E185" s="1285"/>
      <c r="F185" s="1286"/>
      <c r="G185" s="1285"/>
      <c r="I185" s="1285"/>
      <c r="K185" s="1307"/>
      <c r="M185" s="1307"/>
      <c r="N185" s="1286"/>
      <c r="O185" s="1307"/>
      <c r="Q185" s="1285"/>
      <c r="S185" s="1287"/>
      <c r="U185" s="1285"/>
      <c r="W185" s="1285"/>
      <c r="X185" s="1262"/>
    </row>
    <row r="186" spans="1:24" s="1241" customFormat="1">
      <c r="A186" s="1255"/>
      <c r="X186" s="1262"/>
    </row>
    <row r="187" spans="1:24" s="1241" customFormat="1">
      <c r="A187" s="1269" t="s">
        <v>185</v>
      </c>
      <c r="B187" s="1269"/>
      <c r="C187" s="1269" t="s">
        <v>185</v>
      </c>
      <c r="D187" s="1269"/>
      <c r="E187" s="1266" t="s">
        <v>125</v>
      </c>
      <c r="F187" s="1269"/>
      <c r="G187" s="1266" t="s">
        <v>132</v>
      </c>
      <c r="H187" s="1269"/>
      <c r="I187" s="1266" t="s">
        <v>125</v>
      </c>
      <c r="J187" s="1269"/>
      <c r="K187" s="1269" t="s">
        <v>248</v>
      </c>
      <c r="L187" s="1269"/>
      <c r="M187" s="1269" t="s">
        <v>182</v>
      </c>
      <c r="N187" s="1269"/>
      <c r="O187" s="1269" t="s">
        <v>185</v>
      </c>
      <c r="P187" s="1269"/>
      <c r="Q187" s="1269" t="s">
        <v>248</v>
      </c>
      <c r="S187" s="1266" t="s">
        <v>128</v>
      </c>
      <c r="T187" s="1269"/>
      <c r="U187" s="1269" t="s">
        <v>242</v>
      </c>
      <c r="V187" s="1269"/>
      <c r="W187" s="1266" t="s">
        <v>119</v>
      </c>
      <c r="X187" s="1262"/>
    </row>
    <row r="188" spans="1:24" s="1241" customFormat="1">
      <c r="A188" s="1255"/>
      <c r="I188" s="1288" t="s">
        <v>1629</v>
      </c>
      <c r="S188" s="1288" t="s">
        <v>1629</v>
      </c>
      <c r="X188" s="1262"/>
    </row>
    <row r="189" spans="1:24" s="1241" customFormat="1" ht="18.5" customHeight="1">
      <c r="A189" s="1255" t="s">
        <v>361</v>
      </c>
      <c r="C189" s="1241" t="s">
        <v>362</v>
      </c>
      <c r="E189" s="1241" t="s">
        <v>363</v>
      </c>
      <c r="G189" s="1241" t="s">
        <v>364</v>
      </c>
      <c r="I189" s="1241" t="s">
        <v>365</v>
      </c>
      <c r="K189" s="1241" t="s">
        <v>711</v>
      </c>
      <c r="M189" s="1241" t="s">
        <v>367</v>
      </c>
      <c r="O189" s="1241" t="s">
        <v>287</v>
      </c>
      <c r="Q189" s="1241" t="s">
        <v>368</v>
      </c>
      <c r="S189" s="1241" t="s">
        <v>369</v>
      </c>
      <c r="U189" s="1241" t="s">
        <v>370</v>
      </c>
      <c r="W189" s="1241" t="s">
        <v>371</v>
      </c>
      <c r="X189" s="1262"/>
    </row>
    <row r="190" spans="1:24" s="1241" customFormat="1">
      <c r="A190" s="1255"/>
      <c r="X190" s="1262"/>
    </row>
    <row r="191" spans="1:24" s="1241" customFormat="1">
      <c r="A191" s="1276"/>
      <c r="C191" s="1261"/>
      <c r="E191" s="1261"/>
      <c r="F191" s="1261"/>
      <c r="G191" s="1261"/>
      <c r="I191" s="1261"/>
      <c r="K191" s="1261"/>
      <c r="M191" s="1261"/>
      <c r="N191" s="1261"/>
      <c r="O191" s="1261"/>
      <c r="Q191" s="1261"/>
      <c r="S191" s="1261"/>
      <c r="U191" s="1261"/>
      <c r="W191" s="1261"/>
      <c r="X191" s="1262"/>
    </row>
    <row r="192" spans="1:24" s="1241" customFormat="1">
      <c r="A192" s="1276"/>
      <c r="B192" s="1241">
        <v>410</v>
      </c>
      <c r="C192" s="1261"/>
      <c r="D192" s="1241">
        <v>380</v>
      </c>
      <c r="E192" s="1261"/>
      <c r="F192" s="1261">
        <v>397</v>
      </c>
      <c r="G192" s="1261"/>
      <c r="H192" s="1241">
        <v>415</v>
      </c>
      <c r="I192" s="1261"/>
      <c r="J192" s="1241">
        <v>353</v>
      </c>
      <c r="K192" s="1261"/>
      <c r="L192" s="1241">
        <v>389</v>
      </c>
      <c r="M192" s="1261"/>
      <c r="N192" s="1261">
        <v>238</v>
      </c>
      <c r="O192" s="1261"/>
      <c r="P192" s="1241">
        <v>291</v>
      </c>
      <c r="Q192" s="1261"/>
      <c r="R192" s="1241">
        <v>346</v>
      </c>
      <c r="S192" s="1261"/>
      <c r="T192" s="1241">
        <v>319</v>
      </c>
      <c r="U192" s="1261"/>
      <c r="V192" s="1241">
        <v>307</v>
      </c>
      <c r="W192" s="1261"/>
      <c r="X192" s="1262">
        <v>347</v>
      </c>
    </row>
    <row r="193" spans="1:24" s="1241" customFormat="1" ht="13.5" customHeight="1">
      <c r="A193" s="1276"/>
      <c r="C193" s="1261"/>
      <c r="E193" s="1261"/>
      <c r="F193" s="1261"/>
      <c r="G193" s="1261"/>
      <c r="I193" s="1261"/>
      <c r="K193" s="1261"/>
      <c r="M193" s="1261"/>
      <c r="N193" s="1261"/>
      <c r="O193" s="1261"/>
      <c r="Q193" s="1261"/>
      <c r="S193" s="1261"/>
      <c r="U193" s="1261"/>
      <c r="W193" s="1261"/>
      <c r="X193" s="1262"/>
    </row>
    <row r="194" spans="1:24" s="1241" customFormat="1" ht="47" customHeight="1">
      <c r="A194" s="1284"/>
      <c r="C194" s="1285"/>
      <c r="E194" s="1285"/>
      <c r="F194" s="1286"/>
      <c r="G194" s="1285"/>
      <c r="I194" s="1285"/>
      <c r="K194" s="1285"/>
      <c r="M194" s="1285" t="s">
        <v>390</v>
      </c>
      <c r="N194" s="1286"/>
      <c r="O194" s="1307"/>
      <c r="Q194" s="1322"/>
      <c r="S194" s="1307"/>
      <c r="U194" s="1322" t="s">
        <v>390</v>
      </c>
      <c r="W194" s="1307"/>
      <c r="X194" s="1262"/>
    </row>
    <row r="195" spans="1:24" s="1241" customFormat="1">
      <c r="A195" s="1266" t="s">
        <v>132</v>
      </c>
      <c r="B195" s="1269"/>
      <c r="C195" s="1266" t="s">
        <v>143</v>
      </c>
      <c r="D195" s="1269"/>
      <c r="E195" s="1269" t="s">
        <v>242</v>
      </c>
      <c r="F195" s="1269"/>
      <c r="G195" s="1269" t="s">
        <v>182</v>
      </c>
      <c r="H195" s="1269"/>
      <c r="I195" s="1269" t="s">
        <v>182</v>
      </c>
      <c r="J195" s="1269"/>
      <c r="K195" s="1266" t="s">
        <v>125</v>
      </c>
      <c r="L195" s="1269"/>
      <c r="M195" s="1266" t="s">
        <v>119</v>
      </c>
      <c r="N195" s="1269"/>
      <c r="O195" s="1269" t="s">
        <v>248</v>
      </c>
      <c r="P195" s="1269"/>
      <c r="Q195" s="1269" t="s">
        <v>182</v>
      </c>
      <c r="R195" s="1269"/>
      <c r="S195" s="1269" t="s">
        <v>182</v>
      </c>
      <c r="T195" s="1269"/>
      <c r="U195" s="1266" t="s">
        <v>125</v>
      </c>
      <c r="W195" s="1269" t="s">
        <v>185</v>
      </c>
      <c r="X195" s="1262"/>
    </row>
    <row r="196" spans="1:24" s="1241" customFormat="1" ht="27" customHeight="1">
      <c r="A196" s="1255"/>
      <c r="I196" s="1294" t="s">
        <v>1277</v>
      </c>
      <c r="J196" s="1294"/>
      <c r="K196" s="1294"/>
      <c r="L196" s="1294"/>
      <c r="M196" s="1294"/>
      <c r="N196" s="1294"/>
      <c r="O196" s="1294"/>
      <c r="P196" s="1294"/>
      <c r="Q196" s="1294"/>
      <c r="R196" s="1294"/>
      <c r="S196" s="1294" t="s">
        <v>1277</v>
      </c>
      <c r="T196" s="1294"/>
      <c r="U196" s="1294" t="s">
        <v>1278</v>
      </c>
      <c r="V196" s="1294"/>
      <c r="W196" s="1294" t="s">
        <v>1278</v>
      </c>
      <c r="X196" s="1323"/>
    </row>
    <row r="197" spans="1:24" s="1241" customFormat="1" ht="18" customHeight="1">
      <c r="A197" s="1255"/>
      <c r="X197" s="1262"/>
    </row>
    <row r="198" spans="1:24">
      <c r="A198" s="1255" t="s">
        <v>372</v>
      </c>
      <c r="B198" s="1241"/>
      <c r="C198" s="1241" t="s">
        <v>373</v>
      </c>
      <c r="D198" s="1241"/>
      <c r="E198" s="1241" t="s">
        <v>288</v>
      </c>
      <c r="F198" s="1241"/>
      <c r="G198" s="1241" t="s">
        <v>259</v>
      </c>
      <c r="H198" s="1241"/>
      <c r="I198" s="1241" t="s">
        <v>251</v>
      </c>
      <c r="J198" s="1241"/>
      <c r="K198" s="1241" t="s">
        <v>377</v>
      </c>
      <c r="L198" s="1241"/>
      <c r="M198" s="1241" t="s">
        <v>297</v>
      </c>
      <c r="N198" s="1241"/>
      <c r="O198" s="1241" t="s">
        <v>378</v>
      </c>
      <c r="P198" s="1241"/>
      <c r="Q198" s="1241" t="s">
        <v>236</v>
      </c>
      <c r="R198" s="1241"/>
      <c r="S198" s="1241" t="s">
        <v>237</v>
      </c>
      <c r="T198" s="1241"/>
      <c r="U198" s="1241" t="s">
        <v>214</v>
      </c>
      <c r="V198" s="1241"/>
      <c r="W198" s="1241" t="s">
        <v>213</v>
      </c>
      <c r="X198" s="1262"/>
    </row>
    <row r="199" spans="1:24">
      <c r="A199" s="1255"/>
      <c r="B199" s="1241"/>
      <c r="C199" s="1241"/>
      <c r="D199" s="1241"/>
      <c r="E199" s="1241"/>
      <c r="F199" s="1241"/>
      <c r="G199" s="1241"/>
      <c r="H199" s="1241"/>
      <c r="I199" s="1241"/>
      <c r="J199" s="1241"/>
      <c r="K199" s="1241"/>
      <c r="L199" s="1241"/>
      <c r="M199" s="1241"/>
      <c r="N199" s="1241"/>
      <c r="O199" s="1241"/>
      <c r="P199" s="1241"/>
      <c r="Q199" s="1241"/>
      <c r="R199" s="1241"/>
      <c r="S199" s="1241"/>
      <c r="T199" s="1241"/>
      <c r="U199" s="1241"/>
      <c r="V199" s="1241"/>
      <c r="W199" s="1241"/>
      <c r="X199" s="1262"/>
    </row>
    <row r="200" spans="1:24">
      <c r="A200" s="1276"/>
      <c r="B200" s="1241"/>
      <c r="C200" s="1261"/>
      <c r="D200" s="1241"/>
      <c r="E200" s="1261"/>
      <c r="F200" s="1261"/>
      <c r="G200" s="1261"/>
      <c r="H200" s="1241"/>
      <c r="I200" s="1261"/>
      <c r="J200" s="1241"/>
      <c r="K200" s="1261"/>
      <c r="L200" s="1241"/>
      <c r="M200" s="1261"/>
      <c r="N200" s="1261"/>
      <c r="O200" s="1261"/>
      <c r="P200" s="1241"/>
      <c r="Q200" s="1261"/>
      <c r="R200" s="1241"/>
      <c r="S200" s="1261"/>
      <c r="T200" s="1241"/>
      <c r="U200" s="1261"/>
      <c r="V200" s="1241"/>
      <c r="W200" s="1261"/>
      <c r="X200" s="1262"/>
    </row>
    <row r="201" spans="1:24">
      <c r="A201" s="1276"/>
      <c r="B201" s="1241">
        <v>300</v>
      </c>
      <c r="C201" s="1261"/>
      <c r="D201" s="1241">
        <v>317</v>
      </c>
      <c r="E201" s="1261"/>
      <c r="F201" s="1261">
        <v>454</v>
      </c>
      <c r="G201" s="1261"/>
      <c r="H201" s="1241">
        <v>385</v>
      </c>
      <c r="I201" s="1261"/>
      <c r="J201" s="1241">
        <v>418</v>
      </c>
      <c r="K201" s="1261"/>
      <c r="L201" s="1241">
        <v>410</v>
      </c>
      <c r="M201" s="1261"/>
      <c r="N201" s="1261">
        <v>385</v>
      </c>
      <c r="O201" s="1261"/>
      <c r="P201" s="1241">
        <v>345</v>
      </c>
      <c r="Q201" s="1261"/>
      <c r="R201" s="1241">
        <v>332</v>
      </c>
      <c r="S201" s="1261"/>
      <c r="T201" s="1241">
        <v>394</v>
      </c>
      <c r="U201" s="1261"/>
      <c r="V201" s="1241">
        <v>388</v>
      </c>
      <c r="W201" s="1261"/>
      <c r="X201" s="1262">
        <v>340</v>
      </c>
    </row>
    <row r="202" spans="1:24" ht="16.5" customHeight="1">
      <c r="A202" s="1276"/>
      <c r="B202" s="1241"/>
      <c r="C202" s="1261"/>
      <c r="D202" s="1241"/>
      <c r="E202" s="1261"/>
      <c r="F202" s="1261"/>
      <c r="G202" s="1261"/>
      <c r="H202" s="1241"/>
      <c r="I202" s="1261"/>
      <c r="J202" s="1241"/>
      <c r="K202" s="1261"/>
      <c r="L202" s="1241"/>
      <c r="M202" s="1261"/>
      <c r="N202" s="1261"/>
      <c r="O202" s="1261"/>
      <c r="P202" s="1241"/>
      <c r="Q202" s="1261"/>
      <c r="R202" s="1241"/>
      <c r="S202" s="1261"/>
      <c r="T202" s="1241"/>
      <c r="U202" s="1261"/>
      <c r="V202" s="1241"/>
      <c r="W202" s="1261"/>
      <c r="X202" s="1262"/>
    </row>
    <row r="203" spans="1:24" ht="56" customHeight="1">
      <c r="A203" s="1307"/>
      <c r="B203" s="1241"/>
      <c r="C203" s="1307"/>
      <c r="D203" s="1241"/>
      <c r="E203" s="1324"/>
      <c r="F203" s="1286"/>
      <c r="G203" s="1307"/>
      <c r="H203" s="1241"/>
      <c r="I203" s="1307"/>
      <c r="J203" s="1241"/>
      <c r="K203" s="1307"/>
      <c r="L203" s="1241"/>
      <c r="M203" s="1307"/>
      <c r="N203" s="1286"/>
      <c r="O203" s="1307"/>
      <c r="P203" s="1241"/>
      <c r="Q203" s="1307"/>
      <c r="R203" s="1241"/>
      <c r="S203" s="1307"/>
      <c r="T203" s="1241"/>
      <c r="U203" s="1307"/>
      <c r="V203" s="1241"/>
      <c r="W203" s="1307"/>
      <c r="X203" s="1262"/>
    </row>
    <row r="204" spans="1:24" ht="19" customHeight="1">
      <c r="A204" s="1269" t="s">
        <v>185</v>
      </c>
      <c r="B204" s="1269"/>
      <c r="C204" s="1266" t="s">
        <v>119</v>
      </c>
      <c r="D204" s="1269"/>
      <c r="E204" s="1269" t="s">
        <v>182</v>
      </c>
      <c r="F204" s="1269"/>
      <c r="G204" s="1269" t="s">
        <v>248</v>
      </c>
      <c r="H204" s="1269"/>
      <c r="I204" s="1269" t="s">
        <v>248</v>
      </c>
      <c r="J204" s="1269"/>
      <c r="K204" s="1266" t="s">
        <v>132</v>
      </c>
      <c r="L204" s="1269"/>
      <c r="M204" s="1269" t="s">
        <v>182</v>
      </c>
      <c r="N204" s="1269"/>
      <c r="O204" s="1266" t="s">
        <v>115</v>
      </c>
      <c r="P204" s="1269"/>
      <c r="Q204" s="1269" t="s">
        <v>182</v>
      </c>
      <c r="R204" s="1269"/>
      <c r="S204" s="1269" t="s">
        <v>182</v>
      </c>
      <c r="T204" s="1269"/>
      <c r="U204" s="1269" t="s">
        <v>185</v>
      </c>
      <c r="V204" s="1269"/>
      <c r="W204" s="1269" t="s">
        <v>182</v>
      </c>
      <c r="X204" s="1269"/>
    </row>
    <row r="205" spans="1:24" ht="21.5" thickBot="1">
      <c r="A205" s="1255"/>
      <c r="B205" s="1241"/>
      <c r="C205" s="1241"/>
      <c r="D205" s="1241"/>
      <c r="E205" s="1294" t="s">
        <v>1569</v>
      </c>
      <c r="F205" s="1241"/>
      <c r="G205" s="1241"/>
      <c r="H205" s="1241"/>
      <c r="I205" s="1241"/>
      <c r="J205" s="1241"/>
      <c r="K205" s="1241"/>
      <c r="L205" s="1241"/>
      <c r="M205" s="1241"/>
      <c r="N205" s="1241"/>
      <c r="O205" s="1241"/>
      <c r="P205" s="1241"/>
      <c r="Q205" s="1241"/>
      <c r="R205" s="1241"/>
      <c r="S205" s="1241"/>
      <c r="T205" s="1241"/>
      <c r="U205" s="1241"/>
      <c r="V205" s="1241"/>
      <c r="W205" s="1241"/>
      <c r="X205" s="1262"/>
    </row>
    <row r="206" spans="1:24" s="1241" customFormat="1" ht="18.5" customHeight="1">
      <c r="A206" s="1315"/>
      <c r="B206" s="1316"/>
      <c r="C206" s="1316"/>
      <c r="D206" s="1316"/>
      <c r="E206" s="1316"/>
      <c r="F206" s="1316"/>
      <c r="G206" s="1316"/>
      <c r="H206" s="1316"/>
      <c r="I206" s="1316"/>
      <c r="J206" s="1316"/>
      <c r="K206" s="1316"/>
      <c r="L206" s="1316"/>
      <c r="M206" s="1316"/>
      <c r="N206" s="1316"/>
      <c r="O206" s="1316"/>
      <c r="P206" s="1316"/>
      <c r="Q206" s="1316"/>
      <c r="R206" s="1316"/>
      <c r="S206" s="1316"/>
      <c r="T206" s="1316"/>
      <c r="U206" s="1316"/>
      <c r="V206" s="1316"/>
      <c r="W206" s="1316"/>
      <c r="X206" s="1317"/>
    </row>
    <row r="207" spans="1:24" s="1241" customFormat="1">
      <c r="A207" s="1255" t="s">
        <v>212</v>
      </c>
      <c r="C207" s="1241" t="s">
        <v>209</v>
      </c>
      <c r="E207" s="1241" t="s">
        <v>231</v>
      </c>
      <c r="G207" s="1241" t="s">
        <v>379</v>
      </c>
      <c r="I207" s="1241" t="s">
        <v>263</v>
      </c>
      <c r="K207" s="1241" t="s">
        <v>1279</v>
      </c>
      <c r="M207" s="1241" t="s">
        <v>215</v>
      </c>
      <c r="O207" s="1241" t="s">
        <v>216</v>
      </c>
      <c r="Q207" s="1241" t="s">
        <v>239</v>
      </c>
      <c r="S207" s="1241" t="s">
        <v>240</v>
      </c>
      <c r="U207" s="1241" t="s">
        <v>241</v>
      </c>
      <c r="W207" s="1241" t="s">
        <v>381</v>
      </c>
      <c r="X207" s="1262"/>
    </row>
    <row r="208" spans="1:24" s="1241" customFormat="1">
      <c r="A208" s="1255"/>
      <c r="X208" s="1262"/>
    </row>
    <row r="209" spans="1:24" s="1241" customFormat="1">
      <c r="A209" s="1276"/>
      <c r="C209" s="1261"/>
      <c r="E209" s="1261"/>
      <c r="F209" s="1261"/>
      <c r="G209" s="1261"/>
      <c r="I209" s="1261"/>
      <c r="K209" s="1261"/>
      <c r="M209" s="1261"/>
      <c r="N209" s="1261"/>
      <c r="O209" s="1261"/>
      <c r="Q209" s="1261"/>
      <c r="S209" s="1261"/>
      <c r="U209" s="1261"/>
      <c r="W209" s="1261"/>
      <c r="X209" s="1262"/>
    </row>
    <row r="210" spans="1:24" s="1241" customFormat="1">
      <c r="A210" s="1276"/>
      <c r="B210" s="1241">
        <v>393</v>
      </c>
      <c r="C210" s="1261"/>
      <c r="D210" s="1241">
        <v>329</v>
      </c>
      <c r="E210" s="1261"/>
      <c r="F210" s="1261">
        <v>399</v>
      </c>
      <c r="G210" s="1261"/>
      <c r="H210" s="1241">
        <v>426</v>
      </c>
      <c r="I210" s="1261"/>
      <c r="J210" s="1241">
        <v>409</v>
      </c>
      <c r="K210" s="1261"/>
      <c r="L210" s="1241">
        <v>388</v>
      </c>
      <c r="M210" s="1261"/>
      <c r="N210" s="1261">
        <v>381</v>
      </c>
      <c r="O210" s="1261"/>
      <c r="P210" s="1241">
        <v>381</v>
      </c>
      <c r="Q210" s="1261"/>
      <c r="R210" s="1241">
        <v>345</v>
      </c>
      <c r="S210" s="1261"/>
      <c r="T210" s="1241">
        <v>396</v>
      </c>
      <c r="U210" s="1261"/>
      <c r="V210" s="1241">
        <v>415</v>
      </c>
      <c r="W210" s="1261"/>
      <c r="X210" s="1262">
        <v>402</v>
      </c>
    </row>
    <row r="211" spans="1:24" s="1241" customFormat="1" ht="16.5" customHeight="1">
      <c r="A211" s="1276"/>
      <c r="C211" s="1261"/>
      <c r="E211" s="1261"/>
      <c r="F211" s="1261"/>
      <c r="G211" s="1261"/>
      <c r="I211" s="1261"/>
      <c r="K211" s="1261"/>
      <c r="M211" s="1261"/>
      <c r="N211" s="1261"/>
      <c r="O211" s="1261"/>
      <c r="Q211" s="1261"/>
      <c r="S211" s="1261"/>
      <c r="U211" s="1261"/>
      <c r="W211" s="1261"/>
      <c r="X211" s="1262"/>
    </row>
    <row r="212" spans="1:24" s="1241" customFormat="1" ht="40" customHeight="1">
      <c r="A212" s="1321"/>
      <c r="C212" s="1307"/>
      <c r="E212" s="1307"/>
      <c r="F212" s="1286"/>
      <c r="G212" s="1307"/>
      <c r="I212" s="1307"/>
      <c r="K212" s="1307"/>
      <c r="M212" s="1307"/>
      <c r="N212" s="1286"/>
      <c r="O212" s="1307"/>
      <c r="Q212" s="1307"/>
      <c r="S212" s="1307"/>
      <c r="U212" s="1307"/>
      <c r="W212" s="1307"/>
      <c r="X212" s="1262"/>
    </row>
    <row r="213" spans="1:24" s="1241" customFormat="1">
      <c r="A213" s="1255"/>
      <c r="X213" s="1262"/>
    </row>
    <row r="214" spans="1:24" s="1241" customFormat="1" ht="21.5" thickBot="1">
      <c r="A214" s="1269" t="s">
        <v>182</v>
      </c>
      <c r="C214" s="1269" t="s">
        <v>182</v>
      </c>
      <c r="D214" s="1269"/>
      <c r="E214" s="1269" t="s">
        <v>182</v>
      </c>
      <c r="F214" s="1269"/>
      <c r="G214" s="1266" t="s">
        <v>115</v>
      </c>
      <c r="H214" s="1269"/>
      <c r="I214" s="1269" t="s">
        <v>242</v>
      </c>
      <c r="J214" s="1269"/>
      <c r="K214" s="1266" t="s">
        <v>119</v>
      </c>
      <c r="L214" s="1269"/>
      <c r="M214" s="1269" t="s">
        <v>182</v>
      </c>
      <c r="N214" s="1269"/>
      <c r="O214" s="1269" t="s">
        <v>185</v>
      </c>
      <c r="P214" s="1269"/>
      <c r="Q214" s="1269" t="s">
        <v>182</v>
      </c>
      <c r="R214" s="1269"/>
      <c r="S214" s="1269" t="s">
        <v>185</v>
      </c>
      <c r="T214" s="1269"/>
      <c r="U214" s="1269" t="s">
        <v>242</v>
      </c>
      <c r="V214" s="1269"/>
      <c r="W214" s="1266" t="s">
        <v>115</v>
      </c>
      <c r="X214" s="1262"/>
    </row>
    <row r="215" spans="1:24" s="1241" customFormat="1" ht="17.5" customHeight="1">
      <c r="A215" s="1315"/>
      <c r="B215" s="1316"/>
      <c r="C215" s="1316"/>
      <c r="D215" s="1316"/>
      <c r="E215" s="1316"/>
      <c r="F215" s="1316"/>
      <c r="G215" s="1316"/>
      <c r="H215" s="1316"/>
      <c r="I215" s="1316"/>
      <c r="J215" s="1316"/>
      <c r="K215" s="1316"/>
      <c r="L215" s="1316"/>
      <c r="M215" s="1316"/>
      <c r="N215" s="1316"/>
      <c r="O215" s="1316"/>
      <c r="P215" s="1316"/>
      <c r="Q215" s="1316"/>
      <c r="R215" s="1316"/>
      <c r="S215" s="1316"/>
      <c r="T215" s="1316"/>
      <c r="U215" s="1316"/>
      <c r="V215" s="1316"/>
      <c r="W215" s="1316"/>
      <c r="X215" s="1317"/>
    </row>
    <row r="216" spans="1:24" s="1241" customFormat="1" ht="17.5" customHeight="1">
      <c r="A216" s="1255" t="s">
        <v>383</v>
      </c>
      <c r="C216" s="1241" t="s">
        <v>384</v>
      </c>
      <c r="E216" s="1241" t="s">
        <v>253</v>
      </c>
      <c r="G216" s="1241" t="s">
        <v>385</v>
      </c>
      <c r="I216" s="1241" t="s">
        <v>386</v>
      </c>
      <c r="K216" s="1241" t="s">
        <v>257</v>
      </c>
      <c r="M216" s="1241" t="s">
        <v>387</v>
      </c>
      <c r="O216" s="1241" t="s">
        <v>267</v>
      </c>
      <c r="Q216" s="1241" t="s">
        <v>268</v>
      </c>
      <c r="S216" s="1241" t="s">
        <v>269</v>
      </c>
      <c r="U216" s="1241" t="s">
        <v>227</v>
      </c>
      <c r="W216" s="1241" t="s">
        <v>271</v>
      </c>
      <c r="X216" s="1262"/>
    </row>
    <row r="217" spans="1:24" s="1241" customFormat="1">
      <c r="A217" s="1255"/>
      <c r="X217" s="1262"/>
    </row>
    <row r="218" spans="1:24" s="1241" customFormat="1">
      <c r="A218" s="1276"/>
      <c r="C218" s="1261"/>
      <c r="E218" s="1261"/>
      <c r="F218" s="1261"/>
      <c r="G218" s="1261"/>
      <c r="I218" s="1261"/>
      <c r="K218" s="1261"/>
      <c r="M218" s="1261"/>
      <c r="N218" s="1261"/>
      <c r="O218" s="1261"/>
      <c r="Q218" s="1261"/>
      <c r="S218" s="1261"/>
      <c r="U218" s="1261"/>
      <c r="W218" s="1261"/>
      <c r="X218" s="1262"/>
    </row>
    <row r="219" spans="1:24" s="1241" customFormat="1">
      <c r="A219" s="1276"/>
      <c r="B219" s="1241">
        <v>355</v>
      </c>
      <c r="C219" s="1261"/>
      <c r="D219" s="1241">
        <v>425</v>
      </c>
      <c r="E219" s="1261"/>
      <c r="F219" s="1261">
        <v>414</v>
      </c>
      <c r="G219" s="1261"/>
      <c r="H219" s="1241">
        <v>353</v>
      </c>
      <c r="I219" s="1261"/>
      <c r="J219" s="1241">
        <v>441</v>
      </c>
      <c r="K219" s="1261"/>
      <c r="L219" s="1241">
        <v>388</v>
      </c>
      <c r="M219" s="1261"/>
      <c r="N219" s="1261">
        <v>373</v>
      </c>
      <c r="O219" s="1261"/>
      <c r="P219" s="1241">
        <v>415</v>
      </c>
      <c r="Q219" s="1261"/>
      <c r="R219" s="1241">
        <v>425</v>
      </c>
      <c r="S219" s="1261"/>
      <c r="T219" s="1241">
        <v>392</v>
      </c>
      <c r="U219" s="1261"/>
      <c r="V219" s="1241">
        <v>410</v>
      </c>
      <c r="W219" s="1261"/>
      <c r="X219" s="1262">
        <v>386</v>
      </c>
    </row>
    <row r="220" spans="1:24" s="1241" customFormat="1" ht="15.5" customHeight="1">
      <c r="A220" s="1276"/>
      <c r="C220" s="1261"/>
      <c r="E220" s="1261"/>
      <c r="F220" s="1261"/>
      <c r="G220" s="1261"/>
      <c r="I220" s="1261"/>
      <c r="K220" s="1261"/>
      <c r="M220" s="1261"/>
      <c r="N220" s="1261"/>
      <c r="O220" s="1261"/>
      <c r="Q220" s="1261"/>
      <c r="S220" s="1261"/>
      <c r="U220" s="1261"/>
      <c r="W220" s="1261"/>
      <c r="X220" s="1262"/>
    </row>
    <row r="221" spans="1:24" s="1241" customFormat="1" ht="40.5" customHeight="1">
      <c r="A221" s="1762"/>
      <c r="C221" s="1307"/>
      <c r="E221" s="1307"/>
      <c r="F221" s="1286"/>
      <c r="G221" s="1307"/>
      <c r="I221" s="1307"/>
      <c r="K221" s="1307"/>
      <c r="M221" s="1307"/>
      <c r="N221" s="1286"/>
      <c r="O221" s="1325" t="s">
        <v>390</v>
      </c>
      <c r="Q221" s="1307"/>
      <c r="S221" s="1308"/>
      <c r="U221" s="1307"/>
      <c r="W221" s="1307"/>
      <c r="X221" s="1262"/>
    </row>
    <row r="222" spans="1:24" s="1241" customFormat="1">
      <c r="A222" s="1269" t="s">
        <v>185</v>
      </c>
      <c r="B222" s="1269"/>
      <c r="C222" s="1266" t="s">
        <v>125</v>
      </c>
      <c r="D222" s="1269"/>
      <c r="E222" s="1269" t="s">
        <v>248</v>
      </c>
      <c r="G222" s="1269" t="s">
        <v>182</v>
      </c>
      <c r="H222" s="1269"/>
      <c r="I222" s="1266" t="s">
        <v>188</v>
      </c>
      <c r="J222" s="1269"/>
      <c r="K222" s="1269" t="s">
        <v>248</v>
      </c>
      <c r="L222" s="1269"/>
      <c r="M222" s="1266" t="s">
        <v>132</v>
      </c>
      <c r="N222" s="1269"/>
      <c r="O222" s="1269" t="s">
        <v>182</v>
      </c>
      <c r="P222" s="1269"/>
      <c r="Q222" s="1269" t="s">
        <v>185</v>
      </c>
      <c r="R222" s="1269"/>
      <c r="S222" s="1269" t="s">
        <v>182</v>
      </c>
      <c r="T222" s="1269"/>
      <c r="U222" s="1269" t="s">
        <v>182</v>
      </c>
      <c r="V222" s="1269"/>
      <c r="W222" s="1269" t="s">
        <v>242</v>
      </c>
      <c r="X222" s="1262"/>
    </row>
    <row r="223" spans="1:24" s="1241" customFormat="1" ht="21.5" thickBot="1">
      <c r="A223" s="1326" t="s">
        <v>1277</v>
      </c>
      <c r="B223" s="1294"/>
      <c r="C223" s="1294"/>
      <c r="D223" s="1294"/>
      <c r="E223" s="1294"/>
      <c r="F223" s="1294"/>
      <c r="G223" s="1294" t="s">
        <v>1277</v>
      </c>
      <c r="H223" s="1294"/>
      <c r="I223" s="1294"/>
      <c r="J223" s="1294"/>
      <c r="K223" s="1294"/>
      <c r="L223" s="1294"/>
      <c r="M223" s="1294"/>
      <c r="N223" s="1294"/>
      <c r="O223" s="1294" t="s">
        <v>1276</v>
      </c>
      <c r="X223" s="1262"/>
    </row>
    <row r="224" spans="1:24" s="1241" customFormat="1" ht="18.5" customHeight="1">
      <c r="A224" s="1315"/>
      <c r="B224" s="1316"/>
      <c r="C224" s="1316"/>
      <c r="D224" s="1316"/>
      <c r="E224" s="1316"/>
      <c r="F224" s="1316"/>
      <c r="G224" s="1316"/>
      <c r="H224" s="1316"/>
      <c r="I224" s="1316"/>
      <c r="J224" s="1316"/>
      <c r="K224" s="1316"/>
      <c r="L224" s="1316"/>
      <c r="M224" s="1316"/>
      <c r="N224" s="1316"/>
      <c r="O224" s="1316"/>
      <c r="P224" s="1316"/>
      <c r="Q224" s="1316"/>
      <c r="R224" s="1316"/>
      <c r="S224" s="1316"/>
      <c r="T224" s="1316"/>
      <c r="U224" s="1316"/>
      <c r="V224" s="1316"/>
      <c r="W224" s="1316"/>
      <c r="X224" s="1317"/>
    </row>
    <row r="225" spans="1:24" s="1241" customFormat="1">
      <c r="A225" s="1255" t="s">
        <v>391</v>
      </c>
      <c r="C225" s="1241" t="s">
        <v>392</v>
      </c>
      <c r="E225" s="1241" t="s">
        <v>393</v>
      </c>
      <c r="G225" s="1241" t="s">
        <v>394</v>
      </c>
      <c r="I225" s="1241" t="s">
        <v>225</v>
      </c>
      <c r="K225" s="1241" t="s">
        <v>395</v>
      </c>
      <c r="M225" s="1241" t="s">
        <v>396</v>
      </c>
      <c r="O225" s="1241" t="s">
        <v>258</v>
      </c>
      <c r="Q225" s="1241" t="s">
        <v>398</v>
      </c>
      <c r="S225" s="1241" t="s">
        <v>262</v>
      </c>
      <c r="U225" s="1241" t="s">
        <v>244</v>
      </c>
      <c r="W225" s="1241" t="s">
        <v>399</v>
      </c>
      <c r="X225" s="1262"/>
    </row>
    <row r="226" spans="1:24" s="1241" customFormat="1">
      <c r="A226" s="1255"/>
      <c r="X226" s="1262"/>
    </row>
    <row r="227" spans="1:24" s="1241" customFormat="1">
      <c r="A227" s="1276"/>
      <c r="C227" s="1261"/>
      <c r="E227" s="1261"/>
      <c r="F227" s="1261"/>
      <c r="G227" s="1261"/>
      <c r="I227" s="1261"/>
      <c r="K227" s="1261"/>
      <c r="M227" s="1261"/>
      <c r="N227" s="1261"/>
      <c r="O227" s="1261"/>
      <c r="Q227" s="1261"/>
      <c r="S227" s="1261"/>
      <c r="U227" s="1261"/>
      <c r="W227" s="1261"/>
      <c r="X227" s="1262"/>
    </row>
    <row r="228" spans="1:24" s="1241" customFormat="1">
      <c r="A228" s="1276"/>
      <c r="B228" s="1241">
        <v>418</v>
      </c>
      <c r="C228" s="1261"/>
      <c r="D228" s="1241">
        <v>421</v>
      </c>
      <c r="E228" s="1261"/>
      <c r="F228" s="1261">
        <v>402</v>
      </c>
      <c r="G228" s="1261"/>
      <c r="H228" s="1241">
        <v>429</v>
      </c>
      <c r="I228" s="1261"/>
      <c r="J228" s="1241">
        <v>404</v>
      </c>
      <c r="K228" s="1261"/>
      <c r="L228" s="1241">
        <v>385</v>
      </c>
      <c r="M228" s="1261"/>
      <c r="N228" s="1261">
        <v>381</v>
      </c>
      <c r="O228" s="1261"/>
      <c r="P228" s="1241">
        <v>355</v>
      </c>
      <c r="Q228" s="1261"/>
      <c r="R228" s="1241">
        <v>406</v>
      </c>
      <c r="S228" s="1261"/>
      <c r="T228" s="1241">
        <v>417</v>
      </c>
      <c r="U228" s="1261"/>
      <c r="V228" s="1241">
        <v>381</v>
      </c>
      <c r="W228" s="1261"/>
      <c r="X228" s="1262">
        <v>412</v>
      </c>
    </row>
    <row r="229" spans="1:24" s="1241" customFormat="1" ht="13.5" customHeight="1">
      <c r="A229" s="1276"/>
      <c r="C229" s="1261"/>
      <c r="E229" s="1261"/>
      <c r="F229" s="1261"/>
      <c r="G229" s="1261"/>
      <c r="I229" s="1261"/>
      <c r="K229" s="1261"/>
      <c r="M229" s="1261"/>
      <c r="N229" s="1261"/>
      <c r="O229" s="1261"/>
      <c r="Q229" s="1261"/>
      <c r="S229" s="1261"/>
      <c r="U229" s="1261"/>
      <c r="W229" s="1261"/>
      <c r="X229" s="1262"/>
    </row>
    <row r="230" spans="1:24" s="1241" customFormat="1" ht="40" customHeight="1">
      <c r="A230" s="1307"/>
      <c r="C230" s="1307"/>
      <c r="E230" s="1307"/>
      <c r="F230" s="1286"/>
      <c r="G230" s="1307"/>
      <c r="I230" s="1307"/>
      <c r="K230" s="1324"/>
      <c r="M230" s="1307"/>
      <c r="N230" s="1286"/>
      <c r="O230" s="1307"/>
      <c r="Q230" s="1307"/>
      <c r="S230" s="1307"/>
      <c r="U230" s="1307"/>
      <c r="W230" s="1307"/>
      <c r="X230" s="1262"/>
    </row>
    <row r="231" spans="1:24" s="1241" customFormat="1">
      <c r="A231" s="1255"/>
      <c r="M231" s="1255"/>
      <c r="W231" s="1255"/>
      <c r="X231" s="1262"/>
    </row>
    <row r="232" spans="1:24" s="1241" customFormat="1">
      <c r="A232" s="1266" t="s">
        <v>188</v>
      </c>
      <c r="B232" s="1269"/>
      <c r="C232" s="1269" t="s">
        <v>242</v>
      </c>
      <c r="D232" s="1269"/>
      <c r="E232" s="1269" t="s">
        <v>185</v>
      </c>
      <c r="F232" s="1269"/>
      <c r="G232" s="1266" t="s">
        <v>115</v>
      </c>
      <c r="H232" s="1269"/>
      <c r="I232" s="1269" t="s">
        <v>185</v>
      </c>
      <c r="K232" s="1266" t="s">
        <v>128</v>
      </c>
      <c r="L232" s="1269"/>
      <c r="M232" s="1266" t="s">
        <v>115</v>
      </c>
      <c r="N232" s="1269"/>
      <c r="O232" s="1269" t="s">
        <v>182</v>
      </c>
      <c r="P232" s="1269"/>
      <c r="Q232" s="1266" t="s">
        <v>125</v>
      </c>
      <c r="R232" s="1269"/>
      <c r="S232" s="1269" t="s">
        <v>242</v>
      </c>
      <c r="T232" s="1269"/>
      <c r="U232" s="1269" t="s">
        <v>182</v>
      </c>
      <c r="V232" s="1269"/>
      <c r="W232" s="1266" t="s">
        <v>115</v>
      </c>
      <c r="X232" s="1262"/>
    </row>
    <row r="233" spans="1:24" s="1241" customFormat="1">
      <c r="A233" s="1255"/>
      <c r="X233" s="1262"/>
    </row>
    <row r="234" spans="1:24" s="1241" customFormat="1" ht="21.5" thickBot="1">
      <c r="A234" s="1327"/>
      <c r="B234" s="1328"/>
      <c r="C234" s="1328"/>
      <c r="D234" s="1328"/>
      <c r="E234" s="1328"/>
      <c r="F234" s="1328"/>
      <c r="G234" s="1328"/>
      <c r="H234" s="1328"/>
      <c r="I234" s="1328"/>
      <c r="J234" s="1328"/>
      <c r="K234" s="1328"/>
      <c r="L234" s="1328"/>
      <c r="M234" s="1328"/>
      <c r="N234" s="1328"/>
      <c r="O234" s="1328"/>
      <c r="P234" s="1328"/>
      <c r="Q234" s="1328"/>
      <c r="R234" s="1328"/>
      <c r="S234" s="1328"/>
      <c r="T234" s="1328"/>
      <c r="U234" s="1328"/>
      <c r="V234" s="1328"/>
      <c r="W234" s="1328"/>
      <c r="X234" s="1329"/>
    </row>
    <row r="235" spans="1:24" s="1241" customFormat="1">
      <c r="A235" s="1255" t="s">
        <v>277</v>
      </c>
      <c r="C235" s="1241" t="s">
        <v>280</v>
      </c>
      <c r="E235" s="1241" t="s">
        <v>400</v>
      </c>
      <c r="G235" s="1241" t="s">
        <v>401</v>
      </c>
      <c r="I235" s="1241" t="s">
        <v>402</v>
      </c>
      <c r="K235" s="1241" t="s">
        <v>403</v>
      </c>
      <c r="M235" s="1241" t="s">
        <v>404</v>
      </c>
      <c r="O235" s="1241" t="s">
        <v>405</v>
      </c>
      <c r="Q235" s="1241" t="s">
        <v>406</v>
      </c>
      <c r="S235" s="1241" t="s">
        <v>290</v>
      </c>
      <c r="U235" s="1241" t="s">
        <v>407</v>
      </c>
      <c r="W235" s="1241" t="s">
        <v>408</v>
      </c>
      <c r="X235" s="1262"/>
    </row>
    <row r="236" spans="1:24" s="1241" customFormat="1">
      <c r="A236" s="1255"/>
      <c r="X236" s="1262"/>
    </row>
    <row r="237" spans="1:24" s="1241" customFormat="1">
      <c r="A237" s="1276"/>
      <c r="C237" s="1261"/>
      <c r="E237" s="1261"/>
      <c r="F237" s="1261"/>
      <c r="G237" s="1261"/>
      <c r="I237" s="1261"/>
      <c r="K237" s="1261"/>
      <c r="M237" s="1261"/>
      <c r="N237" s="1261"/>
      <c r="O237" s="1261"/>
      <c r="Q237" s="1261"/>
      <c r="S237" s="1261"/>
      <c r="U237" s="1261"/>
      <c r="W237" s="1261"/>
      <c r="X237" s="1262"/>
    </row>
    <row r="238" spans="1:24" s="1241" customFormat="1">
      <c r="A238" s="1276"/>
      <c r="B238" s="1241">
        <v>392</v>
      </c>
      <c r="C238" s="1261"/>
      <c r="D238" s="1241">
        <v>297</v>
      </c>
      <c r="E238" s="1261"/>
      <c r="F238" s="1261">
        <v>412</v>
      </c>
      <c r="G238" s="1261"/>
      <c r="H238" s="1241">
        <v>382</v>
      </c>
      <c r="I238" s="1261"/>
      <c r="J238" s="1241">
        <v>453</v>
      </c>
      <c r="K238" s="1261"/>
      <c r="L238" s="1241">
        <v>420</v>
      </c>
      <c r="M238" s="1261"/>
      <c r="N238" s="1261">
        <v>395</v>
      </c>
      <c r="O238" s="1261"/>
      <c r="P238" s="1241">
        <v>387</v>
      </c>
      <c r="Q238" s="1261"/>
      <c r="R238" s="1241">
        <v>379</v>
      </c>
      <c r="S238" s="1261"/>
      <c r="T238" s="1241">
        <v>350</v>
      </c>
      <c r="U238" s="1261"/>
      <c r="V238" s="1241">
        <v>358</v>
      </c>
      <c r="W238" s="1261"/>
      <c r="X238" s="1262">
        <v>237</v>
      </c>
    </row>
    <row r="239" spans="1:24" s="1241" customFormat="1" ht="17.5" customHeight="1">
      <c r="A239" s="1276"/>
      <c r="C239" s="1261"/>
      <c r="E239" s="1261"/>
      <c r="F239" s="1261"/>
      <c r="G239" s="1261"/>
      <c r="I239" s="1261"/>
      <c r="K239" s="1261"/>
      <c r="M239" s="1261"/>
      <c r="N239" s="1261"/>
      <c r="O239" s="1261"/>
      <c r="Q239" s="1261"/>
      <c r="S239" s="1261"/>
      <c r="U239" s="1261"/>
      <c r="W239" s="1261"/>
      <c r="X239" s="1262"/>
    </row>
    <row r="240" spans="1:24" s="1241" customFormat="1" ht="52" customHeight="1">
      <c r="A240" s="1321"/>
      <c r="C240" s="1307"/>
      <c r="E240" s="1285" t="s">
        <v>1703</v>
      </c>
      <c r="F240" s="1286"/>
      <c r="G240" s="1325" t="s">
        <v>390</v>
      </c>
      <c r="I240" s="1285" t="s">
        <v>1703</v>
      </c>
      <c r="K240" s="1285" t="s">
        <v>1703</v>
      </c>
      <c r="M240" s="1285" t="s">
        <v>1703</v>
      </c>
      <c r="N240" s="1286"/>
      <c r="O240" s="1285" t="s">
        <v>1703</v>
      </c>
      <c r="Q240" s="1307"/>
      <c r="S240" s="1307"/>
      <c r="U240" s="1285" t="s">
        <v>1703</v>
      </c>
      <c r="W240" s="1285" t="s">
        <v>1703</v>
      </c>
      <c r="X240" s="1262"/>
    </row>
    <row r="241" spans="1:24" s="1241" customFormat="1" ht="21.5" thickBot="1">
      <c r="A241" s="1269" t="s">
        <v>185</v>
      </c>
      <c r="B241" s="1269"/>
      <c r="C241" s="1269" t="s">
        <v>248</v>
      </c>
      <c r="D241" s="1269"/>
      <c r="E241" s="1266" t="s">
        <v>128</v>
      </c>
      <c r="F241" s="1269"/>
      <c r="G241" s="1266" t="s">
        <v>115</v>
      </c>
      <c r="H241" s="1269"/>
      <c r="I241" s="1269" t="s">
        <v>248</v>
      </c>
      <c r="J241" s="1269"/>
      <c r="K241" s="1266" t="s">
        <v>115</v>
      </c>
      <c r="L241" s="1269"/>
      <c r="M241" s="1269" t="s">
        <v>248</v>
      </c>
      <c r="O241" s="1266" t="s">
        <v>125</v>
      </c>
      <c r="P241" s="1269"/>
      <c r="Q241" s="1269" t="s">
        <v>182</v>
      </c>
      <c r="R241" s="1269"/>
      <c r="S241" s="1269" t="s">
        <v>182</v>
      </c>
      <c r="T241" s="1269"/>
      <c r="U241" s="1269" t="s">
        <v>182</v>
      </c>
      <c r="V241" s="1269"/>
      <c r="W241" s="1266" t="s">
        <v>115</v>
      </c>
      <c r="X241" s="1300" t="s">
        <v>1513</v>
      </c>
    </row>
    <row r="242" spans="1:24" s="1241" customFormat="1" ht="20.5" customHeight="1">
      <c r="A242" s="1315"/>
      <c r="B242" s="1316"/>
      <c r="C242" s="1316"/>
      <c r="D242" s="1316"/>
      <c r="E242" s="1316"/>
      <c r="F242" s="1316"/>
      <c r="G242" s="1316"/>
      <c r="H242" s="1316"/>
      <c r="I242" s="1316"/>
      <c r="J242" s="1316"/>
      <c r="K242" s="1316"/>
      <c r="L242" s="1316"/>
      <c r="M242" s="1316"/>
      <c r="N242" s="1316"/>
      <c r="O242" s="1316"/>
      <c r="P242" s="1316"/>
      <c r="Q242" s="1316"/>
      <c r="R242" s="1316"/>
      <c r="S242" s="1316"/>
      <c r="T242" s="1316"/>
      <c r="U242" s="1316"/>
      <c r="V242" s="1316"/>
      <c r="W242" s="1316"/>
      <c r="X242" s="1317"/>
    </row>
    <row r="243" spans="1:24" s="1241" customFormat="1" ht="21.5" customHeight="1">
      <c r="A243" s="1255" t="s">
        <v>409</v>
      </c>
      <c r="C243" s="1241" t="s">
        <v>410</v>
      </c>
      <c r="E243" s="1241" t="s">
        <v>411</v>
      </c>
      <c r="G243" s="1241" t="s">
        <v>412</v>
      </c>
      <c r="I243" s="1241" t="s">
        <v>414</v>
      </c>
      <c r="K243" s="1241" t="s">
        <v>1280</v>
      </c>
      <c r="M243" s="1241" t="s">
        <v>217</v>
      </c>
      <c r="O243" s="1241" t="s">
        <v>416</v>
      </c>
      <c r="Q243" s="1241" t="s">
        <v>294</v>
      </c>
      <c r="S243" s="1241" t="s">
        <v>276</v>
      </c>
      <c r="U243" s="1241" t="s">
        <v>417</v>
      </c>
      <c r="W243" s="1241" t="s">
        <v>418</v>
      </c>
      <c r="X243" s="1262"/>
    </row>
    <row r="244" spans="1:24" s="1241" customFormat="1">
      <c r="A244" s="1255"/>
      <c r="X244" s="1262"/>
    </row>
    <row r="245" spans="1:24" s="1241" customFormat="1">
      <c r="A245" s="1276"/>
      <c r="C245" s="1261"/>
      <c r="E245" s="1261"/>
      <c r="F245" s="1261"/>
      <c r="G245" s="1261"/>
      <c r="I245" s="1261"/>
      <c r="K245" s="1261"/>
      <c r="M245" s="1261"/>
      <c r="N245" s="1261"/>
      <c r="O245" s="1261"/>
      <c r="Q245" s="1261"/>
      <c r="S245" s="1261"/>
      <c r="U245" s="1261"/>
      <c r="W245" s="1261"/>
      <c r="X245" s="1262"/>
    </row>
    <row r="246" spans="1:24" s="1241" customFormat="1">
      <c r="A246" s="1276"/>
      <c r="B246" s="1241">
        <v>440</v>
      </c>
      <c r="C246" s="1261"/>
      <c r="D246" s="1241">
        <v>504</v>
      </c>
      <c r="E246" s="1261"/>
      <c r="F246" s="1261">
        <v>437</v>
      </c>
      <c r="G246" s="1261"/>
      <c r="H246" s="1241">
        <v>430</v>
      </c>
      <c r="I246" s="1261"/>
      <c r="J246" s="1241">
        <v>409</v>
      </c>
      <c r="K246" s="1261"/>
      <c r="L246" s="1241">
        <v>312</v>
      </c>
      <c r="M246" s="1261"/>
      <c r="N246" s="1261">
        <v>314</v>
      </c>
      <c r="O246" s="1261"/>
      <c r="P246" s="1241">
        <v>362</v>
      </c>
      <c r="Q246" s="1261"/>
      <c r="R246" s="1241">
        <v>329</v>
      </c>
      <c r="S246" s="1261"/>
      <c r="T246" s="1241">
        <v>371</v>
      </c>
      <c r="U246" s="1261"/>
      <c r="V246" s="1241">
        <v>418</v>
      </c>
      <c r="W246" s="1261"/>
      <c r="X246" s="1262">
        <v>377</v>
      </c>
    </row>
    <row r="247" spans="1:24" s="1241" customFormat="1" ht="12.5" customHeight="1">
      <c r="A247" s="1276"/>
      <c r="C247" s="1261"/>
      <c r="E247" s="1261"/>
      <c r="F247" s="1261"/>
      <c r="G247" s="1261"/>
      <c r="I247" s="1261"/>
      <c r="K247" s="1261"/>
      <c r="M247" s="1261"/>
      <c r="N247" s="1261"/>
      <c r="O247" s="1261"/>
      <c r="Q247" s="1261"/>
      <c r="S247" s="1261"/>
      <c r="U247" s="1261"/>
      <c r="W247" s="1261"/>
      <c r="X247" s="1262"/>
    </row>
    <row r="248" spans="1:24" s="1241" customFormat="1" ht="42.5" customHeight="1">
      <c r="A248" s="1330" t="s">
        <v>1703</v>
      </c>
      <c r="C248" s="1331"/>
      <c r="E248" s="1331"/>
      <c r="F248" s="1286"/>
      <c r="G248" s="1331"/>
      <c r="I248" s="1331"/>
      <c r="K248" s="1331"/>
      <c r="M248" s="1331"/>
      <c r="N248" s="1286"/>
      <c r="O248" s="1331"/>
      <c r="Q248" s="1331"/>
      <c r="S248" s="1331"/>
      <c r="U248" s="1331"/>
      <c r="W248" s="1331"/>
      <c r="X248" s="1262"/>
    </row>
    <row r="249" spans="1:24" s="1241" customFormat="1" ht="21.5" thickBot="1">
      <c r="A249" s="1266" t="s">
        <v>115</v>
      </c>
      <c r="B249" s="1269"/>
      <c r="C249" s="1266" t="s">
        <v>167</v>
      </c>
      <c r="D249" s="1269"/>
      <c r="E249" s="1266" t="s">
        <v>132</v>
      </c>
      <c r="F249" s="1269"/>
      <c r="G249" s="1266" t="s">
        <v>119</v>
      </c>
      <c r="H249" s="1269"/>
      <c r="I249" s="1269" t="s">
        <v>248</v>
      </c>
      <c r="J249" s="1269"/>
      <c r="K249" s="1266" t="s">
        <v>119</v>
      </c>
      <c r="L249" s="1269"/>
      <c r="M249" s="1269" t="s">
        <v>182</v>
      </c>
      <c r="N249" s="1269"/>
      <c r="O249" s="1266" t="s">
        <v>115</v>
      </c>
      <c r="P249" s="1269"/>
      <c r="Q249" s="1269" t="s">
        <v>182</v>
      </c>
      <c r="S249" s="1269" t="s">
        <v>182</v>
      </c>
      <c r="T249" s="1269"/>
      <c r="U249" s="1266" t="s">
        <v>115</v>
      </c>
      <c r="V249" s="1269"/>
      <c r="W249" s="1269" t="s">
        <v>185</v>
      </c>
      <c r="X249" s="1262"/>
    </row>
    <row r="250" spans="1:24" s="1241" customFormat="1" ht="19.5" customHeight="1">
      <c r="A250" s="1315"/>
      <c r="B250" s="1316"/>
      <c r="C250" s="1316"/>
      <c r="D250" s="1316"/>
      <c r="E250" s="1316"/>
      <c r="F250" s="1316"/>
      <c r="G250" s="1316"/>
      <c r="H250" s="1316"/>
      <c r="I250" s="1316"/>
      <c r="J250" s="1316"/>
      <c r="K250" s="1316"/>
      <c r="L250" s="1316"/>
      <c r="M250" s="1316"/>
      <c r="N250" s="1316"/>
      <c r="O250" s="1316"/>
      <c r="P250" s="1316"/>
      <c r="Q250" s="1316"/>
      <c r="R250" s="1316"/>
      <c r="S250" s="1316"/>
      <c r="T250" s="1316"/>
      <c r="U250" s="1316"/>
      <c r="V250" s="1316"/>
      <c r="W250" s="1316"/>
      <c r="X250" s="1317"/>
    </row>
    <row r="251" spans="1:24" s="1241" customFormat="1">
      <c r="A251" s="1255" t="s">
        <v>419</v>
      </c>
      <c r="C251" s="1241" t="s">
        <v>169</v>
      </c>
      <c r="E251" s="1241" t="s">
        <v>1281</v>
      </c>
      <c r="G251" s="1241" t="s">
        <v>289</v>
      </c>
      <c r="I251" s="1241" t="s">
        <v>1282</v>
      </c>
      <c r="K251" s="1241" t="s">
        <v>423</v>
      </c>
      <c r="M251" s="1332" t="s">
        <v>424</v>
      </c>
      <c r="O251" s="1241" t="s">
        <v>718</v>
      </c>
      <c r="Q251" s="1241" t="s">
        <v>279</v>
      </c>
      <c r="S251" s="1241" t="s">
        <v>426</v>
      </c>
      <c r="U251" s="1241" t="s">
        <v>427</v>
      </c>
      <c r="W251" s="1241" t="s">
        <v>428</v>
      </c>
      <c r="X251" s="1262"/>
    </row>
    <row r="252" spans="1:24" s="1241" customFormat="1">
      <c r="A252" s="1255"/>
      <c r="M252" s="1332"/>
      <c r="X252" s="1262"/>
    </row>
    <row r="253" spans="1:24" s="1241" customFormat="1">
      <c r="A253" s="1276"/>
      <c r="C253" s="1261"/>
      <c r="E253" s="1261"/>
      <c r="F253" s="1261"/>
      <c r="G253" s="1261"/>
      <c r="I253" s="1261"/>
      <c r="K253" s="1261"/>
      <c r="M253" s="1261"/>
      <c r="N253" s="1261"/>
      <c r="O253" s="1261"/>
      <c r="Q253" s="1261"/>
      <c r="S253" s="1261"/>
      <c r="U253" s="1261"/>
      <c r="W253" s="1261"/>
      <c r="X253" s="1262"/>
    </row>
    <row r="254" spans="1:24" s="1241" customFormat="1">
      <c r="A254" s="1276"/>
      <c r="B254" s="1241">
        <v>344</v>
      </c>
      <c r="C254" s="1261"/>
      <c r="D254" s="1241">
        <v>319</v>
      </c>
      <c r="E254" s="1261"/>
      <c r="F254" s="1261">
        <v>308</v>
      </c>
      <c r="G254" s="1261"/>
      <c r="H254" s="1241">
        <v>325</v>
      </c>
      <c r="I254" s="1261"/>
      <c r="J254" s="1241">
        <v>358</v>
      </c>
      <c r="K254" s="1261"/>
      <c r="L254" s="1241">
        <v>266</v>
      </c>
      <c r="M254" s="1261"/>
      <c r="N254" s="1261">
        <v>344</v>
      </c>
      <c r="O254" s="1261"/>
      <c r="P254" s="1241">
        <v>418</v>
      </c>
      <c r="Q254" s="1261"/>
      <c r="R254" s="1241">
        <v>424</v>
      </c>
      <c r="S254" s="1261"/>
      <c r="T254" s="1241">
        <v>411</v>
      </c>
      <c r="U254" s="1261"/>
      <c r="V254" s="1241">
        <v>434</v>
      </c>
      <c r="W254" s="1261"/>
      <c r="X254" s="1262">
        <v>410</v>
      </c>
    </row>
    <row r="255" spans="1:24" s="1241" customFormat="1" ht="13.5" customHeight="1">
      <c r="A255" s="1276"/>
      <c r="C255" s="1261"/>
      <c r="E255" s="1261"/>
      <c r="F255" s="1261"/>
      <c r="G255" s="1261"/>
      <c r="I255" s="1261"/>
      <c r="K255" s="1261"/>
      <c r="M255" s="1261"/>
      <c r="N255" s="1261"/>
      <c r="O255" s="1261"/>
      <c r="Q255" s="1261"/>
      <c r="S255" s="1261"/>
      <c r="U255" s="1261"/>
      <c r="W255" s="1261"/>
      <c r="X255" s="1262"/>
    </row>
    <row r="256" spans="1:24" s="1241" customFormat="1" ht="40" customHeight="1">
      <c r="A256" s="1307"/>
      <c r="C256" s="1307"/>
      <c r="E256" s="1307"/>
      <c r="F256" s="1286"/>
      <c r="G256" s="1307"/>
      <c r="I256" s="1307"/>
      <c r="K256" s="1285" t="s">
        <v>1703</v>
      </c>
      <c r="M256" s="1285" t="s">
        <v>1703</v>
      </c>
      <c r="N256" s="1286"/>
      <c r="O256" s="1307"/>
      <c r="Q256" s="1307"/>
      <c r="S256" s="1308"/>
      <c r="U256" s="1308"/>
      <c r="W256" s="1308"/>
      <c r="X256" s="1262"/>
    </row>
    <row r="257" spans="1:24" s="1241" customFormat="1">
      <c r="A257" s="1266" t="s">
        <v>115</v>
      </c>
      <c r="B257" s="1269"/>
      <c r="C257" s="1269" t="s">
        <v>182</v>
      </c>
      <c r="D257" s="1269"/>
      <c r="E257" s="1266" t="s">
        <v>115</v>
      </c>
      <c r="F257" s="1269"/>
      <c r="G257" s="1269" t="s">
        <v>182</v>
      </c>
      <c r="H257" s="1269"/>
      <c r="I257" s="1266" t="s">
        <v>125</v>
      </c>
      <c r="J257" s="1269"/>
      <c r="K257" s="1269" t="s">
        <v>182</v>
      </c>
      <c r="L257" s="1269"/>
      <c r="M257" s="1298" t="s">
        <v>170</v>
      </c>
      <c r="N257" s="1269"/>
      <c r="O257" s="1266" t="s">
        <v>115</v>
      </c>
      <c r="P257" s="1269"/>
      <c r="Q257" s="1269" t="s">
        <v>242</v>
      </c>
      <c r="R257" s="1269"/>
      <c r="S257" s="1269" t="s">
        <v>182</v>
      </c>
      <c r="T257" s="1269"/>
      <c r="U257" s="1269" t="s">
        <v>185</v>
      </c>
      <c r="W257" s="1269" t="s">
        <v>185</v>
      </c>
      <c r="X257" s="1262"/>
    </row>
    <row r="258" spans="1:24" s="1241" customFormat="1" ht="21.5" thickBot="1">
      <c r="A258" s="1255"/>
      <c r="K258" s="1294" t="s">
        <v>1277</v>
      </c>
      <c r="L258" s="1299"/>
      <c r="M258" s="1299"/>
      <c r="N258" s="1299"/>
      <c r="U258" s="1332"/>
      <c r="X258" s="1262"/>
    </row>
    <row r="259" spans="1:24" ht="16.5" customHeight="1">
      <c r="A259" s="1273"/>
      <c r="B259" s="1274"/>
      <c r="C259" s="1274"/>
      <c r="D259" s="1274"/>
      <c r="E259" s="1274"/>
      <c r="F259" s="1274"/>
      <c r="G259" s="1274"/>
      <c r="H259" s="1274"/>
      <c r="I259" s="1274"/>
      <c r="J259" s="1274"/>
      <c r="K259" s="1274"/>
      <c r="L259" s="1274"/>
      <c r="M259" s="1274"/>
      <c r="N259" s="1274"/>
      <c r="O259" s="1274"/>
      <c r="P259" s="1274"/>
      <c r="Q259" s="1274"/>
      <c r="R259" s="1274"/>
      <c r="S259" s="1274"/>
      <c r="T259" s="1274"/>
      <c r="U259" s="1274"/>
      <c r="V259" s="1274"/>
      <c r="W259" s="1274"/>
      <c r="X259" s="1275"/>
    </row>
    <row r="260" spans="1:24" s="1241" customFormat="1">
      <c r="A260" s="1255" t="s">
        <v>171</v>
      </c>
      <c r="C260" s="1241" t="s">
        <v>1328</v>
      </c>
      <c r="E260" s="1241" t="s">
        <v>1528</v>
      </c>
      <c r="G260" s="1241" t="s">
        <v>1330</v>
      </c>
      <c r="I260" s="1241" t="s">
        <v>1331</v>
      </c>
      <c r="K260" s="1241" t="s">
        <v>434</v>
      </c>
      <c r="M260" s="1241" t="s">
        <v>435</v>
      </c>
      <c r="O260" s="1241" t="s">
        <v>436</v>
      </c>
      <c r="Q260" s="1241" t="s">
        <v>437</v>
      </c>
      <c r="S260" s="1241" t="s">
        <v>438</v>
      </c>
      <c r="U260" s="1241" t="s">
        <v>439</v>
      </c>
      <c r="W260" s="1241" t="s">
        <v>440</v>
      </c>
      <c r="X260" s="1262"/>
    </row>
    <row r="261" spans="1:24" s="1241" customFormat="1">
      <c r="A261" s="1255"/>
      <c r="X261" s="1262"/>
    </row>
    <row r="262" spans="1:24" s="1241" customFormat="1">
      <c r="A262" s="1276"/>
      <c r="C262" s="1261"/>
      <c r="E262" s="1261"/>
      <c r="F262" s="1261"/>
      <c r="G262" s="1261"/>
      <c r="I262" s="1261"/>
      <c r="K262" s="1261"/>
      <c r="M262" s="1261"/>
      <c r="N262" s="1261"/>
      <c r="O262" s="1261"/>
      <c r="Q262" s="1261"/>
      <c r="S262" s="1261"/>
      <c r="U262" s="1261"/>
      <c r="W262" s="1261"/>
      <c r="X262" s="1262"/>
    </row>
    <row r="263" spans="1:24" s="1241" customFormat="1">
      <c r="A263" s="1276"/>
      <c r="B263" s="1241">
        <v>423</v>
      </c>
      <c r="C263" s="1261"/>
      <c r="D263" s="1241">
        <v>286</v>
      </c>
      <c r="E263" s="1261"/>
      <c r="F263" s="1261">
        <v>424</v>
      </c>
      <c r="G263" s="1261"/>
      <c r="H263" s="1241">
        <v>420</v>
      </c>
      <c r="I263" s="1261"/>
      <c r="J263" s="1241">
        <v>424</v>
      </c>
      <c r="K263" s="1261"/>
      <c r="L263" s="1241">
        <v>387</v>
      </c>
      <c r="M263" s="1261"/>
      <c r="N263" s="1261">
        <v>453</v>
      </c>
      <c r="O263" s="1261"/>
      <c r="P263" s="1241">
        <v>387</v>
      </c>
      <c r="Q263" s="1261"/>
      <c r="R263" s="1241">
        <v>382</v>
      </c>
      <c r="S263" s="1261"/>
      <c r="T263" s="1241">
        <v>336</v>
      </c>
      <c r="U263" s="1261"/>
      <c r="V263" s="1241">
        <v>389</v>
      </c>
      <c r="W263" s="1261"/>
      <c r="X263" s="1262">
        <v>335</v>
      </c>
    </row>
    <row r="264" spans="1:24" s="1241" customFormat="1" ht="17" customHeight="1">
      <c r="A264" s="1276"/>
      <c r="C264" s="1261"/>
      <c r="E264" s="1261"/>
      <c r="F264" s="1261"/>
      <c r="G264" s="1261"/>
      <c r="I264" s="1261"/>
      <c r="K264" s="1261"/>
      <c r="M264" s="1261"/>
      <c r="N264" s="1261"/>
      <c r="O264" s="1261"/>
      <c r="Q264" s="1261"/>
      <c r="S264" s="1261"/>
      <c r="U264" s="1261"/>
      <c r="W264" s="1261"/>
      <c r="X264" s="1262"/>
    </row>
    <row r="265" spans="1:24" s="1241" customFormat="1" ht="50" customHeight="1">
      <c r="A265" s="1307"/>
      <c r="C265" s="1285" t="s">
        <v>1703</v>
      </c>
      <c r="E265" s="1285" t="s">
        <v>1703</v>
      </c>
      <c r="F265" s="1286"/>
      <c r="G265" s="1285" t="s">
        <v>1703</v>
      </c>
      <c r="I265" s="1307"/>
      <c r="K265" s="1285" t="s">
        <v>1703</v>
      </c>
      <c r="M265" s="1307"/>
      <c r="N265" s="1286"/>
      <c r="O265" s="1285" t="s">
        <v>1703</v>
      </c>
      <c r="Q265" s="1285" t="s">
        <v>1703</v>
      </c>
      <c r="S265" s="1307"/>
      <c r="U265" s="1307"/>
      <c r="W265" s="1333" t="s">
        <v>1860</v>
      </c>
      <c r="X265" s="1262"/>
    </row>
    <row r="266" spans="1:24" s="1241" customFormat="1" ht="21.5" thickBot="1">
      <c r="A266" s="1269" t="s">
        <v>167</v>
      </c>
      <c r="B266" s="1269"/>
      <c r="C266" s="1269" t="s">
        <v>125</v>
      </c>
      <c r="D266" s="1256" t="s">
        <v>1849</v>
      </c>
      <c r="E266" s="1266" t="s">
        <v>125</v>
      </c>
      <c r="F266" s="1269"/>
      <c r="G266" s="1269" t="s">
        <v>242</v>
      </c>
      <c r="H266" s="1269"/>
      <c r="I266" s="1269" t="s">
        <v>185</v>
      </c>
      <c r="J266" s="1269"/>
      <c r="K266" s="1266" t="s">
        <v>115</v>
      </c>
      <c r="L266" s="1303"/>
      <c r="M266" s="1269" t="s">
        <v>242</v>
      </c>
      <c r="N266" s="1304"/>
      <c r="O266" s="1266" t="s">
        <v>125</v>
      </c>
      <c r="P266" s="1304"/>
      <c r="Q266" s="1266" t="s">
        <v>143</v>
      </c>
      <c r="R266" s="1304"/>
      <c r="S266" s="1269" t="s">
        <v>182</v>
      </c>
      <c r="T266" s="1304"/>
      <c r="U266" s="1269" t="s">
        <v>182</v>
      </c>
      <c r="V266" s="1304"/>
      <c r="W266" s="1266" t="s">
        <v>115</v>
      </c>
      <c r="X266" s="1304"/>
    </row>
    <row r="267" spans="1:24" s="1241" customFormat="1" ht="15.5" customHeight="1">
      <c r="A267" s="1315"/>
      <c r="B267" s="1316"/>
      <c r="C267" s="1316"/>
      <c r="D267" s="1316"/>
      <c r="E267" s="1316"/>
      <c r="F267" s="1316"/>
      <c r="G267" s="1316"/>
      <c r="H267" s="1316"/>
      <c r="I267" s="1316"/>
      <c r="J267" s="1316"/>
      <c r="K267" s="1316"/>
      <c r="L267" s="1316"/>
      <c r="M267" s="1316"/>
      <c r="N267" s="1316"/>
      <c r="O267" s="1316"/>
      <c r="P267" s="1316"/>
      <c r="Q267" s="1316"/>
      <c r="R267" s="1316"/>
      <c r="S267" s="1316"/>
      <c r="T267" s="1316"/>
      <c r="U267" s="1316"/>
      <c r="V267" s="1316"/>
      <c r="W267" s="1316"/>
      <c r="X267" s="1317"/>
    </row>
    <row r="268" spans="1:24" s="1241" customFormat="1">
      <c r="A268" s="1255" t="s">
        <v>441</v>
      </c>
      <c r="C268" s="1241" t="s">
        <v>443</v>
      </c>
      <c r="E268" s="1241" t="s">
        <v>444</v>
      </c>
      <c r="G268" s="1241" t="s">
        <v>445</v>
      </c>
      <c r="I268" s="1241" t="s">
        <v>446</v>
      </c>
      <c r="K268" s="1241" t="s">
        <v>447</v>
      </c>
      <c r="M268" s="1241" t="s">
        <v>448</v>
      </c>
      <c r="O268" s="1241" t="s">
        <v>449</v>
      </c>
      <c r="Q268" s="1241" t="s">
        <v>450</v>
      </c>
      <c r="S268" s="1241" t="s">
        <v>451</v>
      </c>
      <c r="U268" s="1241" t="s">
        <v>452</v>
      </c>
      <c r="W268" s="1241" t="s">
        <v>728</v>
      </c>
      <c r="X268" s="1262"/>
    </row>
    <row r="269" spans="1:24" s="1241" customFormat="1">
      <c r="A269" s="1255"/>
      <c r="X269" s="1262"/>
    </row>
    <row r="270" spans="1:24" s="1241" customFormat="1">
      <c r="A270" s="1276"/>
      <c r="C270" s="1261"/>
      <c r="E270" s="1261"/>
      <c r="F270" s="1261"/>
      <c r="G270" s="1261"/>
      <c r="I270" s="1261"/>
      <c r="K270" s="1261"/>
      <c r="M270" s="1261"/>
      <c r="N270" s="1261"/>
      <c r="O270" s="1261"/>
      <c r="Q270" s="1261"/>
      <c r="S270" s="1261"/>
      <c r="U270" s="1261"/>
      <c r="W270" s="1261"/>
      <c r="X270" s="1262"/>
    </row>
    <row r="271" spans="1:24" s="1241" customFormat="1">
      <c r="A271" s="1276"/>
      <c r="B271" s="1241">
        <v>396</v>
      </c>
      <c r="C271" s="1261"/>
      <c r="D271" s="1241">
        <v>233</v>
      </c>
      <c r="E271" s="1261"/>
      <c r="F271" s="1261">
        <v>467</v>
      </c>
      <c r="G271" s="1261"/>
      <c r="H271" s="1241">
        <v>423</v>
      </c>
      <c r="I271" s="1261"/>
      <c r="J271" s="1241">
        <v>249</v>
      </c>
      <c r="K271" s="1261"/>
      <c r="L271" s="1241">
        <v>282</v>
      </c>
      <c r="M271" s="1261"/>
      <c r="N271" s="1261">
        <v>398</v>
      </c>
      <c r="O271" s="1261"/>
      <c r="P271" s="1241">
        <v>370</v>
      </c>
      <c r="Q271" s="1261"/>
      <c r="R271" s="1241">
        <v>437</v>
      </c>
      <c r="S271" s="1261"/>
      <c r="T271" s="1241">
        <v>435</v>
      </c>
      <c r="U271" s="1261"/>
      <c r="V271" s="1241">
        <v>407</v>
      </c>
      <c r="W271" s="1261"/>
      <c r="X271" s="1262">
        <v>388</v>
      </c>
    </row>
    <row r="272" spans="1:24" s="1241" customFormat="1" ht="14" customHeight="1">
      <c r="A272" s="1276"/>
      <c r="C272" s="1261"/>
      <c r="E272" s="1261"/>
      <c r="F272" s="1261"/>
      <c r="G272" s="1261"/>
      <c r="I272" s="1261"/>
      <c r="K272" s="1261"/>
      <c r="M272" s="1261"/>
      <c r="N272" s="1261"/>
      <c r="O272" s="1261"/>
      <c r="Q272" s="1261"/>
      <c r="S272" s="1261"/>
      <c r="U272" s="1261"/>
      <c r="W272" s="1261"/>
      <c r="X272" s="1262"/>
    </row>
    <row r="273" spans="1:32" s="1241" customFormat="1" ht="50" customHeight="1">
      <c r="A273" s="1333" t="s">
        <v>1860</v>
      </c>
      <c r="C273" s="1285"/>
      <c r="E273" s="1285"/>
      <c r="F273" s="1286"/>
      <c r="G273" s="1333" t="s">
        <v>1860</v>
      </c>
      <c r="I273" s="1307"/>
      <c r="K273" s="1307"/>
      <c r="M273" s="1307"/>
      <c r="N273" s="1286"/>
      <c r="O273" s="1307"/>
      <c r="Q273" s="1307"/>
      <c r="S273" s="1287"/>
      <c r="U273" s="1333" t="s">
        <v>1860</v>
      </c>
      <c r="W273" s="1285"/>
      <c r="X273" s="1262"/>
    </row>
    <row r="274" spans="1:32" s="1241" customFormat="1" ht="21.5" thickBot="1">
      <c r="A274" s="1269" t="s">
        <v>242</v>
      </c>
      <c r="C274" s="1266" t="s">
        <v>125</v>
      </c>
      <c r="D274" s="1269"/>
      <c r="E274" s="1266" t="s">
        <v>123</v>
      </c>
      <c r="F274" s="1269"/>
      <c r="G274" s="1266" t="s">
        <v>132</v>
      </c>
      <c r="H274" s="1269"/>
      <c r="I274" s="1269" t="s">
        <v>182</v>
      </c>
      <c r="J274" s="1269"/>
      <c r="K274" s="1269" t="s">
        <v>182</v>
      </c>
      <c r="L274" s="1269"/>
      <c r="M274" s="1266" t="s">
        <v>125</v>
      </c>
      <c r="N274" s="1269"/>
      <c r="O274" s="1269" t="s">
        <v>185</v>
      </c>
      <c r="P274" s="1303"/>
      <c r="Q274" s="1266" t="s">
        <v>128</v>
      </c>
      <c r="R274" s="1304"/>
      <c r="S274" s="1266" t="s">
        <v>143</v>
      </c>
      <c r="T274" s="1304"/>
      <c r="U274" s="1269" t="s">
        <v>248</v>
      </c>
      <c r="V274" s="1304"/>
      <c r="W274" s="1266" t="s">
        <v>115</v>
      </c>
      <c r="X274" s="1262"/>
    </row>
    <row r="275" spans="1:32" s="1241" customFormat="1" ht="16.5" customHeight="1">
      <c r="A275" s="1315"/>
      <c r="B275" s="1316"/>
      <c r="C275" s="1316"/>
      <c r="D275" s="1316"/>
      <c r="E275" s="1316"/>
      <c r="F275" s="1316"/>
      <c r="G275" s="1316"/>
      <c r="H275" s="1316"/>
      <c r="I275" s="1316"/>
      <c r="J275" s="1316"/>
      <c r="K275" s="1316"/>
      <c r="L275" s="1316"/>
      <c r="M275" s="1316"/>
      <c r="N275" s="1316"/>
      <c r="O275" s="1316"/>
      <c r="P275" s="1316"/>
      <c r="Q275" s="1316"/>
      <c r="R275" s="1316"/>
      <c r="S275" s="1316"/>
      <c r="T275" s="1316"/>
      <c r="U275" s="1316"/>
      <c r="V275" s="1316"/>
      <c r="W275" s="1316"/>
      <c r="X275" s="1317"/>
    </row>
    <row r="276" spans="1:32" s="1241" customFormat="1">
      <c r="A276" s="1255" t="s">
        <v>455</v>
      </c>
      <c r="C276" s="1241" t="s">
        <v>456</v>
      </c>
      <c r="E276" s="1241" t="s">
        <v>457</v>
      </c>
      <c r="G276" s="1241" t="s">
        <v>458</v>
      </c>
      <c r="I276" s="1241" t="s">
        <v>459</v>
      </c>
      <c r="K276" s="1241" t="s">
        <v>460</v>
      </c>
      <c r="M276" s="1241" t="s">
        <v>461</v>
      </c>
      <c r="O276" s="1241" t="s">
        <v>462</v>
      </c>
      <c r="Q276" s="1241" t="s">
        <v>463</v>
      </c>
      <c r="S276" s="1241" t="s">
        <v>464</v>
      </c>
      <c r="U276" s="1241" t="s">
        <v>465</v>
      </c>
      <c r="W276" s="1241" t="s">
        <v>467</v>
      </c>
      <c r="X276" s="1262"/>
    </row>
    <row r="277" spans="1:32" s="1241" customFormat="1">
      <c r="A277" s="1255"/>
      <c r="X277" s="1262"/>
    </row>
    <row r="278" spans="1:32" s="1241" customFormat="1">
      <c r="A278" s="1276"/>
      <c r="C278" s="1261"/>
      <c r="E278" s="1261"/>
      <c r="F278" s="1261"/>
      <c r="G278" s="1261"/>
      <c r="I278" s="1261"/>
      <c r="K278" s="1261"/>
      <c r="M278" s="1261"/>
      <c r="N278" s="1261"/>
      <c r="O278" s="1261"/>
      <c r="Q278" s="1261"/>
      <c r="S278" s="1261"/>
      <c r="U278" s="1261"/>
      <c r="W278" s="1261"/>
      <c r="X278" s="1262"/>
    </row>
    <row r="279" spans="1:32" s="1241" customFormat="1">
      <c r="A279" s="1276"/>
      <c r="B279" s="1241">
        <v>441</v>
      </c>
      <c r="C279" s="1261"/>
      <c r="D279" s="1241">
        <v>410</v>
      </c>
      <c r="E279" s="1261"/>
      <c r="F279" s="1261">
        <v>444</v>
      </c>
      <c r="G279" s="1261"/>
      <c r="H279" s="1241">
        <v>190</v>
      </c>
      <c r="I279" s="1261"/>
      <c r="J279" s="1241">
        <v>158</v>
      </c>
      <c r="K279" s="1261"/>
      <c r="L279" s="1241">
        <v>201</v>
      </c>
      <c r="M279" s="1261"/>
      <c r="N279" s="1261">
        <v>165</v>
      </c>
      <c r="O279" s="1261"/>
      <c r="P279" s="1241">
        <v>404</v>
      </c>
      <c r="Q279" s="1261"/>
      <c r="R279" s="1241">
        <v>435</v>
      </c>
      <c r="S279" s="1261"/>
      <c r="T279" s="1241">
        <v>425</v>
      </c>
      <c r="U279" s="1261"/>
      <c r="V279" s="1241">
        <v>441</v>
      </c>
      <c r="W279" s="1261"/>
      <c r="X279" s="1262">
        <v>358</v>
      </c>
    </row>
    <row r="280" spans="1:32" s="1241" customFormat="1" ht="12.5" customHeight="1">
      <c r="A280" s="1276"/>
      <c r="C280" s="1261"/>
      <c r="E280" s="1261"/>
      <c r="F280" s="1261"/>
      <c r="G280" s="1261"/>
      <c r="I280" s="1261"/>
      <c r="K280" s="1261"/>
      <c r="M280" s="1261"/>
      <c r="N280" s="1261"/>
      <c r="O280" s="1261"/>
      <c r="Q280" s="1261"/>
      <c r="S280" s="1261"/>
      <c r="U280" s="1261"/>
      <c r="W280" s="1261"/>
      <c r="X280" s="1262"/>
    </row>
    <row r="281" spans="1:32" s="1241" customFormat="1" ht="49" customHeight="1">
      <c r="A281" s="1333" t="s">
        <v>1860</v>
      </c>
      <c r="C281" s="1334"/>
      <c r="D281" s="1239"/>
      <c r="E281" s="1335"/>
      <c r="G281" s="1334"/>
      <c r="H281" s="1239"/>
      <c r="I281" s="1334"/>
      <c r="J281" s="1239"/>
      <c r="K281" s="1336" t="s">
        <v>390</v>
      </c>
      <c r="L281" s="1239"/>
      <c r="M281" s="1334"/>
      <c r="N281" s="1239"/>
      <c r="O281" s="1334"/>
      <c r="P281" s="1239"/>
      <c r="Q281" s="1334"/>
      <c r="R281" s="1239"/>
      <c r="S281" s="1334"/>
      <c r="T281" s="1239"/>
      <c r="U281" s="1334"/>
      <c r="V281" s="1239"/>
      <c r="W281" s="1334"/>
      <c r="X281" s="1262"/>
    </row>
    <row r="282" spans="1:32" s="1241" customFormat="1" ht="21.5" thickBot="1">
      <c r="A282" s="1266" t="s">
        <v>137</v>
      </c>
      <c r="B282" s="1304"/>
      <c r="C282" s="1266" t="s">
        <v>167</v>
      </c>
      <c r="E282" s="1266" t="s">
        <v>115</v>
      </c>
      <c r="G282" s="1266" t="s">
        <v>132</v>
      </c>
      <c r="H282" s="1256" t="s">
        <v>1861</v>
      </c>
      <c r="I282" s="1266" t="s">
        <v>123</v>
      </c>
      <c r="J282" s="1269"/>
      <c r="K282" s="1266" t="s">
        <v>125</v>
      </c>
      <c r="L282" s="1269"/>
      <c r="M282" s="1266" t="s">
        <v>115</v>
      </c>
      <c r="N282" s="1269"/>
      <c r="O282" s="1266" t="s">
        <v>115</v>
      </c>
      <c r="P282" s="1269"/>
      <c r="Q282" s="1269" t="s">
        <v>248</v>
      </c>
      <c r="R282" s="1269"/>
      <c r="S282" s="1266" t="s">
        <v>115</v>
      </c>
      <c r="T282" s="1303"/>
      <c r="U282" s="1266" t="s">
        <v>132</v>
      </c>
      <c r="V282" s="1304"/>
      <c r="W282" s="1266" t="s">
        <v>125</v>
      </c>
      <c r="X282" s="1262"/>
    </row>
    <row r="283" spans="1:32" s="1241" customFormat="1">
      <c r="A283" s="1315"/>
      <c r="B283" s="1316"/>
      <c r="C283" s="1316"/>
      <c r="D283" s="1316"/>
      <c r="E283" s="1316"/>
      <c r="F283" s="1316"/>
      <c r="G283" s="1316"/>
      <c r="H283" s="1316"/>
      <c r="I283" s="1316"/>
      <c r="J283" s="1316"/>
      <c r="K283" s="1316"/>
      <c r="L283" s="1316"/>
      <c r="M283" s="1316"/>
      <c r="N283" s="1316"/>
      <c r="O283" s="1316"/>
      <c r="P283" s="1316"/>
      <c r="Q283" s="1316"/>
      <c r="R283" s="1316"/>
      <c r="S283" s="1316"/>
      <c r="T283" s="1316"/>
      <c r="U283" s="1316"/>
      <c r="V283" s="1316"/>
      <c r="W283" s="1316"/>
      <c r="X283" s="1317"/>
    </row>
    <row r="284" spans="1:32" s="1241" customFormat="1">
      <c r="A284" s="1255" t="s">
        <v>468</v>
      </c>
      <c r="C284" s="1241" t="s">
        <v>469</v>
      </c>
      <c r="E284" s="1241" t="s">
        <v>470</v>
      </c>
      <c r="G284" s="1241" t="s">
        <v>471</v>
      </c>
      <c r="I284" s="1241" t="s">
        <v>472</v>
      </c>
      <c r="K284" s="1241" t="s">
        <v>473</v>
      </c>
      <c r="M284" s="1241" t="s">
        <v>474</v>
      </c>
      <c r="O284" s="1241" t="s">
        <v>475</v>
      </c>
      <c r="Q284" s="1241" t="s">
        <v>476</v>
      </c>
      <c r="S284" s="1241" t="s">
        <v>477</v>
      </c>
      <c r="U284" s="1241" t="s">
        <v>478</v>
      </c>
      <c r="W284" s="1241" t="s">
        <v>733</v>
      </c>
      <c r="X284" s="1262"/>
    </row>
    <row r="285" spans="1:32" s="1241" customFormat="1">
      <c r="A285" s="1255"/>
      <c r="X285" s="1262"/>
      <c r="AF285" s="1337"/>
    </row>
    <row r="286" spans="1:32" s="1241" customFormat="1">
      <c r="A286" s="1276"/>
      <c r="C286" s="1261"/>
      <c r="E286" s="1261"/>
      <c r="F286" s="1261"/>
      <c r="G286" s="1261"/>
      <c r="I286" s="1261"/>
      <c r="K286" s="1261"/>
      <c r="M286" s="1261"/>
      <c r="N286" s="1261"/>
      <c r="O286" s="1261"/>
      <c r="Q286" s="1261"/>
      <c r="S286" s="1261"/>
      <c r="U286" s="1261"/>
      <c r="W286" s="1261"/>
      <c r="X286" s="1262"/>
    </row>
    <row r="287" spans="1:32" s="1241" customFormat="1">
      <c r="A287" s="1276"/>
      <c r="B287" s="1241">
        <v>438</v>
      </c>
      <c r="C287" s="1261"/>
      <c r="D287" s="1241">
        <v>430</v>
      </c>
      <c r="E287" s="1261"/>
      <c r="F287" s="1261">
        <v>410</v>
      </c>
      <c r="G287" s="1261"/>
      <c r="H287" s="1241">
        <v>440</v>
      </c>
      <c r="I287" s="1261"/>
      <c r="J287" s="1241">
        <v>424</v>
      </c>
      <c r="K287" s="1261"/>
      <c r="L287" s="1241">
        <v>439</v>
      </c>
      <c r="M287" s="1261"/>
      <c r="N287" s="1261">
        <v>395</v>
      </c>
      <c r="O287" s="1261"/>
      <c r="P287" s="1241">
        <v>401</v>
      </c>
      <c r="Q287" s="1261"/>
      <c r="R287" s="1241">
        <v>413</v>
      </c>
      <c r="S287" s="1261"/>
      <c r="T287" s="1241">
        <v>402</v>
      </c>
      <c r="U287" s="1261"/>
      <c r="V287" s="1241">
        <v>251</v>
      </c>
      <c r="W287" s="1261"/>
      <c r="X287" s="1262">
        <v>426</v>
      </c>
    </row>
    <row r="288" spans="1:32" s="1241" customFormat="1" ht="16" customHeight="1">
      <c r="A288" s="1276"/>
      <c r="C288" s="1261"/>
      <c r="E288" s="1261"/>
      <c r="F288" s="1261"/>
      <c r="G288" s="1261"/>
      <c r="I288" s="1261"/>
      <c r="K288" s="1261"/>
      <c r="M288" s="1261"/>
      <c r="N288" s="1261"/>
      <c r="O288" s="1261"/>
      <c r="Q288" s="1261"/>
      <c r="S288" s="1261"/>
      <c r="U288" s="1261"/>
      <c r="W288" s="1261"/>
      <c r="X288" s="1262"/>
    </row>
    <row r="289" spans="1:24" s="1241" customFormat="1" ht="60" customHeight="1">
      <c r="A289" s="1307"/>
      <c r="B289" s="1239"/>
      <c r="C289" s="1333" t="s">
        <v>1860</v>
      </c>
      <c r="D289" s="1245"/>
      <c r="E289" s="1285"/>
      <c r="F289" s="1338"/>
      <c r="G289" s="1285"/>
      <c r="H289" s="1245"/>
      <c r="I289" s="1333" t="s">
        <v>1860</v>
      </c>
      <c r="J289" s="1245"/>
      <c r="K289" s="1307"/>
      <c r="M289" s="1307"/>
      <c r="N289" s="1338"/>
      <c r="O289" s="1307"/>
      <c r="P289" s="1239"/>
      <c r="Q289" s="1285" t="s">
        <v>1703</v>
      </c>
      <c r="R289" s="1239"/>
      <c r="S289" s="1308"/>
      <c r="T289" s="1239"/>
      <c r="U289" s="1285"/>
      <c r="W289" s="1285"/>
      <c r="X289" s="1262"/>
    </row>
    <row r="290" spans="1:24" s="1241" customFormat="1" ht="19.5" customHeight="1">
      <c r="A290" s="1255"/>
      <c r="X290" s="1262"/>
    </row>
    <row r="291" spans="1:24" s="1241" customFormat="1">
      <c r="A291" s="1269" t="s">
        <v>182</v>
      </c>
      <c r="B291" s="1304"/>
      <c r="C291" s="1266" t="s">
        <v>125</v>
      </c>
      <c r="D291" s="1304"/>
      <c r="E291" s="1269" t="s">
        <v>185</v>
      </c>
      <c r="F291" s="1304"/>
      <c r="G291" s="1266" t="s">
        <v>132</v>
      </c>
      <c r="H291" s="1304"/>
      <c r="I291" s="1266" t="s">
        <v>137</v>
      </c>
      <c r="K291" s="1266" t="s">
        <v>143</v>
      </c>
      <c r="L291" s="1269"/>
      <c r="M291" s="1269" t="s">
        <v>185</v>
      </c>
      <c r="N291" s="1269"/>
      <c r="O291" s="1269" t="s">
        <v>185</v>
      </c>
      <c r="P291" s="1269"/>
      <c r="Q291" s="1266" t="s">
        <v>115</v>
      </c>
      <c r="R291" s="1269"/>
      <c r="S291" s="1269" t="s">
        <v>242</v>
      </c>
      <c r="T291" s="1269"/>
      <c r="U291" s="1266" t="s">
        <v>125</v>
      </c>
      <c r="V291" s="1256" t="s">
        <v>1862</v>
      </c>
      <c r="W291" s="1266" t="s">
        <v>128</v>
      </c>
      <c r="X291" s="1262"/>
    </row>
    <row r="292" spans="1:24" s="1241" customFormat="1" ht="17.5" customHeight="1">
      <c r="A292" s="1255"/>
      <c r="U292" s="1293"/>
      <c r="X292" s="1262"/>
    </row>
    <row r="293" spans="1:24" s="1241" customFormat="1">
      <c r="A293" s="1255" t="s">
        <v>734</v>
      </c>
      <c r="C293" s="1241" t="s">
        <v>735</v>
      </c>
      <c r="E293" s="1241" t="s">
        <v>736</v>
      </c>
      <c r="G293" s="1241" t="s">
        <v>737</v>
      </c>
      <c r="I293" s="1241" t="s">
        <v>738</v>
      </c>
      <c r="K293" s="1241" t="s">
        <v>739</v>
      </c>
      <c r="M293" s="1241" t="s">
        <v>740</v>
      </c>
      <c r="O293" s="1241" t="s">
        <v>741</v>
      </c>
      <c r="Q293" s="1241" t="s">
        <v>742</v>
      </c>
      <c r="S293" s="1241" t="s">
        <v>743</v>
      </c>
      <c r="U293" s="1241" t="s">
        <v>744</v>
      </c>
      <c r="W293" s="1241" t="s">
        <v>745</v>
      </c>
      <c r="X293" s="1262"/>
    </row>
    <row r="294" spans="1:24" s="1241" customFormat="1">
      <c r="A294" s="1255"/>
      <c r="X294" s="1262"/>
    </row>
    <row r="295" spans="1:24" s="1241" customFormat="1">
      <c r="A295" s="1276"/>
      <c r="C295" s="1261"/>
      <c r="E295" s="1261"/>
      <c r="F295" s="1261"/>
      <c r="G295" s="1261"/>
      <c r="I295" s="1261"/>
      <c r="K295" s="1261"/>
      <c r="M295" s="1261"/>
      <c r="N295" s="1261"/>
      <c r="O295" s="1261"/>
      <c r="Q295" s="1261"/>
      <c r="S295" s="1261"/>
      <c r="U295" s="1261"/>
      <c r="W295" s="1261"/>
      <c r="X295" s="1262"/>
    </row>
    <row r="296" spans="1:24" s="1241" customFormat="1">
      <c r="A296" s="1276"/>
      <c r="B296" s="1241">
        <v>382</v>
      </c>
      <c r="C296" s="1261"/>
      <c r="D296" s="1241">
        <v>352</v>
      </c>
      <c r="E296" s="1261"/>
      <c r="F296" s="1261">
        <v>419</v>
      </c>
      <c r="G296" s="1261"/>
      <c r="H296" s="1241">
        <v>422</v>
      </c>
      <c r="I296" s="1261"/>
      <c r="J296" s="1241">
        <v>403</v>
      </c>
      <c r="K296" s="1261"/>
      <c r="L296" s="1241">
        <v>355</v>
      </c>
      <c r="M296" s="1261"/>
      <c r="N296" s="1261">
        <v>355</v>
      </c>
      <c r="O296" s="1261"/>
      <c r="P296" s="1241">
        <v>344</v>
      </c>
      <c r="Q296" s="1261"/>
      <c r="R296" s="1241">
        <v>390</v>
      </c>
      <c r="S296" s="1261"/>
      <c r="T296" s="1241">
        <v>421</v>
      </c>
      <c r="U296" s="1261"/>
      <c r="V296" s="1241">
        <v>343</v>
      </c>
      <c r="W296" s="1261"/>
      <c r="X296" s="1262">
        <v>388</v>
      </c>
    </row>
    <row r="297" spans="1:24" s="1241" customFormat="1" ht="15" customHeight="1">
      <c r="A297" s="1276"/>
      <c r="C297" s="1261"/>
      <c r="E297" s="1261"/>
      <c r="F297" s="1261"/>
      <c r="G297" s="1261"/>
      <c r="I297" s="1261"/>
      <c r="K297" s="1261"/>
      <c r="M297" s="1261"/>
      <c r="N297" s="1261"/>
      <c r="O297" s="1261"/>
      <c r="Q297" s="1261"/>
      <c r="S297" s="1261"/>
      <c r="U297" s="1261"/>
      <c r="W297" s="1261"/>
      <c r="X297" s="1262"/>
    </row>
    <row r="298" spans="1:24" s="1241" customFormat="1" ht="54" customHeight="1">
      <c r="A298" s="1339" t="s">
        <v>1860</v>
      </c>
      <c r="B298" s="1239"/>
      <c r="C298" s="1339" t="s">
        <v>1860</v>
      </c>
      <c r="D298" s="1239"/>
      <c r="E298" s="1306"/>
      <c r="F298" s="1285"/>
      <c r="G298" s="1339" t="s">
        <v>1860</v>
      </c>
      <c r="H298" s="1239"/>
      <c r="I298" s="1307"/>
      <c r="J298" s="1239"/>
      <c r="K298" s="1307"/>
      <c r="L298" s="1239"/>
      <c r="M298" s="1307"/>
      <c r="N298" s="1285"/>
      <c r="O298" s="1307"/>
      <c r="P298" s="1239"/>
      <c r="Q298" s="1307"/>
      <c r="R298" s="1239"/>
      <c r="S298" s="1307"/>
      <c r="T298" s="1239"/>
      <c r="U298" s="1307"/>
      <c r="V298" s="1239"/>
      <c r="W298" s="1285" t="s">
        <v>1703</v>
      </c>
      <c r="X298" s="1262"/>
    </row>
    <row r="299" spans="1:24" s="1241" customFormat="1">
      <c r="A299" s="1269" t="s">
        <v>185</v>
      </c>
      <c r="B299" s="1304"/>
      <c r="C299" s="1269" t="s">
        <v>185</v>
      </c>
      <c r="D299" s="1304"/>
      <c r="E299" s="1266" t="s">
        <v>115</v>
      </c>
      <c r="F299" s="1304"/>
      <c r="G299" s="1266" t="s">
        <v>137</v>
      </c>
      <c r="H299" s="1304"/>
      <c r="I299" s="1266" t="s">
        <v>137</v>
      </c>
      <c r="J299" s="1304"/>
      <c r="K299" s="1269" t="s">
        <v>182</v>
      </c>
      <c r="L299" s="1304"/>
      <c r="M299" s="1269" t="s">
        <v>182</v>
      </c>
      <c r="O299" s="1269" t="s">
        <v>182</v>
      </c>
      <c r="P299" s="1269"/>
      <c r="Q299" s="1266" t="s">
        <v>128</v>
      </c>
      <c r="R299" s="1269"/>
      <c r="S299" s="1269" t="s">
        <v>242</v>
      </c>
      <c r="T299" s="1269"/>
      <c r="U299" s="1269" t="s">
        <v>185</v>
      </c>
      <c r="V299" s="1269"/>
      <c r="W299" s="1269" t="s">
        <v>242</v>
      </c>
      <c r="X299" s="1262"/>
    </row>
    <row r="300" spans="1:24" s="1241" customFormat="1" ht="16.5" customHeight="1">
      <c r="A300" s="1255"/>
      <c r="X300" s="1262"/>
    </row>
    <row r="301" spans="1:24" s="1241" customFormat="1">
      <c r="A301" s="1255" t="s">
        <v>746</v>
      </c>
      <c r="C301" s="1241" t="s">
        <v>747</v>
      </c>
      <c r="E301" s="1241" t="s">
        <v>748</v>
      </c>
      <c r="G301" s="1241" t="s">
        <v>749</v>
      </c>
      <c r="I301" s="1241" t="s">
        <v>750</v>
      </c>
      <c r="K301" s="1241" t="s">
        <v>751</v>
      </c>
      <c r="M301" s="1241" t="s">
        <v>752</v>
      </c>
      <c r="O301" s="1241" t="s">
        <v>753</v>
      </c>
      <c r="Q301" s="1241" t="s">
        <v>754</v>
      </c>
      <c r="S301" s="1241" t="s">
        <v>1283</v>
      </c>
      <c r="U301" s="1241" t="s">
        <v>755</v>
      </c>
      <c r="W301" s="1241" t="s">
        <v>756</v>
      </c>
      <c r="X301" s="1262"/>
    </row>
    <row r="302" spans="1:24" s="1241" customFormat="1">
      <c r="A302" s="1255"/>
      <c r="X302" s="1262"/>
    </row>
    <row r="303" spans="1:24" s="1241" customFormat="1">
      <c r="A303" s="1276"/>
      <c r="C303" s="1261"/>
      <c r="E303" s="1261"/>
      <c r="F303" s="1261"/>
      <c r="G303" s="1261"/>
      <c r="I303" s="1261"/>
      <c r="K303" s="1261"/>
      <c r="M303" s="1261"/>
      <c r="N303" s="1261"/>
      <c r="O303" s="1261"/>
      <c r="Q303" s="1261"/>
      <c r="S303" s="1261"/>
      <c r="U303" s="1261"/>
      <c r="W303" s="1261"/>
      <c r="X303" s="1262"/>
    </row>
    <row r="304" spans="1:24" s="1241" customFormat="1">
      <c r="A304" s="1276"/>
      <c r="B304" s="1241">
        <v>398</v>
      </c>
      <c r="C304" s="1261"/>
      <c r="D304" s="1241">
        <v>443</v>
      </c>
      <c r="E304" s="1261"/>
      <c r="F304" s="1261">
        <v>415</v>
      </c>
      <c r="G304" s="1261"/>
      <c r="H304" s="1241">
        <v>418</v>
      </c>
      <c r="I304" s="1261"/>
      <c r="J304" s="1241">
        <v>424</v>
      </c>
      <c r="K304" s="1261"/>
      <c r="L304" s="1241">
        <v>415</v>
      </c>
      <c r="M304" s="1261"/>
      <c r="N304" s="1261">
        <v>412</v>
      </c>
      <c r="O304" s="1261"/>
      <c r="P304" s="1241">
        <v>278</v>
      </c>
      <c r="Q304" s="1261"/>
      <c r="R304" s="1241">
        <v>249</v>
      </c>
      <c r="S304" s="1261"/>
      <c r="T304" s="1241">
        <v>395</v>
      </c>
      <c r="U304" s="1261"/>
      <c r="V304" s="1241">
        <v>408</v>
      </c>
      <c r="W304" s="1261"/>
      <c r="X304" s="1262">
        <v>352</v>
      </c>
    </row>
    <row r="305" spans="1:24" s="1241" customFormat="1" ht="14.5" customHeight="1">
      <c r="A305" s="1276"/>
      <c r="C305" s="1261"/>
      <c r="E305" s="1261"/>
      <c r="F305" s="1261"/>
      <c r="G305" s="1261"/>
      <c r="I305" s="1261"/>
      <c r="K305" s="1261"/>
      <c r="M305" s="1261"/>
      <c r="N305" s="1261"/>
      <c r="O305" s="1261"/>
      <c r="Q305" s="1261"/>
      <c r="S305" s="1261"/>
      <c r="U305" s="1261"/>
      <c r="W305" s="1261"/>
      <c r="X305" s="1262"/>
    </row>
    <row r="306" spans="1:24" s="1241" customFormat="1" ht="49" customHeight="1">
      <c r="A306" s="1239" t="s">
        <v>1703</v>
      </c>
      <c r="B306" s="1239"/>
      <c r="C306" s="1339" t="s">
        <v>1876</v>
      </c>
      <c r="D306" s="1239"/>
      <c r="E306" s="1334"/>
      <c r="F306" s="1239"/>
      <c r="G306" s="1339" t="s">
        <v>1860</v>
      </c>
      <c r="H306" s="1239"/>
      <c r="I306" s="1334"/>
      <c r="J306" s="1239"/>
      <c r="K306" s="1334"/>
      <c r="L306" s="1239"/>
      <c r="M306" s="1334"/>
      <c r="N306" s="1239"/>
      <c r="O306" s="1334"/>
      <c r="P306" s="1239"/>
      <c r="Q306" s="1339" t="s">
        <v>1860</v>
      </c>
      <c r="R306" s="1239"/>
      <c r="S306" s="1334"/>
      <c r="T306" s="1239"/>
      <c r="U306" s="1334"/>
      <c r="W306" s="1334"/>
      <c r="X306" s="1262"/>
    </row>
    <row r="307" spans="1:24" s="1241" customFormat="1">
      <c r="A307" s="1266" t="s">
        <v>192</v>
      </c>
      <c r="B307" s="1269"/>
      <c r="C307" s="1269" t="s">
        <v>248</v>
      </c>
      <c r="D307" s="1303"/>
      <c r="E307" s="1266" t="s">
        <v>137</v>
      </c>
      <c r="F307" s="1269"/>
      <c r="G307" s="1269" t="s">
        <v>242</v>
      </c>
      <c r="H307" s="1304"/>
      <c r="I307" s="1266" t="s">
        <v>115</v>
      </c>
      <c r="J307" s="1304"/>
      <c r="K307" s="1269" t="s">
        <v>185</v>
      </c>
      <c r="L307" s="1304"/>
      <c r="M307" s="1282" t="s">
        <v>248</v>
      </c>
      <c r="N307" s="1304"/>
      <c r="O307" s="1266" t="s">
        <v>128</v>
      </c>
      <c r="P307" s="1304"/>
      <c r="Q307" s="1282" t="s">
        <v>182</v>
      </c>
      <c r="S307" s="1266" t="s">
        <v>125</v>
      </c>
      <c r="T307" s="1269"/>
      <c r="U307" s="1269" t="s">
        <v>185</v>
      </c>
      <c r="V307" s="1269"/>
      <c r="W307" s="1269" t="s">
        <v>185</v>
      </c>
      <c r="X307" s="1262"/>
    </row>
    <row r="308" spans="1:24" s="1241" customFormat="1" ht="21.5" thickBot="1">
      <c r="A308" s="1255"/>
      <c r="M308" s="1293" t="s">
        <v>1276</v>
      </c>
      <c r="R308" s="1257" t="s">
        <v>1863</v>
      </c>
      <c r="X308" s="1262"/>
    </row>
    <row r="309" spans="1:24" s="1241" customFormat="1" ht="17.5" customHeight="1">
      <c r="A309" s="1315"/>
      <c r="B309" s="1316"/>
      <c r="C309" s="1316"/>
      <c r="D309" s="1316"/>
      <c r="E309" s="1316"/>
      <c r="F309" s="1316"/>
      <c r="G309" s="1316"/>
      <c r="H309" s="1316"/>
      <c r="I309" s="1316"/>
      <c r="J309" s="1316"/>
      <c r="K309" s="1316"/>
      <c r="L309" s="1316"/>
      <c r="M309" s="1316"/>
      <c r="N309" s="1316"/>
      <c r="O309" s="1316"/>
      <c r="P309" s="1316"/>
      <c r="Q309" s="1316"/>
      <c r="R309" s="1316"/>
      <c r="S309" s="1316"/>
      <c r="T309" s="1316"/>
      <c r="U309" s="1316"/>
      <c r="V309" s="1316"/>
      <c r="W309" s="1316"/>
      <c r="X309" s="1317"/>
    </row>
    <row r="310" spans="1:24" s="1241" customFormat="1">
      <c r="A310" s="1255" t="s">
        <v>1284</v>
      </c>
      <c r="C310" s="1241" t="s">
        <v>758</v>
      </c>
      <c r="E310" s="1241" t="s">
        <v>759</v>
      </c>
      <c r="G310" s="1241" t="s">
        <v>760</v>
      </c>
      <c r="I310" s="1241" t="s">
        <v>761</v>
      </c>
      <c r="K310" s="1241" t="s">
        <v>762</v>
      </c>
      <c r="M310" s="1241" t="s">
        <v>180</v>
      </c>
      <c r="O310" s="1241" t="s">
        <v>181</v>
      </c>
      <c r="Q310" s="1241" t="s">
        <v>183</v>
      </c>
      <c r="S310" s="1241" t="s">
        <v>763</v>
      </c>
      <c r="U310" s="1241" t="s">
        <v>764</v>
      </c>
      <c r="W310" s="1241" t="s">
        <v>765</v>
      </c>
      <c r="X310" s="1262"/>
    </row>
    <row r="311" spans="1:24" s="1241" customFormat="1">
      <c r="A311" s="1255"/>
      <c r="X311" s="1262"/>
    </row>
    <row r="312" spans="1:24" s="1241" customFormat="1">
      <c r="A312" s="1276"/>
      <c r="C312" s="1261"/>
      <c r="E312" s="1261"/>
      <c r="F312" s="1261"/>
      <c r="G312" s="1261"/>
      <c r="I312" s="1261"/>
      <c r="K312" s="1261"/>
      <c r="M312" s="1261"/>
      <c r="N312" s="1261"/>
      <c r="O312" s="1261"/>
      <c r="Q312" s="1261"/>
      <c r="S312" s="1261"/>
      <c r="U312" s="1261"/>
      <c r="W312" s="1261"/>
      <c r="X312" s="1262"/>
    </row>
    <row r="313" spans="1:24" s="1241" customFormat="1">
      <c r="A313" s="1276"/>
      <c r="B313" s="1241">
        <v>374</v>
      </c>
      <c r="C313" s="1261"/>
      <c r="D313" s="1241">
        <v>367</v>
      </c>
      <c r="E313" s="1261"/>
      <c r="F313" s="1261">
        <v>384</v>
      </c>
      <c r="G313" s="1261"/>
      <c r="H313" s="1241">
        <v>385</v>
      </c>
      <c r="I313" s="1261"/>
      <c r="J313" s="1241">
        <v>419</v>
      </c>
      <c r="K313" s="1261"/>
      <c r="L313" s="1241">
        <v>343</v>
      </c>
      <c r="M313" s="1261"/>
      <c r="N313" s="1249">
        <v>392</v>
      </c>
      <c r="O313" s="1261"/>
      <c r="P313" s="1241">
        <v>390</v>
      </c>
      <c r="Q313" s="1261"/>
      <c r="R313" s="1241">
        <v>372</v>
      </c>
      <c r="S313" s="1261"/>
      <c r="T313" s="1241">
        <v>388</v>
      </c>
      <c r="U313" s="1261"/>
      <c r="V313" s="1241">
        <v>414</v>
      </c>
      <c r="W313" s="1261"/>
      <c r="X313" s="1262">
        <v>410</v>
      </c>
    </row>
    <row r="314" spans="1:24" s="1241" customFormat="1" ht="13.5" customHeight="1">
      <c r="A314" s="1276"/>
      <c r="C314" s="1261"/>
      <c r="E314" s="1261"/>
      <c r="F314" s="1261"/>
      <c r="G314" s="1261"/>
      <c r="I314" s="1261"/>
      <c r="K314" s="1261"/>
      <c r="M314" s="1261"/>
      <c r="N314" s="1261"/>
      <c r="O314" s="1261"/>
      <c r="Q314" s="1261"/>
      <c r="S314" s="1261"/>
      <c r="U314" s="1261"/>
      <c r="W314" s="1261"/>
      <c r="X314" s="1262"/>
    </row>
    <row r="315" spans="1:24" s="1241" customFormat="1" ht="58" customHeight="1">
      <c r="A315" s="1284"/>
      <c r="C315" s="1307"/>
      <c r="E315" s="1285"/>
      <c r="F315" s="1286"/>
      <c r="G315" s="1307"/>
      <c r="I315" s="1306"/>
      <c r="K315" s="1306"/>
      <c r="M315" s="1307"/>
      <c r="N315" s="1286"/>
      <c r="O315" s="1307"/>
      <c r="Q315" s="1307"/>
      <c r="S315" s="1307"/>
      <c r="U315" s="1307"/>
      <c r="W315" s="1307"/>
      <c r="X315" s="1262"/>
    </row>
    <row r="316" spans="1:24" s="1241" customFormat="1">
      <c r="A316" s="1255"/>
      <c r="X316" s="1262"/>
    </row>
    <row r="317" spans="1:24" s="1241" customFormat="1">
      <c r="A317" s="1266" t="s">
        <v>125</v>
      </c>
      <c r="B317" s="1269"/>
      <c r="C317" s="1269" t="s">
        <v>182</v>
      </c>
      <c r="D317" s="1269"/>
      <c r="E317" s="1269" t="s">
        <v>182</v>
      </c>
      <c r="F317" s="1269"/>
      <c r="G317" s="1269" t="s">
        <v>182</v>
      </c>
      <c r="H317" s="1303"/>
      <c r="I317" s="1269" t="s">
        <v>182</v>
      </c>
      <c r="J317" s="1304"/>
      <c r="K317" s="1266" t="s">
        <v>115</v>
      </c>
      <c r="L317" s="1304"/>
      <c r="M317" s="1282" t="s">
        <v>182</v>
      </c>
      <c r="N317" s="1304"/>
      <c r="O317" s="1282" t="s">
        <v>182</v>
      </c>
      <c r="P317" s="1304"/>
      <c r="Q317" s="1282" t="s">
        <v>182</v>
      </c>
      <c r="R317" s="1304"/>
      <c r="S317" s="1282" t="s">
        <v>182</v>
      </c>
      <c r="T317" s="1304"/>
      <c r="U317" s="1282" t="s">
        <v>182</v>
      </c>
      <c r="W317" s="1269" t="s">
        <v>185</v>
      </c>
      <c r="X317" s="1262"/>
    </row>
    <row r="318" spans="1:24" s="1241" customFormat="1" ht="21.5" thickBot="1">
      <c r="A318" s="1255"/>
      <c r="O318" s="1241" t="s">
        <v>1277</v>
      </c>
      <c r="X318" s="1262"/>
    </row>
    <row r="319" spans="1:24" s="1241" customFormat="1">
      <c r="A319" s="1315"/>
      <c r="B319" s="1316"/>
      <c r="C319" s="1316"/>
      <c r="D319" s="1316"/>
      <c r="E319" s="1316"/>
      <c r="F319" s="1316"/>
      <c r="G319" s="1316"/>
      <c r="H319" s="1316"/>
      <c r="I319" s="1316"/>
      <c r="J319" s="1316"/>
      <c r="K319" s="1316"/>
      <c r="L319" s="1316"/>
      <c r="M319" s="1316"/>
      <c r="N319" s="1316"/>
      <c r="O319" s="1316"/>
      <c r="P319" s="1316"/>
      <c r="Q319" s="1316"/>
      <c r="R319" s="1316"/>
      <c r="S319" s="1316"/>
      <c r="T319" s="1316"/>
      <c r="U319" s="1316"/>
      <c r="V319" s="1316"/>
      <c r="W319" s="1316"/>
      <c r="X319" s="1317"/>
    </row>
    <row r="320" spans="1:24" s="1241" customFormat="1">
      <c r="A320" s="1255" t="s">
        <v>766</v>
      </c>
      <c r="C320" s="1241" t="s">
        <v>767</v>
      </c>
      <c r="E320" s="1241" t="s">
        <v>769</v>
      </c>
      <c r="G320" s="1241" t="s">
        <v>1864</v>
      </c>
      <c r="I320" s="1241" t="s">
        <v>1357</v>
      </c>
      <c r="K320" s="1241" t="s">
        <v>1358</v>
      </c>
      <c r="M320" s="1241" t="s">
        <v>1359</v>
      </c>
      <c r="O320" s="1241" t="s">
        <v>1362</v>
      </c>
      <c r="Q320" s="1241" t="s">
        <v>773</v>
      </c>
      <c r="S320" s="1241" t="s">
        <v>774</v>
      </c>
      <c r="U320" s="1241" t="s">
        <v>775</v>
      </c>
      <c r="W320" s="1241" t="s">
        <v>776</v>
      </c>
      <c r="X320" s="1262"/>
    </row>
    <row r="321" spans="1:30" s="1241" customFormat="1">
      <c r="A321" s="1255"/>
      <c r="X321" s="1262"/>
    </row>
    <row r="322" spans="1:30" s="1241" customFormat="1">
      <c r="A322" s="1276"/>
      <c r="C322" s="1261"/>
      <c r="E322" s="1261"/>
      <c r="F322" s="1261"/>
      <c r="G322" s="1261"/>
      <c r="I322" s="1261"/>
      <c r="K322" s="1261"/>
      <c r="M322" s="1261"/>
      <c r="N322" s="1261"/>
      <c r="O322" s="1261"/>
      <c r="Q322" s="1261"/>
      <c r="S322" s="1261"/>
      <c r="U322" s="1261"/>
      <c r="W322" s="1261"/>
      <c r="X322" s="1262"/>
    </row>
    <row r="323" spans="1:30" s="1241" customFormat="1">
      <c r="A323" s="1276"/>
      <c r="B323" s="1249">
        <v>415</v>
      </c>
      <c r="C323" s="1261"/>
      <c r="D323" s="1241">
        <v>360</v>
      </c>
      <c r="E323" s="1261"/>
      <c r="F323" s="1261">
        <v>226</v>
      </c>
      <c r="G323" s="1261"/>
      <c r="H323" s="1241">
        <v>438</v>
      </c>
      <c r="I323" s="1261"/>
      <c r="J323" s="1241">
        <v>402</v>
      </c>
      <c r="K323" s="1261"/>
      <c r="L323" s="1241">
        <v>433</v>
      </c>
      <c r="M323" s="1261"/>
      <c r="N323" s="1261">
        <v>409</v>
      </c>
      <c r="O323" s="1261"/>
      <c r="P323" s="1241">
        <v>437</v>
      </c>
      <c r="Q323" s="1261"/>
      <c r="R323" s="1241">
        <v>394</v>
      </c>
      <c r="S323" s="1261"/>
      <c r="T323" s="1241">
        <v>403</v>
      </c>
      <c r="U323" s="1261"/>
      <c r="V323" s="1241">
        <v>416</v>
      </c>
      <c r="W323" s="1261"/>
      <c r="X323" s="1262">
        <v>422</v>
      </c>
    </row>
    <row r="324" spans="1:30" s="1241" customFormat="1" ht="16.5" customHeight="1">
      <c r="A324" s="1276"/>
      <c r="C324" s="1261"/>
      <c r="E324" s="1261"/>
      <c r="F324" s="1261"/>
      <c r="G324" s="1261"/>
      <c r="I324" s="1261"/>
      <c r="K324" s="1261"/>
      <c r="M324" s="1261"/>
      <c r="N324" s="1261"/>
      <c r="O324" s="1261"/>
      <c r="Q324" s="1261"/>
      <c r="S324" s="1261"/>
      <c r="U324" s="1261"/>
      <c r="W324" s="1261"/>
      <c r="X324" s="1262"/>
    </row>
    <row r="325" spans="1:30" s="1241" customFormat="1" ht="62" customHeight="1">
      <c r="A325" s="1307"/>
      <c r="C325" s="1307"/>
      <c r="E325" s="1307"/>
      <c r="F325" s="1286"/>
      <c r="G325" s="1307"/>
      <c r="I325" s="1307"/>
      <c r="K325" s="1307"/>
      <c r="M325" s="1306"/>
      <c r="N325" s="1286"/>
      <c r="O325" s="1307"/>
      <c r="Q325" s="1307"/>
      <c r="S325" s="1307"/>
      <c r="U325" s="1324"/>
      <c r="W325" s="1340"/>
      <c r="X325" s="1262"/>
    </row>
    <row r="326" spans="1:30" s="1241" customFormat="1">
      <c r="A326" s="1255"/>
      <c r="E326" s="1332"/>
      <c r="F326" s="1341" t="s">
        <v>1849</v>
      </c>
      <c r="G326" s="1332"/>
      <c r="K326" s="1241" t="s">
        <v>1276</v>
      </c>
      <c r="X326" s="1262"/>
    </row>
    <row r="327" spans="1:30" s="1241" customFormat="1" ht="21.5" thickBot="1">
      <c r="A327" s="1269" t="s">
        <v>182</v>
      </c>
      <c r="B327" s="1269"/>
      <c r="C327" s="1269" t="s">
        <v>242</v>
      </c>
      <c r="D327" s="1269"/>
      <c r="E327" s="1266" t="s">
        <v>125</v>
      </c>
      <c r="F327" s="1269"/>
      <c r="G327" s="1266" t="s">
        <v>125</v>
      </c>
      <c r="H327" s="1269"/>
      <c r="I327" s="1269" t="s">
        <v>248</v>
      </c>
      <c r="J327" s="1269"/>
      <c r="K327" s="1269" t="s">
        <v>185</v>
      </c>
      <c r="L327" s="1303"/>
      <c r="M327" s="1269" t="s">
        <v>242</v>
      </c>
      <c r="N327" s="1304"/>
      <c r="O327" s="1269" t="s">
        <v>248</v>
      </c>
      <c r="P327" s="1304"/>
      <c r="Q327" s="1266" t="s">
        <v>115</v>
      </c>
      <c r="R327" s="1304"/>
      <c r="S327" s="1282" t="s">
        <v>182</v>
      </c>
      <c r="T327" s="1304"/>
      <c r="U327" s="1282" t="s">
        <v>182</v>
      </c>
      <c r="V327" s="1304"/>
      <c r="W327" s="1282" t="s">
        <v>185</v>
      </c>
      <c r="X327" s="1262"/>
    </row>
    <row r="328" spans="1:30" s="1241" customFormat="1" ht="18.5" customHeight="1">
      <c r="A328" s="1315"/>
      <c r="B328" s="1316"/>
      <c r="C328" s="1316"/>
      <c r="D328" s="1316"/>
      <c r="E328" s="1316"/>
      <c r="F328" s="1316"/>
      <c r="G328" s="1316"/>
      <c r="H328" s="1316"/>
      <c r="I328" s="1316"/>
      <c r="J328" s="1316"/>
      <c r="K328" s="1316"/>
      <c r="L328" s="1316"/>
      <c r="M328" s="1316"/>
      <c r="N328" s="1316"/>
      <c r="O328" s="1316"/>
      <c r="P328" s="1316"/>
      <c r="Q328" s="1316"/>
      <c r="R328" s="1316"/>
      <c r="S328" s="1316"/>
      <c r="T328" s="1316"/>
      <c r="U328" s="1316"/>
      <c r="V328" s="1316"/>
      <c r="W328" s="1316"/>
      <c r="X328" s="1317"/>
    </row>
    <row r="329" spans="1:30" s="1241" customFormat="1">
      <c r="A329" s="1255" t="s">
        <v>777</v>
      </c>
      <c r="C329" s="1241" t="s">
        <v>778</v>
      </c>
      <c r="E329" s="1241" t="s">
        <v>779</v>
      </c>
      <c r="G329" s="1241" t="s">
        <v>780</v>
      </c>
      <c r="I329" s="1241" t="s">
        <v>781</v>
      </c>
      <c r="K329" s="1241" t="s">
        <v>782</v>
      </c>
      <c r="M329" s="1241" t="s">
        <v>783</v>
      </c>
      <c r="O329" s="1241" t="s">
        <v>784</v>
      </c>
      <c r="Q329" s="1241" t="s">
        <v>785</v>
      </c>
      <c r="S329" s="1241" t="s">
        <v>786</v>
      </c>
      <c r="U329" s="1241" t="s">
        <v>787</v>
      </c>
      <c r="W329" s="1241" t="s">
        <v>788</v>
      </c>
      <c r="X329" s="1262"/>
    </row>
    <row r="330" spans="1:30" s="1241" customFormat="1">
      <c r="A330" s="1255"/>
      <c r="X330" s="1262"/>
    </row>
    <row r="331" spans="1:30" s="1241" customFormat="1">
      <c r="A331" s="1276"/>
      <c r="C331" s="1261"/>
      <c r="E331" s="1261"/>
      <c r="F331" s="1261"/>
      <c r="G331" s="1261"/>
      <c r="I331" s="1261"/>
      <c r="K331" s="1261"/>
      <c r="M331" s="1261"/>
      <c r="N331" s="1261"/>
      <c r="O331" s="1261"/>
      <c r="Q331" s="1261"/>
      <c r="S331" s="1261"/>
      <c r="U331" s="1261"/>
      <c r="W331" s="1261"/>
      <c r="X331" s="1262"/>
    </row>
    <row r="332" spans="1:30" s="1241" customFormat="1">
      <c r="A332" s="1276"/>
      <c r="B332" s="1241">
        <v>356</v>
      </c>
      <c r="C332" s="1261"/>
      <c r="D332" s="1241">
        <v>427</v>
      </c>
      <c r="E332" s="1261"/>
      <c r="F332" s="1261">
        <v>381</v>
      </c>
      <c r="G332" s="1261"/>
      <c r="H332" s="1241">
        <v>334</v>
      </c>
      <c r="I332" s="1261"/>
      <c r="J332" s="1241">
        <v>347</v>
      </c>
      <c r="K332" s="1261"/>
      <c r="L332" s="1241">
        <v>376</v>
      </c>
      <c r="M332" s="1261"/>
      <c r="N332" s="1261">
        <v>392</v>
      </c>
      <c r="O332" s="1261"/>
      <c r="P332" s="1241">
        <v>408</v>
      </c>
      <c r="Q332" s="1261"/>
      <c r="R332" s="1241">
        <v>392</v>
      </c>
      <c r="S332" s="1261"/>
      <c r="T332" s="1241">
        <v>405</v>
      </c>
      <c r="U332" s="1261"/>
      <c r="V332" s="1241">
        <v>435</v>
      </c>
      <c r="W332" s="1261"/>
      <c r="X332" s="1262">
        <v>378</v>
      </c>
    </row>
    <row r="333" spans="1:30" s="1241" customFormat="1" ht="17" customHeight="1">
      <c r="A333" s="1276"/>
      <c r="C333" s="1261"/>
      <c r="E333" s="1261"/>
      <c r="F333" s="1261"/>
      <c r="G333" s="1261"/>
      <c r="I333" s="1261"/>
      <c r="K333" s="1261"/>
      <c r="M333" s="1261"/>
      <c r="N333" s="1261"/>
      <c r="O333" s="1261"/>
      <c r="Q333" s="1261"/>
      <c r="S333" s="1261"/>
      <c r="U333" s="1261"/>
      <c r="W333" s="1261"/>
      <c r="X333" s="1262"/>
    </row>
    <row r="334" spans="1:30" s="1241" customFormat="1" ht="60" customHeight="1">
      <c r="A334" s="1308"/>
      <c r="C334" s="1308"/>
      <c r="E334" s="1308"/>
      <c r="F334" s="1286"/>
      <c r="G334" s="1308"/>
      <c r="I334" s="1308"/>
      <c r="K334" s="1308"/>
      <c r="M334" s="1308"/>
      <c r="N334" s="1286"/>
      <c r="O334" s="1285" t="s">
        <v>71</v>
      </c>
      <c r="Q334" s="1342" t="s">
        <v>71</v>
      </c>
      <c r="S334" s="1343" t="s">
        <v>390</v>
      </c>
      <c r="U334" s="1308"/>
      <c r="W334" s="1308"/>
      <c r="X334" s="1262"/>
      <c r="AD334" s="1241">
        <v>3</v>
      </c>
    </row>
    <row r="335" spans="1:30" s="1241" customFormat="1" ht="21.5" thickBot="1">
      <c r="A335" s="1266" t="s">
        <v>125</v>
      </c>
      <c r="B335" s="1304"/>
      <c r="C335" s="1266" t="s">
        <v>188</v>
      </c>
      <c r="E335" s="1266" t="s">
        <v>188</v>
      </c>
      <c r="F335" s="1269"/>
      <c r="G335" s="1269" t="s">
        <v>182</v>
      </c>
      <c r="H335" s="1269"/>
      <c r="I335" s="1269" t="s">
        <v>182</v>
      </c>
      <c r="J335" s="1269"/>
      <c r="K335" s="1269" t="s">
        <v>182</v>
      </c>
      <c r="L335" s="1269"/>
      <c r="M335" s="1266" t="s">
        <v>137</v>
      </c>
      <c r="N335" s="1269"/>
      <c r="O335" s="1269" t="s">
        <v>248</v>
      </c>
      <c r="P335" s="1269"/>
      <c r="Q335" s="1266" t="s">
        <v>119</v>
      </c>
      <c r="R335" s="1303"/>
      <c r="S335" s="1269" t="s">
        <v>185</v>
      </c>
      <c r="T335" s="1304"/>
      <c r="U335" s="1282" t="s">
        <v>185</v>
      </c>
      <c r="V335" s="1304"/>
      <c r="W335" s="1282" t="s">
        <v>185</v>
      </c>
      <c r="X335" s="1262"/>
    </row>
    <row r="336" spans="1:30" s="1241" customFormat="1" ht="18.5" customHeight="1">
      <c r="A336" s="1315"/>
      <c r="B336" s="1316"/>
      <c r="C336" s="1316"/>
      <c r="D336" s="1316"/>
      <c r="E336" s="1316"/>
      <c r="F336" s="1316"/>
      <c r="G336" s="1316"/>
      <c r="H336" s="1316"/>
      <c r="I336" s="1316"/>
      <c r="J336" s="1316"/>
      <c r="K336" s="1316"/>
      <c r="L336" s="1316"/>
      <c r="M336" s="1316"/>
      <c r="N336" s="1316"/>
      <c r="O336" s="1316"/>
      <c r="P336" s="1316"/>
      <c r="Q336" s="1316"/>
      <c r="R336" s="1316"/>
      <c r="S336" s="1316"/>
      <c r="T336" s="1316"/>
      <c r="U336" s="1316"/>
      <c r="V336" s="1316"/>
      <c r="W336" s="1316"/>
      <c r="X336" s="1317"/>
    </row>
    <row r="337" spans="1:24" s="1241" customFormat="1">
      <c r="A337" s="1255" t="s">
        <v>789</v>
      </c>
      <c r="C337" s="1241" t="s">
        <v>790</v>
      </c>
      <c r="E337" s="1241" t="s">
        <v>791</v>
      </c>
      <c r="G337" s="1241" t="s">
        <v>792</v>
      </c>
      <c r="I337" s="1241" t="s">
        <v>793</v>
      </c>
      <c r="K337" s="1241" t="s">
        <v>794</v>
      </c>
      <c r="M337" s="1241" t="s">
        <v>795</v>
      </c>
      <c r="O337" s="1241" t="s">
        <v>796</v>
      </c>
      <c r="Q337" s="1241" t="s">
        <v>797</v>
      </c>
      <c r="S337" s="1241" t="s">
        <v>798</v>
      </c>
      <c r="U337" s="1241" t="s">
        <v>799</v>
      </c>
      <c r="W337" s="1241" t="s">
        <v>800</v>
      </c>
      <c r="X337" s="1262"/>
    </row>
    <row r="338" spans="1:24" s="1241" customFormat="1">
      <c r="A338" s="1255"/>
      <c r="X338" s="1262"/>
    </row>
    <row r="339" spans="1:24" s="1241" customFormat="1">
      <c r="A339" s="1276"/>
      <c r="C339" s="1261"/>
      <c r="E339" s="1261"/>
      <c r="F339" s="1261"/>
      <c r="G339" s="1261"/>
      <c r="I339" s="1261"/>
      <c r="K339" s="1261"/>
      <c r="M339" s="1261"/>
      <c r="N339" s="1261"/>
      <c r="O339" s="1261"/>
      <c r="Q339" s="1261"/>
      <c r="S339" s="1261"/>
      <c r="U339" s="1261"/>
      <c r="W339" s="1261"/>
      <c r="X339" s="1262"/>
    </row>
    <row r="340" spans="1:24" s="1241" customFormat="1">
      <c r="A340" s="1276"/>
      <c r="B340" s="1241">
        <v>386</v>
      </c>
      <c r="C340" s="1261"/>
      <c r="D340" s="1241">
        <v>391</v>
      </c>
      <c r="E340" s="1261"/>
      <c r="F340" s="1261">
        <v>400</v>
      </c>
      <c r="G340" s="1261"/>
      <c r="H340" s="1241">
        <v>437</v>
      </c>
      <c r="I340" s="1261"/>
      <c r="J340" s="1241">
        <v>402</v>
      </c>
      <c r="K340" s="1261"/>
      <c r="L340" s="1241">
        <v>416</v>
      </c>
      <c r="M340" s="1261"/>
      <c r="N340" s="1261">
        <v>417</v>
      </c>
      <c r="O340" s="1261"/>
      <c r="P340" s="1241">
        <v>399</v>
      </c>
      <c r="Q340" s="1261"/>
      <c r="R340" s="1241">
        <v>420</v>
      </c>
      <c r="S340" s="1261"/>
      <c r="T340" s="1241">
        <v>409</v>
      </c>
      <c r="U340" s="1261"/>
      <c r="V340" s="1241">
        <v>412</v>
      </c>
      <c r="W340" s="1261"/>
      <c r="X340" s="1262">
        <v>400</v>
      </c>
    </row>
    <row r="341" spans="1:24" s="1241" customFormat="1" ht="15.5" customHeight="1">
      <c r="A341" s="1276"/>
      <c r="C341" s="1261"/>
      <c r="E341" s="1261"/>
      <c r="F341" s="1261"/>
      <c r="G341" s="1261"/>
      <c r="I341" s="1261"/>
      <c r="K341" s="1261"/>
      <c r="M341" s="1261"/>
      <c r="N341" s="1261"/>
      <c r="O341" s="1261"/>
      <c r="Q341" s="1261"/>
      <c r="S341" s="1261"/>
      <c r="U341" s="1261"/>
      <c r="W341" s="1261"/>
      <c r="X341" s="1262"/>
    </row>
    <row r="342" spans="1:24" s="1241" customFormat="1" ht="55" customHeight="1">
      <c r="A342" s="1308"/>
      <c r="C342" s="1308"/>
      <c r="E342" s="1308"/>
      <c r="F342" s="1286"/>
      <c r="G342" s="1308"/>
      <c r="I342" s="1308"/>
      <c r="K342" s="1308"/>
      <c r="M342" s="1308"/>
      <c r="N342" s="1286"/>
      <c r="O342" s="1308"/>
      <c r="Q342" s="1308"/>
      <c r="S342" s="1308"/>
      <c r="U342" s="1308"/>
      <c r="W342" s="1308"/>
      <c r="X342" s="1262"/>
    </row>
    <row r="343" spans="1:24" s="1241" customFormat="1" ht="21.5" thickBot="1">
      <c r="A343" s="1266" t="s">
        <v>115</v>
      </c>
      <c r="B343" s="1304"/>
      <c r="C343" s="1282" t="s">
        <v>182</v>
      </c>
      <c r="D343" s="1304"/>
      <c r="E343" s="1282" t="s">
        <v>242</v>
      </c>
      <c r="F343" s="1304"/>
      <c r="G343" s="1266" t="s">
        <v>137</v>
      </c>
      <c r="I343" s="1266" t="s">
        <v>137</v>
      </c>
      <c r="J343" s="1269"/>
      <c r="K343" s="1269" t="s">
        <v>242</v>
      </c>
      <c r="L343" s="1269"/>
      <c r="M343" s="1269" t="s">
        <v>182</v>
      </c>
      <c r="N343" s="1269"/>
      <c r="O343" s="1269" t="s">
        <v>185</v>
      </c>
      <c r="P343" s="1269"/>
      <c r="Q343" s="1269" t="s">
        <v>185</v>
      </c>
      <c r="R343" s="1269"/>
      <c r="S343" s="1269" t="s">
        <v>185</v>
      </c>
      <c r="T343" s="1269"/>
      <c r="U343" s="1269" t="s">
        <v>182</v>
      </c>
      <c r="V343" s="1303"/>
      <c r="W343" s="1269" t="s">
        <v>185</v>
      </c>
      <c r="X343" s="1262"/>
    </row>
    <row r="344" spans="1:24" s="1241" customFormat="1" ht="15.5" customHeight="1">
      <c r="A344" s="1315"/>
      <c r="B344" s="1316"/>
      <c r="C344" s="1316"/>
      <c r="D344" s="1316"/>
      <c r="E344" s="1316"/>
      <c r="F344" s="1316"/>
      <c r="G344" s="1316"/>
      <c r="H344" s="1316"/>
      <c r="I344" s="1316"/>
      <c r="J344" s="1316"/>
      <c r="K344" s="1316"/>
      <c r="L344" s="1316"/>
      <c r="M344" s="1316"/>
      <c r="N344" s="1316"/>
      <c r="O344" s="1316"/>
      <c r="P344" s="1316"/>
      <c r="Q344" s="1316"/>
      <c r="R344" s="1316"/>
      <c r="S344" s="1316"/>
      <c r="T344" s="1316"/>
      <c r="U344" s="1316"/>
      <c r="V344" s="1316"/>
      <c r="W344" s="1316"/>
      <c r="X344" s="1317"/>
    </row>
    <row r="345" spans="1:24" s="1241" customFormat="1">
      <c r="A345" s="1255" t="s">
        <v>801</v>
      </c>
      <c r="C345" s="1241" t="s">
        <v>802</v>
      </c>
      <c r="E345" s="1241" t="s">
        <v>803</v>
      </c>
      <c r="G345" s="1241" t="s">
        <v>804</v>
      </c>
      <c r="I345" s="1241" t="s">
        <v>805</v>
      </c>
      <c r="K345" s="1241" t="s">
        <v>806</v>
      </c>
      <c r="M345" s="1241" t="s">
        <v>807</v>
      </c>
      <c r="O345" s="1241" t="s">
        <v>808</v>
      </c>
      <c r="Q345" s="1241" t="s">
        <v>809</v>
      </c>
      <c r="S345" s="1241" t="s">
        <v>1285</v>
      </c>
      <c r="U345" s="1241" t="s">
        <v>810</v>
      </c>
      <c r="W345" s="1241" t="s">
        <v>811</v>
      </c>
      <c r="X345" s="1262"/>
    </row>
    <row r="346" spans="1:24" s="1241" customFormat="1">
      <c r="A346" s="1255"/>
      <c r="X346" s="1262"/>
    </row>
    <row r="347" spans="1:24" s="1241" customFormat="1">
      <c r="A347" s="1276"/>
      <c r="C347" s="1261"/>
      <c r="E347" s="1261"/>
      <c r="F347" s="1261"/>
      <c r="G347" s="1261"/>
      <c r="I347" s="1261"/>
      <c r="K347" s="1261"/>
      <c r="M347" s="1261"/>
      <c r="N347" s="1261"/>
      <c r="O347" s="1261"/>
      <c r="Q347" s="1261"/>
      <c r="S347" s="1261"/>
      <c r="U347" s="1261"/>
      <c r="W347" s="1261"/>
      <c r="X347" s="1262"/>
    </row>
    <row r="348" spans="1:24" s="1241" customFormat="1">
      <c r="A348" s="1276"/>
      <c r="B348" s="1241">
        <v>232</v>
      </c>
      <c r="C348" s="1261"/>
      <c r="D348" s="1241">
        <v>442</v>
      </c>
      <c r="E348" s="1261"/>
      <c r="F348" s="1261">
        <v>385</v>
      </c>
      <c r="G348" s="1261"/>
      <c r="H348" s="1241">
        <v>362</v>
      </c>
      <c r="I348" s="1261"/>
      <c r="J348" s="1241">
        <v>399</v>
      </c>
      <c r="K348" s="1261"/>
      <c r="L348" s="1241">
        <v>382</v>
      </c>
      <c r="M348" s="1261"/>
      <c r="N348" s="1261">
        <v>392</v>
      </c>
      <c r="O348" s="1261"/>
      <c r="P348" s="1241">
        <v>422</v>
      </c>
      <c r="Q348" s="1261"/>
      <c r="R348" s="1241">
        <v>409</v>
      </c>
      <c r="S348" s="1261"/>
      <c r="T348" s="1241">
        <v>374</v>
      </c>
      <c r="U348" s="1261"/>
      <c r="V348" s="1241">
        <v>382</v>
      </c>
      <c r="W348" s="1261"/>
      <c r="X348" s="1262">
        <v>382</v>
      </c>
    </row>
    <row r="349" spans="1:24" s="1241" customFormat="1" ht="12.5" customHeight="1">
      <c r="A349" s="1276"/>
      <c r="C349" s="1261"/>
      <c r="E349" s="1261"/>
      <c r="F349" s="1261"/>
      <c r="G349" s="1261"/>
      <c r="I349" s="1261"/>
      <c r="K349" s="1261"/>
      <c r="M349" s="1261"/>
      <c r="N349" s="1261"/>
      <c r="O349" s="1261"/>
      <c r="Q349" s="1261"/>
      <c r="S349" s="1261"/>
      <c r="U349" s="1261"/>
      <c r="W349" s="1261"/>
      <c r="X349" s="1262"/>
    </row>
    <row r="350" spans="1:24" s="1241" customFormat="1" ht="56" customHeight="1">
      <c r="A350" s="1308"/>
      <c r="C350" s="1308"/>
      <c r="E350" s="1308"/>
      <c r="F350" s="1286"/>
      <c r="G350" s="1308"/>
      <c r="I350" s="1308"/>
      <c r="K350" s="1308"/>
      <c r="M350" s="1308"/>
      <c r="N350" s="1286"/>
      <c r="O350" s="1308"/>
      <c r="Q350" s="1308"/>
      <c r="S350" s="1308"/>
      <c r="U350" s="1308"/>
      <c r="W350" s="1307"/>
      <c r="X350" s="1262"/>
    </row>
    <row r="351" spans="1:24" s="1241" customFormat="1" ht="21" customHeight="1">
      <c r="A351" s="1266" t="s">
        <v>192</v>
      </c>
      <c r="B351" s="1304"/>
      <c r="C351" s="1266" t="s">
        <v>192</v>
      </c>
      <c r="D351" s="1282"/>
      <c r="E351" s="1282" t="s">
        <v>185</v>
      </c>
      <c r="F351" s="1304"/>
      <c r="G351" s="1282" t="s">
        <v>182</v>
      </c>
      <c r="H351" s="1304"/>
      <c r="I351" s="1282" t="s">
        <v>182</v>
      </c>
      <c r="J351" s="1304"/>
      <c r="K351" s="1282" t="s">
        <v>185</v>
      </c>
      <c r="M351" s="1266" t="s">
        <v>115</v>
      </c>
      <c r="N351" s="1269"/>
      <c r="O351" s="1269" t="s">
        <v>185</v>
      </c>
      <c r="P351" s="1269"/>
      <c r="Q351" s="1269" t="s">
        <v>182</v>
      </c>
      <c r="R351" s="1269"/>
      <c r="S351" s="1266" t="s">
        <v>115</v>
      </c>
      <c r="T351" s="1269"/>
      <c r="U351" s="1269" t="s">
        <v>182</v>
      </c>
      <c r="V351" s="1269"/>
      <c r="W351" s="1269" t="s">
        <v>182</v>
      </c>
      <c r="X351" s="1262"/>
    </row>
    <row r="352" spans="1:24" s="1241" customFormat="1" ht="21.5" thickBot="1">
      <c r="A352" s="1344"/>
      <c r="B352" s="1345" t="s">
        <v>1836</v>
      </c>
      <c r="C352" s="1346"/>
      <c r="X352" s="1262"/>
    </row>
    <row r="353" spans="1:24" s="1241" customFormat="1" ht="17.5" customHeight="1">
      <c r="A353" s="1315"/>
      <c r="B353" s="1316"/>
      <c r="C353" s="1316"/>
      <c r="D353" s="1316"/>
      <c r="E353" s="1316"/>
      <c r="F353" s="1316"/>
      <c r="G353" s="1316"/>
      <c r="H353" s="1316"/>
      <c r="I353" s="1316"/>
      <c r="J353" s="1316"/>
      <c r="K353" s="1316"/>
      <c r="L353" s="1316"/>
      <c r="M353" s="1316"/>
      <c r="N353" s="1316"/>
      <c r="O353" s="1316"/>
      <c r="P353" s="1316"/>
      <c r="Q353" s="1316"/>
      <c r="S353" s="1316"/>
      <c r="T353" s="1316"/>
      <c r="U353" s="1316"/>
      <c r="V353" s="1316"/>
      <c r="W353" s="1316"/>
      <c r="X353" s="1317"/>
    </row>
    <row r="354" spans="1:24" s="1241" customFormat="1">
      <c r="A354" s="1255" t="s">
        <v>812</v>
      </c>
      <c r="C354" s="1241" t="s">
        <v>813</v>
      </c>
      <c r="E354" s="1241" t="s">
        <v>814</v>
      </c>
      <c r="G354" s="1241" t="s">
        <v>815</v>
      </c>
      <c r="I354" s="1241" t="s">
        <v>816</v>
      </c>
      <c r="K354" s="1241" t="s">
        <v>817</v>
      </c>
      <c r="M354" s="1241" t="s">
        <v>1286</v>
      </c>
      <c r="O354" s="1241" t="s">
        <v>1287</v>
      </c>
      <c r="Q354" s="1241" t="s">
        <v>818</v>
      </c>
      <c r="S354" s="1241" t="s">
        <v>819</v>
      </c>
      <c r="U354" s="1241" t="s">
        <v>820</v>
      </c>
      <c r="W354" s="1292" t="s">
        <v>821</v>
      </c>
      <c r="X354" s="1262"/>
    </row>
    <row r="355" spans="1:24" s="1241" customFormat="1">
      <c r="A355" s="1255"/>
      <c r="X355" s="1262"/>
    </row>
    <row r="356" spans="1:24" s="1241" customFormat="1">
      <c r="A356" s="1276"/>
      <c r="C356" s="1261"/>
      <c r="E356" s="1261"/>
      <c r="F356" s="1261"/>
      <c r="G356" s="1261"/>
      <c r="I356" s="1261"/>
      <c r="K356" s="1261"/>
      <c r="M356" s="1261"/>
      <c r="N356" s="1261"/>
      <c r="O356" s="1261"/>
      <c r="Q356" s="1261"/>
      <c r="S356" s="1261"/>
      <c r="U356" s="1261"/>
      <c r="W356" s="1261"/>
      <c r="X356" s="1262"/>
    </row>
    <row r="357" spans="1:24" s="1241" customFormat="1">
      <c r="A357" s="1276"/>
      <c r="B357" s="1241">
        <v>391</v>
      </c>
      <c r="C357" s="1261"/>
      <c r="D357" s="1241">
        <v>386</v>
      </c>
      <c r="E357" s="1261"/>
      <c r="F357" s="1261">
        <v>367</v>
      </c>
      <c r="G357" s="1261"/>
      <c r="H357" s="1241">
        <v>380</v>
      </c>
      <c r="I357" s="1261"/>
      <c r="J357" s="1241">
        <v>380</v>
      </c>
      <c r="K357" s="1261"/>
      <c r="L357" s="1241">
        <v>383</v>
      </c>
      <c r="M357" s="1261"/>
      <c r="N357" s="1261">
        <v>242</v>
      </c>
      <c r="O357" s="1261"/>
      <c r="P357" s="1241">
        <v>364</v>
      </c>
      <c r="Q357" s="1261"/>
      <c r="R357" s="1241">
        <v>359</v>
      </c>
      <c r="S357" s="1261"/>
      <c r="T357" s="1241">
        <v>384</v>
      </c>
      <c r="U357" s="1261"/>
      <c r="V357" s="1241">
        <v>381</v>
      </c>
      <c r="W357" s="1261"/>
      <c r="X357" s="1262">
        <v>397</v>
      </c>
    </row>
    <row r="358" spans="1:24" s="1241" customFormat="1" ht="14.5" customHeight="1">
      <c r="A358" s="1276"/>
      <c r="C358" s="1261"/>
      <c r="E358" s="1261"/>
      <c r="F358" s="1261"/>
      <c r="G358" s="1261"/>
      <c r="I358" s="1261"/>
      <c r="K358" s="1261"/>
      <c r="M358" s="1261"/>
      <c r="N358" s="1261"/>
      <c r="O358" s="1261"/>
      <c r="Q358" s="1261"/>
      <c r="S358" s="1261"/>
      <c r="U358" s="1261"/>
      <c r="W358" s="1261"/>
      <c r="X358" s="1262"/>
    </row>
    <row r="359" spans="1:24" s="1241" customFormat="1" ht="55" customHeight="1">
      <c r="A359" s="1307"/>
      <c r="C359" s="1307"/>
      <c r="E359" s="1307"/>
      <c r="F359" s="1286"/>
      <c r="G359" s="1307"/>
      <c r="I359" s="1307"/>
      <c r="K359" s="1307"/>
      <c r="M359" s="1307"/>
      <c r="N359" s="1286"/>
      <c r="O359" s="1324"/>
      <c r="Q359" s="1307"/>
      <c r="S359" s="1307"/>
      <c r="U359" s="1307"/>
      <c r="W359" s="1307"/>
      <c r="X359" s="1262"/>
    </row>
    <row r="360" spans="1:24" s="1241" customFormat="1" ht="21.5" thickBot="1">
      <c r="A360" s="1269" t="s">
        <v>182</v>
      </c>
      <c r="B360" s="1303"/>
      <c r="C360" s="1269" t="s">
        <v>182</v>
      </c>
      <c r="D360" s="1304"/>
      <c r="E360" s="1282" t="s">
        <v>182</v>
      </c>
      <c r="F360" s="1304"/>
      <c r="G360" s="1282" t="s">
        <v>182</v>
      </c>
      <c r="H360" s="1282"/>
      <c r="I360" s="1282" t="s">
        <v>182</v>
      </c>
      <c r="J360" s="1282"/>
      <c r="K360" s="1282" t="s">
        <v>182</v>
      </c>
      <c r="L360" s="1282"/>
      <c r="M360" s="1282" t="s">
        <v>182</v>
      </c>
      <c r="N360" s="1347" t="s">
        <v>1865</v>
      </c>
      <c r="O360" s="1266" t="s">
        <v>119</v>
      </c>
      <c r="Q360" s="1269" t="s">
        <v>182</v>
      </c>
      <c r="R360" s="1269"/>
      <c r="S360" s="1269" t="s">
        <v>182</v>
      </c>
      <c r="T360" s="1269"/>
      <c r="U360" s="1269" t="s">
        <v>182</v>
      </c>
      <c r="V360" s="1269"/>
      <c r="W360" s="1269" t="s">
        <v>182</v>
      </c>
      <c r="X360" s="1262"/>
    </row>
    <row r="361" spans="1:24" s="1241" customFormat="1" ht="15.5" customHeight="1">
      <c r="A361" s="1315"/>
      <c r="B361" s="1316"/>
      <c r="C361" s="1316"/>
      <c r="D361" s="1316"/>
      <c r="E361" s="1316"/>
      <c r="F361" s="1316"/>
      <c r="G361" s="1316"/>
      <c r="H361" s="1316"/>
      <c r="I361" s="1316"/>
      <c r="J361" s="1316"/>
      <c r="K361" s="1316"/>
      <c r="L361" s="1316"/>
      <c r="M361" s="1316"/>
      <c r="N361" s="1316"/>
      <c r="O361" s="1316"/>
      <c r="P361" s="1316"/>
      <c r="Q361" s="1316"/>
      <c r="R361" s="1316"/>
      <c r="S361" s="1316"/>
      <c r="T361" s="1316"/>
      <c r="U361" s="1316"/>
      <c r="V361" s="1316"/>
      <c r="W361" s="1316"/>
      <c r="X361" s="1317"/>
    </row>
    <row r="362" spans="1:24" s="1241" customFormat="1">
      <c r="A362" s="1255" t="s">
        <v>822</v>
      </c>
      <c r="C362" s="1241" t="s">
        <v>823</v>
      </c>
      <c r="E362" s="1241" t="s">
        <v>824</v>
      </c>
      <c r="G362" s="1241" t="s">
        <v>827</v>
      </c>
      <c r="I362" s="1241" t="s">
        <v>1866</v>
      </c>
      <c r="K362" s="1241" t="s">
        <v>1867</v>
      </c>
      <c r="M362" s="1241" t="s">
        <v>1868</v>
      </c>
      <c r="O362" s="1241" t="s">
        <v>1366</v>
      </c>
      <c r="Q362" s="1241" t="s">
        <v>1367</v>
      </c>
      <c r="S362" s="1241" t="s">
        <v>830</v>
      </c>
      <c r="U362" s="1241" t="s">
        <v>831</v>
      </c>
      <c r="W362" s="1292" t="s">
        <v>832</v>
      </c>
      <c r="X362" s="1262"/>
    </row>
    <row r="363" spans="1:24" s="1241" customFormat="1">
      <c r="A363" s="1255"/>
      <c r="X363" s="1262"/>
    </row>
    <row r="364" spans="1:24" s="1241" customFormat="1">
      <c r="A364" s="1276"/>
      <c r="C364" s="1261"/>
      <c r="E364" s="1261"/>
      <c r="F364" s="1261"/>
      <c r="G364" s="1261"/>
      <c r="I364" s="1261"/>
      <c r="K364" s="1261"/>
      <c r="M364" s="1261"/>
      <c r="N364" s="1261"/>
      <c r="O364" s="1261"/>
      <c r="Q364" s="1261"/>
      <c r="S364" s="1261"/>
      <c r="U364" s="1261"/>
      <c r="W364" s="1261"/>
      <c r="X364" s="1262"/>
    </row>
    <row r="365" spans="1:24" s="1241" customFormat="1">
      <c r="A365" s="1276"/>
      <c r="B365" s="1241">
        <v>387</v>
      </c>
      <c r="C365" s="1261"/>
      <c r="D365" s="1241">
        <v>392</v>
      </c>
      <c r="E365" s="1261"/>
      <c r="F365" s="1261">
        <v>365</v>
      </c>
      <c r="G365" s="1261"/>
      <c r="H365" s="1241">
        <v>188</v>
      </c>
      <c r="I365" s="1261"/>
      <c r="J365" s="1241">
        <v>396</v>
      </c>
      <c r="K365" s="1261"/>
      <c r="L365" s="1241">
        <v>425</v>
      </c>
      <c r="M365" s="1261"/>
      <c r="N365" s="1261">
        <v>407</v>
      </c>
      <c r="O365" s="1261"/>
      <c r="P365" s="1241">
        <v>433</v>
      </c>
      <c r="Q365" s="1261"/>
      <c r="R365" s="1241">
        <v>489</v>
      </c>
      <c r="S365" s="1261"/>
      <c r="T365" s="1241">
        <v>290</v>
      </c>
      <c r="U365" s="1261"/>
      <c r="V365" s="1241">
        <v>419</v>
      </c>
      <c r="W365" s="1261"/>
      <c r="X365" s="1262">
        <v>242</v>
      </c>
    </row>
    <row r="366" spans="1:24" s="1241" customFormat="1" ht="11.5" customHeight="1">
      <c r="A366" s="1276"/>
      <c r="C366" s="1261"/>
      <c r="E366" s="1261"/>
      <c r="F366" s="1261"/>
      <c r="G366" s="1261"/>
      <c r="I366" s="1261"/>
      <c r="K366" s="1261"/>
      <c r="M366" s="1261"/>
      <c r="N366" s="1261"/>
      <c r="O366" s="1261"/>
      <c r="Q366" s="1261"/>
      <c r="S366" s="1261"/>
      <c r="U366" s="1261"/>
      <c r="W366" s="1261"/>
      <c r="X366" s="1262"/>
    </row>
    <row r="367" spans="1:24" s="1241" customFormat="1" ht="52.5" customHeight="1">
      <c r="A367" s="1307"/>
      <c r="C367" s="1307"/>
      <c r="E367" s="1307"/>
      <c r="F367" s="1286"/>
      <c r="G367" s="1307"/>
      <c r="I367" s="1307"/>
      <c r="K367" s="1307"/>
      <c r="M367" s="1307"/>
      <c r="O367" s="1307"/>
      <c r="Q367" s="1306"/>
      <c r="S367" s="1348"/>
      <c r="U367" s="1349"/>
      <c r="W367" s="1307"/>
      <c r="X367" s="1262"/>
    </row>
    <row r="368" spans="1:24" s="1241" customFormat="1">
      <c r="A368" s="1255"/>
      <c r="G368" s="1291"/>
      <c r="H368" s="1256" t="s">
        <v>1849</v>
      </c>
      <c r="I368" s="1291"/>
      <c r="X368" s="1262"/>
    </row>
    <row r="369" spans="1:28" s="1241" customFormat="1" ht="26.5" customHeight="1">
      <c r="A369" s="1269" t="s">
        <v>182</v>
      </c>
      <c r="B369" s="1269"/>
      <c r="C369" s="1269" t="s">
        <v>182</v>
      </c>
      <c r="D369" s="1269"/>
      <c r="E369" s="1269" t="s">
        <v>182</v>
      </c>
      <c r="F369" s="1303"/>
      <c r="G369" s="1269" t="s">
        <v>125</v>
      </c>
      <c r="H369" s="1304"/>
      <c r="I369" s="1266" t="s">
        <v>125</v>
      </c>
      <c r="J369" s="1304"/>
      <c r="K369" s="1266" t="s">
        <v>188</v>
      </c>
      <c r="L369" s="1304"/>
      <c r="M369" s="1304" t="s">
        <v>185</v>
      </c>
      <c r="N369" s="1304"/>
      <c r="O369" s="1350" t="s">
        <v>182</v>
      </c>
      <c r="P369" s="1304"/>
      <c r="Q369" s="1266" t="s">
        <v>132</v>
      </c>
      <c r="R369" s="1304"/>
      <c r="S369" s="1266" t="s">
        <v>147</v>
      </c>
      <c r="U369" s="1266" t="s">
        <v>147</v>
      </c>
      <c r="W369" s="1266" t="s">
        <v>117</v>
      </c>
      <c r="X369" s="1262"/>
    </row>
    <row r="370" spans="1:28" s="1241" customFormat="1">
      <c r="A370" s="1351"/>
      <c r="B370" s="1352"/>
      <c r="C370" s="1352"/>
      <c r="D370" s="1352"/>
      <c r="E370" s="1352"/>
      <c r="F370" s="1352"/>
      <c r="G370" s="1352"/>
      <c r="H370" s="1352"/>
      <c r="I370" s="1352"/>
      <c r="J370" s="1352"/>
      <c r="K370" s="1352"/>
      <c r="L370" s="1352"/>
      <c r="M370" s="1352"/>
      <c r="N370" s="1352"/>
      <c r="O370" s="1352"/>
      <c r="P370" s="1352"/>
      <c r="Q370" s="1352"/>
      <c r="R370" s="1352"/>
      <c r="S370" s="1352"/>
      <c r="T370" s="1353" t="s">
        <v>1869</v>
      </c>
      <c r="U370" s="1352"/>
      <c r="V370" s="1354"/>
      <c r="W370" s="1354"/>
      <c r="X370" s="1355" t="s">
        <v>1840</v>
      </c>
    </row>
    <row r="371" spans="1:28" s="1241" customFormat="1" ht="21.5" thickBot="1">
      <c r="A371" s="1327"/>
      <c r="B371" s="1328"/>
      <c r="C371" s="1328"/>
      <c r="D371" s="1328"/>
      <c r="E371" s="1328"/>
      <c r="F371" s="1328"/>
      <c r="G371" s="1328"/>
      <c r="H371" s="1328"/>
      <c r="I371" s="1328"/>
      <c r="J371" s="1328"/>
      <c r="K371" s="1328"/>
      <c r="L371" s="1328"/>
      <c r="M371" s="1328"/>
      <c r="N371" s="1328"/>
      <c r="O371" s="1328"/>
      <c r="P371" s="1328"/>
      <c r="Q371" s="1328"/>
      <c r="R371" s="1328"/>
      <c r="S371" s="1328"/>
      <c r="T371" s="1328"/>
      <c r="U371" s="1328"/>
      <c r="V371" s="1328"/>
      <c r="W371" s="1328"/>
      <c r="X371" s="1329"/>
    </row>
    <row r="372" spans="1:28" s="1241" customFormat="1">
      <c r="A372" s="1255" t="s">
        <v>833</v>
      </c>
      <c r="C372" s="1241" t="s">
        <v>1288</v>
      </c>
      <c r="E372" s="1241" t="s">
        <v>835</v>
      </c>
      <c r="G372" s="1241" t="s">
        <v>1870</v>
      </c>
      <c r="I372" s="1241" t="s">
        <v>1871</v>
      </c>
      <c r="K372" s="1241" t="s">
        <v>836</v>
      </c>
      <c r="M372" s="1241" t="s">
        <v>837</v>
      </c>
      <c r="O372" s="1241" t="s">
        <v>838</v>
      </c>
      <c r="Q372" s="1241" t="s">
        <v>1515</v>
      </c>
      <c r="W372" s="1292"/>
      <c r="X372" s="1262"/>
    </row>
    <row r="373" spans="1:28" s="1241" customFormat="1">
      <c r="A373" s="1255"/>
      <c r="X373" s="1262"/>
    </row>
    <row r="374" spans="1:28" s="1241" customFormat="1">
      <c r="A374" s="1276"/>
      <c r="C374" s="1261"/>
      <c r="E374" s="1261"/>
      <c r="F374" s="1261"/>
      <c r="G374" s="1261"/>
      <c r="I374" s="1261"/>
      <c r="K374" s="1261"/>
      <c r="M374" s="1261"/>
      <c r="O374" s="1261"/>
      <c r="Q374" s="1261"/>
      <c r="S374" s="1261"/>
      <c r="U374" s="1261"/>
      <c r="W374" s="1261"/>
      <c r="X374" s="1262"/>
    </row>
    <row r="375" spans="1:28" s="1241" customFormat="1">
      <c r="A375" s="1276"/>
      <c r="B375" s="1241">
        <v>343</v>
      </c>
      <c r="C375" s="1261"/>
      <c r="D375" s="1241">
        <v>389</v>
      </c>
      <c r="E375" s="1261"/>
      <c r="F375" s="1261">
        <v>220</v>
      </c>
      <c r="G375" s="1261"/>
      <c r="H375" s="1241">
        <v>92</v>
      </c>
      <c r="I375" s="1261"/>
      <c r="J375" s="1241">
        <v>56</v>
      </c>
      <c r="K375" s="1261"/>
      <c r="L375" s="1241">
        <v>241</v>
      </c>
      <c r="M375" s="1261"/>
      <c r="N375" s="1241">
        <v>215</v>
      </c>
      <c r="O375" s="1261"/>
      <c r="P375" s="1241">
        <v>114</v>
      </c>
      <c r="Q375" s="1261"/>
      <c r="S375" s="1261"/>
      <c r="U375" s="1261"/>
      <c r="W375" s="1261"/>
      <c r="X375" s="1262"/>
    </row>
    <row r="376" spans="1:28" s="1241" customFormat="1" ht="13.5" customHeight="1">
      <c r="A376" s="1276"/>
      <c r="C376" s="1261"/>
      <c r="E376" s="1261"/>
      <c r="F376" s="1261"/>
      <c r="G376" s="1261"/>
      <c r="I376" s="1261"/>
      <c r="K376" s="1261"/>
      <c r="M376" s="1261"/>
      <c r="O376" s="1261"/>
      <c r="Q376" s="1261"/>
      <c r="S376" s="1261"/>
      <c r="U376" s="1261"/>
      <c r="W376" s="1261"/>
      <c r="X376" s="1262"/>
      <c r="AB376" s="1356"/>
    </row>
    <row r="377" spans="1:28" s="1241" customFormat="1" ht="55" customHeight="1">
      <c r="A377" s="1284" t="s">
        <v>71</v>
      </c>
      <c r="C377" s="1307"/>
      <c r="E377" s="1285" t="s">
        <v>390</v>
      </c>
      <c r="F377" s="1286"/>
      <c r="G377" s="1285"/>
      <c r="I377" s="1285"/>
      <c r="K377" s="1285"/>
      <c r="M377" s="1285"/>
      <c r="O377" s="1285"/>
      <c r="Q377" s="1285"/>
      <c r="S377" s="1357"/>
      <c r="U377" s="1286"/>
      <c r="W377" s="1286"/>
      <c r="X377" s="1262"/>
      <c r="AB377" s="1356"/>
    </row>
    <row r="378" spans="1:28" s="1241" customFormat="1" ht="53.5" customHeight="1">
      <c r="A378" s="1266" t="s">
        <v>117</v>
      </c>
      <c r="C378" s="1266" t="s">
        <v>119</v>
      </c>
      <c r="E378" s="1266" t="s">
        <v>125</v>
      </c>
      <c r="G378" s="1358" t="s">
        <v>1872</v>
      </c>
      <c r="H378" s="1256" t="s">
        <v>1835</v>
      </c>
      <c r="I378" s="1358" t="s">
        <v>1872</v>
      </c>
      <c r="K378" s="1266" t="s">
        <v>125</v>
      </c>
      <c r="M378" s="1266" t="s">
        <v>125</v>
      </c>
      <c r="O378" s="1359" t="s">
        <v>1873</v>
      </c>
      <c r="P378" s="1293"/>
      <c r="Q378" s="1360" t="s">
        <v>1874</v>
      </c>
      <c r="X378" s="1262"/>
    </row>
    <row r="380" spans="1:28" ht="38.5" customHeight="1">
      <c r="W380" s="1241"/>
      <c r="X380" s="1241"/>
    </row>
  </sheetData>
  <mergeCells count="56">
    <mergeCell ref="V1:X2"/>
    <mergeCell ref="A3:B3"/>
    <mergeCell ref="A4:B4"/>
    <mergeCell ref="A5:B6"/>
    <mergeCell ref="C5:C6"/>
    <mergeCell ref="D5:D6"/>
    <mergeCell ref="E5:E6"/>
    <mergeCell ref="F5:F6"/>
    <mergeCell ref="A1:B2"/>
    <mergeCell ref="C1:C2"/>
    <mergeCell ref="D1:D2"/>
    <mergeCell ref="E1:E2"/>
    <mergeCell ref="F1:F2"/>
    <mergeCell ref="U1:U2"/>
    <mergeCell ref="A7:B8"/>
    <mergeCell ref="C7:C8"/>
    <mergeCell ref="D7:D8"/>
    <mergeCell ref="E7:E8"/>
    <mergeCell ref="F7:F8"/>
    <mergeCell ref="N9:Q9"/>
    <mergeCell ref="N10:P10"/>
    <mergeCell ref="A11:B12"/>
    <mergeCell ref="C11:C12"/>
    <mergeCell ref="D11:D12"/>
    <mergeCell ref="E11:E12"/>
    <mergeCell ref="F11:F12"/>
    <mergeCell ref="H11:H13"/>
    <mergeCell ref="J11:J13"/>
    <mergeCell ref="N11:P11"/>
    <mergeCell ref="A9:B10"/>
    <mergeCell ref="C9:C10"/>
    <mergeCell ref="D9:D10"/>
    <mergeCell ref="E9:E10"/>
    <mergeCell ref="F9:F10"/>
    <mergeCell ref="N12:P12"/>
    <mergeCell ref="N14:O14"/>
    <mergeCell ref="T14:V15"/>
    <mergeCell ref="A15:B16"/>
    <mergeCell ref="C15:C16"/>
    <mergeCell ref="D15:D16"/>
    <mergeCell ref="E15:E16"/>
    <mergeCell ref="F15:F16"/>
    <mergeCell ref="A13:B14"/>
    <mergeCell ref="C13:C14"/>
    <mergeCell ref="D13:D14"/>
    <mergeCell ref="E13:E14"/>
    <mergeCell ref="F13:F14"/>
    <mergeCell ref="U79:V79"/>
    <mergeCell ref="A169:B169"/>
    <mergeCell ref="B178:D178"/>
    <mergeCell ref="A22:B22"/>
    <mergeCell ref="A44:B44"/>
    <mergeCell ref="B70:D70"/>
    <mergeCell ref="E70:F70"/>
    <mergeCell ref="N70:P70"/>
    <mergeCell ref="K79:L79"/>
  </mergeCells>
  <conditionalFormatting sqref="A141">
    <cfRule type="cellIs" dxfId="43" priority="36" operator="equal">
      <formula>0</formula>
    </cfRule>
  </conditionalFormatting>
  <conditionalFormatting sqref="A273">
    <cfRule type="cellIs" dxfId="42" priority="2" operator="equal">
      <formula>"U/P"</formula>
    </cfRule>
    <cfRule type="cellIs" dxfId="41" priority="3" operator="equal">
      <formula>"F"</formula>
    </cfRule>
    <cfRule type="cellIs" dxfId="40" priority="4" operator="equal">
      <formula>"F"</formula>
    </cfRule>
  </conditionalFormatting>
  <conditionalFormatting sqref="A281">
    <cfRule type="cellIs" dxfId="39" priority="14" operator="equal">
      <formula>"U/P"</formula>
    </cfRule>
    <cfRule type="cellIs" dxfId="38" priority="15" operator="equal">
      <formula>"F"</formula>
    </cfRule>
    <cfRule type="cellIs" dxfId="37" priority="16" operator="equal">
      <formula>"F"</formula>
    </cfRule>
  </conditionalFormatting>
  <conditionalFormatting sqref="A1:XFD327 A328:AA328 AC328:XFD328 A329:XFD1048576">
    <cfRule type="containsText" dxfId="36" priority="1" operator="containsText" text="U/P">
      <formula>NOT(ISERROR(SEARCH("U/P",A1)))</formula>
    </cfRule>
  </conditionalFormatting>
  <conditionalFormatting sqref="B70">
    <cfRule type="cellIs" dxfId="35" priority="42" operator="equal">
      <formula>0</formula>
    </cfRule>
  </conditionalFormatting>
  <conditionalFormatting sqref="C289">
    <cfRule type="cellIs" dxfId="34" priority="26" operator="equal">
      <formula>"U/P"</formula>
    </cfRule>
    <cfRule type="cellIs" dxfId="33" priority="27" operator="equal">
      <formula>"F"</formula>
    </cfRule>
    <cfRule type="cellIs" dxfId="32" priority="28" operator="equal">
      <formula>"F"</formula>
    </cfRule>
  </conditionalFormatting>
  <conditionalFormatting sqref="E70">
    <cfRule type="cellIs" dxfId="31" priority="41" operator="equal">
      <formula>0</formula>
    </cfRule>
  </conditionalFormatting>
  <conditionalFormatting sqref="E141">
    <cfRule type="cellIs" dxfId="30" priority="35" operator="equal">
      <formula>0</formula>
    </cfRule>
  </conditionalFormatting>
  <conditionalFormatting sqref="G159 I159 K159 M159">
    <cfRule type="cellIs" dxfId="29" priority="34" operator="equal">
      <formula>0</formula>
    </cfRule>
  </conditionalFormatting>
  <conditionalFormatting sqref="G169">
    <cfRule type="cellIs" dxfId="28" priority="32" operator="equal">
      <formula>0</formula>
    </cfRule>
  </conditionalFormatting>
  <conditionalFormatting sqref="G273">
    <cfRule type="cellIs" dxfId="27" priority="8" operator="equal">
      <formula>"U/P"</formula>
    </cfRule>
    <cfRule type="cellIs" dxfId="26" priority="9" operator="equal">
      <formula>"F"</formula>
    </cfRule>
    <cfRule type="cellIs" dxfId="25" priority="10" operator="equal">
      <formula>"F"</formula>
    </cfRule>
  </conditionalFormatting>
  <conditionalFormatting sqref="I188">
    <cfRule type="cellIs" dxfId="24" priority="29" operator="equal">
      <formula>0</formula>
    </cfRule>
  </conditionalFormatting>
  <conditionalFormatting sqref="I289">
    <cfRule type="cellIs" dxfId="23" priority="23" operator="equal">
      <formula>"U/P"</formula>
    </cfRule>
    <cfRule type="cellIs" dxfId="22" priority="24" operator="equal">
      <formula>"F"</formula>
    </cfRule>
    <cfRule type="cellIs" dxfId="21" priority="25" operator="equal">
      <formula>"F"</formula>
    </cfRule>
  </conditionalFormatting>
  <conditionalFormatting sqref="K79">
    <cfRule type="cellIs" dxfId="20" priority="39" operator="equal">
      <formula>0</formula>
    </cfRule>
  </conditionalFormatting>
  <conditionalFormatting sqref="N70">
    <cfRule type="cellIs" dxfId="19" priority="40" operator="equal">
      <formula>0</formula>
    </cfRule>
  </conditionalFormatting>
  <conditionalFormatting sqref="O178 Q178">
    <cfRule type="cellIs" dxfId="18" priority="31" operator="equal">
      <formula>0</formula>
    </cfRule>
  </conditionalFormatting>
  <conditionalFormatting sqref="Q52">
    <cfRule type="cellIs" dxfId="17" priority="44" operator="equal">
      <formula>0</formula>
    </cfRule>
  </conditionalFormatting>
  <conditionalFormatting sqref="Q334">
    <cfRule type="cellIs" dxfId="16" priority="17" operator="equal">
      <formula>"U/P"</formula>
    </cfRule>
    <cfRule type="cellIs" dxfId="15" priority="18" operator="equal">
      <formula>"F"</formula>
    </cfRule>
    <cfRule type="cellIs" dxfId="14" priority="19" operator="equal">
      <formula>"F"</formula>
    </cfRule>
  </conditionalFormatting>
  <conditionalFormatting sqref="S188">
    <cfRule type="cellIs" dxfId="13" priority="30" operator="equal">
      <formula>0</formula>
    </cfRule>
  </conditionalFormatting>
  <conditionalFormatting sqref="U79">
    <cfRule type="cellIs" dxfId="12" priority="38" operator="equal">
      <formula>0</formula>
    </cfRule>
  </conditionalFormatting>
  <conditionalFormatting sqref="U273">
    <cfRule type="cellIs" dxfId="11" priority="11" operator="equal">
      <formula>"U/P"</formula>
    </cfRule>
    <cfRule type="cellIs" dxfId="10" priority="12" operator="equal">
      <formula>"F"</formula>
    </cfRule>
    <cfRule type="cellIs" dxfId="9" priority="13" operator="equal">
      <formula>"F"</formula>
    </cfRule>
  </conditionalFormatting>
  <conditionalFormatting sqref="W52">
    <cfRule type="cellIs" dxfId="8" priority="43" operator="equal">
      <formula>0</formula>
    </cfRule>
  </conditionalFormatting>
  <conditionalFormatting sqref="W131">
    <cfRule type="cellIs" dxfId="7" priority="37" operator="equal">
      <formula>0</formula>
    </cfRule>
  </conditionalFormatting>
  <conditionalFormatting sqref="W159">
    <cfRule type="cellIs" dxfId="6" priority="33" operator="equal">
      <formula>0</formula>
    </cfRule>
  </conditionalFormatting>
  <conditionalFormatting sqref="W265">
    <cfRule type="cellIs" dxfId="5" priority="5" operator="equal">
      <formula>"U/P"</formula>
    </cfRule>
    <cfRule type="cellIs" dxfId="4" priority="6" operator="equal">
      <formula>"F"</formula>
    </cfRule>
    <cfRule type="cellIs" dxfId="3" priority="7" operator="equal">
      <formula>"F"</formula>
    </cfRule>
  </conditionalFormatting>
  <conditionalFormatting sqref="W325">
    <cfRule type="cellIs" dxfId="2" priority="20" operator="equal">
      <formula>"U/P"</formula>
    </cfRule>
    <cfRule type="cellIs" dxfId="1" priority="21" operator="equal">
      <formula>"F"</formula>
    </cfRule>
    <cfRule type="cellIs" dxfId="0" priority="22" operator="equal">
      <formula>"F"</formula>
    </cfRule>
  </conditionalFormatting>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topLeftCell="D1" workbookViewId="0">
      <selection activeCell="Q13" sqref="Q13"/>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755" t="s">
        <v>1010</v>
      </c>
      <c r="B1" s="1755"/>
      <c r="C1" s="1755"/>
      <c r="D1" s="1755"/>
      <c r="E1" s="1755"/>
      <c r="F1" s="1755"/>
      <c r="G1" s="1755"/>
      <c r="H1" s="1755"/>
      <c r="I1" s="1755"/>
      <c r="J1" s="1755"/>
      <c r="K1" s="1755"/>
      <c r="L1" s="1755"/>
      <c r="M1" s="1755"/>
      <c r="N1" s="1755"/>
      <c r="O1" s="1755"/>
      <c r="P1" s="1755"/>
      <c r="Q1" s="1755"/>
      <c r="R1" s="1755"/>
      <c r="S1" s="1755"/>
      <c r="T1" s="1755"/>
      <c r="U1" s="1755"/>
      <c r="V1" s="1755"/>
      <c r="W1" s="1755"/>
      <c r="X1" s="1755"/>
      <c r="Y1" s="1755"/>
      <c r="Z1" s="1755"/>
      <c r="AA1" s="45"/>
    </row>
    <row r="2" spans="1:27">
      <c r="A2" s="1755" t="s">
        <v>1011</v>
      </c>
      <c r="B2" s="1756"/>
      <c r="C2" s="1756"/>
      <c r="D2" s="1756"/>
      <c r="E2" s="1756"/>
      <c r="F2" s="1756"/>
      <c r="G2" s="1756"/>
      <c r="H2" s="1756"/>
      <c r="I2" s="1756"/>
      <c r="J2" s="1756"/>
      <c r="K2" s="1756"/>
      <c r="L2" s="1756"/>
      <c r="M2" s="1756"/>
      <c r="N2" s="1756"/>
      <c r="O2" s="1756"/>
      <c r="P2" s="35"/>
      <c r="Q2" s="35"/>
      <c r="R2" s="35"/>
      <c r="S2" s="35"/>
      <c r="T2" s="35"/>
      <c r="U2" s="35"/>
      <c r="V2" s="35"/>
      <c r="W2" s="35"/>
      <c r="X2" s="35"/>
      <c r="Y2" s="35"/>
      <c r="Z2" s="35"/>
      <c r="AA2" s="45"/>
    </row>
    <row r="3" spans="1:27" ht="45.75" customHeight="1">
      <c r="A3" s="1757" t="s">
        <v>1012</v>
      </c>
      <c r="B3" s="1757" t="s">
        <v>1013</v>
      </c>
      <c r="C3" s="1757" t="s">
        <v>1014</v>
      </c>
      <c r="D3" s="1757" t="s">
        <v>1015</v>
      </c>
      <c r="E3" s="1757" t="s">
        <v>1016</v>
      </c>
      <c r="F3" s="11" t="s">
        <v>1017</v>
      </c>
      <c r="G3" s="1757" t="s">
        <v>1018</v>
      </c>
      <c r="H3" s="1753"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1754"/>
      <c r="B4" s="1754"/>
      <c r="C4" s="1754"/>
      <c r="D4" s="1760"/>
      <c r="E4" s="1754"/>
      <c r="F4" s="12"/>
      <c r="G4" s="1761"/>
      <c r="H4" s="1754"/>
      <c r="I4" s="399" t="s">
        <v>1039</v>
      </c>
      <c r="J4" s="399" t="s">
        <v>1040</v>
      </c>
      <c r="K4" s="399" t="s">
        <v>1041</v>
      </c>
      <c r="L4" s="399" t="s">
        <v>1042</v>
      </c>
      <c r="M4" s="399" t="s">
        <v>1043</v>
      </c>
      <c r="N4" s="399" t="s">
        <v>1044</v>
      </c>
      <c r="O4" s="399" t="s">
        <v>1045</v>
      </c>
      <c r="P4" s="399" t="s">
        <v>1046</v>
      </c>
      <c r="Q4" s="399" t="s">
        <v>1047</v>
      </c>
      <c r="R4" s="399" t="s">
        <v>1048</v>
      </c>
      <c r="S4" s="399" t="s">
        <v>1049</v>
      </c>
      <c r="T4" s="399" t="s">
        <v>1050</v>
      </c>
      <c r="U4" s="399" t="s">
        <v>1051</v>
      </c>
      <c r="V4" s="399" t="s">
        <v>1052</v>
      </c>
      <c r="W4" s="399" t="s">
        <v>1053</v>
      </c>
      <c r="X4" s="399" t="s">
        <v>1054</v>
      </c>
      <c r="Y4" s="399" t="s">
        <v>1055</v>
      </c>
      <c r="Z4" s="399" t="s">
        <v>1056</v>
      </c>
      <c r="AA4" s="399"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1066</v>
      </c>
      <c r="B9" s="29" t="s">
        <v>1067</v>
      </c>
      <c r="C9" s="27" t="s">
        <v>1068</v>
      </c>
      <c r="D9" s="16" t="s">
        <v>1069</v>
      </c>
      <c r="E9" s="16" t="s">
        <v>1070</v>
      </c>
      <c r="F9" s="17" t="e">
        <f t="shared" ref="F9:F10" si="0">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 t="shared" si="0"/>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1758" t="s">
        <v>1074</v>
      </c>
      <c r="B11" s="30" t="s">
        <v>1075</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1759"/>
      <c r="B12" s="33" t="s">
        <v>1076</v>
      </c>
    </row>
    <row r="13" spans="1:27">
      <c r="A13" s="1759"/>
      <c r="B13" s="33" t="s">
        <v>1077</v>
      </c>
      <c r="L13" s="10">
        <v>24</v>
      </c>
      <c r="M13" s="10">
        <f>48.132*12*1.015</f>
        <v>586.24775999999986</v>
      </c>
      <c r="O13" s="10">
        <f>14.8*36*1.015</f>
        <v>540.79200000000003</v>
      </c>
      <c r="Q13" s="10">
        <f>517-M13</f>
        <v>-69.247759999999857</v>
      </c>
      <c r="R13" s="10">
        <f>48*2.9</f>
        <v>139.19999999999999</v>
      </c>
    </row>
    <row r="14" spans="1:27">
      <c r="A14" s="34" t="s">
        <v>1078</v>
      </c>
    </row>
    <row r="15" spans="1:27" ht="45.75" customHeight="1">
      <c r="A15" s="1757" t="s">
        <v>1012</v>
      </c>
      <c r="B15" s="1757" t="s">
        <v>1013</v>
      </c>
      <c r="C15" s="1757" t="s">
        <v>1014</v>
      </c>
      <c r="D15" s="1757" t="s">
        <v>1015</v>
      </c>
      <c r="E15" s="1757" t="s">
        <v>1016</v>
      </c>
      <c r="F15" s="11" t="s">
        <v>1017</v>
      </c>
      <c r="G15" s="1757" t="s">
        <v>1018</v>
      </c>
      <c r="H15" s="1753" t="s">
        <v>1019</v>
      </c>
      <c r="I15" s="3" t="s">
        <v>1020</v>
      </c>
      <c r="J15" s="3" t="s">
        <v>1021</v>
      </c>
      <c r="K15" s="3" t="s">
        <v>1022</v>
      </c>
      <c r="L15" s="3" t="s">
        <v>1023</v>
      </c>
      <c r="M15" s="3" t="s">
        <v>1024</v>
      </c>
      <c r="N15" s="3" t="s">
        <v>1025</v>
      </c>
      <c r="O15" s="3" t="s">
        <v>1026</v>
      </c>
      <c r="P15" s="3" t="s">
        <v>1027</v>
      </c>
      <c r="Q15" s="3" t="s">
        <v>1028</v>
      </c>
      <c r="R15" s="3" t="s">
        <v>1029</v>
      </c>
      <c r="S15" s="3" t="s">
        <v>1030</v>
      </c>
      <c r="T15" s="3" t="s">
        <v>1031</v>
      </c>
      <c r="U15" s="3" t="s">
        <v>1032</v>
      </c>
      <c r="V15" s="3" t="s">
        <v>1033</v>
      </c>
      <c r="W15" s="3" t="s">
        <v>1034</v>
      </c>
      <c r="X15" s="3" t="s">
        <v>1035</v>
      </c>
      <c r="Y15" s="3" t="s">
        <v>1036</v>
      </c>
      <c r="Z15" s="3" t="s">
        <v>1037</v>
      </c>
      <c r="AA15" s="3" t="s">
        <v>1038</v>
      </c>
    </row>
    <row r="16" spans="1:27">
      <c r="A16" s="1754"/>
      <c r="B16" s="1754"/>
      <c r="C16" s="1754"/>
      <c r="D16" s="1760"/>
      <c r="E16" s="1754"/>
      <c r="F16" s="12"/>
      <c r="G16" s="1761"/>
      <c r="H16" s="1754"/>
      <c r="I16" s="399" t="s">
        <v>1039</v>
      </c>
      <c r="J16" s="399" t="s">
        <v>1040</v>
      </c>
      <c r="K16" s="399" t="s">
        <v>1041</v>
      </c>
      <c r="L16" s="399" t="s">
        <v>1042</v>
      </c>
      <c r="M16" s="399" t="s">
        <v>1043</v>
      </c>
      <c r="N16" s="399" t="s">
        <v>1044</v>
      </c>
      <c r="O16" s="399" t="s">
        <v>1045</v>
      </c>
      <c r="P16" s="399" t="s">
        <v>1046</v>
      </c>
      <c r="Q16" s="399" t="s">
        <v>1047</v>
      </c>
      <c r="R16" s="399" t="s">
        <v>1048</v>
      </c>
      <c r="S16" s="399" t="s">
        <v>1049</v>
      </c>
      <c r="T16" s="399" t="s">
        <v>1050</v>
      </c>
      <c r="U16" s="399" t="s">
        <v>1051</v>
      </c>
      <c r="V16" s="399" t="s">
        <v>1052</v>
      </c>
      <c r="W16" s="399" t="s">
        <v>1053</v>
      </c>
      <c r="X16" s="399" t="s">
        <v>1054</v>
      </c>
      <c r="Y16" s="399" t="s">
        <v>1055</v>
      </c>
      <c r="Z16" s="399" t="s">
        <v>1056</v>
      </c>
      <c r="AA16" s="399" t="s">
        <v>1057</v>
      </c>
    </row>
    <row r="17" spans="1:27">
      <c r="A17" s="13">
        <v>1</v>
      </c>
      <c r="B17" s="14" t="s">
        <v>1058</v>
      </c>
      <c r="C17" s="15" t="s">
        <v>1059</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1060</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1061</v>
      </c>
      <c r="C19" s="24" t="s">
        <v>1062</v>
      </c>
      <c r="D19" s="25">
        <f>D17+10</f>
        <v>45642</v>
      </c>
      <c r="E19" s="25">
        <f>D19+30</f>
        <v>45672</v>
      </c>
      <c r="F19" s="17">
        <f>E19-D19</f>
        <v>30</v>
      </c>
      <c r="G19" s="26" t="s">
        <v>1063</v>
      </c>
      <c r="H19" s="7"/>
      <c r="I19" s="7"/>
      <c r="J19" s="44">
        <v>1</v>
      </c>
      <c r="K19" s="7"/>
      <c r="L19" s="9"/>
      <c r="M19" s="7"/>
      <c r="N19" s="7"/>
      <c r="O19" s="7"/>
      <c r="P19" s="7"/>
      <c r="Q19" s="7"/>
      <c r="R19" s="7"/>
      <c r="S19" s="7"/>
      <c r="T19" s="7"/>
      <c r="U19" s="7"/>
      <c r="V19" s="7"/>
      <c r="W19" s="7"/>
      <c r="X19" s="7"/>
      <c r="Y19" s="7"/>
      <c r="Z19" s="7"/>
      <c r="AA19" s="7"/>
    </row>
    <row r="20" spans="1:27">
      <c r="A20" s="17"/>
      <c r="B20" s="27" t="s">
        <v>1064</v>
      </c>
      <c r="C20" s="27" t="s">
        <v>1059</v>
      </c>
      <c r="D20" s="25">
        <v>45662</v>
      </c>
      <c r="E20" s="25">
        <v>45762</v>
      </c>
      <c r="F20" s="17">
        <f>E20-D20</f>
        <v>100</v>
      </c>
      <c r="G20" s="28" t="s">
        <v>1065</v>
      </c>
      <c r="H20" s="18">
        <v>184</v>
      </c>
      <c r="I20" s="5"/>
      <c r="J20" s="7">
        <v>28</v>
      </c>
      <c r="K20" s="7"/>
      <c r="L20" s="7"/>
      <c r="M20" s="7"/>
      <c r="N20" s="7"/>
      <c r="O20" s="7"/>
      <c r="P20" s="7"/>
      <c r="Q20" s="7"/>
      <c r="R20" s="7"/>
      <c r="S20" s="7"/>
      <c r="T20" s="7"/>
      <c r="U20" s="7"/>
      <c r="V20" s="7"/>
      <c r="W20" s="7"/>
      <c r="X20" s="7"/>
      <c r="Y20" s="7"/>
      <c r="Z20" s="7"/>
      <c r="AA20" s="7"/>
    </row>
    <row r="21" spans="1:27" ht="31" customHeight="1">
      <c r="A21" s="17" t="s">
        <v>1066</v>
      </c>
      <c r="B21" s="29" t="s">
        <v>1067</v>
      </c>
      <c r="C21" s="27" t="s">
        <v>1068</v>
      </c>
      <c r="D21" s="16" t="s">
        <v>1069</v>
      </c>
      <c r="E21" s="16" t="s">
        <v>1070</v>
      </c>
      <c r="F21" s="17" t="e">
        <f t="shared" ref="F21:F22" si="1">E21-D21</f>
        <v>#VALUE!</v>
      </c>
      <c r="G21" s="28" t="s">
        <v>1071</v>
      </c>
      <c r="H21" s="18">
        <v>508</v>
      </c>
      <c r="I21" s="7"/>
      <c r="J21" s="7">
        <v>4</v>
      </c>
      <c r="K21" s="7"/>
      <c r="L21" s="7"/>
      <c r="M21" s="7"/>
      <c r="N21" s="9"/>
      <c r="O21" s="9"/>
      <c r="P21" s="9"/>
      <c r="Q21" s="9"/>
      <c r="R21" s="9"/>
      <c r="S21" s="9"/>
      <c r="T21" s="9"/>
      <c r="U21" s="9"/>
      <c r="V21" s="7"/>
      <c r="W21" s="7"/>
      <c r="X21" s="7"/>
      <c r="Y21" s="7"/>
      <c r="Z21" s="7"/>
      <c r="AA21" s="7"/>
    </row>
    <row r="22" spans="1:27" ht="33" customHeight="1">
      <c r="A22" s="17" t="s">
        <v>1072</v>
      </c>
      <c r="B22" s="24" t="s">
        <v>1073</v>
      </c>
      <c r="C22" s="24" t="s">
        <v>1062</v>
      </c>
      <c r="D22" s="16">
        <v>45664</v>
      </c>
      <c r="E22" s="16">
        <f>D22+364+20</f>
        <v>46048</v>
      </c>
      <c r="F22" s="17">
        <f t="shared" si="1"/>
        <v>384</v>
      </c>
      <c r="G22" s="28" t="s">
        <v>1071</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1019"/>
    </row>
    <row r="191" spans="2:2">
      <c r="B191" s="1019"/>
    </row>
    <row r="192" spans="2:2">
      <c r="B192" s="1019"/>
    </row>
    <row r="193" spans="2:2">
      <c r="B193" s="1019"/>
    </row>
    <row r="194" spans="2:2">
      <c r="B194" s="1019"/>
    </row>
    <row r="195" spans="2:2">
      <c r="B195" s="1019"/>
    </row>
    <row r="196" spans="2:2">
      <c r="B196" s="1019"/>
    </row>
    <row r="197" spans="2:2">
      <c r="B197" s="1019"/>
    </row>
    <row r="198" spans="2:2">
      <c r="B198" s="1019"/>
    </row>
    <row r="199" spans="2:2">
      <c r="B199" s="1019"/>
    </row>
    <row r="200" spans="2:2">
      <c r="B200" s="1019"/>
    </row>
    <row r="307" spans="29:29">
      <c r="AC307" s="10">
        <v>185</v>
      </c>
    </row>
    <row r="308" spans="29:29">
      <c r="AC308" s="10">
        <v>5</v>
      </c>
    </row>
  </sheetData>
  <protectedRanges>
    <protectedRange sqref="B2:G5 B15:G17" name="Range1_1"/>
  </protectedRanges>
  <mergeCells count="17">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755" t="s">
        <v>1010</v>
      </c>
      <c r="B1" s="1755"/>
      <c r="C1" s="1755"/>
      <c r="D1" s="1755"/>
      <c r="E1" s="1755"/>
      <c r="F1" s="1755"/>
      <c r="G1" s="1755"/>
      <c r="H1" s="1755"/>
      <c r="I1" s="1755"/>
      <c r="J1" s="1755"/>
      <c r="K1" s="1755"/>
      <c r="L1" s="1755"/>
      <c r="M1" s="1755"/>
      <c r="N1" s="1755"/>
      <c r="O1" s="1755"/>
      <c r="P1" s="1755"/>
      <c r="Q1" s="1755"/>
      <c r="R1" s="1755"/>
      <c r="S1" s="1755"/>
      <c r="T1" s="1755"/>
      <c r="U1" s="1755"/>
      <c r="V1" s="1755"/>
      <c r="W1" s="1755"/>
      <c r="X1" s="1755"/>
      <c r="Y1" s="1755"/>
      <c r="Z1" s="1755"/>
      <c r="AA1" s="45"/>
    </row>
    <row r="2" spans="1:27">
      <c r="A2" s="1755" t="s">
        <v>1011</v>
      </c>
      <c r="B2" s="1756"/>
      <c r="C2" s="1756"/>
      <c r="D2" s="1756"/>
      <c r="E2" s="1756"/>
      <c r="F2" s="1756"/>
      <c r="G2" s="1756"/>
      <c r="H2" s="1756"/>
      <c r="I2" s="1756"/>
      <c r="J2" s="1756"/>
      <c r="K2" s="1756"/>
      <c r="L2" s="1756"/>
      <c r="M2" s="1756"/>
      <c r="N2" s="1756"/>
      <c r="O2" s="1756"/>
      <c r="P2" s="35"/>
      <c r="Q2" s="35"/>
      <c r="R2" s="35"/>
      <c r="S2" s="35"/>
      <c r="T2" s="35"/>
      <c r="U2" s="35"/>
      <c r="V2" s="35"/>
      <c r="W2" s="35"/>
      <c r="X2" s="35"/>
      <c r="Y2" s="35"/>
      <c r="Z2" s="35"/>
      <c r="AA2" s="45"/>
    </row>
    <row r="3" spans="1:27" ht="45.75" customHeight="1">
      <c r="A3" s="1757" t="s">
        <v>1012</v>
      </c>
      <c r="B3" s="1757" t="s">
        <v>1013</v>
      </c>
      <c r="C3" s="1757" t="s">
        <v>1014</v>
      </c>
      <c r="D3" s="1757" t="s">
        <v>1015</v>
      </c>
      <c r="E3" s="1757" t="s">
        <v>1016</v>
      </c>
      <c r="F3" s="11" t="s">
        <v>1017</v>
      </c>
      <c r="G3" s="1757" t="s">
        <v>1018</v>
      </c>
      <c r="H3" s="1753" t="s">
        <v>1019</v>
      </c>
      <c r="I3" s="3" t="s">
        <v>1020</v>
      </c>
      <c r="J3" s="3" t="s">
        <v>1021</v>
      </c>
      <c r="K3" s="3" t="s">
        <v>1022</v>
      </c>
      <c r="L3" s="3" t="s">
        <v>1023</v>
      </c>
      <c r="M3" s="3" t="s">
        <v>1024</v>
      </c>
      <c r="N3" s="3" t="s">
        <v>1025</v>
      </c>
      <c r="O3" s="3" t="s">
        <v>1026</v>
      </c>
      <c r="P3" s="3" t="s">
        <v>1027</v>
      </c>
      <c r="Q3" s="3" t="s">
        <v>1028</v>
      </c>
      <c r="R3" s="3" t="s">
        <v>1029</v>
      </c>
      <c r="S3" s="3" t="s">
        <v>1030</v>
      </c>
      <c r="T3" s="3" t="s">
        <v>1031</v>
      </c>
      <c r="U3" s="3" t="s">
        <v>1032</v>
      </c>
      <c r="V3" s="3" t="s">
        <v>1033</v>
      </c>
      <c r="W3" s="3" t="s">
        <v>1034</v>
      </c>
      <c r="X3" s="3" t="s">
        <v>1035</v>
      </c>
      <c r="Y3" s="3" t="s">
        <v>1036</v>
      </c>
      <c r="Z3" s="3" t="s">
        <v>1037</v>
      </c>
      <c r="AA3" s="3" t="s">
        <v>1038</v>
      </c>
    </row>
    <row r="4" spans="1:27">
      <c r="A4" s="1754"/>
      <c r="B4" s="1754"/>
      <c r="C4" s="1754"/>
      <c r="D4" s="1760"/>
      <c r="E4" s="1754"/>
      <c r="F4" s="12"/>
      <c r="G4" s="1761"/>
      <c r="H4" s="1754"/>
      <c r="I4" s="399" t="s">
        <v>1039</v>
      </c>
      <c r="J4" s="399" t="s">
        <v>1040</v>
      </c>
      <c r="K4" s="399" t="s">
        <v>1041</v>
      </c>
      <c r="L4" s="399" t="s">
        <v>1042</v>
      </c>
      <c r="M4" s="399" t="s">
        <v>1043</v>
      </c>
      <c r="N4" s="399" t="s">
        <v>1044</v>
      </c>
      <c r="O4" s="399" t="s">
        <v>1045</v>
      </c>
      <c r="P4" s="399" t="s">
        <v>1046</v>
      </c>
      <c r="Q4" s="399" t="s">
        <v>1047</v>
      </c>
      <c r="R4" s="399" t="s">
        <v>1048</v>
      </c>
      <c r="S4" s="399" t="s">
        <v>1049</v>
      </c>
      <c r="T4" s="399" t="s">
        <v>1050</v>
      </c>
      <c r="U4" s="399" t="s">
        <v>1051</v>
      </c>
      <c r="V4" s="399" t="s">
        <v>1052</v>
      </c>
      <c r="W4" s="399" t="s">
        <v>1053</v>
      </c>
      <c r="X4" s="399" t="s">
        <v>1054</v>
      </c>
      <c r="Y4" s="399" t="s">
        <v>1055</v>
      </c>
      <c r="Z4" s="399" t="s">
        <v>1056</v>
      </c>
      <c r="AA4" s="399" t="s">
        <v>1057</v>
      </c>
    </row>
    <row r="5" spans="1:27">
      <c r="A5" s="13">
        <v>1</v>
      </c>
      <c r="B5" s="14" t="s">
        <v>1058</v>
      </c>
      <c r="C5" s="15" t="s">
        <v>1059</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1060</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1061</v>
      </c>
      <c r="C7" s="24" t="s">
        <v>1062</v>
      </c>
      <c r="D7" s="25">
        <f>D5+10</f>
        <v>45642</v>
      </c>
      <c r="E7" s="25">
        <f>D7+30</f>
        <v>45672</v>
      </c>
      <c r="F7" s="17">
        <f>E7-D7</f>
        <v>30</v>
      </c>
      <c r="G7" s="26" t="s">
        <v>1063</v>
      </c>
      <c r="H7" s="7"/>
      <c r="I7" s="7"/>
      <c r="J7" s="7"/>
      <c r="K7" s="7"/>
      <c r="L7" s="9"/>
      <c r="M7" s="7"/>
      <c r="N7" s="7"/>
      <c r="O7" s="7"/>
      <c r="P7" s="7"/>
      <c r="Q7" s="7"/>
      <c r="R7" s="7"/>
      <c r="S7" s="7"/>
      <c r="T7" s="7"/>
      <c r="U7" s="7"/>
      <c r="V7" s="7"/>
      <c r="W7" s="7"/>
      <c r="X7" s="7"/>
      <c r="Y7" s="7"/>
      <c r="Z7" s="7"/>
      <c r="AA7" s="7"/>
    </row>
    <row r="8" spans="1:27">
      <c r="A8" s="17"/>
      <c r="B8" s="27" t="s">
        <v>1064</v>
      </c>
      <c r="C8" s="27" t="s">
        <v>1059</v>
      </c>
      <c r="D8" s="25">
        <v>45662</v>
      </c>
      <c r="E8" s="25">
        <v>45762</v>
      </c>
      <c r="F8" s="17">
        <f>E8-D8</f>
        <v>100</v>
      </c>
      <c r="G8" s="28" t="s">
        <v>1065</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1066</v>
      </c>
      <c r="B9" s="29" t="s">
        <v>1067</v>
      </c>
      <c r="C9" s="27" t="s">
        <v>1068</v>
      </c>
      <c r="D9" s="16" t="s">
        <v>1069</v>
      </c>
      <c r="E9" s="16" t="s">
        <v>1070</v>
      </c>
      <c r="F9" s="17" t="e">
        <f t="shared" ref="F9:F10" si="0">E9-D9</f>
        <v>#VALUE!</v>
      </c>
      <c r="G9" s="28" t="s">
        <v>1071</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1072</v>
      </c>
      <c r="B10" s="24" t="s">
        <v>1073</v>
      </c>
      <c r="C10" s="24" t="s">
        <v>1062</v>
      </c>
      <c r="D10" s="16">
        <v>45664</v>
      </c>
      <c r="E10" s="16">
        <f>D10+364+20</f>
        <v>46048</v>
      </c>
      <c r="F10" s="17">
        <f t="shared" si="0"/>
        <v>384</v>
      </c>
      <c r="G10" s="28" t="s">
        <v>1071</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19"/>
      <c r="B11" s="620"/>
      <c r="C11" s="620"/>
      <c r="D11" s="621"/>
      <c r="E11" s="621"/>
      <c r="F11" s="622"/>
      <c r="G11" s="623"/>
      <c r="H11" s="624"/>
      <c r="I11" s="625"/>
      <c r="J11" s="626"/>
      <c r="K11" s="626"/>
      <c r="L11" s="626"/>
      <c r="M11" s="626"/>
      <c r="N11" s="626"/>
      <c r="O11" s="627"/>
      <c r="P11" s="627"/>
      <c r="Q11" s="627"/>
      <c r="R11" s="627"/>
      <c r="S11" s="627"/>
      <c r="T11" s="627"/>
      <c r="U11" s="627"/>
      <c r="V11" s="627"/>
      <c r="W11" s="627"/>
      <c r="X11" s="627"/>
      <c r="Y11" s="627"/>
      <c r="Z11" s="627"/>
      <c r="AA11" s="627"/>
    </row>
    <row r="12" spans="1:27" ht="33" customHeight="1">
      <c r="A12" s="619"/>
      <c r="B12" s="620"/>
      <c r="C12" s="620"/>
      <c r="D12" s="621"/>
      <c r="E12" s="621"/>
      <c r="F12" s="622"/>
      <c r="G12" s="623"/>
      <c r="H12" s="624"/>
      <c r="I12" s="625"/>
      <c r="J12" s="626"/>
      <c r="K12" s="626"/>
      <c r="L12" s="626"/>
      <c r="M12" s="626"/>
      <c r="N12" s="626"/>
      <c r="O12" s="627"/>
      <c r="P12" s="627"/>
      <c r="Q12" s="627"/>
      <c r="R12" s="627"/>
      <c r="S12" s="627"/>
      <c r="T12" s="627"/>
      <c r="U12" s="627"/>
      <c r="V12" s="627"/>
      <c r="W12" s="627"/>
      <c r="X12" s="627"/>
      <c r="Y12" s="627"/>
      <c r="Z12" s="627"/>
      <c r="AA12" s="627"/>
    </row>
    <row r="13" spans="1:27" ht="33" customHeight="1">
      <c r="A13" s="619"/>
      <c r="B13" s="620"/>
      <c r="C13" s="620"/>
      <c r="D13" s="621"/>
      <c r="E13" s="621"/>
      <c r="F13" s="622"/>
      <c r="G13" s="623"/>
      <c r="H13" s="624"/>
      <c r="I13" s="625"/>
      <c r="J13" s="626"/>
      <c r="K13" s="626"/>
      <c r="L13" s="626"/>
      <c r="M13" s="626"/>
      <c r="N13" s="626"/>
      <c r="O13" s="627"/>
      <c r="P13" s="627"/>
      <c r="Q13" s="627"/>
      <c r="R13" s="627"/>
      <c r="S13" s="627"/>
      <c r="T13" s="627"/>
      <c r="U13" s="627"/>
      <c r="V13" s="627"/>
      <c r="W13" s="627"/>
      <c r="X13" s="627"/>
      <c r="Y13" s="627"/>
      <c r="Z13" s="627"/>
      <c r="AA13" s="627"/>
    </row>
    <row r="14" spans="1:27">
      <c r="A14" s="1758" t="s">
        <v>1074</v>
      </c>
      <c r="B14" s="30" t="s">
        <v>1075</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759"/>
      <c r="B15" s="33" t="s">
        <v>1076</v>
      </c>
    </row>
    <row r="16" spans="1:27">
      <c r="A16" s="1759"/>
      <c r="B16" s="33" t="s">
        <v>1077</v>
      </c>
    </row>
    <row r="17" spans="1:27">
      <c r="A17" s="34" t="s">
        <v>1078</v>
      </c>
    </row>
    <row r="18" spans="1:27" ht="45.75" customHeight="1">
      <c r="A18" s="1757" t="s">
        <v>1012</v>
      </c>
      <c r="B18" s="1757" t="s">
        <v>1013</v>
      </c>
      <c r="C18" s="1757" t="s">
        <v>1014</v>
      </c>
      <c r="D18" s="1757" t="s">
        <v>1015</v>
      </c>
      <c r="E18" s="1757" t="s">
        <v>1016</v>
      </c>
      <c r="F18" s="11" t="s">
        <v>1017</v>
      </c>
      <c r="G18" s="1757" t="s">
        <v>1018</v>
      </c>
      <c r="H18" s="1753" t="s">
        <v>1019</v>
      </c>
      <c r="I18" s="3" t="s">
        <v>1020</v>
      </c>
      <c r="J18" s="3" t="s">
        <v>1021</v>
      </c>
      <c r="K18" s="3" t="s">
        <v>1022</v>
      </c>
      <c r="L18" s="3" t="s">
        <v>1023</v>
      </c>
      <c r="M18" s="3" t="s">
        <v>1024</v>
      </c>
      <c r="N18" s="3" t="s">
        <v>1025</v>
      </c>
      <c r="O18" s="3" t="s">
        <v>1026</v>
      </c>
      <c r="P18" s="3" t="s">
        <v>1027</v>
      </c>
      <c r="Q18" s="3" t="s">
        <v>1028</v>
      </c>
      <c r="R18" s="3" t="s">
        <v>1029</v>
      </c>
      <c r="S18" s="3" t="s">
        <v>1030</v>
      </c>
      <c r="T18" s="3" t="s">
        <v>1031</v>
      </c>
      <c r="U18" s="3" t="s">
        <v>1032</v>
      </c>
      <c r="V18" s="3" t="s">
        <v>1033</v>
      </c>
      <c r="W18" s="3" t="s">
        <v>1034</v>
      </c>
      <c r="X18" s="3" t="s">
        <v>1035</v>
      </c>
      <c r="Y18" s="3" t="s">
        <v>1036</v>
      </c>
      <c r="Z18" s="3" t="s">
        <v>1037</v>
      </c>
      <c r="AA18" s="3" t="s">
        <v>1038</v>
      </c>
    </row>
    <row r="19" spans="1:27">
      <c r="A19" s="1754"/>
      <c r="B19" s="1754"/>
      <c r="C19" s="1754"/>
      <c r="D19" s="1760"/>
      <c r="E19" s="1754"/>
      <c r="F19" s="12"/>
      <c r="G19" s="1761"/>
      <c r="H19" s="1754"/>
      <c r="I19" s="399" t="s">
        <v>1039</v>
      </c>
      <c r="J19" s="399" t="s">
        <v>1040</v>
      </c>
      <c r="K19" s="399" t="s">
        <v>1041</v>
      </c>
      <c r="L19" s="399" t="s">
        <v>1042</v>
      </c>
      <c r="M19" s="399" t="s">
        <v>1043</v>
      </c>
      <c r="N19" s="399" t="s">
        <v>1044</v>
      </c>
      <c r="O19" s="399" t="s">
        <v>1045</v>
      </c>
      <c r="P19" s="399" t="s">
        <v>1046</v>
      </c>
      <c r="Q19" s="399" t="s">
        <v>1047</v>
      </c>
      <c r="R19" s="399" t="s">
        <v>1048</v>
      </c>
      <c r="S19" s="399" t="s">
        <v>1049</v>
      </c>
      <c r="T19" s="399" t="s">
        <v>1050</v>
      </c>
      <c r="U19" s="399" t="s">
        <v>1051</v>
      </c>
      <c r="V19" s="399" t="s">
        <v>1052</v>
      </c>
      <c r="W19" s="399" t="s">
        <v>1053</v>
      </c>
      <c r="X19" s="399" t="s">
        <v>1054</v>
      </c>
      <c r="Y19" s="399" t="s">
        <v>1055</v>
      </c>
      <c r="Z19" s="399" t="s">
        <v>1056</v>
      </c>
      <c r="AA19" s="399" t="s">
        <v>1057</v>
      </c>
    </row>
    <row r="20" spans="1:27">
      <c r="A20" s="13">
        <v>1</v>
      </c>
      <c r="B20" s="14" t="s">
        <v>1058</v>
      </c>
      <c r="C20" s="15" t="s">
        <v>1059</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1060</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1061</v>
      </c>
      <c r="C22" s="24" t="s">
        <v>1062</v>
      </c>
      <c r="D22" s="25">
        <f>D20+10</f>
        <v>45642</v>
      </c>
      <c r="E22" s="25">
        <f>D22+30</f>
        <v>45672</v>
      </c>
      <c r="F22" s="17">
        <f>E22-D22</f>
        <v>30</v>
      </c>
      <c r="G22" s="26" t="s">
        <v>1063</v>
      </c>
      <c r="H22" s="7"/>
      <c r="I22" s="7"/>
      <c r="J22" s="44">
        <v>1</v>
      </c>
      <c r="K22" s="7"/>
      <c r="L22" s="9"/>
      <c r="M22" s="7"/>
      <c r="N22" s="7"/>
      <c r="O22" s="7"/>
      <c r="P22" s="7"/>
      <c r="Q22" s="7"/>
      <c r="R22" s="7"/>
      <c r="S22" s="7"/>
      <c r="T22" s="7"/>
      <c r="U22" s="7"/>
      <c r="V22" s="7"/>
      <c r="W22" s="7"/>
      <c r="X22" s="7"/>
      <c r="Y22" s="7"/>
      <c r="Z22" s="7"/>
      <c r="AA22" s="7"/>
    </row>
    <row r="23" spans="1:27">
      <c r="A23" s="17"/>
      <c r="B23" s="27" t="s">
        <v>1064</v>
      </c>
      <c r="C23" s="27" t="s">
        <v>1059</v>
      </c>
      <c r="D23" s="25">
        <v>45662</v>
      </c>
      <c r="E23" s="25">
        <v>45762</v>
      </c>
      <c r="F23" s="17">
        <f>E23-D23</f>
        <v>100</v>
      </c>
      <c r="G23" s="28" t="s">
        <v>1065</v>
      </c>
      <c r="H23" s="18">
        <v>184</v>
      </c>
      <c r="I23" s="5"/>
      <c r="J23" s="7">
        <v>28</v>
      </c>
      <c r="K23" s="7"/>
      <c r="L23" s="7"/>
      <c r="M23" s="7"/>
      <c r="N23" s="7"/>
      <c r="O23" s="7"/>
      <c r="P23" s="7"/>
      <c r="Q23" s="7"/>
      <c r="R23" s="7"/>
      <c r="S23" s="7"/>
      <c r="T23" s="7"/>
      <c r="U23" s="7"/>
      <c r="V23" s="7"/>
      <c r="W23" s="7"/>
      <c r="X23" s="7"/>
      <c r="Y23" s="7"/>
      <c r="Z23" s="7"/>
      <c r="AA23" s="7"/>
    </row>
    <row r="24" spans="1:27" ht="31" customHeight="1">
      <c r="A24" s="17" t="s">
        <v>1066</v>
      </c>
      <c r="B24" s="29" t="s">
        <v>1067</v>
      </c>
      <c r="C24" s="27" t="s">
        <v>1068</v>
      </c>
      <c r="D24" s="16" t="s">
        <v>1069</v>
      </c>
      <c r="E24" s="16" t="s">
        <v>1070</v>
      </c>
      <c r="F24" s="17" t="e">
        <f t="shared" ref="F24:F25" si="1">E24-D24</f>
        <v>#VALUE!</v>
      </c>
      <c r="G24" s="28" t="s">
        <v>1071</v>
      </c>
      <c r="H24" s="18">
        <v>508</v>
      </c>
      <c r="I24" s="7"/>
      <c r="J24" s="7">
        <v>4</v>
      </c>
      <c r="K24" s="7"/>
      <c r="L24" s="7"/>
      <c r="M24" s="7"/>
      <c r="N24" s="9"/>
      <c r="O24" s="9"/>
      <c r="P24" s="9"/>
      <c r="Q24" s="9"/>
      <c r="R24" s="9"/>
      <c r="S24" s="9"/>
      <c r="T24" s="9"/>
      <c r="U24" s="9"/>
      <c r="V24" s="7"/>
      <c r="W24" s="7"/>
      <c r="X24" s="7"/>
      <c r="Y24" s="7"/>
      <c r="Z24" s="7"/>
      <c r="AA24" s="7"/>
    </row>
    <row r="25" spans="1:27" ht="33" customHeight="1">
      <c r="A25" s="17" t="s">
        <v>1072</v>
      </c>
      <c r="B25" s="24" t="s">
        <v>1073</v>
      </c>
      <c r="C25" s="24" t="s">
        <v>1062</v>
      </c>
      <c r="D25" s="16">
        <v>45664</v>
      </c>
      <c r="E25" s="16">
        <f>D25+364+20</f>
        <v>46048</v>
      </c>
      <c r="F25" s="17">
        <f t="shared" si="1"/>
        <v>384</v>
      </c>
      <c r="G25" s="28" t="s">
        <v>1071</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27</v>
      </c>
      <c r="C4" t="s">
        <v>1011</v>
      </c>
    </row>
    <row r="5" spans="2:21">
      <c r="B5" s="2"/>
      <c r="C5" s="3" t="s">
        <v>1020</v>
      </c>
      <c r="D5" s="3" t="s">
        <v>1021</v>
      </c>
      <c r="E5" s="3" t="s">
        <v>1022</v>
      </c>
      <c r="F5" s="3" t="s">
        <v>1023</v>
      </c>
      <c r="G5" s="3" t="s">
        <v>1024</v>
      </c>
      <c r="H5" s="3" t="s">
        <v>1025</v>
      </c>
      <c r="I5" s="3" t="s">
        <v>1026</v>
      </c>
      <c r="J5" s="3" t="s">
        <v>1027</v>
      </c>
      <c r="K5" s="3" t="s">
        <v>1028</v>
      </c>
      <c r="L5" s="3" t="s">
        <v>1029</v>
      </c>
      <c r="M5" s="3" t="s">
        <v>1030</v>
      </c>
      <c r="N5" s="3" t="s">
        <v>1031</v>
      </c>
      <c r="O5" s="3" t="s">
        <v>1032</v>
      </c>
      <c r="P5" s="3" t="s">
        <v>1033</v>
      </c>
      <c r="Q5" s="3" t="s">
        <v>1034</v>
      </c>
      <c r="R5" s="3" t="s">
        <v>1035</v>
      </c>
      <c r="S5" s="3" t="s">
        <v>1036</v>
      </c>
      <c r="T5" s="3" t="s">
        <v>1037</v>
      </c>
      <c r="U5" s="3" t="s">
        <v>1038</v>
      </c>
    </row>
    <row r="6" spans="2:21" ht="42">
      <c r="B6" s="4" t="s">
        <v>41</v>
      </c>
      <c r="C6" s="5"/>
      <c r="D6" s="6">
        <v>20</v>
      </c>
      <c r="E6" s="7">
        <v>60</v>
      </c>
      <c r="F6" s="7">
        <v>60</v>
      </c>
      <c r="G6" s="7">
        <f>60-16</f>
        <v>44</v>
      </c>
      <c r="H6" s="7"/>
      <c r="I6" s="7"/>
      <c r="J6" s="7"/>
      <c r="K6" s="7"/>
      <c r="L6" s="7"/>
      <c r="M6" s="7"/>
      <c r="N6" s="7"/>
      <c r="O6" s="7"/>
      <c r="P6" s="7"/>
      <c r="Q6" s="7"/>
      <c r="R6" s="7"/>
      <c r="S6" s="7"/>
      <c r="T6" s="7"/>
      <c r="U6" s="7"/>
    </row>
    <row r="7" spans="2:21" ht="28">
      <c r="B7" s="4" t="s">
        <v>1079</v>
      </c>
      <c r="C7" s="5"/>
      <c r="D7" s="6">
        <v>28</v>
      </c>
      <c r="E7" s="7"/>
      <c r="F7" s="7"/>
      <c r="G7" s="7"/>
      <c r="H7" s="7"/>
      <c r="I7" s="7"/>
      <c r="J7" s="7"/>
      <c r="K7" s="7"/>
      <c r="L7" s="7"/>
      <c r="M7" s="7"/>
      <c r="N7" s="7"/>
      <c r="O7" s="7"/>
      <c r="P7" s="7"/>
      <c r="Q7" s="7"/>
      <c r="R7" s="7"/>
      <c r="S7" s="7"/>
      <c r="T7" s="7"/>
      <c r="U7" s="7"/>
    </row>
    <row r="8" spans="2:21" ht="28">
      <c r="B8" s="8" t="s">
        <v>45</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1080</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1081</v>
      </c>
      <c r="C10" s="7"/>
      <c r="D10" s="7">
        <v>3</v>
      </c>
      <c r="E10" s="7"/>
      <c r="F10" s="7"/>
      <c r="G10" s="7"/>
      <c r="H10" s="7"/>
      <c r="I10" s="7"/>
      <c r="J10" s="7"/>
      <c r="K10" s="7"/>
      <c r="L10" s="7"/>
      <c r="M10" s="7"/>
      <c r="N10" s="7"/>
      <c r="O10" s="7"/>
      <c r="P10" s="7"/>
      <c r="Q10" s="9"/>
      <c r="R10" s="9"/>
      <c r="S10" s="9"/>
      <c r="T10" s="9"/>
      <c r="U10" s="9"/>
    </row>
    <row r="11" spans="2:21">
      <c r="B11" s="8" t="s">
        <v>278</v>
      </c>
      <c r="C11" s="7"/>
      <c r="D11" s="7">
        <v>2</v>
      </c>
      <c r="E11" s="7"/>
      <c r="F11" s="7"/>
      <c r="G11" s="7"/>
      <c r="H11" s="7"/>
      <c r="I11" s="7"/>
      <c r="J11" s="7"/>
      <c r="K11" s="7"/>
      <c r="L11" s="7"/>
      <c r="M11" s="7"/>
      <c r="N11" s="7"/>
      <c r="O11" s="7"/>
      <c r="P11" s="7"/>
      <c r="Q11" s="9"/>
      <c r="R11" s="9"/>
      <c r="S11" s="9"/>
      <c r="T11" s="9"/>
      <c r="U11" s="9"/>
    </row>
    <row r="12" spans="2:21" ht="28">
      <c r="B12" s="8" t="s">
        <v>1082</v>
      </c>
      <c r="C12" s="7"/>
      <c r="D12" s="7"/>
      <c r="E12" s="7"/>
      <c r="F12" s="7"/>
      <c r="G12" s="7"/>
      <c r="H12" s="7"/>
      <c r="I12" s="7"/>
      <c r="J12" s="7"/>
      <c r="K12" s="7"/>
      <c r="L12" s="7"/>
      <c r="M12" s="7"/>
      <c r="N12" s="7"/>
      <c r="O12" s="7"/>
      <c r="P12" s="7"/>
      <c r="Q12" s="9"/>
      <c r="R12" s="9"/>
      <c r="S12" s="9"/>
      <c r="T12" s="9"/>
      <c r="U12" s="9"/>
    </row>
    <row r="13" spans="2:21" ht="42">
      <c r="B13" s="8" t="s">
        <v>1083</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5</vt:i4>
      </vt:variant>
    </vt:vector>
  </HeadingPairs>
  <TitlesOfParts>
    <vt:vector size="37" baseType="lpstr">
      <vt:lpstr> </vt: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Earthing</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2025-09-28T06:08:05Z</cp:lastPrinted>
  <dcterms:created xsi:type="dcterms:W3CDTF">2023-02-01T07:49:00Z</dcterms:created>
  <dcterms:modified xsi:type="dcterms:W3CDTF">2025-11-09T05:23:54Z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