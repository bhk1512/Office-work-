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F210F6FC-54A8-48FE-9FF6-B25D564AD68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'!$A$332:$DC$436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Sheet'!$A$1:$O$60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7" i="12" l="1"/>
  <c r="A108" i="12"/>
  <c r="A109" i="12"/>
  <c r="B437" i="2"/>
  <c r="B438" i="2"/>
  <c r="B439" i="2"/>
  <c r="B322" i="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0" i="1" l="1"/>
  <c r="J47" i="18" s="1"/>
  <c r="B196" i="2" l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0" i="1" l="1"/>
  <c r="K49" i="1"/>
  <c r="G50" i="1"/>
  <c r="G49" i="1"/>
  <c r="G46" i="18" s="1"/>
  <c r="G48" i="1"/>
  <c r="K48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50" i="1" l="1"/>
  <c r="I47" i="18" s="1"/>
  <c r="G47" i="18"/>
  <c r="L48" i="1"/>
  <c r="L46" i="18" s="1"/>
  <c r="K45" i="18"/>
  <c r="L49" i="1"/>
  <c r="L47" i="18" s="1"/>
  <c r="K46" i="18"/>
  <c r="I48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K18" i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34" i="2" l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C333" i="2"/>
  <c r="C333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<sst xmlns="http://schemas.openxmlformats.org/spreadsheetml/2006/main" count="7719" uniqueCount="1006">
  <si>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</si>
  <si>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</si>
  <si>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</si>
  <si>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</si>
  <si>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</si>
  <si>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</si>
  <si>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</si>
  <si>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</si>
  <si>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</si>
  <si>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</si>
  <si>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</si>
  <si>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</si>
  <si>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</si>
  <si>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</si>
  <si>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</si>
  <si>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</si>
  <si>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</si>
  <si>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</si>
  <si>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</si>
  <si>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</si>
  <si>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</si>
  <si>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</si>
  <si>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</si>
  <si>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</si>
  <si>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</si>
  <si>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</si>
  <si>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</si>
  <si>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</si>
  <si>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</si>
  <si>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</si>
  <si>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</si>
  <si>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</si>
  <si>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</si>
  <si>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</si>
  <si>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</si>
  <si>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</si>
  <si>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</si>
  <si>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</si>
  <si>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</si>
  <si>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</si>
  <si>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</si>
  <si>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</si>
  <si>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</si>
  <si>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</si>
  <si>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</si>
  <si>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</si>
  <si>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</si>
  <si>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</si>
  <si>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</si>
  <si>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</si>
  <si>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</si>
  <si>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</si>
  <si>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</si>
  <si>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</si>
  <si>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</si>
  <si>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</si>
  <si>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</si>
  <si>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</si>
  <si>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</si>
  <si>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</si>
  <si>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</si>
  <si>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</si>
  <si>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</si>
  <si>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</si>
  <si>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</si>
  <si>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</si>
  <si>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</si>
  <si>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</si>
  <si>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</si>
  <si>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</si>
  <si>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</si>
  <si>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</si>
  <si>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</si>
  <si>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</si>
  <si>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</si>
  <si>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</si>
  <si>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</si>
  <si>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</si>
  <si>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</si>
  <si>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</si>
  <si>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</si>
  <si>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</si>
  <si>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</si>
  <si>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</si>
  <si>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</si>
  <si>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</si>
  <si>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</si>
  <si>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</si>
  <si>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</si>
  <si>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</si>
  <si>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</si>
  <si>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</si>
  <si>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</si>
  <si>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</si>
  <si>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</si>
  <si>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</si>
  <si>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</si>
  <si>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</si>
  <si>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</si>
  <si>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</si>
  <si>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</si>
  <si>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</si>
  <si>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</si>
  <si>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</si>
  <si>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</si>
  <si>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</si>
  <si>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</si>
  <si>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</si>
  <si>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</si>
  <si>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</si>
  <si>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</si>
  <si>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</si>
  <si>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</si>
  <si>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</si>
  <si>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</si>
  <si>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</si>
  <si>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</si>
  <si>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</si>
  <si>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</si>
  <si>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</si>
  <si>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</si>
  <si>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</si>
  <si>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</si>
  <si>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</si>
  <si>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</si>
  <si>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</si>
  <si>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</si>
  <si>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</si>
  <si>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</si>
  <si>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</si>
  <si>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</si>
  <si>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</si>
  <si>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</si>
  <si>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</si>
  <si>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</si>
  <si>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</si>
  <si>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</si>
  <si>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</si>
  <si>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</si>
  <si>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</si>
  <si>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</si>
  <si>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</si>
  <si>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</si>
  <si>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</si>
  <si>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</si>
  <si>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</si>
  <si>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</si>
  <si>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</si>
  <si>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</si>
  <si>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</si>
  <si>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</si>
  <si>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</si>
  <si>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</si>
  <si>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</si>
  <si>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</si>
  <si>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</si>
  <si>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</si>
  <si>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</si>
  <si>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</si>
  <si>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</si>
  <si>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</si>
  <si>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</si>
  <si>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</si>
  <si>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</si>
  <si>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</si>
  <si>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</si>
  <si>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</si>
  <si>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</si>
  <si>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</si>
  <si>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</si>
  <si>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</si>
  <si>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</si>
  <si>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</si>
  <si>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</si>
  <si>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</si>
  <si>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</si>
  <si>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</si>
  <si>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</si>
  <si>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</si>
  <si>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</si>
  <si>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</si>
  <si>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</si>
  <si>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</si>
  <si>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</si>
  <si>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</si>
  <si>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</si>
  <si>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</si>
  <si>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</si>
  <si>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</si>
  <si>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</si>
  <si>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</si>
  <si>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</si>
  <si>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</si>
  <si>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</si>
  <si>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</si>
  <si>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</si>
  <si>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</si>
  <si>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</si>
  <si>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</si>
  <si>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</si>
  <si>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</si>
  <si>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</si>
  <si>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</si>
  <si>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</si>
  <si>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</si>
  <si>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</si>
  <si>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</si>
  <si>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</si>
  <si>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</si>
  <si>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</si>
  <si>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</si>
  <si>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</si>
  <si>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</si>
  <si>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</si>
  <si>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</si>
  <si>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</si>
  <si>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</si>
  <si>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</si>
  <si>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</si>
  <si>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</si>
  <si>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</si>
  <si>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</si>
  <si>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</si>
  <si>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</si>
  <si>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</si>
  <si>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</si>
  <si>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</si>
  <si>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</si>
  <si>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</si>
  <si>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</si>
  <si>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</si>
  <si>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</si>
  <si>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</si>
  <si>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</si>
  <si>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</si>
  <si>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</si>
  <si>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</si>
  <si>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</si>
  <si>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</si>
  <si>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</si>
  <si>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</si>
  <si>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</si>
  <si>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</si>
  <si>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</si>
  <si>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</si>
  <si>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</si>
  <si>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</si>
  <si>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</si>
  <si>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</si>
  <si>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</si>
  <si>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</si>
  <si>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</si>
  <si>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</si>
  <si>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</si>
  <si>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</si>
  <si>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</si>
  <si>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</si>
  <si>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</si>
  <si>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</si>
  <si>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</si>
  <si>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</si>
  <si>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</si>
  <si>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</si>
  <si>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</si>
  <si>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</si>
  <si>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</si>
  <si>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</si>
  <si>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</si>
  <si>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</si>
  <si>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</si>
  <si>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</si>
  <si>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</si>
  <si>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</si>
  <si>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</si>
  <si>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</si>
  <si>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</si>
  <si>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</si>
  <si>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</si>
  <si>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</si>
  <si>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</si>
  <si>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</si>
  <si>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</si>
  <si>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</si>
  <si>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</si>
  <si>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</si>
  <si>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</si>
  <si>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</si>
  <si>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</si>
  <si>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</si>
  <si>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</si>
  <si>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</si>
  <si>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</si>
  <si>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</si>
  <si>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</si>
  <si>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</si>
  <si>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</si>
  <si>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</si>
  <si>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</si>
  <si>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</si>
  <si>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</si>
  <si>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</si>
  <si>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</si>
  <si>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</si>
  <si>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</si>
  <si>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</si>
  <si>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</si>
  <si>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</si>
  <si>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</si>
  <si>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</si>
  <si>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</si>
  <si>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</si>
  <si>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</si>
  <si>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</si>
  <si>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</si>
  <si>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</si>
  <si>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</si>
  <si>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</si>
  <si>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</si>
  <si>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</si>
  <si>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</si>
  <si>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</si>
  <si>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</si>
  <si>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</si>
  <si>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</si>
  <si>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</si>
  <si>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</si>
  <si>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</si>
  <si>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</si>
  <si>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</si>
  <si>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</si>
  <si>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</si>
  <si>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</si>
  <si>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</si>
  <si>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</si>
  <si>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</si>
  <si>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</si>
  <si>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</si>
  <si>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</si>
  <si>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</si>
  <si>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</si>
  <si>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</si>
  <si>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</si>
  <si>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</si>
  <si>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</si>
  <si>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</si>
  <si>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</si>
  <si>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</si>
  <si>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</si>
  <si>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</si>
  <si>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</si>
  <si>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</si>
  <si>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</si>
  <si>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</si>
  <si>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</si>
  <si>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</si>
  <si>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</si>
  <si>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</si>
  <si>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</si>
  <si>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</si>
  <si>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</si>
  <si>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</si>
  <si>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</si>
  <si>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</si>
  <si>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</si>
  <si>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</si>
  <si>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</si>
  <si>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</si>
  <si>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</si>
  <si>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</si>
  <si>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</si>
  <si>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</si>
  <si>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</si>
  <si>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</si>
  <si>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</si>
  <si>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</si>
  <si>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</si>
  <si>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</si>
  <si>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</si>
  <si>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</si>
  <si>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</si>
  <si>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</si>
  <si>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</si>
  <si>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</si>
  <si>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</si>
  <si>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</si>
  <si>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</si>
  <si>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</si>
  <si>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</si>
  <si>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</si>
  <si>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</si>
  <si>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</si>
  <si>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</si>
  <si>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</si>
  <si>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</si>
  <si>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</si>
  <si>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</si>
  <si>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</si>
  <si>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</si>
  <si>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</si>
  <si>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</si>
  <si>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</si>
  <si>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</si>
  <si>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</si>
  <si>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</si>
  <si>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</si>
  <si>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</si>
  <si>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</si>
  <si>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</si>
  <si>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</si>
  <si>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</si>
  <si>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</si>
  <si>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</si>
  <si>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</si>
  <si>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</si>
  <si>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</si>
  <si>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</si>
  <si>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</si>
  <si>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</si>
  <si>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</si>
  <si>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</si>
  <si>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</si>
  <si>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</si>
  <si>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</si>
  <si>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</si>
  <si>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</si>
  <si>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</si>
  <si>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</si>
  <si>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</si>
  <si>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</si>
  <si>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</si>
  <si>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</si>
  <si>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</si>
  <si>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</si>
  <si>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</si>
  <si>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</si>
  <si>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</si>
  <si>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</si>
  <si>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</si>
  <si>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</si>
  <si>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</si>
  <si>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</si>
  <si>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</si>
  <si>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</si>
  <si>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</si>
  <si>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</si>
  <si>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</si>
  <si>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</si>
  <si>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</si>
  <si>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</si>
  <si>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</si>
  <si>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</si>
  <si>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</si>
  <si>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</si>
  <si>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</si>
  <si>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</si>
  <si>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</si>
  <si>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</si>
  <si>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</si>
  <si>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</si>
  <si>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</si>
  <si>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</si>
  <si>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</si>
  <si>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</si>
  <si>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</si>
  <si>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</si>
  <si>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</si>
  <si>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</si>
  <si>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</si>
  <si>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</si>
  <si>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</si>
  <si>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</si>
  <si>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</si>
  <si>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</si>
  <si>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</si>
  <si>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</si>
  <si>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</si>
  <si>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</si>
  <si>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</si>
  <si>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</si>
  <si>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</si>
  <si>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</si>
  <si>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</si>
  <si>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</si>
  <si>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</si>
  <si>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</si>
  <si>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</si>
  <si>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</si>
  <si>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</si>
  <si>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</si>
  <si>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</si>
  <si>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</si>
  <si>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</si>
  <si>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</si>
  <si>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</si>
  <si>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</si>
  <si>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</si>
  <si>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</si>
  <si>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</si>
  <si>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</si>
  <si>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</si>
  <si>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</si>
  <si>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</si>
  <si>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</si>
  <si>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</si>
  <si>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</si>
  <si>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</si>
  <si>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</si>
  <si>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</si>
  <si>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</si>
  <si>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</si>
  <si>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</si>
  <si>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</si>
  <si>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</si>
  <si>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</si>
  <si>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</si>
  <si>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</si>
  <si>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</si>
  <si>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</si>
  <si>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</si>
  <si>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</si>
  <si>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</si>
  <si>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</si>
  <si>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</si>
  <si>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</si>
  <si>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</si>
  <si>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</si>
  <si>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</si>
  <si>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</si>
  <si>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</si>
  <si>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</si>
  <si>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</si>
  <si>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</si>
  <si>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</si>
  <si>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</si>
  <si>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</si>
  <si>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</si>
  <si>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</si>
  <si>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</si>
  <si>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</si>
  <si>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</si>
  <si>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</si>
  <si>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</si>
  <si>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</si>
  <si>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</si>
  <si>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</si>
  <si>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</si>
  <si>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</si>
  <si>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</si>
  <si>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</si>
  <si>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</si>
  <si>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</si>
  <si>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</si>
  <si>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</si>
  <si>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</si>
  <si>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</si>
  <si>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</si>
  <si>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</si>
  <si>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</si>
  <si>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</si>
  <si>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</si>
  <si>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</si>
  <si>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</si>
  <si>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</si>
  <si>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</si>
  <si>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</si>
  <si>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</si>
  <si>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</si>
  <si>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</si>
  <si>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</si>
  <si>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</si>
  <si>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</si>
  <si>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</si>
  <si>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</si>
  <si>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</si>
  <si>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</si>
  <si>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</si>
  <si>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</si>
  <si>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</si>
  <si>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</si>
  <si>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</si>
  <si>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</si>
  <si>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</si>
  <si>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</si>
  <si>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</si>
  <si>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</si>
  <si>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</si>
  <si>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</si>
  <si>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</si>
  <si>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</si>
  <si>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</si>
  <si>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</si>
  <si>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</si>
  <si>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</si>
  <si>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</si>
  <si>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</si>
  <si>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</si>
  <si>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</si>
  <si>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</si>
  <si>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</si>
  <si>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</si>
  <si>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</si>
  <si>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</si>
  <si>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</si>
  <si>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</si>
  <si>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</si>
  <si>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</si>
  <si>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</si>
  <si>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</si>
  <si>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</si>
  <si>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</si>
  <si>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</si>
  <si>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</si>
  <si>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</si>
  <si>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</si>
  <si>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</si>
  <si>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</si>
  <si>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</si>
  <si>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</si>
  <si>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</si>
  <si>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</si>
  <si>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</si>
  <si>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</si>
  <si>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</si>
  <si>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</si>
  <si>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</si>
  <si>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</si>
  <si>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</si>
  <si>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</si>
  <si>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</si>
  <si>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</si>
  <si>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</si>
  <si>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</si>
  <si>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</si>
  <si>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</si>
  <si>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</si>
  <si>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</si>
  <si>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</si>
  <si>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</si>
  <si>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</si>
  <si>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</si>
  <si>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</si>
  <si>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</si>
  <si>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</si>
  <si>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</si>
  <si>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</si>
  <si>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</si>
  <si>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</si>
  <si>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</si>
  <si>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</si>
  <si>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</si>
  <si>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</si>
  <si>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</si>
  <si>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</si>
  <si>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</si>
  <si>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</si>
  <si>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</si>
  <si>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</si>
  <si>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</si>
  <si>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</si>
  <si>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</si>
  <si>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</si>
  <si>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</si>
  <si>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</si>
  <si>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</si>
  <si>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</si>
  <si>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</si>
  <si>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</si>
  <si>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</si>
  <si>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</si>
  <si>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</si>
  <si>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</si>
  <si>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</si>
  <si>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</si>
  <si>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</si>
  <si>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</si>
  <si>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</si>
  <si>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</si>
  <si>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</si>
  <si>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</si>
  <si>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</si>
  <si>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</si>
  <si>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</si>
  <si>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</si>
  <si>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</si>
  <si>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</si>
  <si>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</si>
  <si>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</si>
  <si>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</si>
  <si>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</si>
  <si>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</si>
  <si>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</si>
  <si>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</si>
  <si>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</si>
  <si>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</si>
  <si>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</si>
  <si>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</si>
  <si>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</si>
  <si>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</si>
  <si>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</si>
  <si>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</si>
  <si>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</si>
  <si>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</si>
  <si>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</si>
  <si>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</si>
  <si>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</si>
  <si>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</si>
  <si>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</si>
  <si>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</si>
  <si>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</si>
  <si>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</si>
  <si>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</si>
  <si>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</si>
  <si>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</si>
  <si>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</si>
  <si>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</si>
  <si>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</si>
  <si>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</si>
  <si>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</si>
  <si>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</si>
  <si>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</si>
  <si>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</si>
  <si>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</si>
  <si>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</si>
  <si>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</si>
  <si>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</si>
  <si>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</si>
  <si>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</si>
  <si>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</si>
  <si>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</si>
  <si>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</si>
  <si>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</si>
  <si>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</si>
  <si>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</si>
  <si>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</si>
  <si>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</si>
  <si>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</si>
  <si>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</si>
  <si>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</si>
  <si>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</si>
  <si>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</si>
  <si>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</si>
  <si>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</si>
  <si>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</si>
  <si>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</si>
  <si>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</si>
  <si>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</si>
  <si>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</si>
  <si>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</si>
  <si>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</si>
  <si>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</si>
  <si>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</si>
  <si>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</si>
  <si>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</si>
  <si>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</si>
  <si>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</si>
  <si>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</si>
  <si>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</si>
  <si>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</si>
  <si>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</si>
  <si>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</si>
  <si>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</si>
  <si>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</si>
  <si>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</si>
  <si>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</si>
  <si>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</si>
  <si>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</si>
  <si>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</si>
  <si>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</si>
  <si>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</si>
  <si>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</si>
  <si>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</si>
  <si>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</si>
  <si>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</si>
  <si>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</si>
  <si>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</si>
  <si>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</si>
  <si>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</si>
  <si>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</si>
  <si>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</si>
  <si>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</si>
  <si>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</si>
  <si>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</si>
  <si>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</si>
  <si>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</si>
  <si>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</si>
  <si>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</si>
  <si>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</si>
  <si>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</si>
  <si>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</si>
  <si>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</si>
  <si>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</si>
  <si>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</si>
  <si>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</si>
  <si>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</si>
  <si>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</si>
  <si>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</si>
  <si>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</si>
  <si>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</si>
  <si>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</si>
  <si>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</si>
  <si>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</si>
  <si>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</si>
  <si>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</si>
  <si>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</si>
  <si>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</si>
  <si>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</si>
  <si>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</si>
  <si>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</si>
  <si>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</si>
  <si>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</si>
  <si>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</si>
  <si>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</si>
  <si>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</si>
  <si>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</si>
  <si>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</si>
  <si>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</si>
  <si>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</si>
  <si>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</si>
  <si>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</si>
  <si>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</si>
  <si>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</si>
  <si>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</si>
  <si>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</si>
  <si>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</si>
  <si>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</si>
  <si>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</si>
  <si>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</si>
  <si>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</si>
  <si>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</si>
  <si>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</si>
  <si>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</si>
  <si>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</si>
  <si>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</si>
  <si>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</si>
  <si>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</si>
  <si>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</si>
  <si>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</si>
  <si>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</si>
  <si>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</si>
  <si>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</si>
  <si>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</si>
  <si>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</si>
  <si>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</si>
  <si>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</si>
  <si>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</si>
  <si>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</si>
  <si>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</si>
  <si>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</si>
  <si>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</si>
  <si>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</si>
  <si>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</si>
  <si>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</si>
  <si>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</si>
  <si>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</si>
  <si>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</si>
  <si>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</si>
  <si>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</si>
  <si>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</si>
  <si>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</si>
  <si>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</si>
  <si>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</si>
  <si>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</si>
  <si>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</si>
  <si>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</si>
  <si>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</si>
  <si>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</si>
  <si>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</si>
  <si>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</si>
  <si>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</si>
  <si>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</si>
  <si>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</si>
  <si>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</si>
  <si>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</si>
  <si>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</si>
  <si>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</si>
  <si>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</si>
  <si>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</si>
  <si>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</si>
  <si>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</si>
  <si>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</si>
  <si>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</si>
  <si>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</si>
  <si>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</si>
  <si>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</si>
  <si>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</si>
  <si>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</si>
  <si>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</si>
  <si>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</si>
  <si>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</si>
  <si>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</si>
  <si>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</si>
  <si>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</si>
  <si>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</si>
  <si>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</si>
  <si>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</si>
  <si>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</si>
  <si>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</si>
  <si>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</si>
  <si>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</si>
  <si>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</si>
  <si>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</si>
  <si>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</si>
  <si>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</si>
  <si>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</si>
  <si>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</si>
  <si>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</si>
  <si>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</si>
  <si>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</si>
  <si>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</si>
  <si>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</si>
  <si>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</si>
  <si>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</si>
  <si>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</si>
  <si>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</si>
  <si>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</si>
  <si>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</si>
  <si>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</si>
  <si>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</si>
  <si>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</si>
  <si>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</si>
  <si>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</si>
  <si>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</si>
  <si>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</si>
  <si>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</si>
  <si>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</si>
  <si>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</si>
  <si>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</si>
  <si>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</si>
  <si>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</si>
  <si>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</si>
  <si>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</si>
  <si>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</si>
  <si>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</si>
  <si>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</si>
  <si>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</si>
  <si>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</si>
  <si>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</si>
  <si>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</si>
  <si>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</si>
  <si>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</si>
  <si>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</si>
  <si>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</si>
  <si>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</si>
  <si>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</si>
  <si>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</si>
  <si>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</si>
  <si>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</si>
  <si>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</si>
  <si>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</si>
  <si>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</si>
  <si>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</si>
  <si>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</si>
  <si>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</si>
  <si>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</si>
  <si>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</si>
  <si>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</si>
  <si>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</si>
  <si>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</si>
  <si>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</si>
  <si>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</si>
  <si>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</si>
  <si>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</si>
  <si>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</si>
  <si>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</si>
  <si>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</si>
  <si>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</si>
  <si>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</si>
  <si>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</si>
  <si>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</si>
  <si>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</si>
  <si>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</si>
  <si>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</si>
  <si>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</si>
  <si>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</si>
  <si>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</si>
  <si>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</si>
  <si>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</si>
  <si>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</si>
  <si>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</si>
  <si>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</si>
  <si>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</si>
  <si>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</si>
  <si>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</si>
  <si>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</si>
  <si>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</si>
  <si>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</si>
  <si>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</si>
  <si>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</si>
  <si>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</si>
  <si>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</si>
  <si>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</si>
  <si>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</si>
  <si>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</si>
  <si>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</si>
  <si>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</si>
  <si>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</si>
  <si>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</si>
  <si>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RCC (F&amp;B) Completed</t>
  </si>
  <si>
    <t>Prop Set WIP</t>
  </si>
  <si>
    <t>Top Section WIP</t>
  </si>
  <si>
    <t>Pit Marking Completed</t>
  </si>
  <si>
    <t>D GOVIND RAJ</t>
  </si>
  <si>
    <t>PCC Completed</t>
  </si>
  <si>
    <t>Cross Arm WIP</t>
  </si>
  <si>
    <t>Bottom Section Completed</t>
  </si>
  <si>
    <t>3rd 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</si>
</sst>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8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0" fontId="134" fillId="15" borderId="115" xfId="0" applyFont="1" applyFill="1" applyBorder="1" applyAlignment="1">
      <alignment horizontal="center"/>
    </xf>
    <xf numFmtId="0" fontId="134" fillId="44" borderId="123" xfId="0" applyFont="1" applyFill="1" applyBorder="1" applyAlignment="1">
      <alignment horizontal="center" vertical="center"/>
    </xf>
    <xf numFmtId="0" fontId="133" fillId="44" borderId="115" xfId="0" applyFont="1" applyFill="1" applyBorder="1" applyAlignment="1">
      <alignment horizontal="center" vertical="center" wrapText="1"/>
    </xf>
    <xf numFmtId="0" fontId="133" fillId="15" borderId="115" xfId="0" applyFont="1" applyFill="1" applyBorder="1" applyAlignment="1">
      <alignment horizontal="center" vertical="center" wrapText="1"/>
    </xf>
    <xf numFmtId="0" fontId="132" fillId="44" borderId="115" xfId="0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6" fillId="15" borderId="17" xfId="4" applyNumberFormat="1" applyFont="1" applyFill="1" applyBorder="1" applyAlignment="1">
      <alignment horizontal="center" vertical="center"/>
    </xf>
    <xf numFmtId="0" fontId="6" fillId="15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0" fontId="70" fillId="15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80" fillId="15" borderId="132" xfId="4" applyNumberFormat="1" applyFont="1" applyFill="1" applyBorder="1" applyAlignment="1">
      <alignment horizontal="center" vertical="center"/>
    </xf>
    <xf numFmtId="0" fontId="35" fillId="15" borderId="133" xfId="4" applyFont="1" applyFill="1" applyBorder="1"/>
    <xf numFmtId="2" fontId="80" fillId="15" borderId="17" xfId="4" applyNumberFormat="1" applyFont="1" applyFill="1" applyBorder="1" applyAlignment="1">
      <alignment horizontal="center" vertical="center"/>
    </xf>
    <xf numFmtId="0" fontId="35" fillId="15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6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91" fillId="22" borderId="115" xfId="0" applyFont="1" applyFill="1" applyBorder="1" applyAlignment="1">
      <alignment horizontal="center" vertical="center"/>
    </xf>
    <xf numFmtId="0" fontId="91" fillId="22" borderId="123" xfId="0" applyFont="1" applyFill="1" applyBorder="1" applyAlignment="1">
      <alignment horizontal="center" vertical="center"/>
    </xf>
    <xf numFmtId="14" fontId="19" fillId="0" borderId="115" xfId="0" applyNumberFormat="1" applyFont="1" applyBorder="1" applyAlignment="1">
      <alignment horizontal="center"/>
    </xf>
    <xf numFmtId="2" fontId="80" fillId="15" borderId="133" xfId="4" applyNumberFormat="1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79" t="s">
        <v>160</v>
      </c>
      <c r="C1" s="1280"/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1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82" t="s">
        <v>411</v>
      </c>
      <c r="C2" s="1283"/>
      <c r="D2" s="1283"/>
      <c r="E2" s="1283"/>
      <c r="F2" s="1283"/>
      <c r="G2" s="1283"/>
      <c r="H2" s="1283"/>
      <c r="I2" s="1283"/>
      <c r="J2" s="1283"/>
      <c r="K2" s="1283"/>
      <c r="L2" s="1283"/>
      <c r="M2" s="1283"/>
      <c r="N2" s="1283"/>
      <c r="O2" s="1283"/>
      <c r="P2" s="1283"/>
      <c r="Q2" s="1283"/>
      <c r="R2" s="1283"/>
      <c r="S2" s="1283"/>
      <c r="T2" s="1283"/>
      <c r="U2" s="1283"/>
      <c r="V2" s="1283"/>
      <c r="W2" s="1283"/>
      <c r="X2" s="1283"/>
      <c r="Y2" s="1284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73" t="s">
        <v>161</v>
      </c>
      <c r="C3" s="1274"/>
      <c r="D3" s="73">
        <f>H15</f>
        <v>0</v>
      </c>
      <c r="E3" s="74" t="s">
        <v>412</v>
      </c>
      <c r="F3" s="1285" t="s">
        <v>162</v>
      </c>
      <c r="G3" s="1274"/>
      <c r="H3" s="75"/>
      <c r="I3" s="76" t="s">
        <v>412</v>
      </c>
      <c r="J3" s="1286" t="s">
        <v>163</v>
      </c>
      <c r="K3" s="1274"/>
      <c r="L3" s="75"/>
      <c r="M3" s="74" t="s">
        <v>412</v>
      </c>
      <c r="N3" s="1285" t="s">
        <v>164</v>
      </c>
      <c r="O3" s="1274"/>
      <c r="P3" s="77"/>
      <c r="Q3" s="76">
        <v>113.292</v>
      </c>
      <c r="R3" s="1285" t="s">
        <v>165</v>
      </c>
      <c r="S3" s="1274"/>
      <c r="T3" s="73"/>
      <c r="U3" s="76">
        <v>113.292</v>
      </c>
      <c r="V3" s="78" t="s">
        <v>166</v>
      </c>
      <c r="W3" s="1287">
        <f>'Master Sheet'!H2</f>
        <v>46222</v>
      </c>
      <c r="X3" s="1288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64" t="s">
        <v>167</v>
      </c>
      <c r="C4" s="1275" t="s">
        <v>413</v>
      </c>
      <c r="D4" s="1275" t="s">
        <v>168</v>
      </c>
      <c r="E4" s="1275" t="s">
        <v>169</v>
      </c>
      <c r="F4" s="1276" t="s">
        <v>170</v>
      </c>
      <c r="G4" s="1277" t="s">
        <v>171</v>
      </c>
      <c r="H4" s="1289" t="s">
        <v>172</v>
      </c>
      <c r="I4" s="1292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39"/>
      <c r="C5" s="1239"/>
      <c r="D5" s="1239"/>
      <c r="E5" s="1239"/>
      <c r="F5" s="1239"/>
      <c r="G5" s="1239"/>
      <c r="H5" s="1290"/>
      <c r="I5" s="1239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293"/>
      <c r="W5" s="1269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40"/>
      <c r="C6" s="1240"/>
      <c r="D6" s="1240"/>
      <c r="E6" s="1240"/>
      <c r="F6" s="1240"/>
      <c r="G6" s="1240"/>
      <c r="H6" s="1291"/>
      <c r="I6" s="1239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67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268"/>
      <c r="W7" s="1269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248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270" t="s">
        <v>194</v>
      </c>
      <c r="W13" s="1269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271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78" t="s">
        <v>199</v>
      </c>
      <c r="C15" s="1242"/>
      <c r="D15" s="1242"/>
      <c r="E15" s="1242"/>
      <c r="F15" s="1242"/>
      <c r="G15" s="1243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72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265"/>
      <c r="C19" s="139">
        <v>411</v>
      </c>
      <c r="D19" s="1254"/>
      <c r="E19" s="140">
        <v>432</v>
      </c>
      <c r="F19" s="1254"/>
      <c r="G19" s="141">
        <v>408</v>
      </c>
      <c r="H19" s="1254"/>
      <c r="I19" s="142">
        <v>433</v>
      </c>
      <c r="J19" s="1254"/>
      <c r="K19" s="142">
        <v>409</v>
      </c>
      <c r="L19" s="1254"/>
      <c r="M19" s="142">
        <v>432</v>
      </c>
      <c r="N19" s="1254"/>
      <c r="O19" s="143">
        <v>375</v>
      </c>
      <c r="P19" s="1252"/>
      <c r="Q19" s="139">
        <v>414</v>
      </c>
      <c r="R19" s="1252"/>
      <c r="S19" s="139">
        <v>403</v>
      </c>
      <c r="T19" s="1252"/>
      <c r="U19" s="140">
        <v>406</v>
      </c>
      <c r="V19" s="1254"/>
      <c r="W19" s="142">
        <v>319</v>
      </c>
      <c r="X19" s="1254"/>
      <c r="Y19" s="144">
        <v>384</v>
      </c>
    </row>
    <row r="20" spans="1:27" ht="15.6" x14ac:dyDescent="0.3">
      <c r="A20" s="70"/>
      <c r="B20" s="1266"/>
      <c r="C20" s="135"/>
      <c r="D20" s="1246"/>
      <c r="E20" s="135"/>
      <c r="F20" s="1246"/>
      <c r="G20" s="145"/>
      <c r="H20" s="1246"/>
      <c r="I20" s="135"/>
      <c r="J20" s="1246"/>
      <c r="K20" s="135"/>
      <c r="L20" s="1246"/>
      <c r="M20" s="135"/>
      <c r="N20" s="1246"/>
      <c r="O20" s="135"/>
      <c r="P20" s="1248"/>
      <c r="Q20" s="135"/>
      <c r="R20" s="1248"/>
      <c r="S20" s="135"/>
      <c r="T20" s="1248"/>
      <c r="U20" s="135"/>
      <c r="V20" s="1246"/>
      <c r="W20" s="135"/>
      <c r="X20" s="1246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53"/>
      <c r="C25" s="140">
        <v>385</v>
      </c>
      <c r="D25" s="1251"/>
      <c r="E25" s="142">
        <v>409</v>
      </c>
      <c r="F25" s="1251"/>
      <c r="G25" s="154">
        <v>369</v>
      </c>
      <c r="H25" s="1251"/>
      <c r="I25" s="154">
        <v>350</v>
      </c>
      <c r="J25" s="1251"/>
      <c r="K25" s="139">
        <v>395</v>
      </c>
      <c r="L25" s="1254"/>
      <c r="M25" s="155">
        <v>412</v>
      </c>
      <c r="N25" s="1253"/>
      <c r="O25" s="156">
        <v>366</v>
      </c>
      <c r="P25" s="1253"/>
      <c r="Q25" s="157">
        <v>383</v>
      </c>
      <c r="R25" s="1251"/>
      <c r="S25" s="142">
        <v>300</v>
      </c>
      <c r="T25" s="1254"/>
      <c r="U25" s="158">
        <v>393</v>
      </c>
      <c r="V25" s="1251"/>
      <c r="W25" s="158">
        <v>414</v>
      </c>
      <c r="X25" s="1254"/>
      <c r="Y25" s="159">
        <v>412</v>
      </c>
    </row>
    <row r="26" spans="1:27" ht="15.6" x14ac:dyDescent="0.3">
      <c r="A26" s="70"/>
      <c r="B26" s="1248"/>
      <c r="C26" s="135"/>
      <c r="D26" s="1246"/>
      <c r="E26" s="135"/>
      <c r="F26" s="1246"/>
      <c r="G26" s="135"/>
      <c r="H26" s="1246"/>
      <c r="I26" s="93"/>
      <c r="J26" s="1246"/>
      <c r="K26" s="135"/>
      <c r="L26" s="1246"/>
      <c r="M26" s="145"/>
      <c r="N26" s="1248"/>
      <c r="O26" s="145"/>
      <c r="P26" s="1248"/>
      <c r="Q26" s="145"/>
      <c r="R26" s="1246"/>
      <c r="S26" s="145"/>
      <c r="T26" s="1246"/>
      <c r="U26" s="145"/>
      <c r="V26" s="1246"/>
      <c r="W26" s="145"/>
      <c r="X26" s="1246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52"/>
      <c r="C32" s="157">
        <v>377</v>
      </c>
      <c r="D32" s="1251"/>
      <c r="E32" s="158">
        <v>369</v>
      </c>
      <c r="F32" s="1251"/>
      <c r="G32" s="158">
        <v>369</v>
      </c>
      <c r="H32" s="1251"/>
      <c r="I32" s="158">
        <v>403</v>
      </c>
      <c r="J32" s="1251"/>
      <c r="K32" s="158">
        <v>374</v>
      </c>
      <c r="L32" s="1251"/>
      <c r="M32" s="158">
        <v>416</v>
      </c>
      <c r="N32" s="1251"/>
      <c r="O32" s="158">
        <v>424</v>
      </c>
      <c r="P32" s="1251"/>
      <c r="Q32" s="158">
        <v>401</v>
      </c>
      <c r="R32" s="1251"/>
      <c r="S32" s="142">
        <v>437</v>
      </c>
      <c r="T32" s="1251"/>
      <c r="U32" s="158">
        <v>369</v>
      </c>
      <c r="V32" s="1252"/>
      <c r="W32" s="169">
        <v>361</v>
      </c>
      <c r="X32" s="1252"/>
      <c r="Y32" s="170">
        <v>458</v>
      </c>
    </row>
    <row r="33" spans="1:27" ht="15.6" x14ac:dyDescent="0.3">
      <c r="A33" s="70"/>
      <c r="B33" s="1248"/>
      <c r="C33" s="145"/>
      <c r="D33" s="1246"/>
      <c r="E33" s="145"/>
      <c r="F33" s="1246"/>
      <c r="G33" s="145"/>
      <c r="H33" s="1246"/>
      <c r="I33" s="145"/>
      <c r="J33" s="1246"/>
      <c r="K33" s="135"/>
      <c r="L33" s="1246"/>
      <c r="M33" s="145"/>
      <c r="N33" s="1246"/>
      <c r="O33" s="145"/>
      <c r="P33" s="1246"/>
      <c r="Q33" s="135"/>
      <c r="R33" s="1246"/>
      <c r="S33" s="135"/>
      <c r="T33" s="1246"/>
      <c r="U33" s="135"/>
      <c r="V33" s="1248"/>
      <c r="W33" s="145"/>
      <c r="X33" s="1248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52"/>
      <c r="C39" s="139">
        <v>355</v>
      </c>
      <c r="D39" s="1253"/>
      <c r="E39" s="139">
        <v>347</v>
      </c>
      <c r="F39" s="1252"/>
      <c r="G39" s="140">
        <v>430</v>
      </c>
      <c r="H39" s="1251"/>
      <c r="I39" s="158">
        <v>408</v>
      </c>
      <c r="J39" s="1251"/>
      <c r="K39" s="176">
        <v>402</v>
      </c>
      <c r="L39" s="1254"/>
      <c r="M39" s="142">
        <v>411</v>
      </c>
      <c r="N39" s="1254"/>
      <c r="O39" s="158">
        <v>397</v>
      </c>
      <c r="P39" s="1254"/>
      <c r="Q39" s="158">
        <v>404</v>
      </c>
      <c r="R39" s="1251"/>
      <c r="S39" s="169">
        <v>398</v>
      </c>
      <c r="T39" s="1251"/>
      <c r="U39" s="158">
        <v>430</v>
      </c>
      <c r="V39" s="1254"/>
      <c r="W39" s="158">
        <v>320</v>
      </c>
      <c r="X39" s="1251"/>
      <c r="Y39" s="144">
        <v>230</v>
      </c>
    </row>
    <row r="40" spans="1:27" ht="15.6" x14ac:dyDescent="0.3">
      <c r="A40" s="70"/>
      <c r="B40" s="1248"/>
      <c r="C40" s="145"/>
      <c r="D40" s="1248"/>
      <c r="E40" s="145"/>
      <c r="F40" s="1248"/>
      <c r="G40" s="145"/>
      <c r="H40" s="1246"/>
      <c r="I40" s="145"/>
      <c r="J40" s="1246"/>
      <c r="K40" s="145"/>
      <c r="L40" s="1246"/>
      <c r="M40" s="145"/>
      <c r="N40" s="1246"/>
      <c r="O40" s="145"/>
      <c r="P40" s="1246"/>
      <c r="Q40" s="135"/>
      <c r="R40" s="1246"/>
      <c r="S40" s="145"/>
      <c r="T40" s="1246"/>
      <c r="U40" s="135"/>
      <c r="V40" s="1246"/>
      <c r="W40" s="135"/>
      <c r="X40" s="1246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52"/>
      <c r="C46" s="156">
        <v>339</v>
      </c>
      <c r="D46" s="1252"/>
      <c r="E46" s="156">
        <v>365</v>
      </c>
      <c r="F46" s="1252"/>
      <c r="G46" s="157">
        <v>409</v>
      </c>
      <c r="H46" s="1251"/>
      <c r="I46" s="158">
        <v>343</v>
      </c>
      <c r="J46" s="1251"/>
      <c r="K46" s="169">
        <v>352</v>
      </c>
      <c r="L46" s="1252"/>
      <c r="M46" s="156">
        <v>419</v>
      </c>
      <c r="N46" s="1252"/>
      <c r="O46" s="180">
        <v>410</v>
      </c>
      <c r="P46" s="1258"/>
      <c r="Q46" s="156">
        <v>413</v>
      </c>
      <c r="R46" s="1252"/>
      <c r="S46" s="157">
        <v>407</v>
      </c>
      <c r="T46" s="1258"/>
      <c r="U46" s="157">
        <v>352</v>
      </c>
      <c r="V46" s="1258"/>
      <c r="W46" s="158">
        <v>405</v>
      </c>
      <c r="X46" s="1258"/>
      <c r="Y46" s="181">
        <v>393</v>
      </c>
    </row>
    <row r="47" spans="1:27" ht="15.6" x14ac:dyDescent="0.3">
      <c r="A47" s="70"/>
      <c r="B47" s="1248"/>
      <c r="C47" s="135"/>
      <c r="D47" s="1248"/>
      <c r="E47" s="135"/>
      <c r="F47" s="1248"/>
      <c r="G47" s="135"/>
      <c r="H47" s="1246"/>
      <c r="I47" s="135"/>
      <c r="J47" s="1246"/>
      <c r="K47" s="145"/>
      <c r="L47" s="1248"/>
      <c r="M47" s="135"/>
      <c r="N47" s="1248"/>
      <c r="O47" s="145"/>
      <c r="P47" s="1240"/>
      <c r="Q47" s="145"/>
      <c r="R47" s="1248"/>
      <c r="S47" s="145"/>
      <c r="T47" s="1240"/>
      <c r="U47" s="145"/>
      <c r="V47" s="1240"/>
      <c r="W47" s="145"/>
      <c r="X47" s="1240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52"/>
      <c r="C53" s="156">
        <v>439</v>
      </c>
      <c r="D53" s="1258"/>
      <c r="E53" s="157">
        <v>398</v>
      </c>
      <c r="F53" s="1252"/>
      <c r="G53" s="158">
        <v>445</v>
      </c>
      <c r="H53" s="1252"/>
      <c r="I53" s="142">
        <v>355</v>
      </c>
      <c r="J53" s="1251"/>
      <c r="K53" s="158">
        <v>447</v>
      </c>
      <c r="L53" s="1251"/>
      <c r="M53" s="184">
        <v>215</v>
      </c>
      <c r="N53" s="1251"/>
      <c r="O53" s="169">
        <v>498</v>
      </c>
      <c r="P53" s="1252"/>
      <c r="Q53" s="169">
        <v>325</v>
      </c>
      <c r="R53" s="1251"/>
      <c r="S53" s="142">
        <v>388</v>
      </c>
      <c r="T53" s="1251"/>
      <c r="U53" s="158">
        <v>381</v>
      </c>
      <c r="V53" s="1252"/>
      <c r="W53" s="154">
        <v>349</v>
      </c>
      <c r="X53" s="1252"/>
      <c r="Y53" s="170">
        <v>373</v>
      </c>
    </row>
    <row r="54" spans="1:25" ht="15.6" x14ac:dyDescent="0.3">
      <c r="A54" s="70"/>
      <c r="B54" s="1248"/>
      <c r="C54" s="145"/>
      <c r="D54" s="1240"/>
      <c r="E54" s="145"/>
      <c r="F54" s="1248"/>
      <c r="G54" s="145"/>
      <c r="H54" s="1248"/>
      <c r="I54" s="135"/>
      <c r="J54" s="1246"/>
      <c r="K54" s="185"/>
      <c r="L54" s="1246"/>
      <c r="M54" s="135"/>
      <c r="N54" s="1246"/>
      <c r="O54" s="135"/>
      <c r="P54" s="1248"/>
      <c r="Q54" s="135"/>
      <c r="R54" s="1246"/>
      <c r="S54" s="135"/>
      <c r="T54" s="1246"/>
      <c r="U54" s="135"/>
      <c r="V54" s="1248"/>
      <c r="W54" s="145"/>
      <c r="X54" s="1248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52"/>
      <c r="C60" s="189">
        <v>386</v>
      </c>
      <c r="D60" s="1252"/>
      <c r="E60" s="189">
        <v>429</v>
      </c>
      <c r="F60" s="1251"/>
      <c r="G60" s="176">
        <v>377</v>
      </c>
      <c r="H60" s="1251"/>
      <c r="I60" s="176">
        <v>405</v>
      </c>
      <c r="J60" s="1251"/>
      <c r="K60" s="176">
        <v>425</v>
      </c>
      <c r="L60" s="1251"/>
      <c r="M60" s="190">
        <v>344</v>
      </c>
      <c r="N60" s="1251"/>
      <c r="O60" s="190">
        <v>399</v>
      </c>
      <c r="P60" s="1251"/>
      <c r="Q60" s="176">
        <v>439</v>
      </c>
      <c r="R60" s="1251"/>
      <c r="S60" s="191">
        <v>403</v>
      </c>
      <c r="T60" s="1251"/>
      <c r="U60" s="176">
        <v>480</v>
      </c>
      <c r="V60" s="1251"/>
      <c r="W60" s="176">
        <v>535</v>
      </c>
      <c r="X60" s="1251"/>
      <c r="Y60" s="159">
        <v>389</v>
      </c>
    </row>
    <row r="61" spans="1:25" ht="15.6" x14ac:dyDescent="0.3">
      <c r="A61" s="70"/>
      <c r="B61" s="1248"/>
      <c r="C61" s="145"/>
      <c r="D61" s="1248"/>
      <c r="E61" s="145"/>
      <c r="F61" s="1246"/>
      <c r="G61" s="145"/>
      <c r="H61" s="1246"/>
      <c r="I61" s="145"/>
      <c r="J61" s="1246"/>
      <c r="K61" s="145"/>
      <c r="L61" s="1246"/>
      <c r="M61" s="145"/>
      <c r="N61" s="1246"/>
      <c r="O61" s="145"/>
      <c r="P61" s="1246"/>
      <c r="Q61" s="145"/>
      <c r="R61" s="1246"/>
      <c r="S61" s="145"/>
      <c r="T61" s="1246"/>
      <c r="U61" s="133"/>
      <c r="V61" s="1246"/>
      <c r="W61" s="133"/>
      <c r="X61" s="1246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52"/>
      <c r="C67" s="156">
        <v>454</v>
      </c>
      <c r="D67" s="1262"/>
      <c r="E67" s="192">
        <v>247</v>
      </c>
      <c r="F67" s="1251"/>
      <c r="G67" s="158">
        <v>373</v>
      </c>
      <c r="H67" s="1251"/>
      <c r="I67" s="158">
        <v>401</v>
      </c>
      <c r="J67" s="1259"/>
      <c r="K67" s="169">
        <v>388</v>
      </c>
      <c r="L67" s="1263"/>
      <c r="M67" s="156">
        <v>328</v>
      </c>
      <c r="N67" s="1263"/>
      <c r="O67" s="193">
        <v>330</v>
      </c>
      <c r="P67" s="1251"/>
      <c r="Q67" s="156">
        <v>331</v>
      </c>
      <c r="R67" s="1251"/>
      <c r="S67" s="158">
        <v>361</v>
      </c>
      <c r="T67" s="1251"/>
      <c r="U67" s="158">
        <v>306</v>
      </c>
      <c r="V67" s="1251"/>
      <c r="W67" s="158">
        <v>336</v>
      </c>
      <c r="X67" s="1251"/>
      <c r="Y67" s="194">
        <v>278</v>
      </c>
    </row>
    <row r="68" spans="1:25" ht="15.6" x14ac:dyDescent="0.3">
      <c r="A68" s="70"/>
      <c r="B68" s="1248"/>
      <c r="C68" s="135"/>
      <c r="D68" s="1248"/>
      <c r="E68" s="135"/>
      <c r="F68" s="1246"/>
      <c r="G68" s="135"/>
      <c r="H68" s="1246"/>
      <c r="I68" s="135"/>
      <c r="J68" s="1246"/>
      <c r="K68" s="145"/>
      <c r="L68" s="1248"/>
      <c r="M68" s="135"/>
      <c r="N68" s="1248"/>
      <c r="O68" s="145"/>
      <c r="P68" s="1246"/>
      <c r="Q68" s="145"/>
      <c r="R68" s="1246"/>
      <c r="S68" s="145"/>
      <c r="T68" s="1246"/>
      <c r="U68" s="145"/>
      <c r="V68" s="1246"/>
      <c r="W68" s="145"/>
      <c r="X68" s="1246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52"/>
      <c r="C74" s="156">
        <v>439</v>
      </c>
      <c r="D74" s="1260"/>
      <c r="E74" s="157">
        <v>401</v>
      </c>
      <c r="F74" s="1260"/>
      <c r="G74" s="158">
        <v>350</v>
      </c>
      <c r="H74" s="1251"/>
      <c r="I74" s="158">
        <v>335</v>
      </c>
      <c r="J74" s="1251"/>
      <c r="K74" s="158">
        <v>314</v>
      </c>
      <c r="L74" s="1251"/>
      <c r="M74" s="158">
        <v>421</v>
      </c>
      <c r="N74" s="1251"/>
      <c r="O74" s="158">
        <v>466</v>
      </c>
      <c r="P74" s="1251"/>
      <c r="Q74" s="158">
        <v>352</v>
      </c>
      <c r="R74" s="1251"/>
      <c r="S74" s="158">
        <v>403</v>
      </c>
      <c r="T74" s="1251"/>
      <c r="U74" s="158">
        <v>373</v>
      </c>
      <c r="V74" s="1251"/>
      <c r="W74" s="169">
        <v>362</v>
      </c>
      <c r="X74" s="1251"/>
      <c r="Y74" s="170">
        <v>351</v>
      </c>
    </row>
    <row r="75" spans="1:25" ht="15.6" x14ac:dyDescent="0.3">
      <c r="A75" s="70"/>
      <c r="B75" s="1248"/>
      <c r="C75" s="145"/>
      <c r="D75" s="1261"/>
      <c r="E75" s="145"/>
      <c r="F75" s="1261"/>
      <c r="G75" s="145"/>
      <c r="H75" s="1246"/>
      <c r="I75" s="135"/>
      <c r="J75" s="1246"/>
      <c r="K75" s="135"/>
      <c r="L75" s="1246"/>
      <c r="M75" s="135"/>
      <c r="N75" s="1246"/>
      <c r="O75" s="135"/>
      <c r="P75" s="1246"/>
      <c r="Q75" s="135"/>
      <c r="R75" s="1246"/>
      <c r="S75" s="135"/>
      <c r="T75" s="1246"/>
      <c r="U75" s="135"/>
      <c r="V75" s="1246"/>
      <c r="W75" s="145"/>
      <c r="X75" s="1246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52"/>
      <c r="C81" s="156">
        <v>361</v>
      </c>
      <c r="D81" s="1260"/>
      <c r="E81" s="156">
        <v>375</v>
      </c>
      <c r="F81" s="1260"/>
      <c r="G81" s="169">
        <v>425</v>
      </c>
      <c r="H81" s="1252"/>
      <c r="I81" s="157">
        <v>429</v>
      </c>
      <c r="J81" s="1251"/>
      <c r="K81" s="158">
        <v>350</v>
      </c>
      <c r="L81" s="1251"/>
      <c r="M81" s="158">
        <v>483</v>
      </c>
      <c r="N81" s="1251"/>
      <c r="O81" s="158">
        <v>453</v>
      </c>
      <c r="P81" s="1251"/>
      <c r="Q81" s="158">
        <v>388</v>
      </c>
      <c r="R81" s="1251"/>
      <c r="S81" s="169">
        <v>317</v>
      </c>
      <c r="T81" s="1251"/>
      <c r="U81" s="158">
        <v>324</v>
      </c>
      <c r="V81" s="1259"/>
      <c r="W81" s="158">
        <v>485</v>
      </c>
      <c r="X81" s="1251"/>
      <c r="Y81" s="159">
        <v>249</v>
      </c>
    </row>
    <row r="82" spans="1:25" ht="15.6" x14ac:dyDescent="0.3">
      <c r="A82" s="70"/>
      <c r="B82" s="1248"/>
      <c r="C82" s="145"/>
      <c r="D82" s="1261"/>
      <c r="E82" s="145"/>
      <c r="F82" s="1261"/>
      <c r="G82" s="145"/>
      <c r="H82" s="1248"/>
      <c r="I82" s="145"/>
      <c r="J82" s="1246"/>
      <c r="K82" s="145"/>
      <c r="L82" s="1246"/>
      <c r="M82" s="145"/>
      <c r="N82" s="1246"/>
      <c r="O82" s="145"/>
      <c r="P82" s="1246"/>
      <c r="Q82" s="145"/>
      <c r="R82" s="1246"/>
      <c r="S82" s="145"/>
      <c r="T82" s="1246"/>
      <c r="U82" s="135"/>
      <c r="V82" s="1246"/>
      <c r="W82" s="135"/>
      <c r="X82" s="1246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52"/>
      <c r="C88" s="156">
        <v>429</v>
      </c>
      <c r="D88" s="1259"/>
      <c r="E88" s="157">
        <v>399</v>
      </c>
      <c r="F88" s="1251"/>
      <c r="G88" s="158">
        <v>435</v>
      </c>
      <c r="H88" s="1251"/>
      <c r="I88" s="158">
        <v>404</v>
      </c>
      <c r="J88" s="1252"/>
      <c r="K88" s="201">
        <v>374</v>
      </c>
      <c r="L88" s="1252"/>
      <c r="M88" s="192">
        <v>250</v>
      </c>
      <c r="N88" s="1251"/>
      <c r="O88" s="169">
        <v>398</v>
      </c>
      <c r="P88" s="1258"/>
      <c r="Q88" s="156">
        <v>364</v>
      </c>
      <c r="R88" s="1252"/>
      <c r="S88" s="158">
        <v>380</v>
      </c>
      <c r="T88" s="1251"/>
      <c r="U88" s="184">
        <v>459</v>
      </c>
      <c r="V88" s="1251"/>
      <c r="W88" s="158">
        <v>206</v>
      </c>
      <c r="X88" s="1251"/>
      <c r="Y88" s="194">
        <v>385</v>
      </c>
    </row>
    <row r="89" spans="1:25" ht="15.6" x14ac:dyDescent="0.3">
      <c r="A89" s="70"/>
      <c r="B89" s="1248"/>
      <c r="C89" s="135"/>
      <c r="D89" s="1246"/>
      <c r="E89" s="135"/>
      <c r="F89" s="1246"/>
      <c r="G89" s="135"/>
      <c r="H89" s="1246"/>
      <c r="I89" s="135"/>
      <c r="J89" s="1248"/>
      <c r="K89" s="145"/>
      <c r="L89" s="1248"/>
      <c r="M89" s="135"/>
      <c r="N89" s="1246"/>
      <c r="O89" s="145"/>
      <c r="P89" s="1240"/>
      <c r="Q89" s="145"/>
      <c r="R89" s="1248"/>
      <c r="S89" s="145"/>
      <c r="T89" s="1246"/>
      <c r="U89" s="145"/>
      <c r="V89" s="1246"/>
      <c r="W89" s="145"/>
      <c r="X89" s="1246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57"/>
      <c r="C95" s="205">
        <v>372</v>
      </c>
      <c r="D95" s="1252"/>
      <c r="E95" s="206">
        <v>384</v>
      </c>
      <c r="F95" s="1251"/>
      <c r="G95" s="207">
        <v>400</v>
      </c>
      <c r="H95" s="1251"/>
      <c r="I95" s="208">
        <v>386</v>
      </c>
      <c r="J95" s="1251"/>
      <c r="K95" s="208">
        <v>398</v>
      </c>
      <c r="L95" s="1251"/>
      <c r="M95" s="158">
        <v>393</v>
      </c>
      <c r="N95" s="1251"/>
      <c r="O95" s="157">
        <v>387</v>
      </c>
      <c r="P95" s="1251"/>
      <c r="Q95" s="158">
        <v>378</v>
      </c>
      <c r="R95" s="1251"/>
      <c r="S95" s="158">
        <v>410</v>
      </c>
      <c r="T95" s="1251"/>
      <c r="U95" s="158">
        <v>368</v>
      </c>
      <c r="V95" s="1251"/>
      <c r="W95" s="169">
        <v>396</v>
      </c>
      <c r="X95" s="1251"/>
      <c r="Y95" s="209">
        <v>395</v>
      </c>
    </row>
    <row r="96" spans="1:25" ht="15.6" x14ac:dyDescent="0.3">
      <c r="A96" s="70"/>
      <c r="B96" s="1248"/>
      <c r="C96" s="210"/>
      <c r="D96" s="1248"/>
      <c r="E96" s="171"/>
      <c r="F96" s="1246"/>
      <c r="G96" s="210"/>
      <c r="H96" s="1246"/>
      <c r="I96" s="171"/>
      <c r="J96" s="1246"/>
      <c r="K96" s="171"/>
      <c r="L96" s="1246"/>
      <c r="M96" s="135"/>
      <c r="N96" s="1246"/>
      <c r="O96" s="135"/>
      <c r="P96" s="1246"/>
      <c r="Q96" s="135"/>
      <c r="R96" s="1246"/>
      <c r="S96" s="135"/>
      <c r="T96" s="1246"/>
      <c r="U96" s="135"/>
      <c r="V96" s="1246"/>
      <c r="W96" s="145"/>
      <c r="X96" s="1246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52"/>
      <c r="C103" s="156">
        <v>414</v>
      </c>
      <c r="D103" s="1253"/>
      <c r="E103" s="156">
        <v>350</v>
      </c>
      <c r="F103" s="1254"/>
      <c r="G103" s="158">
        <v>356</v>
      </c>
      <c r="H103" s="1254"/>
      <c r="I103" s="158">
        <v>460</v>
      </c>
      <c r="J103" s="1254"/>
      <c r="K103" s="158">
        <v>379</v>
      </c>
      <c r="L103" s="1254"/>
      <c r="M103" s="158">
        <v>383</v>
      </c>
      <c r="N103" s="1254"/>
      <c r="O103" s="184">
        <v>400</v>
      </c>
      <c r="P103" s="1254"/>
      <c r="Q103" s="158">
        <v>421</v>
      </c>
      <c r="R103" s="1251"/>
      <c r="S103" s="169">
        <v>323</v>
      </c>
      <c r="T103" s="1252"/>
      <c r="U103" s="158">
        <v>312</v>
      </c>
      <c r="V103" s="1251"/>
      <c r="W103" s="184">
        <v>360</v>
      </c>
      <c r="X103" s="1251"/>
      <c r="Y103" s="159">
        <v>301</v>
      </c>
    </row>
    <row r="104" spans="1:27" ht="15.6" x14ac:dyDescent="0.3">
      <c r="A104" s="70"/>
      <c r="B104" s="1248"/>
      <c r="C104" s="145"/>
      <c r="D104" s="1248"/>
      <c r="E104" s="145"/>
      <c r="F104" s="1246"/>
      <c r="G104" s="145"/>
      <c r="H104" s="1246"/>
      <c r="I104" s="145"/>
      <c r="J104" s="1246"/>
      <c r="K104" s="145"/>
      <c r="L104" s="1246"/>
      <c r="M104" s="145"/>
      <c r="N104" s="1246"/>
      <c r="O104" s="145"/>
      <c r="P104" s="1246"/>
      <c r="Q104" s="145"/>
      <c r="R104" s="1246"/>
      <c r="S104" s="145"/>
      <c r="T104" s="1248"/>
      <c r="U104" s="135"/>
      <c r="V104" s="1246"/>
      <c r="W104" s="135"/>
      <c r="X104" s="1246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52"/>
      <c r="C110" s="156">
        <v>379</v>
      </c>
      <c r="D110" s="1252"/>
      <c r="E110" s="157">
        <v>394</v>
      </c>
      <c r="F110" s="1251"/>
      <c r="G110" s="158">
        <v>410</v>
      </c>
      <c r="H110" s="1255"/>
      <c r="I110" s="158">
        <v>404</v>
      </c>
      <c r="J110" s="1251"/>
      <c r="K110" s="169">
        <v>436</v>
      </c>
      <c r="L110" s="1251"/>
      <c r="M110" s="156">
        <v>437</v>
      </c>
      <c r="N110" s="1256"/>
      <c r="O110" s="180">
        <v>406</v>
      </c>
      <c r="P110" s="1253"/>
      <c r="Q110" s="156">
        <v>438</v>
      </c>
      <c r="R110" s="1252"/>
      <c r="S110" s="157">
        <v>412</v>
      </c>
      <c r="T110" s="1252"/>
      <c r="U110" s="158">
        <v>413</v>
      </c>
      <c r="V110" s="1252"/>
      <c r="W110" s="158">
        <v>328</v>
      </c>
      <c r="X110" s="1252"/>
      <c r="Y110" s="217">
        <v>385</v>
      </c>
    </row>
    <row r="111" spans="1:27" ht="15.6" x14ac:dyDescent="0.3">
      <c r="A111" s="70"/>
      <c r="B111" s="1248"/>
      <c r="C111" s="135"/>
      <c r="D111" s="1248"/>
      <c r="E111" s="135"/>
      <c r="F111" s="1246"/>
      <c r="G111" s="135"/>
      <c r="H111" s="1246"/>
      <c r="I111" s="135"/>
      <c r="J111" s="1246"/>
      <c r="K111" s="145"/>
      <c r="L111" s="1246"/>
      <c r="M111" s="135"/>
      <c r="N111" s="1246"/>
      <c r="O111" s="218"/>
      <c r="P111" s="1248"/>
      <c r="Q111" s="145"/>
      <c r="R111" s="1248"/>
      <c r="S111" s="145"/>
      <c r="T111" s="1248"/>
      <c r="U111" s="145"/>
      <c r="V111" s="1248"/>
      <c r="W111" s="145"/>
      <c r="X111" s="1248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52"/>
      <c r="C117" s="156">
        <v>415</v>
      </c>
      <c r="D117" s="1253"/>
      <c r="E117" s="157">
        <v>394</v>
      </c>
      <c r="F117" s="1252"/>
      <c r="G117" s="169">
        <v>362</v>
      </c>
      <c r="H117" s="1251"/>
      <c r="I117" s="158">
        <v>386</v>
      </c>
      <c r="J117" s="1254"/>
      <c r="K117" s="158">
        <v>425</v>
      </c>
      <c r="L117" s="1251"/>
      <c r="M117" s="158">
        <v>412</v>
      </c>
      <c r="N117" s="1251"/>
      <c r="O117" s="158">
        <v>337</v>
      </c>
      <c r="P117" s="1251"/>
      <c r="Q117" s="169">
        <v>323</v>
      </c>
      <c r="R117" s="1252"/>
      <c r="S117" s="169">
        <v>329</v>
      </c>
      <c r="T117" s="1251"/>
      <c r="U117" s="158">
        <v>315</v>
      </c>
      <c r="V117" s="1251"/>
      <c r="W117" s="169">
        <v>465</v>
      </c>
      <c r="X117" s="1252"/>
      <c r="Y117" s="170">
        <v>374</v>
      </c>
    </row>
    <row r="118" spans="1:25" ht="15.6" x14ac:dyDescent="0.3">
      <c r="A118" s="70"/>
      <c r="B118" s="1248"/>
      <c r="C118" s="145"/>
      <c r="D118" s="1248"/>
      <c r="E118" s="145"/>
      <c r="F118" s="1248"/>
      <c r="G118" s="145"/>
      <c r="H118" s="1246"/>
      <c r="I118" s="135"/>
      <c r="J118" s="1246"/>
      <c r="K118" s="135"/>
      <c r="L118" s="1246"/>
      <c r="M118" s="135"/>
      <c r="N118" s="1246"/>
      <c r="O118" s="135"/>
      <c r="P118" s="1246"/>
      <c r="Q118" s="135"/>
      <c r="R118" s="1248"/>
      <c r="S118" s="135"/>
      <c r="T118" s="1246"/>
      <c r="U118" s="135"/>
      <c r="V118" s="1246"/>
      <c r="W118" s="145"/>
      <c r="X118" s="1248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52"/>
      <c r="C124" s="156">
        <v>400</v>
      </c>
      <c r="D124" s="1253"/>
      <c r="E124" s="157">
        <v>359</v>
      </c>
      <c r="F124" s="1252"/>
      <c r="G124" s="169">
        <v>468</v>
      </c>
      <c r="H124" s="1251"/>
      <c r="I124" s="158">
        <v>287</v>
      </c>
      <c r="J124" s="1254"/>
      <c r="K124" s="158">
        <v>416</v>
      </c>
      <c r="L124" s="1251"/>
      <c r="M124" s="158">
        <v>352</v>
      </c>
      <c r="N124" s="1251"/>
      <c r="O124" s="158">
        <v>361</v>
      </c>
      <c r="P124" s="1251"/>
      <c r="Q124" s="169">
        <v>426</v>
      </c>
      <c r="R124" s="1252"/>
      <c r="S124" s="169">
        <v>394</v>
      </c>
      <c r="T124" s="1251"/>
      <c r="U124" s="158">
        <v>384</v>
      </c>
      <c r="V124" s="1251"/>
      <c r="W124" s="169">
        <v>414</v>
      </c>
      <c r="X124" s="1252"/>
      <c r="Y124" s="170">
        <v>480</v>
      </c>
    </row>
    <row r="125" spans="1:25" ht="15.6" x14ac:dyDescent="0.3">
      <c r="A125" s="70"/>
      <c r="B125" s="1248"/>
      <c r="C125" s="145"/>
      <c r="D125" s="1248"/>
      <c r="E125" s="145"/>
      <c r="F125" s="1248"/>
      <c r="G125" s="145"/>
      <c r="H125" s="1246"/>
      <c r="I125" s="135"/>
      <c r="J125" s="1246"/>
      <c r="K125" s="135"/>
      <c r="L125" s="1246"/>
      <c r="M125" s="135"/>
      <c r="N125" s="1246"/>
      <c r="O125" s="135"/>
      <c r="P125" s="1246"/>
      <c r="Q125" s="135"/>
      <c r="R125" s="1248"/>
      <c r="S125" s="135"/>
      <c r="T125" s="1246"/>
      <c r="U125" s="135"/>
      <c r="V125" s="1246"/>
      <c r="W125" s="145"/>
      <c r="X125" s="1248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52"/>
      <c r="C131" s="156">
        <v>395</v>
      </c>
      <c r="D131" s="1253"/>
      <c r="E131" s="157">
        <v>329</v>
      </c>
      <c r="F131" s="1252"/>
      <c r="G131" s="169">
        <v>418</v>
      </c>
      <c r="H131" s="1251"/>
      <c r="I131" s="158">
        <v>467</v>
      </c>
      <c r="J131" s="1254"/>
      <c r="K131" s="158">
        <v>443</v>
      </c>
      <c r="L131" s="1251"/>
      <c r="M131" s="158">
        <v>311</v>
      </c>
      <c r="N131" s="1251"/>
      <c r="O131" s="158">
        <v>479</v>
      </c>
      <c r="P131" s="1251"/>
      <c r="Q131" s="169">
        <v>321</v>
      </c>
      <c r="R131" s="1252"/>
      <c r="S131" s="169">
        <v>506</v>
      </c>
      <c r="T131" s="1251"/>
      <c r="U131" s="158">
        <v>421</v>
      </c>
      <c r="V131" s="1251"/>
      <c r="W131" s="169">
        <v>421</v>
      </c>
      <c r="X131" s="1252"/>
      <c r="Y131" s="170">
        <v>406</v>
      </c>
    </row>
    <row r="132" spans="1:32" ht="15.6" x14ac:dyDescent="0.3">
      <c r="A132" s="70"/>
      <c r="B132" s="1248"/>
      <c r="C132" s="145"/>
      <c r="D132" s="1248"/>
      <c r="E132" s="145"/>
      <c r="F132" s="1248"/>
      <c r="G132" s="145"/>
      <c r="H132" s="1246"/>
      <c r="I132" s="135"/>
      <c r="J132" s="1246"/>
      <c r="K132" s="135"/>
      <c r="L132" s="1246"/>
      <c r="M132" s="135"/>
      <c r="N132" s="1246"/>
      <c r="O132" s="135"/>
      <c r="P132" s="1246"/>
      <c r="Q132" s="135"/>
      <c r="R132" s="1248"/>
      <c r="S132" s="135"/>
      <c r="T132" s="1246"/>
      <c r="U132" s="135"/>
      <c r="V132" s="1246"/>
      <c r="W132" s="145"/>
      <c r="X132" s="1248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47"/>
      <c r="C138" s="225">
        <v>435</v>
      </c>
      <c r="D138" s="1249"/>
      <c r="E138" s="226">
        <v>533</v>
      </c>
      <c r="F138" s="1247"/>
      <c r="G138" s="227">
        <v>265</v>
      </c>
      <c r="H138" s="1245"/>
      <c r="I138" s="228">
        <v>484</v>
      </c>
      <c r="J138" s="1250"/>
      <c r="K138" s="228">
        <v>611</v>
      </c>
      <c r="L138" s="1245"/>
      <c r="M138" s="228">
        <v>367</v>
      </c>
      <c r="N138" s="1245"/>
      <c r="O138" s="228">
        <v>469</v>
      </c>
      <c r="P138" s="1245"/>
      <c r="Q138" s="227">
        <v>371</v>
      </c>
      <c r="R138" s="1247"/>
      <c r="S138" s="227">
        <v>370</v>
      </c>
      <c r="T138" s="1245"/>
      <c r="U138" s="228">
        <v>327</v>
      </c>
      <c r="V138" s="1245"/>
      <c r="W138" s="227">
        <v>318</v>
      </c>
      <c r="X138" s="1247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48"/>
      <c r="C139" s="222"/>
      <c r="D139" s="1248"/>
      <c r="E139" s="222"/>
      <c r="F139" s="1248"/>
      <c r="G139" s="222"/>
      <c r="H139" s="1246"/>
      <c r="I139" s="230"/>
      <c r="J139" s="1246"/>
      <c r="K139" s="230"/>
      <c r="L139" s="1246"/>
      <c r="M139" s="230"/>
      <c r="N139" s="1246"/>
      <c r="O139" s="230"/>
      <c r="P139" s="1246"/>
      <c r="Q139" s="230"/>
      <c r="R139" s="1248"/>
      <c r="S139" s="230"/>
      <c r="T139" s="1246"/>
      <c r="U139" s="230"/>
      <c r="V139" s="1246"/>
      <c r="W139" s="222"/>
      <c r="X139" s="1248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47"/>
      <c r="C144" s="225">
        <v>396</v>
      </c>
      <c r="D144" s="1249"/>
      <c r="E144" s="226">
        <v>377</v>
      </c>
      <c r="F144" s="1247"/>
      <c r="G144" s="227">
        <v>398</v>
      </c>
      <c r="H144" s="1245"/>
      <c r="I144" s="228">
        <v>393</v>
      </c>
      <c r="J144" s="1250"/>
      <c r="K144" s="228">
        <v>374</v>
      </c>
      <c r="L144" s="1245"/>
      <c r="M144" s="228">
        <v>363</v>
      </c>
      <c r="N144" s="1245"/>
      <c r="O144" s="228">
        <v>349</v>
      </c>
      <c r="P144" s="1245"/>
      <c r="Q144" s="227">
        <v>386</v>
      </c>
      <c r="R144" s="1247"/>
      <c r="S144" s="227">
        <v>390</v>
      </c>
      <c r="T144" s="1245"/>
      <c r="U144" s="228">
        <v>417</v>
      </c>
      <c r="V144" s="1245"/>
      <c r="W144" s="227">
        <v>423</v>
      </c>
      <c r="X144" s="1247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48"/>
      <c r="C145" s="222"/>
      <c r="D145" s="1248"/>
      <c r="E145" s="222"/>
      <c r="F145" s="1248"/>
      <c r="G145" s="222"/>
      <c r="H145" s="1246"/>
      <c r="I145" s="230"/>
      <c r="J145" s="1246"/>
      <c r="K145" s="230"/>
      <c r="L145" s="1246"/>
      <c r="M145" s="230"/>
      <c r="N145" s="1246"/>
      <c r="O145" s="230"/>
      <c r="P145" s="1246"/>
      <c r="Q145" s="230"/>
      <c r="R145" s="1248"/>
      <c r="S145" s="230"/>
      <c r="T145" s="1246"/>
      <c r="U145" s="230"/>
      <c r="V145" s="1246"/>
      <c r="W145" s="222"/>
      <c r="X145" s="1248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47"/>
      <c r="C150" s="225">
        <v>365</v>
      </c>
      <c r="D150" s="1249"/>
      <c r="E150" s="226">
        <v>403</v>
      </c>
      <c r="F150" s="1247"/>
      <c r="G150" s="227">
        <v>382</v>
      </c>
      <c r="H150" s="1245"/>
      <c r="I150" s="228">
        <v>395</v>
      </c>
      <c r="J150" s="1250"/>
      <c r="K150" s="228">
        <v>385</v>
      </c>
      <c r="L150" s="1245"/>
      <c r="M150" s="228">
        <v>381</v>
      </c>
      <c r="N150" s="1245"/>
      <c r="O150" s="228">
        <v>395</v>
      </c>
      <c r="P150" s="1245"/>
      <c r="Q150" s="227">
        <v>403</v>
      </c>
      <c r="R150" s="1247"/>
      <c r="S150" s="227">
        <v>383</v>
      </c>
      <c r="T150" s="1245"/>
      <c r="U150" s="228">
        <v>386</v>
      </c>
      <c r="V150" s="1245"/>
      <c r="W150" s="227">
        <v>397</v>
      </c>
      <c r="X150" s="1247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48"/>
      <c r="C151" s="222"/>
      <c r="D151" s="1248"/>
      <c r="E151" s="222"/>
      <c r="F151" s="1248"/>
      <c r="G151" s="222"/>
      <c r="H151" s="1246"/>
      <c r="I151" s="230"/>
      <c r="J151" s="1246"/>
      <c r="K151" s="230"/>
      <c r="L151" s="1246"/>
      <c r="M151" s="230"/>
      <c r="N151" s="1246"/>
      <c r="O151" s="230"/>
      <c r="P151" s="1246"/>
      <c r="Q151" s="230"/>
      <c r="R151" s="1248"/>
      <c r="S151" s="230"/>
      <c r="T151" s="1246"/>
      <c r="U151" s="230"/>
      <c r="V151" s="1246"/>
      <c r="W151" s="222"/>
      <c r="X151" s="1248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47"/>
      <c r="C156" s="225">
        <v>422</v>
      </c>
      <c r="D156" s="1249"/>
      <c r="E156" s="226">
        <v>417</v>
      </c>
      <c r="F156" s="1247"/>
      <c r="G156" s="227">
        <v>400</v>
      </c>
      <c r="H156" s="1245"/>
      <c r="I156" s="228">
        <v>421</v>
      </c>
      <c r="J156" s="1250"/>
      <c r="K156" s="228">
        <v>419</v>
      </c>
      <c r="L156" s="1245"/>
      <c r="M156" s="228">
        <v>402</v>
      </c>
      <c r="N156" s="1245"/>
      <c r="O156" s="228">
        <v>402</v>
      </c>
      <c r="P156" s="1245"/>
      <c r="Q156" s="227">
        <v>411</v>
      </c>
      <c r="R156" s="1247"/>
      <c r="S156" s="227">
        <v>355</v>
      </c>
      <c r="T156" s="1245"/>
      <c r="U156" s="228">
        <v>390</v>
      </c>
      <c r="V156" s="1245"/>
      <c r="W156" s="227">
        <v>380</v>
      </c>
      <c r="X156" s="1247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48"/>
      <c r="C157" s="222"/>
      <c r="D157" s="1248"/>
      <c r="E157" s="222"/>
      <c r="F157" s="1248"/>
      <c r="G157" s="222"/>
      <c r="H157" s="1246"/>
      <c r="I157" s="230"/>
      <c r="J157" s="1246"/>
      <c r="K157" s="230"/>
      <c r="L157" s="1246"/>
      <c r="M157" s="230"/>
      <c r="N157" s="1246"/>
      <c r="O157" s="230"/>
      <c r="P157" s="1246"/>
      <c r="Q157" s="230"/>
      <c r="R157" s="1248"/>
      <c r="S157" s="230"/>
      <c r="T157" s="1246"/>
      <c r="U157" s="230"/>
      <c r="V157" s="1246"/>
      <c r="W157" s="222"/>
      <c r="X157" s="1248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47"/>
      <c r="C162" s="225">
        <v>422</v>
      </c>
      <c r="D162" s="1249"/>
      <c r="E162" s="226">
        <v>417</v>
      </c>
      <c r="F162" s="1247"/>
      <c r="G162" s="227">
        <v>400</v>
      </c>
      <c r="H162" s="1245"/>
      <c r="I162" s="228">
        <v>421</v>
      </c>
      <c r="J162" s="1250"/>
      <c r="K162" s="228">
        <v>419</v>
      </c>
      <c r="L162" s="1245"/>
      <c r="M162" s="228">
        <v>402</v>
      </c>
      <c r="N162" s="1245"/>
      <c r="O162" s="228">
        <v>402</v>
      </c>
      <c r="P162" s="1245"/>
      <c r="Q162" s="227">
        <v>411</v>
      </c>
      <c r="R162" s="1247"/>
      <c r="S162" s="227">
        <v>355</v>
      </c>
      <c r="T162" s="1245"/>
      <c r="U162" s="228">
        <v>390</v>
      </c>
      <c r="V162" s="1245"/>
      <c r="W162" s="227">
        <v>380</v>
      </c>
      <c r="X162" s="1247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48"/>
      <c r="C163" s="222"/>
      <c r="D163" s="1248"/>
      <c r="E163" s="222"/>
      <c r="F163" s="1248"/>
      <c r="G163" s="222"/>
      <c r="H163" s="1246"/>
      <c r="I163" s="230"/>
      <c r="J163" s="1246"/>
      <c r="K163" s="230"/>
      <c r="L163" s="1246"/>
      <c r="M163" s="230"/>
      <c r="N163" s="1246"/>
      <c r="O163" s="230"/>
      <c r="P163" s="1246"/>
      <c r="Q163" s="230"/>
      <c r="R163" s="1248"/>
      <c r="S163" s="230"/>
      <c r="T163" s="1246"/>
      <c r="U163" s="230"/>
      <c r="V163" s="1246"/>
      <c r="W163" s="222"/>
      <c r="X163" s="1248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5"/>
  <sheetViews>
    <sheetView showGridLines="0" tabSelected="1" zoomScale="67" zoomScaleNormal="61" workbookViewId="0">
      <selection activeCell="M23" sqref="M2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8"/>
      <c r="C2" s="346" t="s">
        <v>0</v>
      </c>
      <c r="D2" s="1241" t="s">
        <v>1</v>
      </c>
      <c r="E2" s="1242"/>
      <c r="F2" s="1243"/>
      <c r="G2" s="3" t="s">
        <v>2</v>
      </c>
      <c r="H2" s="306">
        <v>46222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39"/>
      <c r="C3" s="346" t="s">
        <v>5</v>
      </c>
      <c r="D3" s="1244" t="s">
        <v>6</v>
      </c>
      <c r="E3" s="1242"/>
      <c r="F3" s="1243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39"/>
      <c r="C4" s="346" t="s">
        <v>10</v>
      </c>
      <c r="D4" s="1244" t="s">
        <v>11</v>
      </c>
      <c r="E4" s="1242"/>
      <c r="F4" s="124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40"/>
      <c r="C5" s="346" t="s">
        <v>16</v>
      </c>
      <c r="D5" s="1244" t="s">
        <v>17</v>
      </c>
      <c r="E5" s="1242"/>
      <c r="F5" s="1243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236">
        <v>0</v>
      </c>
      <c r="I16" s="313">
        <v>20</v>
      </c>
      <c r="J16" s="312">
        <v>297</v>
      </c>
      <c r="K16" s="342">
        <f t="shared" ref="K16:K21" si="0">E16+I16</f>
        <v>168</v>
      </c>
      <c r="L16" s="312">
        <f>292-K16</f>
        <v>124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013">
        <v>1</v>
      </c>
      <c r="I17" s="313">
        <v>20</v>
      </c>
      <c r="J17" s="312">
        <f>J16</f>
        <v>297</v>
      </c>
      <c r="K17" s="342">
        <f t="shared" si="0"/>
        <v>128</v>
      </c>
      <c r="L17" s="400">
        <f t="shared" ref="L17:L25" si="1">C17-K17</f>
        <v>164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013">
        <v>3</v>
      </c>
      <c r="I18" s="313">
        <v>19</v>
      </c>
      <c r="J18" s="312">
        <v>250</v>
      </c>
      <c r="K18" s="342">
        <f t="shared" si="0"/>
        <v>107</v>
      </c>
      <c r="L18" s="312">
        <f t="shared" si="1"/>
        <v>185</v>
      </c>
      <c r="M18" s="343">
        <v>7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36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859" t="s">
        <v>216</v>
      </c>
      <c r="C28" s="510" t="s">
        <v>987</v>
      </c>
      <c r="D28" s="510" t="s">
        <v>987</v>
      </c>
      <c r="E28" s="510" t="s">
        <v>987</v>
      </c>
      <c r="F28" s="510" t="s">
        <v>987</v>
      </c>
      <c r="G28" s="511" t="s">
        <v>931</v>
      </c>
      <c r="H28" s="277"/>
      <c r="I28" s="341"/>
      <c r="J28" s="274"/>
      <c r="K28" s="1544" t="s">
        <v>209</v>
      </c>
      <c r="L28" s="1544" t="s">
        <v>87</v>
      </c>
      <c r="M28" s="1544" t="s">
        <v>778</v>
      </c>
      <c r="N28" s="1544" t="s">
        <v>964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859" t="s">
        <v>217</v>
      </c>
      <c r="C29" s="510" t="s">
        <v>975</v>
      </c>
      <c r="D29" s="510" t="s">
        <v>975</v>
      </c>
      <c r="E29" s="510" t="s">
        <v>975</v>
      </c>
      <c r="F29" s="510" t="s">
        <v>975</v>
      </c>
      <c r="G29" s="511" t="s">
        <v>931</v>
      </c>
      <c r="H29" s="277"/>
      <c r="I29" s="341"/>
      <c r="J29" s="274"/>
      <c r="K29" s="1544" t="s">
        <v>229</v>
      </c>
      <c r="L29" s="1544" t="s">
        <v>87</v>
      </c>
      <c r="M29" s="1544" t="s">
        <v>778</v>
      </c>
      <c r="N29" s="1544" t="s">
        <v>965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014" t="s">
        <v>218</v>
      </c>
      <c r="C30" s="1014" t="s">
        <v>717</v>
      </c>
      <c r="D30" s="1014" t="s">
        <v>717</v>
      </c>
      <c r="E30" s="1014" t="s">
        <v>717</v>
      </c>
      <c r="F30" s="1014" t="s">
        <v>717</v>
      </c>
      <c r="G30" s="1061" t="s">
        <v>931</v>
      </c>
      <c r="H30" s="277"/>
      <c r="I30" s="341"/>
      <c r="J30" s="274"/>
      <c r="K30" s="1545" t="s">
        <v>422</v>
      </c>
      <c r="L30" s="1545" t="s">
        <v>760</v>
      </c>
      <c r="M30" s="1544" t="s">
        <v>778</v>
      </c>
      <c r="N30" s="1545" t="s">
        <v>966</v>
      </c>
      <c r="O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859" t="s">
        <v>219</v>
      </c>
      <c r="C31" s="510" t="s">
        <v>975</v>
      </c>
      <c r="D31" s="510" t="s">
        <v>975</v>
      </c>
      <c r="E31" s="510" t="s">
        <v>975</v>
      </c>
      <c r="F31" s="510" t="s">
        <v>975</v>
      </c>
      <c r="G31" s="511" t="s">
        <v>931</v>
      </c>
      <c r="H31" s="277"/>
      <c r="I31" s="341"/>
      <c r="J31" s="274"/>
      <c r="K31" s="737" t="s">
        <v>425</v>
      </c>
      <c r="L31" s="737" t="s">
        <v>687</v>
      </c>
      <c r="M31" s="737" t="s">
        <v>999</v>
      </c>
      <c r="N31" s="736" t="s">
        <v>962</v>
      </c>
      <c r="O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1014" t="s">
        <v>242</v>
      </c>
      <c r="C32" s="1014" t="s">
        <v>717</v>
      </c>
      <c r="D32" s="1014" t="s">
        <v>717</v>
      </c>
      <c r="E32" s="1014" t="s">
        <v>717</v>
      </c>
      <c r="F32" s="1014" t="s">
        <v>717</v>
      </c>
      <c r="G32" s="1014" t="s">
        <v>969</v>
      </c>
      <c r="H32" s="277"/>
      <c r="I32" s="341"/>
      <c r="J32" s="274"/>
      <c r="K32" s="737" t="s">
        <v>385</v>
      </c>
      <c r="L32" s="737" t="s">
        <v>87</v>
      </c>
      <c r="M32" s="737" t="s">
        <v>1003</v>
      </c>
      <c r="N32" s="736" t="s">
        <v>694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1053" t="s">
        <v>423</v>
      </c>
      <c r="C33" s="1049" t="s">
        <v>997</v>
      </c>
      <c r="D33" s="1049" t="s">
        <v>997</v>
      </c>
      <c r="E33" s="1049" t="s">
        <v>997</v>
      </c>
      <c r="F33" s="1049" t="s">
        <v>987</v>
      </c>
      <c r="G33" s="859" t="s">
        <v>969</v>
      </c>
      <c r="H33" s="277"/>
      <c r="I33" s="341"/>
      <c r="J33" s="274"/>
      <c r="K33" s="1214" t="s">
        <v>387</v>
      </c>
      <c r="L33" s="1214" t="s">
        <v>87</v>
      </c>
      <c r="M33" s="1214" t="s">
        <v>1004</v>
      </c>
      <c r="N33" s="1215" t="s">
        <v>993</v>
      </c>
      <c r="O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278"/>
      <c r="B34" s="1053" t="s">
        <v>248</v>
      </c>
      <c r="C34" s="1049" t="s">
        <v>775</v>
      </c>
      <c r="D34" s="1049" t="s">
        <v>775</v>
      </c>
      <c r="E34" s="1049" t="s">
        <v>775</v>
      </c>
      <c r="F34" s="1049" t="s">
        <v>775</v>
      </c>
      <c r="G34" s="859" t="s">
        <v>969</v>
      </c>
      <c r="H34" s="277"/>
      <c r="I34" s="341"/>
      <c r="J34" s="274"/>
      <c r="K34" s="737" t="s">
        <v>392</v>
      </c>
      <c r="L34" s="737" t="s">
        <v>91</v>
      </c>
      <c r="M34" s="737" t="s">
        <v>1005</v>
      </c>
      <c r="N34" s="736" t="s">
        <v>971</v>
      </c>
      <c r="O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278"/>
      <c r="B35" s="1014" t="s">
        <v>424</v>
      </c>
      <c r="C35" s="1213" t="s">
        <v>717</v>
      </c>
      <c r="D35" s="1213" t="s">
        <v>717</v>
      </c>
      <c r="E35" s="1213" t="s">
        <v>717</v>
      </c>
      <c r="F35" s="1213" t="s">
        <v>717</v>
      </c>
      <c r="G35" s="1014" t="s">
        <v>969</v>
      </c>
      <c r="H35" s="277"/>
      <c r="I35" s="341"/>
      <c r="J35" s="341"/>
      <c r="K35" s="506"/>
      <c r="L35" s="506"/>
      <c r="M35" s="506"/>
      <c r="N35" s="860"/>
      <c r="O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278"/>
      <c r="B36" s="1014" t="s">
        <v>273</v>
      </c>
      <c r="C36" s="1014" t="s">
        <v>717</v>
      </c>
      <c r="D36" s="1014" t="s">
        <v>717</v>
      </c>
      <c r="E36" s="1014" t="s">
        <v>717</v>
      </c>
      <c r="F36" s="1014" t="s">
        <v>717</v>
      </c>
      <c r="G36" s="1014" t="s">
        <v>740</v>
      </c>
      <c r="H36" s="277"/>
      <c r="I36" s="341"/>
      <c r="J36" s="341"/>
      <c r="K36" s="506"/>
      <c r="L36" s="506"/>
      <c r="M36" s="506"/>
      <c r="N36" s="860"/>
      <c r="O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859" t="s">
        <v>282</v>
      </c>
      <c r="C37" s="859" t="s">
        <v>1000</v>
      </c>
      <c r="D37" s="859" t="s">
        <v>1000</v>
      </c>
      <c r="E37" s="859" t="s">
        <v>1000</v>
      </c>
      <c r="F37" s="859" t="s">
        <v>1000</v>
      </c>
      <c r="G37" s="859" t="s">
        <v>740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9" t="s">
        <v>290</v>
      </c>
      <c r="C38" s="1049" t="s">
        <v>987</v>
      </c>
      <c r="D38" s="1049" t="s">
        <v>987</v>
      </c>
      <c r="E38" s="1049" t="s">
        <v>987</v>
      </c>
      <c r="F38" s="1049" t="s">
        <v>987</v>
      </c>
      <c r="G38" s="1049" t="s">
        <v>986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49" t="s">
        <v>457</v>
      </c>
      <c r="C39" s="1049" t="s">
        <v>995</v>
      </c>
      <c r="D39" s="1049" t="s">
        <v>995</v>
      </c>
      <c r="E39" s="1049" t="s">
        <v>995</v>
      </c>
      <c r="F39" s="1049" t="s">
        <v>995</v>
      </c>
      <c r="G39" s="859" t="s">
        <v>985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1049" t="s">
        <v>330</v>
      </c>
      <c r="C40" s="1049" t="s">
        <v>1002</v>
      </c>
      <c r="D40" s="1049" t="s">
        <v>1002</v>
      </c>
      <c r="E40" s="1049" t="s">
        <v>1002</v>
      </c>
      <c r="F40" s="1049" t="s">
        <v>1002</v>
      </c>
      <c r="G40" s="859" t="s">
        <v>985</v>
      </c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859" t="s">
        <v>380</v>
      </c>
      <c r="C41" s="859" t="s">
        <v>995</v>
      </c>
      <c r="D41" s="859" t="s">
        <v>995</v>
      </c>
      <c r="E41" s="859" t="s">
        <v>995</v>
      </c>
      <c r="F41" s="859" t="s">
        <v>995</v>
      </c>
      <c r="G41" s="859" t="s">
        <v>767</v>
      </c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859" t="s">
        <v>621</v>
      </c>
      <c r="C42" s="859" t="s">
        <v>997</v>
      </c>
      <c r="D42" s="859" t="s">
        <v>997</v>
      </c>
      <c r="E42" s="859" t="s">
        <v>995</v>
      </c>
      <c r="F42" s="859" t="s">
        <v>995</v>
      </c>
      <c r="G42" s="859" t="s">
        <v>767</v>
      </c>
      <c r="H42" s="277"/>
      <c r="I42" s="341"/>
      <c r="J42" s="341"/>
      <c r="K42" s="506"/>
      <c r="L42" s="506"/>
      <c r="M42" s="506"/>
      <c r="N42" s="860"/>
      <c r="O42" s="1"/>
      <c r="Q42" s="1"/>
      <c r="R42" s="1"/>
      <c r="S42" s="1"/>
      <c r="T42" s="1"/>
      <c r="U42" s="1"/>
      <c r="V42" s="1"/>
      <c r="W42" s="1"/>
    </row>
    <row r="43" spans="1:24" ht="31.2" x14ac:dyDescent="0.3">
      <c r="A43" s="278"/>
      <c r="B43" s="1049" t="s">
        <v>620</v>
      </c>
      <c r="C43" s="1049" t="s">
        <v>998</v>
      </c>
      <c r="D43" s="1049" t="s">
        <v>998</v>
      </c>
      <c r="E43" s="1049" t="s">
        <v>987</v>
      </c>
      <c r="F43" s="1049" t="s">
        <v>987</v>
      </c>
      <c r="G43" s="859" t="s">
        <v>961</v>
      </c>
      <c r="H43" s="277"/>
      <c r="I43" s="341"/>
      <c r="J43" s="341"/>
      <c r="K43" s="506"/>
      <c r="L43" s="506"/>
      <c r="M43" s="506"/>
      <c r="N43" s="860"/>
      <c r="O43" s="1"/>
      <c r="Q43" s="1"/>
      <c r="R43" s="1"/>
      <c r="S43" s="1"/>
      <c r="T43" s="1"/>
      <c r="U43" s="1"/>
      <c r="V43" s="1"/>
      <c r="W43" s="1"/>
    </row>
    <row r="44" spans="1:24" ht="15.6" x14ac:dyDescent="0.3">
      <c r="A44" s="278"/>
      <c r="B44" s="1014" t="s">
        <v>628</v>
      </c>
      <c r="C44" s="1014" t="s">
        <v>717</v>
      </c>
      <c r="D44" s="1014" t="s">
        <v>717</v>
      </c>
      <c r="E44" s="1014" t="s">
        <v>717</v>
      </c>
      <c r="F44" s="1014" t="s">
        <v>717</v>
      </c>
      <c r="G44" s="1014" t="s">
        <v>961</v>
      </c>
      <c r="H44" s="277"/>
      <c r="I44" s="341"/>
      <c r="J44" s="341"/>
      <c r="K44" s="506"/>
      <c r="L44" s="506"/>
      <c r="M44" s="506"/>
      <c r="N44" s="860"/>
      <c r="O44" s="1"/>
      <c r="Q44" s="1"/>
      <c r="R44" s="1"/>
      <c r="S44" s="1"/>
      <c r="T44" s="1"/>
      <c r="U44" s="1"/>
      <c r="V44" s="1"/>
      <c r="W44" s="1"/>
    </row>
    <row r="45" spans="1:24" ht="16.2" thickBot="1" x14ac:dyDescent="0.35">
      <c r="A45" s="278"/>
      <c r="B45" s="1010"/>
      <c r="C45" s="1010"/>
      <c r="D45" s="1010"/>
      <c r="E45" s="1010"/>
      <c r="F45" s="1010"/>
      <c r="G45" s="1011"/>
      <c r="H45" s="277"/>
      <c r="I45" s="341"/>
      <c r="J45" s="341"/>
      <c r="K45" s="506"/>
      <c r="L45" s="506"/>
      <c r="M45" s="506"/>
      <c r="N45" s="860"/>
      <c r="O45" s="1"/>
      <c r="Q45" s="1"/>
      <c r="R45" s="1"/>
      <c r="S45" s="1"/>
      <c r="T45" s="1"/>
      <c r="U45" s="1"/>
      <c r="V45" s="1"/>
      <c r="W45" s="1"/>
    </row>
    <row r="46" spans="1:24" ht="21" x14ac:dyDescent="0.4">
      <c r="A46" s="1"/>
      <c r="B46" s="426" t="s">
        <v>55</v>
      </c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8"/>
      <c r="N46" s="6"/>
      <c r="O46" s="1"/>
      <c r="R46" s="1"/>
      <c r="S46" s="1"/>
      <c r="T46" s="1"/>
      <c r="U46" s="1"/>
      <c r="V46" s="1"/>
      <c r="W46" s="1"/>
      <c r="X46" s="1"/>
    </row>
    <row r="47" spans="1:24" ht="48.6" customHeight="1" x14ac:dyDescent="0.3">
      <c r="A47" s="1"/>
      <c r="B47" s="429" t="s">
        <v>22</v>
      </c>
      <c r="C47" s="12" t="s">
        <v>23</v>
      </c>
      <c r="D47" s="12" t="s">
        <v>24</v>
      </c>
      <c r="E47" s="12" t="s">
        <v>25</v>
      </c>
      <c r="F47" s="12" t="s">
        <v>56</v>
      </c>
      <c r="G47" s="12" t="s">
        <v>57</v>
      </c>
      <c r="H47" s="12" t="s">
        <v>58</v>
      </c>
      <c r="I47" s="12" t="s">
        <v>59</v>
      </c>
      <c r="J47" s="12" t="s">
        <v>60</v>
      </c>
      <c r="K47" s="12" t="s">
        <v>61</v>
      </c>
      <c r="L47" s="423" t="s">
        <v>545</v>
      </c>
      <c r="M47" s="430" t="s">
        <v>33</v>
      </c>
      <c r="N47" s="2"/>
      <c r="O47" s="1"/>
      <c r="R47" s="1"/>
      <c r="S47" s="1"/>
      <c r="T47" s="1"/>
      <c r="U47" s="1"/>
      <c r="V47" s="1"/>
      <c r="W47" s="1"/>
      <c r="X47" s="1"/>
    </row>
    <row r="48" spans="1:24" ht="29.4" customHeight="1" x14ac:dyDescent="0.3">
      <c r="A48" s="1"/>
      <c r="B48" s="431" t="s">
        <v>63</v>
      </c>
      <c r="C48" s="8" t="s">
        <v>64</v>
      </c>
      <c r="D48" s="8">
        <v>292</v>
      </c>
      <c r="E48" s="8">
        <v>316</v>
      </c>
      <c r="F48" s="8">
        <v>277</v>
      </c>
      <c r="G48" s="8">
        <f>D48-F48</f>
        <v>15</v>
      </c>
      <c r="H48" s="332">
        <v>0</v>
      </c>
      <c r="I48" s="332">
        <f>G48</f>
        <v>15</v>
      </c>
      <c r="J48" s="8">
        <v>0</v>
      </c>
      <c r="K48" s="421">
        <f>F48+J48</f>
        <v>277</v>
      </c>
      <c r="L48" s="424">
        <f>E48+H48-K48</f>
        <v>39</v>
      </c>
      <c r="M48" s="432"/>
      <c r="N48" s="2"/>
      <c r="O48" s="1"/>
      <c r="R48" s="1"/>
      <c r="S48" s="1"/>
      <c r="T48" s="1"/>
      <c r="U48" s="1"/>
      <c r="V48" s="1"/>
      <c r="W48" s="1"/>
      <c r="X48" s="1"/>
    </row>
    <row r="49" spans="1:24" ht="31.2" customHeight="1" x14ac:dyDescent="0.3">
      <c r="A49" s="1"/>
      <c r="B49" s="431" t="s">
        <v>65</v>
      </c>
      <c r="C49" s="333" t="s">
        <v>66</v>
      </c>
      <c r="D49" s="333">
        <v>292</v>
      </c>
      <c r="E49" s="333">
        <v>290</v>
      </c>
      <c r="F49" s="333">
        <v>284</v>
      </c>
      <c r="G49" s="333">
        <f>D49-F49</f>
        <v>8</v>
      </c>
      <c r="H49" s="334">
        <v>26</v>
      </c>
      <c r="I49" s="334">
        <v>6</v>
      </c>
      <c r="J49" s="333">
        <v>0</v>
      </c>
      <c r="K49" s="422">
        <f>F49+J49</f>
        <v>284</v>
      </c>
      <c r="L49" s="424">
        <f>E49+H49-K49</f>
        <v>32</v>
      </c>
      <c r="M49" s="432"/>
      <c r="N49" s="266"/>
      <c r="O49" s="1"/>
      <c r="Q49" s="1"/>
      <c r="R49" s="1"/>
      <c r="S49" s="1"/>
      <c r="T49" s="1"/>
      <c r="U49" s="1"/>
      <c r="V49" s="1"/>
      <c r="W49" s="1"/>
      <c r="X49" s="1"/>
    </row>
    <row r="50" spans="1:24" ht="44.4" customHeight="1" thickBot="1" x14ac:dyDescent="0.35">
      <c r="A50" s="1"/>
      <c r="B50" s="331" t="s">
        <v>672</v>
      </c>
      <c r="C50" s="335" t="s">
        <v>35</v>
      </c>
      <c r="D50" s="335">
        <v>4118</v>
      </c>
      <c r="E50" s="335">
        <v>3600</v>
      </c>
      <c r="F50" s="335">
        <v>3925.9349999999999</v>
      </c>
      <c r="G50" s="335">
        <f>D50-F50</f>
        <v>192.06500000000005</v>
      </c>
      <c r="H50" s="335">
        <v>200</v>
      </c>
      <c r="I50" s="335">
        <f>G50</f>
        <v>192.06500000000005</v>
      </c>
      <c r="J50" s="335">
        <f>4003.728-F50</f>
        <v>77.79300000000012</v>
      </c>
      <c r="K50" s="336">
        <v>4003.7280000000001</v>
      </c>
      <c r="L50" s="335">
        <f>E50+H50-K50</f>
        <v>-203.72800000000007</v>
      </c>
      <c r="M50" s="508" t="s">
        <v>992</v>
      </c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2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419"/>
      <c r="M51" s="420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5">
      <c r="A52" s="1"/>
      <c r="B52" s="291" t="s">
        <v>666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 t="s">
        <v>990</v>
      </c>
      <c r="C53" s="292"/>
      <c r="D53" s="292"/>
      <c r="E53" s="290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92"/>
      <c r="D54" s="292"/>
      <c r="E54" s="290"/>
      <c r="F54" s="290"/>
      <c r="G54" s="289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2"/>
      <c r="D55" s="292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90"/>
      <c r="D56" s="290"/>
      <c r="E56" s="290"/>
      <c r="F56" s="290"/>
      <c r="G56" s="289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2.4" customHeight="1" x14ac:dyDescent="0.3">
      <c r="A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Q152" s="1"/>
      <c r="R152" s="1"/>
      <c r="S152" s="1"/>
      <c r="T152" s="1"/>
      <c r="U152" s="1"/>
      <c r="V152" s="1"/>
      <c r="W152" s="1"/>
      <c r="X152" s="1"/>
    </row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8"/>
  <sheetViews>
    <sheetView topLeftCell="A300" zoomScale="65" zoomScaleNormal="77" workbookViewId="0">
      <selection activeCell="M449" sqref="M449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47" t="s">
        <v>21</v>
      </c>
      <c r="C2" s="1348"/>
      <c r="D2" s="1348"/>
      <c r="E2" s="1348"/>
      <c r="F2" s="1348"/>
      <c r="G2" s="1348"/>
      <c r="H2" s="1348"/>
      <c r="I2" s="1348"/>
      <c r="J2" s="1348"/>
      <c r="K2" s="1348"/>
      <c r="L2" s="1348"/>
      <c r="M2" s="1348"/>
      <c r="N2" s="1349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50" t="s">
        <v>68</v>
      </c>
      <c r="C7" s="1351"/>
      <c r="D7" s="1351"/>
      <c r="E7" s="1351"/>
      <c r="F7" s="1351"/>
      <c r="G7" s="1351"/>
      <c r="H7" s="1352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353" t="s">
        <v>70</v>
      </c>
      <c r="D8" s="1243"/>
      <c r="E8" s="1354" t="s">
        <v>71</v>
      </c>
      <c r="F8" s="1355"/>
      <c r="G8" s="1353" t="s">
        <v>72</v>
      </c>
      <c r="H8" s="1243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356"/>
      <c r="D9" s="1243"/>
      <c r="E9" s="1356"/>
      <c r="F9" s="1243"/>
      <c r="G9" s="1357"/>
      <c r="H9" s="1243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COUNTIFS($I$13:$L$191,"Foundation Completed.")</f>
        <v>168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58" t="s">
        <v>73</v>
      </c>
      <c r="C11" s="1359"/>
      <c r="D11" s="1359"/>
      <c r="E11" s="1359"/>
      <c r="F11" s="1359"/>
      <c r="G11" s="1359"/>
      <c r="H11" s="1359"/>
      <c r="I11" s="1359"/>
      <c r="J11" s="1360"/>
      <c r="K11" s="1359"/>
      <c r="L11" s="1360"/>
      <c r="M11" s="1359"/>
      <c r="N11" s="1359"/>
      <c r="O11" s="1359"/>
      <c r="P11" s="1359"/>
      <c r="Q11" s="1"/>
      <c r="R11" s="1"/>
      <c r="S11" s="1"/>
      <c r="T11" s="1"/>
      <c r="U11" s="1"/>
      <c r="V11" s="1"/>
      <c r="W11" s="1"/>
      <c r="X11" s="1"/>
      <c r="Y11" s="1"/>
    </row>
    <row r="12" spans="2:25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361" t="s">
        <v>80</v>
      </c>
      <c r="J12" s="1362"/>
      <c r="K12" s="1362"/>
      <c r="L12" s="1363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  <c r="U12" s="782"/>
      <c r="V12" s="782"/>
      <c r="W12" s="782"/>
      <c r="X12" s="782"/>
      <c r="Y12" s="782"/>
    </row>
    <row r="13" spans="2:25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344" t="s">
        <v>548</v>
      </c>
      <c r="J13" s="1345"/>
      <c r="K13" s="1345"/>
      <c r="L13" s="1346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  <c r="U13" s="777"/>
      <c r="V13" s="777"/>
      <c r="W13" s="777"/>
      <c r="X13" s="777"/>
      <c r="Y13" s="777"/>
    </row>
    <row r="14" spans="2:25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344" t="s">
        <v>548</v>
      </c>
      <c r="J14" s="1345"/>
      <c r="K14" s="1345"/>
      <c r="L14" s="1346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  <c r="U14" s="777"/>
      <c r="V14" s="777"/>
      <c r="W14" s="777"/>
      <c r="X14" s="777"/>
      <c r="Y14" s="777"/>
    </row>
    <row r="15" spans="2:25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344" t="s">
        <v>548</v>
      </c>
      <c r="J15" s="1345"/>
      <c r="K15" s="1345"/>
      <c r="L15" s="1346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  <c r="U15" s="782"/>
      <c r="V15" s="782"/>
      <c r="W15" s="782"/>
      <c r="X15" s="782"/>
      <c r="Y15" s="782"/>
    </row>
    <row r="16" spans="2:25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344" t="s">
        <v>548</v>
      </c>
      <c r="J16" s="1345"/>
      <c r="K16" s="1345"/>
      <c r="L16" s="1346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  <c r="U16" s="782"/>
      <c r="V16" s="782"/>
      <c r="W16" s="782"/>
      <c r="X16" s="782"/>
      <c r="Y16" s="782"/>
    </row>
    <row r="17" spans="1:107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344" t="s">
        <v>548</v>
      </c>
      <c r="J17" s="1345"/>
      <c r="K17" s="1345"/>
      <c r="L17" s="1346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  <c r="U17" s="782"/>
      <c r="V17" s="782"/>
      <c r="W17" s="782"/>
      <c r="X17" s="782"/>
      <c r="Y17" s="782"/>
    </row>
    <row r="18" spans="1:107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344" t="s">
        <v>548</v>
      </c>
      <c r="J18" s="1345"/>
      <c r="K18" s="1345"/>
      <c r="L18" s="1346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  <c r="U18" s="782"/>
      <c r="V18" s="782"/>
      <c r="W18" s="782"/>
      <c r="X18" s="782"/>
      <c r="Y18" s="782"/>
    </row>
    <row r="19" spans="1:107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344" t="s">
        <v>548</v>
      </c>
      <c r="J19" s="1345"/>
      <c r="K19" s="1345"/>
      <c r="L19" s="1346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  <c r="U19" s="782"/>
      <c r="V19" s="782"/>
      <c r="W19" s="782"/>
      <c r="X19" s="782"/>
      <c r="Y19" s="782"/>
    </row>
    <row r="20" spans="1:107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344" t="s">
        <v>548</v>
      </c>
      <c r="J20" s="1345"/>
      <c r="K20" s="1345"/>
      <c r="L20" s="1346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  <c r="U20" s="793"/>
      <c r="V20" s="793"/>
      <c r="W20" s="793"/>
      <c r="X20" s="793"/>
      <c r="Y20" s="793"/>
    </row>
    <row r="21" spans="1:107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344" t="s">
        <v>548</v>
      </c>
      <c r="J21" s="1345"/>
      <c r="K21" s="1345"/>
      <c r="L21" s="1346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3"/>
      <c r="V21" s="793"/>
      <c r="W21" s="793"/>
      <c r="X21" s="793"/>
      <c r="Y21" s="793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  <c r="CY21" s="794"/>
      <c r="CZ21" s="794"/>
      <c r="DA21" s="794"/>
      <c r="DB21" s="794"/>
      <c r="DC21" s="794"/>
    </row>
    <row r="22" spans="1:107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344" t="s">
        <v>548</v>
      </c>
      <c r="J22" s="1345"/>
      <c r="K22" s="1345"/>
      <c r="L22" s="1346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  <c r="U22" s="793"/>
      <c r="V22" s="793"/>
      <c r="W22" s="793"/>
      <c r="X22" s="793"/>
      <c r="Y22" s="793"/>
    </row>
    <row r="23" spans="1:107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344" t="s">
        <v>548</v>
      </c>
      <c r="J23" s="1345"/>
      <c r="K23" s="1345"/>
      <c r="L23" s="1346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  <c r="U23" s="782"/>
      <c r="V23" s="782"/>
      <c r="W23" s="782"/>
      <c r="X23" s="782"/>
      <c r="Y23" s="782"/>
    </row>
    <row r="24" spans="1:107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344" t="s">
        <v>548</v>
      </c>
      <c r="J24" s="1345"/>
      <c r="K24" s="1345"/>
      <c r="L24" s="1346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  <c r="U24" s="782"/>
      <c r="V24" s="782"/>
      <c r="W24" s="782"/>
      <c r="X24" s="782"/>
      <c r="Y24" s="782"/>
    </row>
    <row r="25" spans="1:107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344" t="s">
        <v>548</v>
      </c>
      <c r="J25" s="1345"/>
      <c r="K25" s="1345"/>
      <c r="L25" s="1346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  <c r="U25" s="793"/>
      <c r="V25" s="793"/>
      <c r="W25" s="793"/>
      <c r="X25" s="793"/>
      <c r="Y25" s="793"/>
    </row>
    <row r="26" spans="1:107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344" t="s">
        <v>548</v>
      </c>
      <c r="J26" s="1345"/>
      <c r="K26" s="1345"/>
      <c r="L26" s="1346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  <c r="U26" s="793"/>
      <c r="V26" s="793"/>
      <c r="W26" s="793"/>
      <c r="X26" s="793"/>
      <c r="Y26" s="793"/>
    </row>
    <row r="27" spans="1:107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344" t="s">
        <v>548</v>
      </c>
      <c r="J27" s="1345"/>
      <c r="K27" s="1345"/>
      <c r="L27" s="1346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  <c r="U27" s="793"/>
      <c r="V27" s="793"/>
      <c r="W27" s="793"/>
      <c r="X27" s="793"/>
      <c r="Y27" s="793"/>
    </row>
    <row r="28" spans="1:107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344" t="s">
        <v>548</v>
      </c>
      <c r="J28" s="1345"/>
      <c r="K28" s="1345"/>
      <c r="L28" s="1346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  <c r="U28" s="793"/>
      <c r="V28" s="793"/>
      <c r="W28" s="793"/>
      <c r="X28" s="793"/>
      <c r="Y28" s="793"/>
    </row>
    <row r="29" spans="1:107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344" t="s">
        <v>548</v>
      </c>
      <c r="J29" s="1345"/>
      <c r="K29" s="1345"/>
      <c r="L29" s="1346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  <c r="U29" s="793"/>
      <c r="V29" s="793"/>
      <c r="W29" s="793"/>
      <c r="X29" s="793"/>
      <c r="Y29" s="793"/>
    </row>
    <row r="30" spans="1:107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344" t="s">
        <v>548</v>
      </c>
      <c r="J30" s="1345"/>
      <c r="K30" s="1345"/>
      <c r="L30" s="1346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  <c r="U30" s="793"/>
      <c r="V30" s="793"/>
      <c r="W30" s="793"/>
      <c r="X30" s="793"/>
      <c r="Y30" s="793"/>
    </row>
    <row r="31" spans="1:107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344" t="s">
        <v>548</v>
      </c>
      <c r="J31" s="1345"/>
      <c r="K31" s="1345"/>
      <c r="L31" s="1346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  <c r="U31" s="793"/>
      <c r="V31" s="793"/>
      <c r="W31" s="793"/>
      <c r="X31" s="793"/>
      <c r="Y31" s="793"/>
    </row>
    <row r="32" spans="1:107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344" t="s">
        <v>548</v>
      </c>
      <c r="J32" s="1345"/>
      <c r="K32" s="1345"/>
      <c r="L32" s="1346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  <c r="U32" s="793"/>
      <c r="V32" s="793"/>
      <c r="W32" s="793"/>
      <c r="X32" s="793"/>
      <c r="Y32" s="793"/>
    </row>
    <row r="33" spans="1:25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344" t="s">
        <v>548</v>
      </c>
      <c r="J33" s="1345"/>
      <c r="K33" s="1345"/>
      <c r="L33" s="1346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  <c r="U33" s="793"/>
      <c r="V33" s="793"/>
      <c r="W33" s="793"/>
      <c r="X33" s="793"/>
      <c r="Y33" s="793"/>
    </row>
    <row r="34" spans="1:25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344" t="s">
        <v>548</v>
      </c>
      <c r="J34" s="1345"/>
      <c r="K34" s="1345"/>
      <c r="L34" s="1346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  <c r="U34" s="793"/>
      <c r="V34" s="793"/>
      <c r="W34" s="793"/>
      <c r="X34" s="793"/>
      <c r="Y34" s="793"/>
    </row>
    <row r="35" spans="1:25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344" t="s">
        <v>548</v>
      </c>
      <c r="J35" s="1345"/>
      <c r="K35" s="1345"/>
      <c r="L35" s="1346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  <c r="U35" s="793"/>
      <c r="V35" s="793"/>
      <c r="W35" s="793"/>
      <c r="X35" s="793"/>
      <c r="Y35" s="793"/>
    </row>
    <row r="36" spans="1:25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344" t="s">
        <v>548</v>
      </c>
      <c r="J36" s="1345"/>
      <c r="K36" s="1345"/>
      <c r="L36" s="1346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  <c r="U36" s="793"/>
      <c r="V36" s="793"/>
      <c r="W36" s="793"/>
      <c r="X36" s="793"/>
      <c r="Y36" s="793"/>
    </row>
    <row r="37" spans="1:25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344" t="s">
        <v>548</v>
      </c>
      <c r="J37" s="1345"/>
      <c r="K37" s="1345"/>
      <c r="L37" s="1346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  <c r="U37" s="793"/>
      <c r="V37" s="793"/>
      <c r="W37" s="793"/>
      <c r="X37" s="793"/>
      <c r="Y37" s="793"/>
    </row>
    <row r="38" spans="1:25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344" t="s">
        <v>548</v>
      </c>
      <c r="J38" s="1345"/>
      <c r="K38" s="1345"/>
      <c r="L38" s="1346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  <c r="U38" s="793"/>
      <c r="V38" s="793"/>
      <c r="W38" s="793"/>
      <c r="X38" s="793"/>
      <c r="Y38" s="793"/>
    </row>
    <row r="39" spans="1:25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334" t="s">
        <v>550</v>
      </c>
      <c r="J39" s="1335"/>
      <c r="K39" s="1335"/>
      <c r="L39" s="1336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  <c r="U39" s="793"/>
      <c r="V39" s="793"/>
      <c r="W39" s="793"/>
      <c r="X39" s="793"/>
      <c r="Y39" s="793"/>
    </row>
    <row r="40" spans="1:25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344" t="s">
        <v>548</v>
      </c>
      <c r="J40" s="1345"/>
      <c r="K40" s="1345"/>
      <c r="L40" s="1346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  <c r="U40" s="793"/>
      <c r="V40" s="793"/>
      <c r="W40" s="793"/>
      <c r="X40" s="793"/>
      <c r="Y40" s="793"/>
    </row>
    <row r="41" spans="1:25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334" t="s">
        <v>550</v>
      </c>
      <c r="J41" s="1335"/>
      <c r="K41" s="1335"/>
      <c r="L41" s="1336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  <c r="U41" s="793"/>
      <c r="V41" s="793"/>
      <c r="W41" s="793"/>
      <c r="X41" s="793"/>
      <c r="Y41" s="793"/>
    </row>
    <row r="42" spans="1:25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334" t="s">
        <v>550</v>
      </c>
      <c r="J42" s="1335"/>
      <c r="K42" s="1335"/>
      <c r="L42" s="1336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  <c r="U42" s="793"/>
      <c r="V42" s="793"/>
      <c r="W42" s="793"/>
      <c r="X42" s="793"/>
      <c r="Y42" s="793"/>
    </row>
    <row r="43" spans="1:25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334" t="s">
        <v>550</v>
      </c>
      <c r="J43" s="1335"/>
      <c r="K43" s="1335"/>
      <c r="L43" s="1336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  <c r="U43" s="793"/>
      <c r="V43" s="793"/>
      <c r="W43" s="793"/>
      <c r="X43" s="793"/>
      <c r="Y43" s="793"/>
    </row>
    <row r="44" spans="1:25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344" t="s">
        <v>548</v>
      </c>
      <c r="J44" s="1345"/>
      <c r="K44" s="1345"/>
      <c r="L44" s="1346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  <c r="U44" s="793"/>
      <c r="V44" s="793"/>
      <c r="W44" s="793"/>
      <c r="X44" s="793"/>
      <c r="Y44" s="793"/>
    </row>
    <row r="45" spans="1:25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334" t="s">
        <v>550</v>
      </c>
      <c r="J45" s="1335"/>
      <c r="K45" s="1335"/>
      <c r="L45" s="1336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  <c r="U45" s="793"/>
      <c r="V45" s="793"/>
      <c r="W45" s="793"/>
      <c r="X45" s="793"/>
      <c r="Y45" s="793"/>
    </row>
    <row r="46" spans="1:25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334" t="s">
        <v>550</v>
      </c>
      <c r="J46" s="1335"/>
      <c r="K46" s="1335"/>
      <c r="L46" s="1336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  <c r="U46" s="793"/>
      <c r="V46" s="793"/>
      <c r="W46" s="793"/>
      <c r="X46" s="793"/>
      <c r="Y46" s="793"/>
    </row>
    <row r="47" spans="1:25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334" t="s">
        <v>550</v>
      </c>
      <c r="J47" s="1335"/>
      <c r="K47" s="1335"/>
      <c r="L47" s="1336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  <c r="U47" s="793"/>
      <c r="V47" s="793"/>
      <c r="W47" s="793"/>
      <c r="X47" s="793"/>
      <c r="Y47" s="793"/>
    </row>
    <row r="48" spans="1:25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334" t="s">
        <v>550</v>
      </c>
      <c r="J48" s="1335"/>
      <c r="K48" s="1335"/>
      <c r="L48" s="1336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  <c r="U48" s="793"/>
      <c r="V48" s="793"/>
      <c r="W48" s="793"/>
      <c r="X48" s="793"/>
      <c r="Y48" s="793"/>
    </row>
    <row r="49" spans="1:25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337" t="s">
        <v>550</v>
      </c>
      <c r="J49" s="1338"/>
      <c r="K49" s="1338"/>
      <c r="L49" s="1339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  <c r="U49" s="793"/>
      <c r="V49" s="793"/>
      <c r="W49" s="793"/>
      <c r="X49" s="793"/>
      <c r="Y49" s="793"/>
    </row>
    <row r="50" spans="1:25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334" t="s">
        <v>550</v>
      </c>
      <c r="J50" s="1335"/>
      <c r="K50" s="1335"/>
      <c r="L50" s="1336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  <c r="U50" s="793"/>
      <c r="V50" s="793"/>
      <c r="W50" s="793"/>
      <c r="X50" s="793"/>
      <c r="Y50" s="793"/>
    </row>
    <row r="51" spans="1:25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334" t="s">
        <v>550</v>
      </c>
      <c r="J51" s="1335"/>
      <c r="K51" s="1335"/>
      <c r="L51" s="1336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  <c r="U51" s="793"/>
      <c r="V51" s="793"/>
      <c r="W51" s="793"/>
      <c r="X51" s="793"/>
      <c r="Y51" s="793"/>
    </row>
    <row r="52" spans="1:25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334" t="s">
        <v>550</v>
      </c>
      <c r="J52" s="1335"/>
      <c r="K52" s="1335"/>
      <c r="L52" s="1336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  <c r="U52" s="793"/>
      <c r="V52" s="793"/>
      <c r="W52" s="793"/>
      <c r="X52" s="793"/>
      <c r="Y52" s="793"/>
    </row>
    <row r="53" spans="1:25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337" t="s">
        <v>550</v>
      </c>
      <c r="J53" s="1338"/>
      <c r="K53" s="1338"/>
      <c r="L53" s="1339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  <c r="U53" s="793"/>
      <c r="V53" s="793"/>
      <c r="W53" s="793"/>
      <c r="X53" s="793"/>
      <c r="Y53" s="793"/>
    </row>
    <row r="54" spans="1:25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340" t="s">
        <v>550</v>
      </c>
      <c r="J54" s="1340"/>
      <c r="K54" s="1340"/>
      <c r="L54" s="1340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  <c r="U54" s="793"/>
      <c r="V54" s="793"/>
      <c r="W54" s="793"/>
      <c r="X54" s="793"/>
      <c r="Y54" s="793"/>
    </row>
    <row r="55" spans="1:25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334" t="s">
        <v>550</v>
      </c>
      <c r="J55" s="1335"/>
      <c r="K55" s="1335"/>
      <c r="L55" s="1336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  <c r="U55" s="793"/>
      <c r="V55" s="793"/>
      <c r="W55" s="793"/>
      <c r="X55" s="793"/>
      <c r="Y55" s="793"/>
    </row>
    <row r="56" spans="1:25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340" t="s">
        <v>550</v>
      </c>
      <c r="J56" s="1340"/>
      <c r="K56" s="1340"/>
      <c r="L56" s="1340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  <c r="U56" s="793"/>
      <c r="V56" s="793"/>
      <c r="W56" s="793"/>
      <c r="X56" s="793"/>
      <c r="Y56" s="793"/>
    </row>
    <row r="57" spans="1:25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298" t="s">
        <v>550</v>
      </c>
      <c r="J57" s="1298"/>
      <c r="K57" s="1298"/>
      <c r="L57" s="1298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  <c r="U57" s="793"/>
      <c r="V57" s="793"/>
      <c r="W57" s="793"/>
      <c r="X57" s="793"/>
      <c r="Y57" s="793"/>
    </row>
    <row r="58" spans="1:25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337" t="s">
        <v>550</v>
      </c>
      <c r="J58" s="1338"/>
      <c r="K58" s="1338"/>
      <c r="L58" s="1339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  <c r="U58" s="793"/>
      <c r="V58" s="793"/>
      <c r="W58" s="793"/>
      <c r="X58" s="793"/>
      <c r="Y58" s="793"/>
    </row>
    <row r="59" spans="1:25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298" t="s">
        <v>550</v>
      </c>
      <c r="J59" s="1298"/>
      <c r="K59" s="1298"/>
      <c r="L59" s="1298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  <c r="U59" s="793"/>
      <c r="V59" s="793"/>
      <c r="W59" s="793"/>
      <c r="X59" s="793"/>
      <c r="Y59" s="793"/>
    </row>
    <row r="60" spans="1:25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298" t="s">
        <v>550</v>
      </c>
      <c r="J60" s="1298"/>
      <c r="K60" s="1298"/>
      <c r="L60" s="1298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  <c r="U60" s="793"/>
      <c r="V60" s="793"/>
      <c r="W60" s="793"/>
      <c r="X60" s="793"/>
      <c r="Y60" s="793"/>
    </row>
    <row r="61" spans="1:25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298" t="s">
        <v>550</v>
      </c>
      <c r="J61" s="1298"/>
      <c r="K61" s="1298"/>
      <c r="L61" s="1298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  <c r="U61" s="793"/>
      <c r="V61" s="793"/>
      <c r="W61" s="793"/>
      <c r="X61" s="793"/>
      <c r="Y61" s="793"/>
    </row>
    <row r="62" spans="1:25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341" t="s">
        <v>550</v>
      </c>
      <c r="J62" s="1342"/>
      <c r="K62" s="1342"/>
      <c r="L62" s="1343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  <c r="U62" s="793"/>
      <c r="V62" s="793"/>
      <c r="W62" s="793"/>
      <c r="X62" s="793"/>
      <c r="Y62" s="793"/>
    </row>
    <row r="63" spans="1:25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298" t="s">
        <v>550</v>
      </c>
      <c r="J63" s="1298"/>
      <c r="K63" s="1298"/>
      <c r="L63" s="1298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  <c r="U63" s="793"/>
      <c r="V63" s="793"/>
      <c r="W63" s="793"/>
      <c r="X63" s="793"/>
      <c r="Y63" s="793"/>
    </row>
    <row r="64" spans="1:25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331" t="s">
        <v>550</v>
      </c>
      <c r="J64" s="1332"/>
      <c r="K64" s="1332"/>
      <c r="L64" s="1333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  <c r="U64" s="793"/>
      <c r="V64" s="793"/>
      <c r="W64" s="793"/>
      <c r="X64" s="793"/>
      <c r="Y64" s="793"/>
    </row>
    <row r="65" spans="1:25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331" t="s">
        <v>550</v>
      </c>
      <c r="J65" s="1332"/>
      <c r="K65" s="1332"/>
      <c r="L65" s="1333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  <c r="U65" s="793"/>
      <c r="V65" s="793"/>
      <c r="W65" s="793"/>
      <c r="X65" s="793"/>
      <c r="Y65" s="793"/>
    </row>
    <row r="66" spans="1:25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298" t="s">
        <v>550</v>
      </c>
      <c r="J66" s="1298"/>
      <c r="K66" s="1298"/>
      <c r="L66" s="1298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  <c r="U66" s="793"/>
      <c r="V66" s="793"/>
      <c r="W66" s="793"/>
      <c r="X66" s="793"/>
      <c r="Y66" s="793"/>
    </row>
    <row r="67" spans="1:25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331" t="s">
        <v>550</v>
      </c>
      <c r="J67" s="1332"/>
      <c r="K67" s="1332"/>
      <c r="L67" s="1333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  <c r="U67" s="793"/>
      <c r="V67" s="793"/>
      <c r="W67" s="793"/>
      <c r="X67" s="793"/>
      <c r="Y67" s="793"/>
    </row>
    <row r="68" spans="1:25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298" t="s">
        <v>550</v>
      </c>
      <c r="J68" s="1298"/>
      <c r="K68" s="1298"/>
      <c r="L68" s="1298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  <c r="U68" s="793"/>
      <c r="V68" s="793"/>
      <c r="W68" s="793"/>
      <c r="X68" s="793"/>
      <c r="Y68" s="793"/>
    </row>
    <row r="69" spans="1:25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298" t="s">
        <v>550</v>
      </c>
      <c r="J69" s="1298"/>
      <c r="K69" s="1298"/>
      <c r="L69" s="1298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  <c r="U69" s="793"/>
      <c r="V69" s="793"/>
      <c r="W69" s="793"/>
      <c r="X69" s="793"/>
      <c r="Y69" s="793"/>
    </row>
    <row r="70" spans="1:25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331" t="s">
        <v>550</v>
      </c>
      <c r="J70" s="1332"/>
      <c r="K70" s="1332"/>
      <c r="L70" s="1333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  <c r="U70" s="793"/>
      <c r="V70" s="793"/>
      <c r="W70" s="793"/>
      <c r="X70" s="793"/>
      <c r="Y70" s="793"/>
    </row>
    <row r="71" spans="1:25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298" t="s">
        <v>550</v>
      </c>
      <c r="J71" s="1298"/>
      <c r="K71" s="1298"/>
      <c r="L71" s="1298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  <c r="U71" s="793"/>
      <c r="V71" s="793"/>
      <c r="W71" s="793"/>
      <c r="X71" s="793"/>
      <c r="Y71" s="793"/>
    </row>
    <row r="72" spans="1:25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331" t="s">
        <v>550</v>
      </c>
      <c r="J72" s="1332"/>
      <c r="K72" s="1332"/>
      <c r="L72" s="1333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  <c r="U72" s="793"/>
      <c r="V72" s="793"/>
      <c r="W72" s="793"/>
      <c r="X72" s="793"/>
      <c r="Y72" s="793"/>
    </row>
    <row r="73" spans="1:25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331" t="s">
        <v>550</v>
      </c>
      <c r="J73" s="1332"/>
      <c r="K73" s="1332"/>
      <c r="L73" s="1333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  <c r="U73" s="793"/>
      <c r="V73" s="793"/>
      <c r="W73" s="793"/>
      <c r="X73" s="793"/>
      <c r="Y73" s="793"/>
    </row>
    <row r="74" spans="1:25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298" t="s">
        <v>550</v>
      </c>
      <c r="J74" s="1298"/>
      <c r="K74" s="1298"/>
      <c r="L74" s="1298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  <c r="U74" s="793"/>
      <c r="V74" s="793"/>
      <c r="W74" s="793"/>
      <c r="X74" s="793"/>
      <c r="Y74" s="793"/>
    </row>
    <row r="75" spans="1:25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298" t="s">
        <v>550</v>
      </c>
      <c r="J75" s="1298"/>
      <c r="K75" s="1298"/>
      <c r="L75" s="1298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  <c r="U75" s="793"/>
      <c r="V75" s="793"/>
      <c r="W75" s="793"/>
      <c r="X75" s="793"/>
      <c r="Y75" s="793"/>
    </row>
    <row r="76" spans="1:25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334" t="s">
        <v>550</v>
      </c>
      <c r="J76" s="1335"/>
      <c r="K76" s="1335"/>
      <c r="L76" s="1336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  <c r="U76" s="793"/>
      <c r="V76" s="793"/>
      <c r="W76" s="793"/>
      <c r="X76" s="793"/>
      <c r="Y76" s="793"/>
    </row>
    <row r="77" spans="1:25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298" t="s">
        <v>550</v>
      </c>
      <c r="J77" s="1298"/>
      <c r="K77" s="1298"/>
      <c r="L77" s="1298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  <c r="U77" s="793"/>
      <c r="V77" s="793"/>
      <c r="W77" s="793"/>
      <c r="X77" s="793"/>
      <c r="Y77" s="793"/>
    </row>
    <row r="78" spans="1:25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298" t="s">
        <v>550</v>
      </c>
      <c r="J78" s="1298"/>
      <c r="K78" s="1298"/>
      <c r="L78" s="1298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  <c r="U78" s="793"/>
      <c r="V78" s="793"/>
      <c r="W78" s="793"/>
      <c r="X78" s="793"/>
      <c r="Y78" s="793"/>
    </row>
    <row r="79" spans="1:25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298" t="s">
        <v>550</v>
      </c>
      <c r="J79" s="1298"/>
      <c r="K79" s="1298"/>
      <c r="L79" s="1298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  <c r="U79" s="793"/>
      <c r="V79" s="793"/>
      <c r="W79" s="793"/>
      <c r="X79" s="793"/>
      <c r="Y79" s="793"/>
    </row>
    <row r="80" spans="1:25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298" t="s">
        <v>550</v>
      </c>
      <c r="J80" s="1298"/>
      <c r="K80" s="1298"/>
      <c r="L80" s="1298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  <c r="U80" s="793"/>
      <c r="V80" s="793"/>
      <c r="W80" s="793"/>
      <c r="X80" s="793"/>
      <c r="Y80" s="793"/>
    </row>
    <row r="81" spans="1:25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298" t="s">
        <v>550</v>
      </c>
      <c r="J81" s="1298"/>
      <c r="K81" s="1298"/>
      <c r="L81" s="1298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  <c r="U81" s="793"/>
      <c r="V81" s="793"/>
      <c r="W81" s="793"/>
      <c r="X81" s="793"/>
      <c r="Y81" s="793"/>
    </row>
    <row r="82" spans="1:25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298" t="s">
        <v>550</v>
      </c>
      <c r="J82" s="1298"/>
      <c r="K82" s="1298"/>
      <c r="L82" s="1298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  <c r="U82" s="793"/>
      <c r="V82" s="793"/>
      <c r="W82" s="793"/>
      <c r="X82" s="793"/>
      <c r="Y82" s="793"/>
    </row>
    <row r="83" spans="1:25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298" t="s">
        <v>550</v>
      </c>
      <c r="J83" s="1298"/>
      <c r="K83" s="1298"/>
      <c r="L83" s="1298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  <c r="U83" s="793"/>
      <c r="V83" s="793"/>
      <c r="W83" s="793"/>
      <c r="X83" s="793"/>
      <c r="Y83" s="793"/>
    </row>
    <row r="84" spans="1:25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298" t="s">
        <v>550</v>
      </c>
      <c r="J84" s="1298"/>
      <c r="K84" s="1298"/>
      <c r="L84" s="1298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  <c r="U84" s="793"/>
      <c r="V84" s="793"/>
      <c r="W84" s="793"/>
      <c r="X84" s="793"/>
      <c r="Y84" s="793"/>
    </row>
    <row r="85" spans="1:25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298" t="s">
        <v>550</v>
      </c>
      <c r="J85" s="1298"/>
      <c r="K85" s="1298"/>
      <c r="L85" s="1298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  <c r="U85" s="793"/>
      <c r="V85" s="793"/>
      <c r="W85" s="793"/>
      <c r="X85" s="793"/>
      <c r="Y85" s="793"/>
    </row>
    <row r="86" spans="1:25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298" t="s">
        <v>550</v>
      </c>
      <c r="J86" s="1298"/>
      <c r="K86" s="1298"/>
      <c r="L86" s="1298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  <c r="U86" s="793"/>
      <c r="V86" s="793"/>
      <c r="W86" s="793"/>
      <c r="X86" s="793"/>
      <c r="Y86" s="793"/>
    </row>
    <row r="87" spans="1:25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298" t="s">
        <v>550</v>
      </c>
      <c r="J87" s="1298"/>
      <c r="K87" s="1298"/>
      <c r="L87" s="1298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  <c r="U87" s="793"/>
      <c r="V87" s="793"/>
      <c r="W87" s="793"/>
      <c r="X87" s="793"/>
      <c r="Y87" s="793"/>
    </row>
    <row r="88" spans="1:25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298" t="s">
        <v>550</v>
      </c>
      <c r="J88" s="1298"/>
      <c r="K88" s="1298"/>
      <c r="L88" s="1298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  <c r="U88" s="793"/>
      <c r="V88" s="793"/>
      <c r="W88" s="793"/>
      <c r="X88" s="793"/>
      <c r="Y88" s="793"/>
    </row>
    <row r="89" spans="1:25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298" t="s">
        <v>550</v>
      </c>
      <c r="J89" s="1298"/>
      <c r="K89" s="1298"/>
      <c r="L89" s="1298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  <c r="U89" s="793"/>
      <c r="V89" s="793"/>
      <c r="W89" s="793"/>
      <c r="X89" s="793"/>
      <c r="Y89" s="793"/>
    </row>
    <row r="90" spans="1:25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298" t="s">
        <v>550</v>
      </c>
      <c r="J90" s="1298"/>
      <c r="K90" s="1298"/>
      <c r="L90" s="1298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  <c r="U90" s="793"/>
      <c r="V90" s="793"/>
      <c r="W90" s="793"/>
      <c r="X90" s="793"/>
      <c r="Y90" s="793"/>
    </row>
    <row r="91" spans="1:25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298" t="s">
        <v>550</v>
      </c>
      <c r="J91" s="1298"/>
      <c r="K91" s="1298"/>
      <c r="L91" s="1298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  <c r="U91" s="793"/>
      <c r="V91" s="793"/>
      <c r="W91" s="793"/>
      <c r="X91" s="793"/>
      <c r="Y91" s="793"/>
    </row>
    <row r="92" spans="1:25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298" t="s">
        <v>550</v>
      </c>
      <c r="J92" s="1298"/>
      <c r="K92" s="1298"/>
      <c r="L92" s="1298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  <c r="U92" s="793"/>
      <c r="V92" s="793"/>
      <c r="W92" s="793"/>
      <c r="X92" s="793"/>
      <c r="Y92" s="793"/>
    </row>
    <row r="93" spans="1:25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298" t="s">
        <v>550</v>
      </c>
      <c r="J93" s="1298"/>
      <c r="K93" s="1298"/>
      <c r="L93" s="1298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  <c r="U93" s="793"/>
      <c r="V93" s="793"/>
      <c r="W93" s="793"/>
      <c r="X93" s="793"/>
      <c r="Y93" s="793"/>
    </row>
    <row r="94" spans="1:25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298" t="s">
        <v>550</v>
      </c>
      <c r="J94" s="1298"/>
      <c r="K94" s="1298"/>
      <c r="L94" s="1298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  <c r="U94" s="793"/>
      <c r="V94" s="793"/>
      <c r="W94" s="793"/>
      <c r="X94" s="793"/>
      <c r="Y94" s="793"/>
    </row>
    <row r="95" spans="1:25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298" t="s">
        <v>550</v>
      </c>
      <c r="J95" s="1298"/>
      <c r="K95" s="1298"/>
      <c r="L95" s="1298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  <c r="U95" s="793"/>
      <c r="V95" s="793"/>
      <c r="W95" s="793"/>
      <c r="X95" s="793"/>
      <c r="Y95" s="793"/>
    </row>
    <row r="96" spans="1:25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298" t="s">
        <v>550</v>
      </c>
      <c r="J96" s="1298"/>
      <c r="K96" s="1298"/>
      <c r="L96" s="1298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  <c r="U96" s="793"/>
      <c r="V96" s="793"/>
      <c r="W96" s="793"/>
      <c r="X96" s="793"/>
      <c r="Y96" s="793"/>
    </row>
    <row r="97" spans="1:25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298" t="s">
        <v>550</v>
      </c>
      <c r="J97" s="1298"/>
      <c r="K97" s="1298"/>
      <c r="L97" s="1298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  <c r="U97" s="793"/>
      <c r="V97" s="793"/>
      <c r="W97" s="793"/>
      <c r="X97" s="793"/>
      <c r="Y97" s="793"/>
    </row>
    <row r="98" spans="1:25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298" t="s">
        <v>550</v>
      </c>
      <c r="J98" s="1298"/>
      <c r="K98" s="1298"/>
      <c r="L98" s="1298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  <c r="U98" s="793"/>
      <c r="V98" s="793"/>
      <c r="W98" s="793"/>
      <c r="X98" s="793"/>
      <c r="Y98" s="793"/>
    </row>
    <row r="99" spans="1:25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321" t="s">
        <v>550</v>
      </c>
      <c r="J99" s="1321"/>
      <c r="K99" s="1321"/>
      <c r="L99" s="1321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  <c r="U99" s="831"/>
      <c r="V99" s="831"/>
      <c r="W99" s="831"/>
      <c r="X99" s="831"/>
      <c r="Y99" s="831"/>
    </row>
    <row r="100" spans="1:25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298" t="s">
        <v>550</v>
      </c>
      <c r="J100" s="1298"/>
      <c r="K100" s="1298"/>
      <c r="L100" s="1298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  <c r="U100" s="793"/>
      <c r="V100" s="793"/>
      <c r="W100" s="793"/>
      <c r="X100" s="793"/>
      <c r="Y100" s="793"/>
    </row>
    <row r="101" spans="1:25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298" t="s">
        <v>550</v>
      </c>
      <c r="J101" s="1298"/>
      <c r="K101" s="1298"/>
      <c r="L101" s="1298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  <c r="U101" s="793"/>
      <c r="V101" s="793"/>
      <c r="W101" s="793"/>
      <c r="X101" s="793"/>
      <c r="Y101" s="793"/>
    </row>
    <row r="102" spans="1:25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298" t="s">
        <v>550</v>
      </c>
      <c r="J102" s="1298"/>
      <c r="K102" s="1298"/>
      <c r="L102" s="1298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  <c r="U102" s="793"/>
      <c r="V102" s="793"/>
      <c r="W102" s="793"/>
      <c r="X102" s="793"/>
      <c r="Y102" s="793"/>
    </row>
    <row r="103" spans="1:25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298" t="s">
        <v>550</v>
      </c>
      <c r="J103" s="1298"/>
      <c r="K103" s="1298"/>
      <c r="L103" s="1298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  <c r="U103" s="793"/>
      <c r="V103" s="793"/>
      <c r="W103" s="793"/>
      <c r="X103" s="793"/>
      <c r="Y103" s="793"/>
    </row>
    <row r="104" spans="1:25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298" t="s">
        <v>550</v>
      </c>
      <c r="J104" s="1298"/>
      <c r="K104" s="1298"/>
      <c r="L104" s="1298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  <c r="U104" s="793"/>
      <c r="V104" s="793"/>
      <c r="W104" s="793"/>
      <c r="X104" s="793"/>
      <c r="Y104" s="793"/>
    </row>
    <row r="105" spans="1:25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298" t="s">
        <v>550</v>
      </c>
      <c r="J105" s="1298"/>
      <c r="K105" s="1298"/>
      <c r="L105" s="1298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  <c r="U105" s="793"/>
      <c r="V105" s="793"/>
      <c r="W105" s="793"/>
      <c r="X105" s="793"/>
      <c r="Y105" s="793"/>
    </row>
    <row r="106" spans="1:25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  <c r="U106" s="793"/>
      <c r="V106" s="793"/>
      <c r="W106" s="793"/>
      <c r="X106" s="793"/>
      <c r="Y106" s="793"/>
    </row>
    <row r="107" spans="1:25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  <c r="U107" s="793"/>
      <c r="V107" s="793"/>
      <c r="W107" s="793"/>
      <c r="X107" s="793"/>
      <c r="Y107" s="793"/>
    </row>
    <row r="108" spans="1:25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  <c r="U108" s="793"/>
      <c r="V108" s="793"/>
      <c r="W108" s="793"/>
      <c r="X108" s="793"/>
      <c r="Y108" s="793"/>
    </row>
    <row r="109" spans="1:25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  <c r="U109" s="793"/>
      <c r="V109" s="793"/>
      <c r="W109" s="793"/>
      <c r="X109" s="793"/>
      <c r="Y109" s="793"/>
    </row>
    <row r="110" spans="1:25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  <c r="U110" s="793"/>
      <c r="V110" s="793"/>
      <c r="W110" s="793"/>
      <c r="X110" s="793"/>
      <c r="Y110" s="793"/>
    </row>
    <row r="111" spans="1:25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  <c r="U111" s="793"/>
      <c r="V111" s="793"/>
      <c r="W111" s="793"/>
      <c r="X111" s="793"/>
      <c r="Y111" s="793"/>
    </row>
    <row r="112" spans="1:25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  <c r="U112" s="793"/>
      <c r="V112" s="793"/>
      <c r="W112" s="793"/>
      <c r="X112" s="793"/>
      <c r="Y112" s="793"/>
    </row>
    <row r="113" spans="1:25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  <c r="U113" s="831"/>
      <c r="V113" s="831"/>
      <c r="W113" s="831"/>
      <c r="X113" s="831"/>
      <c r="Y113" s="831"/>
    </row>
    <row r="114" spans="1:25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  <c r="U114" s="831"/>
      <c r="V114" s="831"/>
      <c r="W114" s="831"/>
      <c r="X114" s="831"/>
      <c r="Y114" s="831"/>
    </row>
    <row r="115" spans="1:25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  <c r="U115" s="831"/>
      <c r="V115" s="831"/>
      <c r="W115" s="831"/>
      <c r="X115" s="831"/>
      <c r="Y115" s="831"/>
    </row>
    <row r="116" spans="1:25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  <c r="U116" s="831"/>
      <c r="V116" s="831"/>
      <c r="W116" s="831"/>
      <c r="X116" s="831"/>
      <c r="Y116" s="831"/>
    </row>
    <row r="117" spans="1:25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  <c r="U117" s="831"/>
      <c r="V117" s="831"/>
      <c r="W117" s="831"/>
      <c r="X117" s="831"/>
      <c r="Y117" s="831"/>
    </row>
    <row r="118" spans="1:25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  <c r="U118" s="831"/>
      <c r="V118" s="831"/>
      <c r="W118" s="831"/>
      <c r="X118" s="831"/>
      <c r="Y118" s="831"/>
    </row>
    <row r="119" spans="1:25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  <c r="U119" s="793"/>
      <c r="V119" s="793"/>
      <c r="W119" s="793"/>
      <c r="X119" s="793"/>
      <c r="Y119" s="793"/>
    </row>
    <row r="120" spans="1:25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  <c r="U120" s="793"/>
      <c r="V120" s="793"/>
      <c r="W120" s="793"/>
      <c r="X120" s="793"/>
      <c r="Y120" s="793"/>
    </row>
    <row r="121" spans="1:25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  <c r="U121" s="793"/>
      <c r="V121" s="793"/>
      <c r="W121" s="793"/>
      <c r="X121" s="793"/>
      <c r="Y121" s="793"/>
    </row>
    <row r="122" spans="1:25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  <c r="U122" s="793"/>
      <c r="V122" s="793"/>
      <c r="W122" s="793"/>
      <c r="X122" s="793"/>
      <c r="Y122" s="793"/>
    </row>
    <row r="123" spans="1:25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  <c r="U123" s="793"/>
      <c r="V123" s="793"/>
      <c r="W123" s="793"/>
      <c r="X123" s="793"/>
      <c r="Y123" s="793"/>
    </row>
    <row r="124" spans="1:25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  <c r="U124" s="793"/>
      <c r="V124" s="793"/>
      <c r="W124" s="793"/>
      <c r="X124" s="793"/>
      <c r="Y124" s="793"/>
    </row>
    <row r="125" spans="1:25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  <c r="U125" s="793"/>
      <c r="V125" s="793"/>
      <c r="W125" s="793"/>
      <c r="X125" s="793"/>
      <c r="Y125" s="793"/>
    </row>
    <row r="126" spans="1:25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  <c r="U126" s="793"/>
      <c r="V126" s="793"/>
      <c r="W126" s="793"/>
      <c r="X126" s="793"/>
      <c r="Y126" s="793"/>
    </row>
    <row r="127" spans="1:25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  <c r="U127" s="793"/>
      <c r="V127" s="793"/>
      <c r="W127" s="793"/>
      <c r="X127" s="793"/>
      <c r="Y127" s="793"/>
    </row>
    <row r="128" spans="1:25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  <c r="U128" s="793"/>
      <c r="V128" s="793"/>
      <c r="W128" s="793"/>
      <c r="X128" s="793"/>
      <c r="Y128" s="793"/>
    </row>
    <row r="129" spans="1:25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  <c r="U129" s="793"/>
      <c r="V129" s="793"/>
      <c r="W129" s="793"/>
      <c r="X129" s="793"/>
      <c r="Y129" s="793"/>
    </row>
    <row r="130" spans="1:25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  <c r="U130" s="793"/>
      <c r="V130" s="793"/>
      <c r="W130" s="793"/>
      <c r="X130" s="793"/>
      <c r="Y130" s="793"/>
    </row>
    <row r="131" spans="1:25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  <c r="U131" s="793"/>
      <c r="V131" s="793"/>
      <c r="W131" s="793"/>
      <c r="X131" s="793"/>
      <c r="Y131" s="793"/>
    </row>
    <row r="132" spans="1:25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  <c r="U132" s="793"/>
      <c r="V132" s="793"/>
      <c r="W132" s="793"/>
      <c r="X132" s="793"/>
      <c r="Y132" s="793"/>
    </row>
    <row r="133" spans="1:25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  <c r="U133" s="793"/>
      <c r="V133" s="793"/>
      <c r="W133" s="793"/>
      <c r="X133" s="793"/>
      <c r="Y133" s="793"/>
    </row>
    <row r="134" spans="1:25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  <c r="U134" s="793"/>
      <c r="V134" s="793"/>
      <c r="W134" s="793"/>
      <c r="X134" s="793"/>
      <c r="Y134" s="793"/>
    </row>
    <row r="135" spans="1:25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  <c r="U135" s="793"/>
      <c r="V135" s="793"/>
      <c r="W135" s="793"/>
      <c r="X135" s="793"/>
      <c r="Y135" s="793"/>
    </row>
    <row r="136" spans="1:25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  <c r="U136" s="793"/>
      <c r="V136" s="793"/>
      <c r="W136" s="793"/>
      <c r="X136" s="793"/>
      <c r="Y136" s="793"/>
    </row>
    <row r="137" spans="1:25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  <c r="U137" s="793"/>
      <c r="V137" s="793"/>
      <c r="W137" s="793"/>
      <c r="X137" s="793"/>
      <c r="Y137" s="793"/>
    </row>
    <row r="138" spans="1:25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  <c r="U138" s="793"/>
      <c r="V138" s="793"/>
      <c r="W138" s="793"/>
      <c r="X138" s="793"/>
      <c r="Y138" s="793"/>
    </row>
    <row r="139" spans="1:25" s="794" customFormat="1" ht="17.399999999999999" customHeight="1" x14ac:dyDescent="0.35">
      <c r="A139" s="741"/>
      <c r="B139" s="742">
        <f t="shared" ref="B139:B190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  <c r="U139" s="793"/>
      <c r="V139" s="793"/>
      <c r="W139" s="793"/>
      <c r="X139" s="793"/>
      <c r="Y139" s="793"/>
    </row>
    <row r="140" spans="1:25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  <c r="U140" s="793"/>
      <c r="V140" s="793"/>
      <c r="W140" s="793"/>
      <c r="X140" s="793"/>
      <c r="Y140" s="793"/>
    </row>
    <row r="141" spans="1:25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  <c r="U141" s="793"/>
      <c r="V141" s="793"/>
      <c r="W141" s="793"/>
      <c r="X141" s="793"/>
      <c r="Y141" s="793"/>
    </row>
    <row r="142" spans="1:25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  <c r="U142" s="793"/>
      <c r="V142" s="793"/>
      <c r="W142" s="793"/>
      <c r="X142" s="793"/>
      <c r="Y142" s="793"/>
    </row>
    <row r="143" spans="1:25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  <c r="U143" s="793"/>
      <c r="V143" s="793"/>
      <c r="W143" s="793"/>
      <c r="X143" s="793"/>
      <c r="Y143" s="793"/>
    </row>
    <row r="144" spans="1:25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  <c r="U144" s="793"/>
      <c r="V144" s="793"/>
      <c r="W144" s="793"/>
      <c r="X144" s="793"/>
      <c r="Y144" s="793"/>
    </row>
    <row r="145" spans="1:25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  <c r="U145" s="793"/>
      <c r="V145" s="793"/>
      <c r="W145" s="793"/>
      <c r="X145" s="793"/>
      <c r="Y145" s="793"/>
    </row>
    <row r="146" spans="1:25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  <c r="U146" s="793"/>
      <c r="V146" s="793"/>
      <c r="W146" s="793"/>
      <c r="X146" s="793"/>
      <c r="Y146" s="793"/>
    </row>
    <row r="147" spans="1:25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  <c r="U147" s="793"/>
      <c r="V147" s="793"/>
      <c r="W147" s="793"/>
      <c r="X147" s="793"/>
      <c r="Y147" s="793"/>
    </row>
    <row r="148" spans="1:25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  <c r="U148" s="793"/>
      <c r="V148" s="793"/>
      <c r="W148" s="793"/>
      <c r="X148" s="793"/>
      <c r="Y148" s="793"/>
    </row>
    <row r="149" spans="1:25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  <c r="U149" s="793"/>
      <c r="V149" s="793"/>
      <c r="W149" s="793"/>
      <c r="X149" s="793"/>
      <c r="Y149" s="793"/>
    </row>
    <row r="150" spans="1:25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  <c r="U150" s="793"/>
      <c r="V150" s="793"/>
      <c r="W150" s="793"/>
      <c r="X150" s="793"/>
      <c r="Y150" s="793"/>
    </row>
    <row r="151" spans="1:25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  <c r="U151" s="793"/>
      <c r="V151" s="793"/>
      <c r="W151" s="793"/>
      <c r="X151" s="793"/>
      <c r="Y151" s="793"/>
    </row>
    <row r="152" spans="1:25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  <c r="U152" s="793"/>
      <c r="V152" s="793"/>
      <c r="W152" s="793"/>
      <c r="X152" s="793"/>
      <c r="Y152" s="793"/>
    </row>
    <row r="153" spans="1:25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  <c r="U153" s="793"/>
      <c r="V153" s="793"/>
      <c r="W153" s="793"/>
      <c r="X153" s="793"/>
      <c r="Y153" s="793"/>
    </row>
    <row r="154" spans="1:25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  <c r="U154" s="793"/>
      <c r="V154" s="793"/>
      <c r="W154" s="793"/>
      <c r="X154" s="793"/>
      <c r="Y154" s="793"/>
    </row>
    <row r="155" spans="1:25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  <c r="U155" s="793"/>
      <c r="V155" s="793"/>
      <c r="W155" s="793"/>
      <c r="X155" s="793"/>
      <c r="Y155" s="793"/>
    </row>
    <row r="156" spans="1:25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  <c r="U156" s="793"/>
      <c r="V156" s="793"/>
      <c r="W156" s="793"/>
      <c r="X156" s="793"/>
      <c r="Y156" s="793"/>
    </row>
    <row r="157" spans="1:25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  <c r="U157" s="793"/>
      <c r="V157" s="793"/>
      <c r="W157" s="793"/>
      <c r="X157" s="793"/>
      <c r="Y157" s="793"/>
    </row>
    <row r="158" spans="1:25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  <c r="U158" s="793"/>
      <c r="V158" s="793"/>
      <c r="W158" s="793"/>
      <c r="X158" s="793"/>
      <c r="Y158" s="793"/>
    </row>
    <row r="159" spans="1:25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  <c r="U159" s="793"/>
      <c r="V159" s="793"/>
      <c r="W159" s="793"/>
      <c r="X159" s="793"/>
      <c r="Y159" s="793"/>
    </row>
    <row r="160" spans="1:25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  <c r="U160" s="793"/>
      <c r="V160" s="793"/>
      <c r="W160" s="793"/>
      <c r="X160" s="793"/>
      <c r="Y160" s="793"/>
    </row>
    <row r="161" spans="1:25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4"/>
      <c r="K161" s="1204"/>
      <c r="L161" s="1205"/>
      <c r="M161" s="1206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  <c r="U161" s="831"/>
      <c r="V161" s="831"/>
      <c r="W161" s="831"/>
      <c r="X161" s="831"/>
      <c r="Y161" s="831"/>
    </row>
    <row r="162" spans="1:25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4"/>
      <c r="K162" s="1204"/>
      <c r="L162" s="1205"/>
      <c r="M162" s="1206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  <c r="U162" s="831"/>
      <c r="V162" s="831"/>
      <c r="W162" s="831"/>
      <c r="X162" s="831"/>
      <c r="Y162" s="831"/>
    </row>
    <row r="163" spans="1:25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7"/>
      <c r="K163" s="1207"/>
      <c r="L163" s="1208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  <c r="U163" s="831"/>
      <c r="V163" s="831"/>
      <c r="W163" s="831"/>
      <c r="X163" s="831"/>
      <c r="Y163" s="831"/>
    </row>
    <row r="164" spans="1:25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7"/>
      <c r="K164" s="1207"/>
      <c r="L164" s="1208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  <c r="U164" s="831"/>
      <c r="V164" s="831"/>
      <c r="W164" s="831"/>
      <c r="X164" s="831"/>
      <c r="Y164" s="831"/>
    </row>
    <row r="165" spans="1:25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7"/>
      <c r="K165" s="1207"/>
      <c r="L165" s="1208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  <c r="U165" s="831"/>
      <c r="V165" s="831"/>
      <c r="W165" s="831"/>
      <c r="X165" s="831"/>
      <c r="Y165" s="831"/>
    </row>
    <row r="166" spans="1:25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9">
        <v>55.74</v>
      </c>
      <c r="I166" s="829" t="s">
        <v>550</v>
      </c>
      <c r="J166" s="1207"/>
      <c r="K166" s="1207"/>
      <c r="L166" s="1208"/>
      <c r="M166" s="795">
        <v>46210</v>
      </c>
      <c r="N166" s="786" t="s">
        <v>985</v>
      </c>
      <c r="O166" s="788"/>
      <c r="P166" s="788">
        <v>20</v>
      </c>
      <c r="Q166" s="831"/>
      <c r="R166" s="831"/>
      <c r="S166" s="831"/>
      <c r="T166" s="831"/>
      <c r="U166" s="831"/>
      <c r="V166" s="831"/>
      <c r="W166" s="831"/>
      <c r="X166" s="831"/>
      <c r="Y166" s="831"/>
    </row>
    <row r="167" spans="1:25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7"/>
      <c r="K167" s="1207"/>
      <c r="L167" s="1208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  <c r="U167" s="831"/>
      <c r="V167" s="831"/>
      <c r="W167" s="831"/>
      <c r="X167" s="831"/>
      <c r="Y167" s="831"/>
    </row>
    <row r="168" spans="1:25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7"/>
      <c r="K168" s="1207"/>
      <c r="L168" s="1208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  <c r="U168" s="831"/>
      <c r="V168" s="831"/>
      <c r="W168" s="831"/>
      <c r="X168" s="831"/>
      <c r="Y168" s="831"/>
    </row>
    <row r="169" spans="1:25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7"/>
      <c r="K169" s="1207"/>
      <c r="L169" s="1208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  <c r="U169" s="831"/>
      <c r="V169" s="831"/>
      <c r="W169" s="831"/>
      <c r="X169" s="831"/>
      <c r="Y169" s="831"/>
    </row>
    <row r="170" spans="1:25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976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4"/>
      <c r="K170" s="1204"/>
      <c r="L170" s="1205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  <c r="U170" s="831"/>
      <c r="V170" s="831"/>
      <c r="W170" s="831"/>
      <c r="X170" s="831"/>
      <c r="Y170" s="831"/>
    </row>
    <row r="171" spans="1:25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988</v>
      </c>
      <c r="E171" s="746" t="s">
        <v>92</v>
      </c>
      <c r="F171" s="784"/>
      <c r="G171" s="911">
        <v>46211</v>
      </c>
      <c r="H171" s="1209">
        <v>73.84</v>
      </c>
      <c r="I171" s="829" t="s">
        <v>550</v>
      </c>
      <c r="J171" s="1207"/>
      <c r="K171" s="1207"/>
      <c r="L171" s="1208"/>
      <c r="M171" s="795">
        <v>46213</v>
      </c>
      <c r="N171" s="786" t="s">
        <v>985</v>
      </c>
      <c r="O171" s="788"/>
      <c r="P171" s="788">
        <v>20</v>
      </c>
      <c r="Q171" s="831"/>
      <c r="R171" s="831"/>
      <c r="S171" s="831"/>
      <c r="T171" s="831"/>
      <c r="U171" s="831"/>
      <c r="V171" s="831"/>
      <c r="W171" s="831"/>
      <c r="X171" s="831"/>
      <c r="Y171" s="831"/>
    </row>
    <row r="172" spans="1:25" s="832" customFormat="1" ht="17.399999999999999" customHeight="1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2">
        <v>23.27</v>
      </c>
      <c r="I172" s="829" t="s">
        <v>550</v>
      </c>
      <c r="J172" s="1207"/>
      <c r="K172" s="1207"/>
      <c r="L172" s="1208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  <c r="U172" s="831"/>
      <c r="V172" s="831"/>
      <c r="W172" s="831"/>
      <c r="X172" s="831"/>
      <c r="Y172" s="831"/>
    </row>
    <row r="173" spans="1:25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11">
        <v>46213</v>
      </c>
      <c r="H173" s="808">
        <v>26.43</v>
      </c>
      <c r="I173" s="829" t="s">
        <v>550</v>
      </c>
      <c r="J173" s="1207"/>
      <c r="K173" s="1207"/>
      <c r="L173" s="1208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  <c r="U173" s="831"/>
      <c r="V173" s="831"/>
      <c r="W173" s="831"/>
      <c r="X173" s="831"/>
      <c r="Y173" s="831"/>
    </row>
    <row r="174" spans="1:25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10">
        <v>46209</v>
      </c>
      <c r="H174" s="808">
        <v>26.43</v>
      </c>
      <c r="I174" s="829" t="s">
        <v>550</v>
      </c>
      <c r="J174" s="1207"/>
      <c r="K174" s="1207"/>
      <c r="L174" s="1208"/>
      <c r="M174" s="795">
        <v>46216</v>
      </c>
      <c r="N174" s="786" t="s">
        <v>996</v>
      </c>
      <c r="O174" s="788"/>
      <c r="P174" s="788">
        <v>12</v>
      </c>
      <c r="Q174" s="831"/>
      <c r="R174" s="831"/>
      <c r="S174" s="831"/>
      <c r="T174" s="831"/>
      <c r="U174" s="831"/>
      <c r="V174" s="831"/>
      <c r="W174" s="831"/>
      <c r="X174" s="831"/>
      <c r="Y174" s="831"/>
    </row>
    <row r="175" spans="1:25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7"/>
      <c r="K175" s="1207"/>
      <c r="L175" s="1208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  <c r="U175" s="831"/>
      <c r="V175" s="831"/>
      <c r="W175" s="831"/>
      <c r="X175" s="831"/>
      <c r="Y175" s="831"/>
    </row>
    <row r="176" spans="1:25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6">
        <v>55.74</v>
      </c>
      <c r="I176" s="829" t="s">
        <v>550</v>
      </c>
      <c r="J176" s="1207"/>
      <c r="K176" s="1207"/>
      <c r="L176" s="1208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  <c r="U176" s="831"/>
      <c r="V176" s="831"/>
      <c r="W176" s="831"/>
      <c r="X176" s="831"/>
      <c r="Y176" s="831"/>
    </row>
    <row r="177" spans="1:25" s="832" customFormat="1" ht="17.399999999999999" customHeight="1" x14ac:dyDescent="0.35">
      <c r="A177" s="761"/>
      <c r="B177" s="742">
        <f t="shared" si="3"/>
        <v>165</v>
      </c>
      <c r="C177" s="747" t="s">
        <v>455</v>
      </c>
      <c r="D177" s="763" t="s">
        <v>976</v>
      </c>
      <c r="E177" s="746" t="s">
        <v>92</v>
      </c>
      <c r="F177" s="784"/>
      <c r="G177" s="911">
        <v>46214</v>
      </c>
      <c r="H177" s="1216"/>
      <c r="I177" s="829" t="s">
        <v>550</v>
      </c>
      <c r="J177" s="1207"/>
      <c r="K177" s="1207"/>
      <c r="L177" s="1208"/>
      <c r="M177" s="795">
        <v>46219</v>
      </c>
      <c r="N177" s="786" t="s">
        <v>985</v>
      </c>
      <c r="O177" s="788"/>
      <c r="P177" s="788">
        <v>20</v>
      </c>
      <c r="Q177" s="831"/>
      <c r="R177" s="831"/>
      <c r="S177" s="831"/>
      <c r="T177" s="831"/>
      <c r="U177" s="831"/>
      <c r="V177" s="831"/>
      <c r="W177" s="831"/>
      <c r="X177" s="831"/>
      <c r="Y177" s="831"/>
    </row>
    <row r="178" spans="1:25" s="832" customFormat="1" ht="17.399999999999999" customHeight="1" x14ac:dyDescent="0.35">
      <c r="A178" s="761"/>
      <c r="B178" s="742">
        <f t="shared" si="3"/>
        <v>166</v>
      </c>
      <c r="C178" s="74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7"/>
      <c r="K178" s="1207"/>
      <c r="L178" s="1208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  <c r="U178" s="831"/>
      <c r="V178" s="831"/>
      <c r="W178" s="831"/>
      <c r="X178" s="831"/>
      <c r="Y178" s="831"/>
    </row>
    <row r="179" spans="1:25" s="832" customFormat="1" ht="17.399999999999999" customHeight="1" x14ac:dyDescent="0.35">
      <c r="A179" s="761"/>
      <c r="B179" s="742">
        <f t="shared" si="3"/>
        <v>167</v>
      </c>
      <c r="C179" s="747" t="s">
        <v>210</v>
      </c>
      <c r="D179" s="763" t="s">
        <v>87</v>
      </c>
      <c r="E179" s="746" t="s">
        <v>92</v>
      </c>
      <c r="F179" s="350"/>
      <c r="G179" s="784">
        <v>46204</v>
      </c>
      <c r="H179" s="745">
        <v>23.27</v>
      </c>
      <c r="I179" s="829" t="s">
        <v>550</v>
      </c>
      <c r="J179" s="1207"/>
      <c r="K179" s="1207"/>
      <c r="L179" s="1208"/>
      <c r="M179" s="1237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  <c r="U179" s="831"/>
      <c r="V179" s="831"/>
      <c r="W179" s="831"/>
      <c r="X179" s="831"/>
      <c r="Y179" s="831"/>
    </row>
    <row r="180" spans="1:25" s="832" customFormat="1" ht="17.399999999999999" customHeight="1" x14ac:dyDescent="0.35">
      <c r="A180" s="761"/>
      <c r="B180" s="742">
        <f t="shared" si="3"/>
        <v>168</v>
      </c>
      <c r="C180" s="747" t="s">
        <v>295</v>
      </c>
      <c r="D180" s="763" t="s">
        <v>91</v>
      </c>
      <c r="E180" s="746"/>
      <c r="F180" s="350"/>
      <c r="G180" s="784">
        <v>46219</v>
      </c>
      <c r="H180" s="916"/>
      <c r="I180" s="829" t="s">
        <v>550</v>
      </c>
      <c r="J180" s="1207"/>
      <c r="K180" s="1207"/>
      <c r="L180" s="1208"/>
      <c r="M180" s="1237">
        <v>46221</v>
      </c>
      <c r="N180" s="786" t="s">
        <v>985</v>
      </c>
      <c r="O180" s="787"/>
      <c r="P180" s="788"/>
      <c r="Q180" s="831"/>
      <c r="R180" s="831"/>
      <c r="S180" s="831"/>
      <c r="T180" s="831"/>
      <c r="U180" s="831"/>
      <c r="V180" s="831"/>
      <c r="W180" s="831"/>
      <c r="X180" s="831"/>
      <c r="Y180" s="831"/>
    </row>
    <row r="181" spans="1:25" s="794" customFormat="1" ht="17.399999999999999" customHeight="1" x14ac:dyDescent="0.35">
      <c r="A181" s="741"/>
      <c r="B181" s="742">
        <f t="shared" si="3"/>
        <v>169</v>
      </c>
      <c r="C181" s="746" t="s">
        <v>110</v>
      </c>
      <c r="D181" s="747" t="s">
        <v>87</v>
      </c>
      <c r="E181" s="746"/>
      <c r="F181" s="350"/>
      <c r="G181" s="784"/>
      <c r="H181" s="746"/>
      <c r="I181" s="1322" t="s">
        <v>689</v>
      </c>
      <c r="J181" s="1323"/>
      <c r="K181" s="1323"/>
      <c r="L181" s="1324"/>
      <c r="M181" s="787"/>
      <c r="N181" s="786" t="s">
        <v>690</v>
      </c>
      <c r="O181" s="787"/>
      <c r="P181" s="788"/>
      <c r="Q181" s="793"/>
      <c r="R181" s="793"/>
      <c r="S181" s="793"/>
      <c r="T181" s="793"/>
      <c r="U181" s="793"/>
      <c r="V181" s="793"/>
      <c r="W181" s="793"/>
      <c r="X181" s="793"/>
      <c r="Y181" s="793"/>
    </row>
    <row r="182" spans="1:25" s="794" customFormat="1" ht="17.399999999999999" customHeight="1" x14ac:dyDescent="0.35">
      <c r="A182" s="741"/>
      <c r="B182" s="742">
        <f t="shared" si="3"/>
        <v>170</v>
      </c>
      <c r="C182" s="766" t="s">
        <v>276</v>
      </c>
      <c r="D182" s="747" t="s">
        <v>87</v>
      </c>
      <c r="E182" s="746"/>
      <c r="F182" s="350"/>
      <c r="G182" s="784"/>
      <c r="H182" s="746"/>
      <c r="I182" s="1322" t="s">
        <v>688</v>
      </c>
      <c r="J182" s="1323"/>
      <c r="K182" s="1323"/>
      <c r="L182" s="1324"/>
      <c r="M182" s="787"/>
      <c r="N182" s="786" t="s">
        <v>766</v>
      </c>
      <c r="O182" s="787"/>
      <c r="P182" s="788">
        <v>15</v>
      </c>
      <c r="Q182" s="793"/>
      <c r="R182" s="793"/>
      <c r="S182" s="793"/>
      <c r="T182" s="793"/>
      <c r="U182" s="793"/>
      <c r="V182" s="793"/>
      <c r="W182" s="793"/>
      <c r="X182" s="793"/>
      <c r="Y182" s="793"/>
    </row>
    <row r="183" spans="1:25" s="794" customFormat="1" ht="17.399999999999999" customHeight="1" x14ac:dyDescent="0.35">
      <c r="A183" s="741"/>
      <c r="B183" s="742">
        <f t="shared" si="3"/>
        <v>171</v>
      </c>
      <c r="C183" s="755" t="s">
        <v>467</v>
      </c>
      <c r="D183" s="747" t="s">
        <v>559</v>
      </c>
      <c r="E183" s="746"/>
      <c r="F183" s="350"/>
      <c r="G183" s="784">
        <v>46067</v>
      </c>
      <c r="H183" s="746"/>
      <c r="I183" s="1305" t="s">
        <v>736</v>
      </c>
      <c r="J183" s="1306"/>
      <c r="K183" s="1306"/>
      <c r="L183" s="1307"/>
      <c r="M183" s="856"/>
      <c r="N183" s="786"/>
      <c r="O183" s="787"/>
      <c r="P183" s="788">
        <v>18</v>
      </c>
      <c r="Q183" s="793"/>
      <c r="R183" s="793"/>
      <c r="S183" s="793"/>
      <c r="T183" s="793"/>
      <c r="U183" s="793"/>
      <c r="V183" s="793"/>
      <c r="W183" s="793"/>
      <c r="X183" s="793"/>
      <c r="Y183" s="793"/>
    </row>
    <row r="184" spans="1:25" s="794" customFormat="1" ht="17.399999999999999" customHeight="1" x14ac:dyDescent="0.35">
      <c r="A184" s="741"/>
      <c r="B184" s="742">
        <f t="shared" si="3"/>
        <v>172</v>
      </c>
      <c r="C184" s="755" t="s">
        <v>355</v>
      </c>
      <c r="D184" s="747" t="s">
        <v>91</v>
      </c>
      <c r="E184" s="746"/>
      <c r="F184" s="350"/>
      <c r="G184" s="784">
        <v>46077</v>
      </c>
      <c r="H184" s="746"/>
      <c r="I184" s="1305" t="s">
        <v>736</v>
      </c>
      <c r="J184" s="1306"/>
      <c r="K184" s="1306"/>
      <c r="L184" s="1307"/>
      <c r="M184" s="857"/>
      <c r="N184" s="786"/>
      <c r="O184" s="787"/>
      <c r="P184" s="788">
        <v>18</v>
      </c>
      <c r="Q184" s="793"/>
      <c r="R184" s="793"/>
      <c r="S184" s="793"/>
      <c r="T184" s="793"/>
      <c r="U184" s="793"/>
      <c r="V184" s="793"/>
      <c r="W184" s="793"/>
      <c r="X184" s="793"/>
      <c r="Y184" s="793"/>
    </row>
    <row r="185" spans="1:25" s="794" customFormat="1" ht="17.399999999999999" customHeight="1" x14ac:dyDescent="0.35">
      <c r="A185" s="741"/>
      <c r="B185" s="742">
        <f t="shared" si="3"/>
        <v>173</v>
      </c>
      <c r="C185" s="754" t="s">
        <v>357</v>
      </c>
      <c r="D185" s="763" t="s">
        <v>91</v>
      </c>
      <c r="E185" s="746" t="s">
        <v>92</v>
      </c>
      <c r="F185" s="350"/>
      <c r="G185" s="784">
        <v>46083</v>
      </c>
      <c r="H185" s="808">
        <v>26.43</v>
      </c>
      <c r="I185" s="1299" t="s">
        <v>761</v>
      </c>
      <c r="J185" s="1300"/>
      <c r="K185" s="1300"/>
      <c r="L185" s="1301"/>
      <c r="M185" s="857"/>
      <c r="N185" s="786"/>
      <c r="O185" s="787"/>
      <c r="P185" s="788">
        <v>18</v>
      </c>
      <c r="Q185" s="793"/>
      <c r="R185" s="793"/>
      <c r="S185" s="793"/>
      <c r="T185" s="793"/>
      <c r="U185" s="793"/>
      <c r="V185" s="793"/>
      <c r="W185" s="793"/>
      <c r="X185" s="793"/>
      <c r="Y185" s="793"/>
    </row>
    <row r="186" spans="1:25" s="794" customFormat="1" ht="17.399999999999999" customHeight="1" x14ac:dyDescent="0.35">
      <c r="A186" s="741"/>
      <c r="B186" s="742">
        <f t="shared" si="3"/>
        <v>174</v>
      </c>
      <c r="C186" s="754" t="s">
        <v>356</v>
      </c>
      <c r="D186" s="763" t="s">
        <v>87</v>
      </c>
      <c r="E186" s="746"/>
      <c r="F186" s="350"/>
      <c r="G186" s="784">
        <v>46079</v>
      </c>
      <c r="H186" s="746"/>
      <c r="I186" s="1299" t="s">
        <v>761</v>
      </c>
      <c r="J186" s="1300"/>
      <c r="K186" s="1300"/>
      <c r="L186" s="1301"/>
      <c r="M186" s="857"/>
      <c r="N186" s="786"/>
      <c r="O186" s="787"/>
      <c r="P186" s="788">
        <v>18</v>
      </c>
      <c r="Q186" s="793"/>
      <c r="R186" s="793"/>
      <c r="S186" s="793"/>
      <c r="T186" s="793"/>
      <c r="U186" s="793"/>
      <c r="V186" s="793"/>
      <c r="W186" s="793"/>
      <c r="X186" s="793"/>
      <c r="Y186" s="793"/>
    </row>
    <row r="187" spans="1:25" s="794" customFormat="1" ht="17.399999999999999" customHeight="1" x14ac:dyDescent="0.35">
      <c r="A187" s="741"/>
      <c r="B187" s="742">
        <f t="shared" si="3"/>
        <v>175</v>
      </c>
      <c r="C187" s="747" t="s">
        <v>219</v>
      </c>
      <c r="D187" s="763" t="s">
        <v>87</v>
      </c>
      <c r="E187" s="746"/>
      <c r="F187" s="350"/>
      <c r="G187" s="784">
        <v>46112</v>
      </c>
      <c r="H187" s="808"/>
      <c r="I187" s="1305" t="s">
        <v>736</v>
      </c>
      <c r="J187" s="1306"/>
      <c r="K187" s="1306"/>
      <c r="L187" s="1307"/>
      <c r="M187" s="857"/>
      <c r="N187" s="786"/>
      <c r="O187" s="787"/>
      <c r="P187" s="788"/>
      <c r="Q187" s="793"/>
      <c r="R187" s="793"/>
      <c r="S187" s="793"/>
      <c r="T187" s="793"/>
      <c r="U187" s="793"/>
      <c r="V187" s="793"/>
      <c r="W187" s="793"/>
      <c r="X187" s="793"/>
      <c r="Y187" s="793"/>
    </row>
    <row r="188" spans="1:25" s="794" customFormat="1" ht="17.399999999999999" customHeight="1" x14ac:dyDescent="0.35">
      <c r="A188" s="741"/>
      <c r="B188" s="742">
        <f t="shared" si="3"/>
        <v>176</v>
      </c>
      <c r="C188" s="747" t="s">
        <v>201</v>
      </c>
      <c r="D188" s="763" t="s">
        <v>95</v>
      </c>
      <c r="E188" s="746"/>
      <c r="F188" s="350"/>
      <c r="G188" s="784">
        <v>46125</v>
      </c>
      <c r="H188" s="808"/>
      <c r="I188" s="1305" t="s">
        <v>761</v>
      </c>
      <c r="J188" s="1306"/>
      <c r="K188" s="1306"/>
      <c r="L188" s="1307"/>
      <c r="M188" s="857"/>
      <c r="N188" s="786" t="s">
        <v>770</v>
      </c>
      <c r="O188" s="787"/>
      <c r="P188" s="788">
        <v>12</v>
      </c>
      <c r="Q188" s="793"/>
      <c r="R188" s="793"/>
      <c r="S188" s="793"/>
      <c r="T188" s="793"/>
      <c r="U188" s="793"/>
      <c r="V188" s="793"/>
      <c r="W188" s="793"/>
      <c r="X188" s="793"/>
      <c r="Y188" s="793"/>
    </row>
    <row r="189" spans="1:25" s="794" customFormat="1" ht="17.399999999999999" customHeight="1" x14ac:dyDescent="0.35">
      <c r="A189" s="741"/>
      <c r="B189" s="742">
        <f t="shared" si="3"/>
        <v>177</v>
      </c>
      <c r="C189" s="747" t="s">
        <v>204</v>
      </c>
      <c r="D189" s="763" t="s">
        <v>91</v>
      </c>
      <c r="E189" s="746"/>
      <c r="F189" s="350"/>
      <c r="G189" s="784">
        <v>46128</v>
      </c>
      <c r="H189" s="808"/>
      <c r="I189" s="1305" t="s">
        <v>777</v>
      </c>
      <c r="J189" s="1306"/>
      <c r="K189" s="1306"/>
      <c r="L189" s="1307"/>
      <c r="M189" s="857"/>
      <c r="N189" s="786" t="s">
        <v>770</v>
      </c>
      <c r="O189" s="787"/>
      <c r="P189" s="788">
        <v>12</v>
      </c>
      <c r="Q189" s="793"/>
      <c r="R189" s="793"/>
      <c r="S189" s="793"/>
      <c r="T189" s="793"/>
      <c r="U189" s="793"/>
      <c r="V189" s="793"/>
      <c r="W189" s="793"/>
      <c r="X189" s="793"/>
      <c r="Y189" s="793"/>
    </row>
    <row r="190" spans="1:25" s="794" customFormat="1" ht="17.399999999999999" customHeight="1" x14ac:dyDescent="0.35">
      <c r="A190" s="741"/>
      <c r="B190" s="742">
        <f t="shared" si="3"/>
        <v>178</v>
      </c>
      <c r="C190" s="747" t="s">
        <v>206</v>
      </c>
      <c r="D190" s="763" t="s">
        <v>91</v>
      </c>
      <c r="E190" s="746"/>
      <c r="F190" s="350"/>
      <c r="G190" s="784"/>
      <c r="H190" s="808"/>
      <c r="I190" s="855" t="s">
        <v>977</v>
      </c>
      <c r="J190" s="844"/>
      <c r="K190" s="844"/>
      <c r="L190" s="845"/>
      <c r="M190" s="857"/>
      <c r="N190" s="786" t="s">
        <v>770</v>
      </c>
      <c r="O190" s="787"/>
      <c r="P190" s="788">
        <v>12</v>
      </c>
      <c r="Q190" s="793"/>
      <c r="R190" s="793"/>
      <c r="S190" s="793"/>
      <c r="T190" s="793"/>
      <c r="U190" s="793"/>
      <c r="V190" s="793"/>
      <c r="W190" s="793"/>
      <c r="X190" s="793"/>
      <c r="Y190" s="793"/>
    </row>
    <row r="191" spans="1:25" s="794" customFormat="1" ht="29.4" customHeight="1" x14ac:dyDescent="0.35">
      <c r="A191" s="741"/>
      <c r="B191" s="742"/>
      <c r="C191" s="770" t="s">
        <v>674</v>
      </c>
      <c r="D191" s="747"/>
      <c r="E191" s="746"/>
      <c r="F191" s="350"/>
      <c r="G191" s="784"/>
      <c r="H191" s="746"/>
      <c r="I191" s="1305"/>
      <c r="J191" s="1306"/>
      <c r="K191" s="1306"/>
      <c r="L191" s="1307"/>
      <c r="M191" s="795"/>
      <c r="N191" s="818"/>
      <c r="O191" s="787"/>
      <c r="P191" s="788"/>
      <c r="Q191" s="793"/>
      <c r="R191" s="793"/>
      <c r="S191" s="793"/>
      <c r="T191" s="793"/>
      <c r="U191" s="793"/>
      <c r="V191" s="793"/>
      <c r="W191" s="793"/>
      <c r="X191" s="793"/>
      <c r="Y191" s="793"/>
    </row>
    <row r="192" spans="1:25" ht="14.4" thickBot="1" x14ac:dyDescent="0.35"/>
    <row r="193" spans="1:96" ht="15" customHeight="1" thickBot="1" x14ac:dyDescent="0.35">
      <c r="B193" s="356" t="s">
        <v>97</v>
      </c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286"/>
      <c r="Q193" s="1"/>
      <c r="R193" s="1"/>
      <c r="S193" s="1"/>
      <c r="T193" s="1"/>
      <c r="U193" s="1"/>
      <c r="V193" s="1"/>
      <c r="W193" s="1"/>
      <c r="X193" s="1"/>
      <c r="Y193" s="1"/>
    </row>
    <row r="194" spans="1:96" ht="27.6" x14ac:dyDescent="0.3">
      <c r="B194" s="34" t="s">
        <v>98</v>
      </c>
      <c r="C194" s="34" t="s">
        <v>74</v>
      </c>
      <c r="D194" s="34" t="s">
        <v>75</v>
      </c>
      <c r="E194" s="34" t="s">
        <v>76</v>
      </c>
      <c r="F194" s="34" t="s">
        <v>77</v>
      </c>
      <c r="G194" s="34" t="s">
        <v>78</v>
      </c>
      <c r="H194" s="1302" t="s">
        <v>99</v>
      </c>
      <c r="I194" s="1303"/>
      <c r="J194" s="1303"/>
      <c r="K194" s="1304"/>
      <c r="L194" s="34" t="s">
        <v>81</v>
      </c>
      <c r="M194" s="34" t="s">
        <v>82</v>
      </c>
      <c r="N194" s="38" t="s">
        <v>100</v>
      </c>
      <c r="O194" s="283" t="s">
        <v>735</v>
      </c>
      <c r="P194" s="304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 spans="1:96" s="288" customFormat="1" ht="17.55" customHeight="1" x14ac:dyDescent="0.35">
      <c r="A195" s="284"/>
      <c r="B195" s="878">
        <v>1</v>
      </c>
      <c r="C195" s="879" t="s">
        <v>86</v>
      </c>
      <c r="D195" s="880" t="s">
        <v>87</v>
      </c>
      <c r="E195" s="880" t="s">
        <v>88</v>
      </c>
      <c r="F195" s="881">
        <v>45848</v>
      </c>
      <c r="G195" s="882">
        <v>45908</v>
      </c>
      <c r="H195" s="1315" t="s">
        <v>549</v>
      </c>
      <c r="I195" s="1316"/>
      <c r="J195" s="1316"/>
      <c r="K195" s="1317"/>
      <c r="L195" s="882">
        <v>45908</v>
      </c>
      <c r="M195" s="883" t="s">
        <v>89</v>
      </c>
      <c r="N195" s="884"/>
      <c r="O195" s="884"/>
      <c r="P195" s="747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 spans="1:96" s="352" customFormat="1" ht="17.55" customHeight="1" x14ac:dyDescent="0.35">
      <c r="A196" s="284"/>
      <c r="B196" s="878">
        <f>B195+1</f>
        <v>2</v>
      </c>
      <c r="C196" s="885" t="s">
        <v>96</v>
      </c>
      <c r="D196" s="886" t="s">
        <v>87</v>
      </c>
      <c r="E196" s="887" t="s">
        <v>543</v>
      </c>
      <c r="F196" s="888">
        <v>45898</v>
      </c>
      <c r="G196" s="889">
        <v>45924</v>
      </c>
      <c r="H196" s="1318" t="s">
        <v>549</v>
      </c>
      <c r="I196" s="1319"/>
      <c r="J196" s="1319"/>
      <c r="K196" s="1320"/>
      <c r="L196" s="889">
        <v>45924</v>
      </c>
      <c r="M196" s="890" t="s">
        <v>89</v>
      </c>
      <c r="N196" s="891"/>
      <c r="O196" s="892"/>
      <c r="P196" s="747"/>
      <c r="Q196" s="278"/>
      <c r="R196" s="278"/>
      <c r="S196" s="278"/>
      <c r="T196" s="278"/>
      <c r="U196" s="278"/>
      <c r="V196" s="278"/>
      <c r="W196" s="278"/>
      <c r="X196" s="278"/>
      <c r="Y196" s="278"/>
      <c r="Z196" s="288"/>
      <c r="AA196" s="288"/>
      <c r="AB196" s="288"/>
      <c r="AC196" s="288"/>
      <c r="AD196" s="288"/>
      <c r="AE196" s="288"/>
      <c r="AF196" s="288"/>
      <c r="AG196" s="288"/>
      <c r="AH196" s="288"/>
      <c r="AI196" s="288"/>
      <c r="AJ196" s="288"/>
      <c r="AK196" s="288"/>
      <c r="AL196" s="288"/>
      <c r="AM196" s="288"/>
      <c r="AN196" s="288"/>
      <c r="AO196" s="288"/>
      <c r="AP196" s="288"/>
      <c r="AQ196" s="288"/>
      <c r="AR196" s="288"/>
      <c r="AS196" s="288"/>
      <c r="AT196" s="288"/>
      <c r="AU196" s="288"/>
      <c r="AV196" s="288"/>
      <c r="AW196" s="288"/>
      <c r="AX196" s="288"/>
      <c r="AY196" s="288"/>
      <c r="AZ196" s="288"/>
      <c r="BA196" s="288"/>
      <c r="BB196" s="288"/>
      <c r="BC196" s="288"/>
      <c r="BD196" s="288"/>
      <c r="BE196" s="288"/>
      <c r="BF196" s="288"/>
      <c r="BG196" s="288"/>
      <c r="BH196" s="288"/>
      <c r="BI196" s="288"/>
      <c r="BJ196" s="288"/>
      <c r="BK196" s="288"/>
      <c r="BL196" s="288"/>
      <c r="BM196" s="288"/>
      <c r="BN196" s="288"/>
      <c r="BO196" s="288"/>
      <c r="BP196" s="288"/>
      <c r="BQ196" s="288"/>
      <c r="BR196" s="288"/>
      <c r="BS196" s="288"/>
      <c r="BT196" s="288"/>
      <c r="BU196" s="288"/>
      <c r="BV196" s="288"/>
      <c r="BW196" s="288"/>
      <c r="BX196" s="288"/>
      <c r="BY196" s="288"/>
      <c r="BZ196" s="288"/>
      <c r="CA196" s="288"/>
      <c r="CB196" s="288"/>
      <c r="CC196" s="288"/>
      <c r="CD196" s="288"/>
      <c r="CE196" s="288"/>
      <c r="CF196" s="288"/>
      <c r="CG196" s="288"/>
      <c r="CH196" s="288"/>
      <c r="CI196" s="288"/>
      <c r="CJ196" s="288"/>
      <c r="CK196" s="288"/>
      <c r="CL196" s="288"/>
      <c r="CM196" s="288"/>
      <c r="CN196" s="288"/>
      <c r="CO196" s="288"/>
      <c r="CP196" s="288"/>
      <c r="CQ196" s="288"/>
      <c r="CR196" s="355"/>
    </row>
    <row r="197" spans="1:96" s="288" customFormat="1" ht="17.55" customHeight="1" x14ac:dyDescent="0.35">
      <c r="A197" s="284"/>
      <c r="B197" s="878">
        <f t="shared" ref="B197:B262" si="4">B196+1</f>
        <v>3</v>
      </c>
      <c r="C197" s="885" t="s">
        <v>274</v>
      </c>
      <c r="D197" s="887" t="s">
        <v>95</v>
      </c>
      <c r="E197" s="887" t="s">
        <v>543</v>
      </c>
      <c r="F197" s="888">
        <v>45933</v>
      </c>
      <c r="G197" s="889">
        <v>45949</v>
      </c>
      <c r="H197" s="1325" t="s">
        <v>549</v>
      </c>
      <c r="I197" s="1326"/>
      <c r="J197" s="1326"/>
      <c r="K197" s="1327"/>
      <c r="L197" s="889">
        <v>45949</v>
      </c>
      <c r="M197" s="786" t="s">
        <v>675</v>
      </c>
      <c r="N197" s="891"/>
      <c r="O197" s="891"/>
      <c r="P197" s="747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288" customFormat="1" ht="17.55" customHeight="1" x14ac:dyDescent="0.35">
      <c r="A198" s="284"/>
      <c r="B198" s="878">
        <f t="shared" si="4"/>
        <v>4</v>
      </c>
      <c r="C198" s="885" t="s">
        <v>319</v>
      </c>
      <c r="D198" s="887" t="s">
        <v>87</v>
      </c>
      <c r="E198" s="887" t="s">
        <v>543</v>
      </c>
      <c r="F198" s="889"/>
      <c r="G198" s="889">
        <v>45992</v>
      </c>
      <c r="H198" s="1325" t="s">
        <v>549</v>
      </c>
      <c r="I198" s="1326"/>
      <c r="J198" s="1326"/>
      <c r="K198" s="1327"/>
      <c r="L198" s="889">
        <v>45992</v>
      </c>
      <c r="M198" s="786" t="s">
        <v>89</v>
      </c>
      <c r="N198" s="891"/>
      <c r="O198" s="891"/>
      <c r="P198" s="747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 spans="1:96" s="288" customFormat="1" ht="17.55" customHeight="1" x14ac:dyDescent="0.35">
      <c r="A199" s="284"/>
      <c r="B199" s="878">
        <f t="shared" si="4"/>
        <v>5</v>
      </c>
      <c r="C199" s="885" t="s">
        <v>321</v>
      </c>
      <c r="D199" s="887" t="s">
        <v>87</v>
      </c>
      <c r="E199" s="887" t="s">
        <v>543</v>
      </c>
      <c r="F199" s="889"/>
      <c r="G199" s="889">
        <v>46010</v>
      </c>
      <c r="H199" s="1325" t="s">
        <v>549</v>
      </c>
      <c r="I199" s="1326"/>
      <c r="J199" s="1326"/>
      <c r="K199" s="1327"/>
      <c r="L199" s="889">
        <v>46010</v>
      </c>
      <c r="M199" s="786" t="s">
        <v>89</v>
      </c>
      <c r="N199" s="891"/>
      <c r="O199" s="891"/>
      <c r="P199" s="747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78">
        <f t="shared" si="4"/>
        <v>6</v>
      </c>
      <c r="C200" s="893" t="s">
        <v>325</v>
      </c>
      <c r="D200" s="887" t="s">
        <v>87</v>
      </c>
      <c r="E200" s="747" t="s">
        <v>88</v>
      </c>
      <c r="F200" s="889"/>
      <c r="G200" s="889">
        <v>46011</v>
      </c>
      <c r="H200" s="1325" t="s">
        <v>549</v>
      </c>
      <c r="I200" s="1326"/>
      <c r="J200" s="1326"/>
      <c r="K200" s="1327"/>
      <c r="L200" s="889">
        <v>46011</v>
      </c>
      <c r="M200" s="786" t="s">
        <v>89</v>
      </c>
      <c r="N200" s="747"/>
      <c r="O200" s="885"/>
      <c r="P200" s="885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78">
        <f t="shared" si="4"/>
        <v>7</v>
      </c>
      <c r="C201" s="894" t="s">
        <v>256</v>
      </c>
      <c r="D201" s="887" t="s">
        <v>87</v>
      </c>
      <c r="E201" s="891" t="s">
        <v>92</v>
      </c>
      <c r="F201" s="895"/>
      <c r="G201" s="895">
        <v>46016</v>
      </c>
      <c r="H201" s="1325" t="s">
        <v>549</v>
      </c>
      <c r="I201" s="1326"/>
      <c r="J201" s="1326"/>
      <c r="K201" s="1327"/>
      <c r="L201" s="895">
        <v>46016</v>
      </c>
      <c r="M201" s="786" t="s">
        <v>675</v>
      </c>
      <c r="N201" s="896"/>
      <c r="O201" s="896"/>
      <c r="P201" s="896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78">
        <f t="shared" si="4"/>
        <v>8</v>
      </c>
      <c r="C202" s="885" t="s">
        <v>333</v>
      </c>
      <c r="D202" s="887" t="s">
        <v>91</v>
      </c>
      <c r="E202" s="891" t="s">
        <v>665</v>
      </c>
      <c r="F202" s="895"/>
      <c r="G202" s="895">
        <v>46020</v>
      </c>
      <c r="H202" s="1328" t="s">
        <v>549</v>
      </c>
      <c r="I202" s="1329"/>
      <c r="J202" s="1329"/>
      <c r="K202" s="1330"/>
      <c r="L202" s="895">
        <v>46020</v>
      </c>
      <c r="M202" s="883" t="s">
        <v>89</v>
      </c>
      <c r="N202" s="896"/>
      <c r="O202" s="896"/>
      <c r="P202" s="896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78">
        <f t="shared" si="4"/>
        <v>9</v>
      </c>
      <c r="C203" s="897" t="s">
        <v>94</v>
      </c>
      <c r="D203" s="898" t="s">
        <v>95</v>
      </c>
      <c r="E203" s="899" t="s">
        <v>542</v>
      </c>
      <c r="F203" s="900"/>
      <c r="G203" s="900">
        <v>46021</v>
      </c>
      <c r="H203" s="1328" t="s">
        <v>549</v>
      </c>
      <c r="I203" s="1329"/>
      <c r="J203" s="1329"/>
      <c r="K203" s="1330"/>
      <c r="L203" s="900">
        <v>46021</v>
      </c>
      <c r="M203" s="883" t="s">
        <v>89</v>
      </c>
      <c r="N203" s="901"/>
      <c r="O203" s="901"/>
      <c r="P203" s="901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78">
        <f t="shared" si="4"/>
        <v>10</v>
      </c>
      <c r="C204" s="885" t="s">
        <v>397</v>
      </c>
      <c r="D204" s="887" t="s">
        <v>87</v>
      </c>
      <c r="E204" s="891" t="s">
        <v>543</v>
      </c>
      <c r="F204" s="895"/>
      <c r="G204" s="895">
        <v>46023</v>
      </c>
      <c r="H204" s="1325" t="s">
        <v>549</v>
      </c>
      <c r="I204" s="1326"/>
      <c r="J204" s="1326"/>
      <c r="K204" s="1327"/>
      <c r="L204" s="895">
        <v>46023</v>
      </c>
      <c r="M204" s="786" t="s">
        <v>663</v>
      </c>
      <c r="N204" s="896"/>
      <c r="O204" s="896"/>
      <c r="P204" s="896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78">
        <f t="shared" si="4"/>
        <v>11</v>
      </c>
      <c r="C205" s="885" t="s">
        <v>396</v>
      </c>
      <c r="D205" s="887" t="s">
        <v>87</v>
      </c>
      <c r="E205" s="891" t="s">
        <v>92</v>
      </c>
      <c r="F205" s="895"/>
      <c r="G205" s="895">
        <v>46028</v>
      </c>
      <c r="H205" s="1325" t="s">
        <v>549</v>
      </c>
      <c r="I205" s="1326"/>
      <c r="J205" s="1326"/>
      <c r="K205" s="1327"/>
      <c r="L205" s="895">
        <v>46028</v>
      </c>
      <c r="M205" s="786" t="s">
        <v>663</v>
      </c>
      <c r="N205" s="896"/>
      <c r="O205" s="896"/>
      <c r="P205" s="896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78">
        <f t="shared" si="4"/>
        <v>12</v>
      </c>
      <c r="C206" s="885" t="s">
        <v>398</v>
      </c>
      <c r="D206" s="887" t="s">
        <v>87</v>
      </c>
      <c r="E206" s="891" t="s">
        <v>92</v>
      </c>
      <c r="F206" s="895"/>
      <c r="G206" s="895">
        <v>46028</v>
      </c>
      <c r="H206" s="1325" t="s">
        <v>549</v>
      </c>
      <c r="I206" s="1326"/>
      <c r="J206" s="1326"/>
      <c r="K206" s="1327"/>
      <c r="L206" s="895">
        <v>46028</v>
      </c>
      <c r="M206" s="786" t="s">
        <v>663</v>
      </c>
      <c r="N206" s="896"/>
      <c r="O206" s="896"/>
      <c r="P206" s="896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78">
        <f t="shared" si="4"/>
        <v>13</v>
      </c>
      <c r="C207" s="885" t="s">
        <v>399</v>
      </c>
      <c r="D207" s="887" t="s">
        <v>87</v>
      </c>
      <c r="E207" s="891" t="s">
        <v>92</v>
      </c>
      <c r="F207" s="895"/>
      <c r="G207" s="895">
        <v>46028</v>
      </c>
      <c r="H207" s="1310" t="s">
        <v>549</v>
      </c>
      <c r="I207" s="1311"/>
      <c r="J207" s="1311"/>
      <c r="K207" s="1311"/>
      <c r="L207" s="895">
        <v>46028</v>
      </c>
      <c r="M207" s="786" t="s">
        <v>663</v>
      </c>
      <c r="N207" s="794"/>
      <c r="O207" s="896"/>
      <c r="P207" s="896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78">
        <f t="shared" si="4"/>
        <v>14</v>
      </c>
      <c r="C208" s="885" t="s">
        <v>394</v>
      </c>
      <c r="D208" s="887" t="s">
        <v>87</v>
      </c>
      <c r="E208" s="891" t="s">
        <v>92</v>
      </c>
      <c r="F208" s="895"/>
      <c r="G208" s="895">
        <v>46029</v>
      </c>
      <c r="H208" s="1328" t="s">
        <v>549</v>
      </c>
      <c r="I208" s="1329"/>
      <c r="J208" s="1329"/>
      <c r="K208" s="1330"/>
      <c r="L208" s="895">
        <v>46029</v>
      </c>
      <c r="M208" s="786" t="s">
        <v>663</v>
      </c>
      <c r="N208" s="896"/>
      <c r="O208" s="896"/>
      <c r="P208" s="896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78">
        <f t="shared" si="4"/>
        <v>15</v>
      </c>
      <c r="C209" s="885" t="s">
        <v>395</v>
      </c>
      <c r="D209" s="887" t="s">
        <v>87</v>
      </c>
      <c r="E209" s="891" t="s">
        <v>543</v>
      </c>
      <c r="F209" s="895"/>
      <c r="G209" s="895">
        <v>46029</v>
      </c>
      <c r="H209" s="1325" t="s">
        <v>549</v>
      </c>
      <c r="I209" s="1326"/>
      <c r="J209" s="1326"/>
      <c r="K209" s="1327"/>
      <c r="L209" s="895">
        <v>46029</v>
      </c>
      <c r="M209" s="786" t="s">
        <v>663</v>
      </c>
      <c r="N209" s="896"/>
      <c r="O209" s="896"/>
      <c r="P209" s="896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78">
        <f t="shared" si="4"/>
        <v>16</v>
      </c>
      <c r="C210" s="885" t="s">
        <v>314</v>
      </c>
      <c r="D210" s="887" t="s">
        <v>95</v>
      </c>
      <c r="E210" s="891" t="s">
        <v>665</v>
      </c>
      <c r="F210" s="895"/>
      <c r="G210" s="895">
        <v>46033</v>
      </c>
      <c r="H210" s="1310" t="s">
        <v>549</v>
      </c>
      <c r="I210" s="1311"/>
      <c r="J210" s="1311"/>
      <c r="K210" s="1311"/>
      <c r="L210" s="895">
        <v>46033</v>
      </c>
      <c r="M210" s="786" t="s">
        <v>676</v>
      </c>
      <c r="N210" s="896"/>
      <c r="O210" s="896"/>
      <c r="P210" s="896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78">
        <f t="shared" si="4"/>
        <v>17</v>
      </c>
      <c r="C211" s="885" t="s">
        <v>315</v>
      </c>
      <c r="D211" s="887" t="s">
        <v>87</v>
      </c>
      <c r="E211" s="891" t="s">
        <v>88</v>
      </c>
      <c r="F211" s="895"/>
      <c r="G211" s="895">
        <v>46033</v>
      </c>
      <c r="H211" s="1310" t="s">
        <v>549</v>
      </c>
      <c r="I211" s="1311"/>
      <c r="J211" s="1311"/>
      <c r="K211" s="1311"/>
      <c r="L211" s="895">
        <v>46033</v>
      </c>
      <c r="M211" s="786" t="s">
        <v>676</v>
      </c>
      <c r="N211" s="896"/>
      <c r="O211" s="896"/>
      <c r="P211" s="896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78">
        <f t="shared" si="4"/>
        <v>18</v>
      </c>
      <c r="C212" s="894" t="s">
        <v>255</v>
      </c>
      <c r="D212" s="887" t="s">
        <v>91</v>
      </c>
      <c r="E212" s="891" t="s">
        <v>543</v>
      </c>
      <c r="F212" s="895"/>
      <c r="G212" s="895">
        <v>46037</v>
      </c>
      <c r="H212" s="1310" t="s">
        <v>549</v>
      </c>
      <c r="I212" s="1311"/>
      <c r="J212" s="1311"/>
      <c r="K212" s="1311"/>
      <c r="L212" s="895">
        <v>46037</v>
      </c>
      <c r="M212" s="786" t="s">
        <v>675</v>
      </c>
      <c r="N212" s="896"/>
      <c r="O212" s="896"/>
      <c r="P212" s="896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78">
        <f t="shared" si="4"/>
        <v>19</v>
      </c>
      <c r="C213" s="894" t="s">
        <v>257</v>
      </c>
      <c r="D213" s="887" t="s">
        <v>91</v>
      </c>
      <c r="E213" s="891" t="s">
        <v>665</v>
      </c>
      <c r="F213" s="895"/>
      <c r="G213" s="895">
        <v>46037</v>
      </c>
      <c r="H213" s="1310" t="s">
        <v>549</v>
      </c>
      <c r="I213" s="1311"/>
      <c r="J213" s="1311"/>
      <c r="K213" s="1311"/>
      <c r="L213" s="895">
        <v>46037</v>
      </c>
      <c r="M213" s="786" t="s">
        <v>675</v>
      </c>
      <c r="N213" s="896"/>
      <c r="O213" s="896"/>
      <c r="P213" s="896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78">
        <f t="shared" si="4"/>
        <v>20</v>
      </c>
      <c r="C214" s="894" t="s">
        <v>267</v>
      </c>
      <c r="D214" s="887" t="s">
        <v>87</v>
      </c>
      <c r="E214" s="891" t="s">
        <v>543</v>
      </c>
      <c r="F214" s="895"/>
      <c r="G214" s="895">
        <v>46038</v>
      </c>
      <c r="H214" s="1310" t="s">
        <v>549</v>
      </c>
      <c r="I214" s="1311"/>
      <c r="J214" s="1311"/>
      <c r="K214" s="1311"/>
      <c r="L214" s="895">
        <v>46038</v>
      </c>
      <c r="M214" s="786" t="s">
        <v>675</v>
      </c>
      <c r="N214" s="896"/>
      <c r="O214" s="896"/>
      <c r="P214" s="896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78">
        <f t="shared" si="4"/>
        <v>21</v>
      </c>
      <c r="C215" s="894" t="s">
        <v>268</v>
      </c>
      <c r="D215" s="887" t="s">
        <v>87</v>
      </c>
      <c r="E215" s="891" t="s">
        <v>543</v>
      </c>
      <c r="F215" s="895"/>
      <c r="G215" s="895">
        <v>46038</v>
      </c>
      <c r="H215" s="1310" t="s">
        <v>549</v>
      </c>
      <c r="I215" s="1311"/>
      <c r="J215" s="1311"/>
      <c r="K215" s="1311"/>
      <c r="L215" s="895">
        <v>46038</v>
      </c>
      <c r="M215" s="786" t="s">
        <v>675</v>
      </c>
      <c r="N215" s="896"/>
      <c r="O215" s="896"/>
      <c r="P215" s="896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78">
        <f t="shared" si="4"/>
        <v>22</v>
      </c>
      <c r="C216" s="894" t="s">
        <v>260</v>
      </c>
      <c r="D216" s="887" t="s">
        <v>559</v>
      </c>
      <c r="E216" s="891" t="s">
        <v>543</v>
      </c>
      <c r="F216" s="895"/>
      <c r="G216" s="895">
        <v>46040</v>
      </c>
      <c r="H216" s="1310" t="s">
        <v>549</v>
      </c>
      <c r="I216" s="1311"/>
      <c r="J216" s="1311"/>
      <c r="K216" s="1311"/>
      <c r="L216" s="895">
        <v>46040</v>
      </c>
      <c r="M216" s="786" t="s">
        <v>675</v>
      </c>
      <c r="N216" s="896"/>
      <c r="O216" s="896"/>
      <c r="P216" s="896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78">
        <f t="shared" si="4"/>
        <v>23</v>
      </c>
      <c r="C217" s="894" t="s">
        <v>259</v>
      </c>
      <c r="D217" s="887" t="s">
        <v>87</v>
      </c>
      <c r="E217" s="891" t="s">
        <v>543</v>
      </c>
      <c r="F217" s="895"/>
      <c r="G217" s="895">
        <v>46043</v>
      </c>
      <c r="H217" s="1310" t="s">
        <v>549</v>
      </c>
      <c r="I217" s="1311"/>
      <c r="J217" s="1311"/>
      <c r="K217" s="1311"/>
      <c r="L217" s="895">
        <v>46043</v>
      </c>
      <c r="M217" s="786" t="s">
        <v>675</v>
      </c>
      <c r="N217" s="896"/>
      <c r="O217" s="896"/>
      <c r="P217" s="896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78">
        <f t="shared" si="4"/>
        <v>24</v>
      </c>
      <c r="C218" s="894" t="s">
        <v>269</v>
      </c>
      <c r="D218" s="887" t="s">
        <v>87</v>
      </c>
      <c r="E218" s="891" t="s">
        <v>92</v>
      </c>
      <c r="F218" s="895"/>
      <c r="G218" s="895">
        <v>46044</v>
      </c>
      <c r="H218" s="1310" t="s">
        <v>549</v>
      </c>
      <c r="I218" s="1311"/>
      <c r="J218" s="1311"/>
      <c r="K218" s="1311"/>
      <c r="L218" s="895">
        <v>46044</v>
      </c>
      <c r="M218" s="786" t="s">
        <v>675</v>
      </c>
      <c r="N218" s="896"/>
      <c r="O218" s="896"/>
      <c r="P218" s="896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78">
        <f t="shared" si="4"/>
        <v>25</v>
      </c>
      <c r="C219" s="894" t="s">
        <v>266</v>
      </c>
      <c r="D219" s="887" t="s">
        <v>95</v>
      </c>
      <c r="E219" s="891" t="s">
        <v>543</v>
      </c>
      <c r="F219" s="895"/>
      <c r="G219" s="895">
        <v>46044</v>
      </c>
      <c r="H219" s="1310" t="s">
        <v>549</v>
      </c>
      <c r="I219" s="1311"/>
      <c r="J219" s="1311"/>
      <c r="K219" s="1311"/>
      <c r="L219" s="895">
        <v>46044</v>
      </c>
      <c r="M219" s="786" t="s">
        <v>675</v>
      </c>
      <c r="N219" s="896"/>
      <c r="O219" s="896"/>
      <c r="P219" s="896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78">
        <f t="shared" si="4"/>
        <v>26</v>
      </c>
      <c r="C220" s="885" t="s">
        <v>277</v>
      </c>
      <c r="D220" s="887" t="s">
        <v>87</v>
      </c>
      <c r="E220" s="891" t="s">
        <v>92</v>
      </c>
      <c r="F220" s="895"/>
      <c r="G220" s="895">
        <v>46045</v>
      </c>
      <c r="H220" s="1310" t="s">
        <v>549</v>
      </c>
      <c r="I220" s="1311"/>
      <c r="J220" s="1311"/>
      <c r="K220" s="1311"/>
      <c r="L220" s="895">
        <v>46045</v>
      </c>
      <c r="M220" s="786" t="s">
        <v>675</v>
      </c>
      <c r="N220" s="896"/>
      <c r="O220" s="896"/>
      <c r="P220" s="896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78">
        <f t="shared" si="4"/>
        <v>27</v>
      </c>
      <c r="C221" s="885" t="s">
        <v>285</v>
      </c>
      <c r="D221" s="887" t="s">
        <v>91</v>
      </c>
      <c r="E221" s="891" t="s">
        <v>92</v>
      </c>
      <c r="F221" s="895"/>
      <c r="G221" s="895">
        <v>46046</v>
      </c>
      <c r="H221" s="1310" t="s">
        <v>549</v>
      </c>
      <c r="I221" s="1311"/>
      <c r="J221" s="1311"/>
      <c r="K221" s="1311"/>
      <c r="L221" s="895">
        <v>46046</v>
      </c>
      <c r="M221" s="786" t="s">
        <v>675</v>
      </c>
      <c r="N221" s="896"/>
      <c r="O221" s="896"/>
      <c r="P221" s="896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78">
        <f t="shared" si="4"/>
        <v>28</v>
      </c>
      <c r="C222" s="894" t="s">
        <v>403</v>
      </c>
      <c r="D222" s="887" t="s">
        <v>91</v>
      </c>
      <c r="E222" s="891" t="s">
        <v>543</v>
      </c>
      <c r="F222" s="895"/>
      <c r="G222" s="895">
        <v>46045</v>
      </c>
      <c r="H222" s="1310" t="s">
        <v>549</v>
      </c>
      <c r="I222" s="1311"/>
      <c r="J222" s="1311"/>
      <c r="K222" s="1311"/>
      <c r="L222" s="895">
        <v>46047</v>
      </c>
      <c r="M222" s="786" t="s">
        <v>663</v>
      </c>
      <c r="N222" s="896"/>
      <c r="O222" s="896"/>
      <c r="P222" s="896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78">
        <f t="shared" si="4"/>
        <v>29</v>
      </c>
      <c r="C223" s="746" t="s">
        <v>430</v>
      </c>
      <c r="D223" s="747" t="s">
        <v>670</v>
      </c>
      <c r="E223" s="746" t="s">
        <v>92</v>
      </c>
      <c r="F223" s="895"/>
      <c r="G223" s="895">
        <v>46050</v>
      </c>
      <c r="H223" s="1310" t="s">
        <v>549</v>
      </c>
      <c r="I223" s="1311"/>
      <c r="J223" s="1311"/>
      <c r="K223" s="1311"/>
      <c r="L223" s="895">
        <v>46050</v>
      </c>
      <c r="M223" s="786" t="s">
        <v>675</v>
      </c>
      <c r="N223" s="896"/>
      <c r="O223" s="896"/>
      <c r="P223" s="896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78">
        <f t="shared" si="4"/>
        <v>30</v>
      </c>
      <c r="C224" s="746" t="s">
        <v>483</v>
      </c>
      <c r="D224" s="747" t="s">
        <v>559</v>
      </c>
      <c r="E224" s="746" t="s">
        <v>543</v>
      </c>
      <c r="F224" s="794"/>
      <c r="G224" s="895">
        <v>46054</v>
      </c>
      <c r="H224" s="1310" t="s">
        <v>549</v>
      </c>
      <c r="I224" s="1311"/>
      <c r="J224" s="1311"/>
      <c r="K224" s="1311"/>
      <c r="L224" s="895">
        <v>46054</v>
      </c>
      <c r="M224" s="786" t="s">
        <v>663</v>
      </c>
      <c r="N224" s="896"/>
      <c r="O224" s="896"/>
      <c r="P224" s="896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78">
        <f t="shared" si="4"/>
        <v>31</v>
      </c>
      <c r="C225" s="755" t="s">
        <v>405</v>
      </c>
      <c r="D225" s="747" t="s">
        <v>87</v>
      </c>
      <c r="E225" s="746" t="s">
        <v>92</v>
      </c>
      <c r="F225" s="895"/>
      <c r="G225" s="895">
        <v>46055</v>
      </c>
      <c r="H225" s="1310" t="s">
        <v>549</v>
      </c>
      <c r="I225" s="1311"/>
      <c r="J225" s="1311"/>
      <c r="K225" s="1311"/>
      <c r="L225" s="895">
        <v>46055</v>
      </c>
      <c r="M225" s="786" t="s">
        <v>663</v>
      </c>
      <c r="N225" s="896"/>
      <c r="O225" s="896"/>
      <c r="P225" s="896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78">
        <f t="shared" si="4"/>
        <v>32</v>
      </c>
      <c r="C226" s="746" t="s">
        <v>419</v>
      </c>
      <c r="D226" s="747" t="s">
        <v>687</v>
      </c>
      <c r="E226" s="746" t="s">
        <v>92</v>
      </c>
      <c r="F226" s="794"/>
      <c r="G226" s="895">
        <v>46056</v>
      </c>
      <c r="H226" s="1310" t="s">
        <v>549</v>
      </c>
      <c r="I226" s="1311"/>
      <c r="J226" s="1311"/>
      <c r="K226" s="1311"/>
      <c r="L226" s="895">
        <v>46056</v>
      </c>
      <c r="M226" s="786" t="s">
        <v>675</v>
      </c>
      <c r="N226" s="896"/>
      <c r="O226" s="896"/>
      <c r="P226" s="896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78">
        <f t="shared" si="4"/>
        <v>33</v>
      </c>
      <c r="C227" s="746" t="s">
        <v>328</v>
      </c>
      <c r="D227" s="747" t="s">
        <v>87</v>
      </c>
      <c r="E227" s="746" t="s">
        <v>92</v>
      </c>
      <c r="F227" s="794"/>
      <c r="G227" s="895">
        <v>46066</v>
      </c>
      <c r="H227" s="1310" t="s">
        <v>549</v>
      </c>
      <c r="I227" s="1311"/>
      <c r="J227" s="1311"/>
      <c r="K227" s="1311"/>
      <c r="L227" s="895">
        <v>46066</v>
      </c>
      <c r="M227" s="902" t="s">
        <v>89</v>
      </c>
      <c r="N227" s="896"/>
      <c r="O227" s="896"/>
      <c r="P227" s="896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78">
        <f t="shared" si="4"/>
        <v>34</v>
      </c>
      <c r="C228" s="754" t="s">
        <v>626</v>
      </c>
      <c r="D228" s="747" t="s">
        <v>87</v>
      </c>
      <c r="E228" s="746" t="s">
        <v>92</v>
      </c>
      <c r="F228" s="794"/>
      <c r="G228" s="895">
        <v>46067</v>
      </c>
      <c r="H228" s="1310" t="s">
        <v>549</v>
      </c>
      <c r="I228" s="1311"/>
      <c r="J228" s="1311"/>
      <c r="K228" s="1311"/>
      <c r="L228" s="895">
        <v>46067</v>
      </c>
      <c r="M228" s="902" t="s">
        <v>676</v>
      </c>
      <c r="N228" s="896"/>
      <c r="O228" s="896"/>
      <c r="P228" s="896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78">
        <f t="shared" si="4"/>
        <v>35</v>
      </c>
      <c r="C229" s="755" t="s">
        <v>332</v>
      </c>
      <c r="D229" s="747" t="s">
        <v>87</v>
      </c>
      <c r="E229" s="746" t="s">
        <v>543</v>
      </c>
      <c r="F229" s="794"/>
      <c r="G229" s="895">
        <v>46067</v>
      </c>
      <c r="H229" s="1310" t="s">
        <v>549</v>
      </c>
      <c r="I229" s="1311"/>
      <c r="J229" s="1311"/>
      <c r="K229" s="1311"/>
      <c r="L229" s="895">
        <v>46067</v>
      </c>
      <c r="M229" s="902" t="s">
        <v>89</v>
      </c>
      <c r="N229" s="896"/>
      <c r="O229" s="896"/>
      <c r="P229" s="896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78">
        <f t="shared" si="4"/>
        <v>36</v>
      </c>
      <c r="C230" s="760" t="s">
        <v>224</v>
      </c>
      <c r="D230" s="747" t="s">
        <v>87</v>
      </c>
      <c r="E230" s="746" t="s">
        <v>92</v>
      </c>
      <c r="F230" s="794"/>
      <c r="G230" s="895">
        <v>46068</v>
      </c>
      <c r="H230" s="1310" t="s">
        <v>549</v>
      </c>
      <c r="I230" s="1311"/>
      <c r="J230" s="1311"/>
      <c r="K230" s="1311"/>
      <c r="L230" s="895">
        <v>46068</v>
      </c>
      <c r="M230" s="786" t="s">
        <v>675</v>
      </c>
      <c r="N230" s="896"/>
      <c r="O230" s="896"/>
      <c r="P230" s="896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78">
        <f t="shared" si="4"/>
        <v>37</v>
      </c>
      <c r="C231" s="760" t="s">
        <v>236</v>
      </c>
      <c r="D231" s="747" t="s">
        <v>91</v>
      </c>
      <c r="E231" s="746" t="s">
        <v>92</v>
      </c>
      <c r="F231" s="794"/>
      <c r="G231" s="895">
        <v>46069</v>
      </c>
      <c r="H231" s="1310" t="s">
        <v>549</v>
      </c>
      <c r="I231" s="1311"/>
      <c r="J231" s="1311"/>
      <c r="K231" s="1311"/>
      <c r="L231" s="895">
        <v>46069</v>
      </c>
      <c r="M231" s="786" t="s">
        <v>675</v>
      </c>
      <c r="N231" s="896"/>
      <c r="O231" s="896"/>
      <c r="P231" s="896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78">
        <f t="shared" si="4"/>
        <v>38</v>
      </c>
      <c r="C232" s="760" t="s">
        <v>243</v>
      </c>
      <c r="D232" s="747" t="s">
        <v>214</v>
      </c>
      <c r="E232" s="746" t="s">
        <v>92</v>
      </c>
      <c r="F232" s="794"/>
      <c r="G232" s="895">
        <v>46070</v>
      </c>
      <c r="H232" s="1310" t="s">
        <v>549</v>
      </c>
      <c r="I232" s="1311"/>
      <c r="J232" s="1311"/>
      <c r="K232" s="1311"/>
      <c r="L232" s="895">
        <v>46070</v>
      </c>
      <c r="M232" s="786" t="s">
        <v>675</v>
      </c>
      <c r="N232" s="896"/>
      <c r="O232" s="896"/>
      <c r="P232" s="896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78">
        <f t="shared" si="4"/>
        <v>39</v>
      </c>
      <c r="C233" s="746" t="s">
        <v>623</v>
      </c>
      <c r="D233" s="756" t="s">
        <v>87</v>
      </c>
      <c r="E233" s="746" t="s">
        <v>92</v>
      </c>
      <c r="F233" s="794"/>
      <c r="G233" s="895">
        <v>46071</v>
      </c>
      <c r="H233" s="1310" t="s">
        <v>549</v>
      </c>
      <c r="I233" s="1311"/>
      <c r="J233" s="1311"/>
      <c r="K233" s="1311"/>
      <c r="L233" s="895">
        <v>46070</v>
      </c>
      <c r="M233" s="786" t="s">
        <v>690</v>
      </c>
      <c r="N233" s="896"/>
      <c r="O233" s="896"/>
      <c r="P233" s="896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78">
        <f t="shared" si="4"/>
        <v>40</v>
      </c>
      <c r="C234" s="746" t="s">
        <v>225</v>
      </c>
      <c r="D234" s="759" t="s">
        <v>87</v>
      </c>
      <c r="E234" s="755" t="s">
        <v>665</v>
      </c>
      <c r="F234" s="895"/>
      <c r="G234" s="895">
        <v>46071</v>
      </c>
      <c r="H234" s="1310" t="s">
        <v>549</v>
      </c>
      <c r="I234" s="1311"/>
      <c r="J234" s="1311"/>
      <c r="K234" s="1311"/>
      <c r="L234" s="895">
        <v>46070</v>
      </c>
      <c r="M234" s="786" t="s">
        <v>675</v>
      </c>
      <c r="N234" s="896"/>
      <c r="O234" s="896"/>
      <c r="P234" s="896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78">
        <f t="shared" si="4"/>
        <v>41</v>
      </c>
      <c r="C235" s="754" t="s">
        <v>261</v>
      </c>
      <c r="D235" s="747" t="s">
        <v>87</v>
      </c>
      <c r="E235" s="746" t="s">
        <v>88</v>
      </c>
      <c r="F235" s="895"/>
      <c r="G235" s="895">
        <v>46072</v>
      </c>
      <c r="H235" s="1310" t="s">
        <v>549</v>
      </c>
      <c r="I235" s="1311"/>
      <c r="J235" s="1311"/>
      <c r="K235" s="1311"/>
      <c r="L235" s="895">
        <v>46072</v>
      </c>
      <c r="M235" s="786" t="s">
        <v>675</v>
      </c>
      <c r="N235" s="896"/>
      <c r="O235" s="896"/>
      <c r="P235" s="896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78">
        <f t="shared" si="4"/>
        <v>42</v>
      </c>
      <c r="C236" s="746" t="s">
        <v>262</v>
      </c>
      <c r="D236" s="747" t="s">
        <v>95</v>
      </c>
      <c r="E236" s="746" t="s">
        <v>543</v>
      </c>
      <c r="F236" s="895"/>
      <c r="G236" s="895">
        <v>46072</v>
      </c>
      <c r="H236" s="1310" t="s">
        <v>549</v>
      </c>
      <c r="I236" s="1311"/>
      <c r="J236" s="1311"/>
      <c r="K236" s="1311"/>
      <c r="L236" s="895">
        <v>46072</v>
      </c>
      <c r="M236" s="786" t="s">
        <v>675</v>
      </c>
      <c r="N236" s="896"/>
      <c r="O236" s="896"/>
      <c r="P236" s="896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78">
        <f t="shared" si="4"/>
        <v>43</v>
      </c>
      <c r="C237" s="754" t="s">
        <v>244</v>
      </c>
      <c r="D237" s="747" t="s">
        <v>87</v>
      </c>
      <c r="E237" s="746" t="s">
        <v>543</v>
      </c>
      <c r="F237" s="895"/>
      <c r="G237" s="895">
        <v>46072</v>
      </c>
      <c r="H237" s="1310" t="s">
        <v>549</v>
      </c>
      <c r="I237" s="1311"/>
      <c r="J237" s="1311"/>
      <c r="K237" s="1311"/>
      <c r="L237" s="895">
        <v>46072</v>
      </c>
      <c r="M237" s="786" t="s">
        <v>675</v>
      </c>
      <c r="N237" s="896"/>
      <c r="O237" s="896"/>
      <c r="P237" s="896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78">
        <f t="shared" si="4"/>
        <v>44</v>
      </c>
      <c r="C238" s="754" t="s">
        <v>251</v>
      </c>
      <c r="D238" s="747" t="s">
        <v>87</v>
      </c>
      <c r="E238" s="746" t="s">
        <v>543</v>
      </c>
      <c r="F238" s="895"/>
      <c r="G238" s="895">
        <v>46072</v>
      </c>
      <c r="H238" s="1310" t="s">
        <v>549</v>
      </c>
      <c r="I238" s="1311"/>
      <c r="J238" s="1311"/>
      <c r="K238" s="1311"/>
      <c r="L238" s="895">
        <v>46072</v>
      </c>
      <c r="M238" s="786" t="s">
        <v>675</v>
      </c>
      <c r="N238" s="896"/>
      <c r="O238" s="896"/>
      <c r="P238" s="896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78">
        <f t="shared" si="4"/>
        <v>45</v>
      </c>
      <c r="C239" s="748" t="s">
        <v>253</v>
      </c>
      <c r="D239" s="749" t="s">
        <v>87</v>
      </c>
      <c r="E239" s="748" t="s">
        <v>543</v>
      </c>
      <c r="F239" s="900"/>
      <c r="G239" s="900">
        <v>46075</v>
      </c>
      <c r="H239" s="1308" t="s">
        <v>549</v>
      </c>
      <c r="I239" s="1309"/>
      <c r="J239" s="1309"/>
      <c r="K239" s="1309"/>
      <c r="L239" s="900">
        <v>46075</v>
      </c>
      <c r="M239" s="903" t="s">
        <v>675</v>
      </c>
      <c r="N239" s="901"/>
      <c r="O239" s="901"/>
      <c r="P239" s="901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78">
        <f t="shared" si="4"/>
        <v>46</v>
      </c>
      <c r="C240" s="746" t="s">
        <v>278</v>
      </c>
      <c r="D240" s="747" t="s">
        <v>95</v>
      </c>
      <c r="E240" s="746" t="s">
        <v>543</v>
      </c>
      <c r="F240" s="895"/>
      <c r="G240" s="895">
        <v>46075</v>
      </c>
      <c r="H240" s="1310" t="s">
        <v>549</v>
      </c>
      <c r="I240" s="1311"/>
      <c r="J240" s="1311"/>
      <c r="K240" s="1311"/>
      <c r="L240" s="895">
        <v>46075</v>
      </c>
      <c r="M240" s="786" t="s">
        <v>675</v>
      </c>
      <c r="N240" s="896"/>
      <c r="O240" s="896"/>
      <c r="P240" s="896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78">
        <f t="shared" si="4"/>
        <v>47</v>
      </c>
      <c r="C241" s="746" t="s">
        <v>275</v>
      </c>
      <c r="D241" s="747" t="s">
        <v>87</v>
      </c>
      <c r="E241" s="746" t="s">
        <v>543</v>
      </c>
      <c r="F241" s="895"/>
      <c r="G241" s="895">
        <v>46075</v>
      </c>
      <c r="H241" s="1310" t="s">
        <v>549</v>
      </c>
      <c r="I241" s="1311"/>
      <c r="J241" s="1311"/>
      <c r="K241" s="1311"/>
      <c r="L241" s="895">
        <v>46075</v>
      </c>
      <c r="M241" s="786" t="s">
        <v>675</v>
      </c>
      <c r="N241" s="896"/>
      <c r="O241" s="896"/>
      <c r="P241" s="896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78">
        <f t="shared" si="4"/>
        <v>48</v>
      </c>
      <c r="C242" s="746" t="s">
        <v>272</v>
      </c>
      <c r="D242" s="747" t="s">
        <v>87</v>
      </c>
      <c r="E242" s="746" t="s">
        <v>543</v>
      </c>
      <c r="F242" s="895"/>
      <c r="G242" s="895">
        <v>46075</v>
      </c>
      <c r="H242" s="1310" t="s">
        <v>549</v>
      </c>
      <c r="I242" s="1311"/>
      <c r="J242" s="1311"/>
      <c r="K242" s="1311"/>
      <c r="L242" s="895">
        <v>46075</v>
      </c>
      <c r="M242" s="786" t="s">
        <v>675</v>
      </c>
      <c r="N242" s="896"/>
      <c r="O242" s="896"/>
      <c r="P242" s="896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91">
        <f t="shared" si="4"/>
        <v>49</v>
      </c>
      <c r="C243" s="766" t="s">
        <v>341</v>
      </c>
      <c r="D243" s="756" t="s">
        <v>87</v>
      </c>
      <c r="E243" s="746" t="s">
        <v>92</v>
      </c>
      <c r="F243" s="895"/>
      <c r="G243" s="895">
        <v>46077</v>
      </c>
      <c r="H243" s="1310" t="s">
        <v>549</v>
      </c>
      <c r="I243" s="1311"/>
      <c r="J243" s="1311"/>
      <c r="K243" s="1311"/>
      <c r="L243" s="895">
        <v>46077</v>
      </c>
      <c r="M243" s="786" t="s">
        <v>89</v>
      </c>
      <c r="N243" s="896"/>
      <c r="O243" s="896"/>
      <c r="P243" s="896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91">
        <f t="shared" si="4"/>
        <v>50</v>
      </c>
      <c r="C244" s="766" t="s">
        <v>409</v>
      </c>
      <c r="D244" s="747" t="s">
        <v>87</v>
      </c>
      <c r="E244" s="746" t="s">
        <v>543</v>
      </c>
      <c r="F244" s="895"/>
      <c r="G244" s="895">
        <v>46083</v>
      </c>
      <c r="H244" s="1310" t="s">
        <v>549</v>
      </c>
      <c r="I244" s="1311"/>
      <c r="J244" s="1311"/>
      <c r="K244" s="1311"/>
      <c r="L244" s="895">
        <v>46083</v>
      </c>
      <c r="M244" s="786" t="s">
        <v>662</v>
      </c>
      <c r="N244" s="896"/>
      <c r="O244" s="896"/>
      <c r="P244" s="896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1">
        <f t="shared" si="4"/>
        <v>51</v>
      </c>
      <c r="C245" s="766" t="s">
        <v>410</v>
      </c>
      <c r="D245" s="757" t="s">
        <v>87</v>
      </c>
      <c r="E245" s="904" t="s">
        <v>92</v>
      </c>
      <c r="F245" s="895"/>
      <c r="G245" s="895">
        <v>46083</v>
      </c>
      <c r="H245" s="1310" t="s">
        <v>549</v>
      </c>
      <c r="I245" s="1311"/>
      <c r="J245" s="1311"/>
      <c r="K245" s="1311"/>
      <c r="L245" s="895">
        <v>46083</v>
      </c>
      <c r="M245" s="786" t="s">
        <v>662</v>
      </c>
      <c r="N245" s="896"/>
      <c r="O245" s="896"/>
      <c r="P245" s="896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1">
        <f t="shared" si="4"/>
        <v>52</v>
      </c>
      <c r="C246" s="766" t="s">
        <v>615</v>
      </c>
      <c r="D246" s="747" t="s">
        <v>87</v>
      </c>
      <c r="E246" s="746" t="s">
        <v>543</v>
      </c>
      <c r="F246" s="895"/>
      <c r="G246" s="895">
        <v>46083</v>
      </c>
      <c r="H246" s="1310" t="s">
        <v>549</v>
      </c>
      <c r="I246" s="1311"/>
      <c r="J246" s="1311"/>
      <c r="K246" s="1311"/>
      <c r="L246" s="895">
        <v>46083</v>
      </c>
      <c r="M246" s="786" t="s">
        <v>662</v>
      </c>
      <c r="N246" s="896"/>
      <c r="O246" s="896"/>
      <c r="P246" s="896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1">
        <f t="shared" si="4"/>
        <v>53</v>
      </c>
      <c r="C247" s="766" t="s">
        <v>617</v>
      </c>
      <c r="D247" s="756" t="s">
        <v>87</v>
      </c>
      <c r="E247" s="746" t="s">
        <v>543</v>
      </c>
      <c r="F247" s="895"/>
      <c r="G247" s="895">
        <v>46083</v>
      </c>
      <c r="H247" s="1310" t="s">
        <v>549</v>
      </c>
      <c r="I247" s="1311"/>
      <c r="J247" s="1311"/>
      <c r="K247" s="1311"/>
      <c r="L247" s="895">
        <v>46083</v>
      </c>
      <c r="M247" s="786" t="s">
        <v>662</v>
      </c>
      <c r="N247" s="896"/>
      <c r="O247" s="896"/>
      <c r="P247" s="896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1">
        <f t="shared" si="4"/>
        <v>54</v>
      </c>
      <c r="C248" s="766" t="s">
        <v>618</v>
      </c>
      <c r="D248" s="759" t="s">
        <v>87</v>
      </c>
      <c r="E248" s="746" t="s">
        <v>92</v>
      </c>
      <c r="F248" s="895"/>
      <c r="G248" s="895">
        <v>46084</v>
      </c>
      <c r="H248" s="1310" t="s">
        <v>549</v>
      </c>
      <c r="I248" s="1311"/>
      <c r="J248" s="1311"/>
      <c r="K248" s="1311"/>
      <c r="L248" s="895">
        <v>46084</v>
      </c>
      <c r="M248" s="786" t="s">
        <v>662</v>
      </c>
      <c r="N248" s="896"/>
      <c r="O248" s="896"/>
      <c r="P248" s="896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91">
        <f t="shared" si="4"/>
        <v>55</v>
      </c>
      <c r="C249" s="760" t="s">
        <v>619</v>
      </c>
      <c r="D249" s="759" t="s">
        <v>87</v>
      </c>
      <c r="E249" s="746" t="s">
        <v>92</v>
      </c>
      <c r="F249" s="895"/>
      <c r="G249" s="895">
        <v>46084</v>
      </c>
      <c r="H249" s="1310" t="s">
        <v>549</v>
      </c>
      <c r="I249" s="1311"/>
      <c r="J249" s="1311"/>
      <c r="K249" s="1311"/>
      <c r="L249" s="895">
        <v>46084</v>
      </c>
      <c r="M249" s="786" t="s">
        <v>662</v>
      </c>
      <c r="N249" s="896"/>
      <c r="O249" s="896"/>
      <c r="P249" s="896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1">
        <f t="shared" si="4"/>
        <v>56</v>
      </c>
      <c r="C250" s="746" t="s">
        <v>408</v>
      </c>
      <c r="D250" s="747" t="s">
        <v>87</v>
      </c>
      <c r="E250" s="746" t="s">
        <v>92</v>
      </c>
      <c r="F250" s="895"/>
      <c r="G250" s="895">
        <v>46084</v>
      </c>
      <c r="H250" s="1310" t="s">
        <v>549</v>
      </c>
      <c r="I250" s="1311"/>
      <c r="J250" s="1311"/>
      <c r="K250" s="1311"/>
      <c r="L250" s="895">
        <v>46084</v>
      </c>
      <c r="M250" s="902" t="s">
        <v>676</v>
      </c>
      <c r="N250" s="896"/>
      <c r="O250" s="896"/>
      <c r="P250" s="896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1">
        <f t="shared" si="4"/>
        <v>57</v>
      </c>
      <c r="C251" s="746" t="s">
        <v>406</v>
      </c>
      <c r="D251" s="747" t="s">
        <v>87</v>
      </c>
      <c r="E251" s="746" t="s">
        <v>92</v>
      </c>
      <c r="F251" s="905"/>
      <c r="G251" s="895">
        <v>46088</v>
      </c>
      <c r="H251" s="1310" t="s">
        <v>549</v>
      </c>
      <c r="I251" s="1311"/>
      <c r="J251" s="1311"/>
      <c r="K251" s="1311"/>
      <c r="L251" s="895">
        <v>46088</v>
      </c>
      <c r="M251" s="902" t="s">
        <v>676</v>
      </c>
      <c r="N251" s="896"/>
      <c r="O251" s="896"/>
      <c r="P251" s="896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9">
        <f t="shared" si="4"/>
        <v>58</v>
      </c>
      <c r="C252" s="906" t="s">
        <v>407</v>
      </c>
      <c r="D252" s="749" t="s">
        <v>91</v>
      </c>
      <c r="E252" s="748" t="s">
        <v>92</v>
      </c>
      <c r="F252" s="905"/>
      <c r="G252" s="900">
        <v>46088</v>
      </c>
      <c r="H252" s="1308" t="s">
        <v>549</v>
      </c>
      <c r="I252" s="1309"/>
      <c r="J252" s="1309"/>
      <c r="K252" s="1309"/>
      <c r="L252" s="900">
        <v>46088</v>
      </c>
      <c r="M252" s="907" t="s">
        <v>676</v>
      </c>
      <c r="N252" s="901"/>
      <c r="O252" s="901"/>
      <c r="P252" s="901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1">
        <f t="shared" si="4"/>
        <v>59</v>
      </c>
      <c r="C253" s="754" t="s">
        <v>347</v>
      </c>
      <c r="D253" s="747" t="s">
        <v>109</v>
      </c>
      <c r="E253" s="746" t="s">
        <v>665</v>
      </c>
      <c r="F253" s="895"/>
      <c r="G253" s="895">
        <v>46089</v>
      </c>
      <c r="H253" s="1310" t="s">
        <v>549</v>
      </c>
      <c r="I253" s="1311"/>
      <c r="J253" s="1311"/>
      <c r="K253" s="1311"/>
      <c r="L253" s="895">
        <v>46089</v>
      </c>
      <c r="M253" s="902" t="s">
        <v>89</v>
      </c>
      <c r="N253" s="896"/>
      <c r="O253" s="896"/>
      <c r="P253" s="896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1">
        <f t="shared" si="4"/>
        <v>60</v>
      </c>
      <c r="C254" s="755" t="s">
        <v>354</v>
      </c>
      <c r="D254" s="759" t="s">
        <v>87</v>
      </c>
      <c r="E254" s="746" t="s">
        <v>92</v>
      </c>
      <c r="F254" s="895"/>
      <c r="G254" s="895">
        <v>46094</v>
      </c>
      <c r="H254" s="1310" t="s">
        <v>549</v>
      </c>
      <c r="I254" s="1311"/>
      <c r="J254" s="1311"/>
      <c r="K254" s="1311"/>
      <c r="L254" s="895">
        <v>46094</v>
      </c>
      <c r="M254" s="902" t="s">
        <v>89</v>
      </c>
      <c r="N254" s="896"/>
      <c r="O254" s="896"/>
      <c r="P254" s="896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1">
        <f t="shared" si="4"/>
        <v>61</v>
      </c>
      <c r="C255" s="747" t="s">
        <v>234</v>
      </c>
      <c r="D255" s="763" t="s">
        <v>214</v>
      </c>
      <c r="E255" s="746" t="s">
        <v>92</v>
      </c>
      <c r="F255" s="784"/>
      <c r="G255" s="784">
        <v>46094</v>
      </c>
      <c r="H255" s="1310" t="s">
        <v>549</v>
      </c>
      <c r="I255" s="1311"/>
      <c r="J255" s="1311"/>
      <c r="K255" s="1311"/>
      <c r="L255" s="908">
        <v>46095</v>
      </c>
      <c r="M255" s="909" t="s">
        <v>763</v>
      </c>
      <c r="N255" s="786"/>
      <c r="O255" s="787"/>
      <c r="P255" s="788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1">
        <f t="shared" si="4"/>
        <v>62</v>
      </c>
      <c r="C256" s="747" t="s">
        <v>235</v>
      </c>
      <c r="D256" s="763" t="s">
        <v>87</v>
      </c>
      <c r="E256" s="746" t="s">
        <v>92</v>
      </c>
      <c r="F256" s="770" t="s">
        <v>92</v>
      </c>
      <c r="G256" s="784">
        <v>46098</v>
      </c>
      <c r="H256" s="1310" t="s">
        <v>549</v>
      </c>
      <c r="I256" s="1311"/>
      <c r="J256" s="1311"/>
      <c r="K256" s="1311"/>
      <c r="L256" s="784">
        <v>46098</v>
      </c>
      <c r="M256" s="909" t="s">
        <v>763</v>
      </c>
      <c r="N256" s="786"/>
      <c r="O256" s="787"/>
      <c r="P256" s="788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A257" s="284"/>
      <c r="B257" s="891">
        <f t="shared" si="4"/>
        <v>63</v>
      </c>
      <c r="C257" s="754" t="s">
        <v>482</v>
      </c>
      <c r="D257" s="763" t="s">
        <v>238</v>
      </c>
      <c r="E257" s="746" t="s">
        <v>92</v>
      </c>
      <c r="F257" s="784"/>
      <c r="G257" s="784">
        <v>46101</v>
      </c>
      <c r="H257" s="1310" t="s">
        <v>549</v>
      </c>
      <c r="I257" s="1311"/>
      <c r="J257" s="1311"/>
      <c r="K257" s="1311"/>
      <c r="L257" s="910">
        <v>46104</v>
      </c>
      <c r="M257" s="786" t="s">
        <v>661</v>
      </c>
      <c r="N257" s="786"/>
      <c r="O257" s="787"/>
      <c r="P257" s="788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288" customFormat="1" ht="17.55" customHeight="1" x14ac:dyDescent="0.35">
      <c r="A258" s="284"/>
      <c r="B258" s="891">
        <f t="shared" si="4"/>
        <v>64</v>
      </c>
      <c r="C258" s="767" t="s">
        <v>239</v>
      </c>
      <c r="D258" s="763" t="s">
        <v>109</v>
      </c>
      <c r="E258" s="746" t="s">
        <v>92</v>
      </c>
      <c r="F258" s="784">
        <v>46098</v>
      </c>
      <c r="G258" s="911">
        <v>46112</v>
      </c>
      <c r="H258" s="1310" t="s">
        <v>549</v>
      </c>
      <c r="I258" s="1311"/>
      <c r="J258" s="1311"/>
      <c r="K258" s="1311"/>
      <c r="L258" s="911">
        <v>46112</v>
      </c>
      <c r="M258" s="786" t="s">
        <v>692</v>
      </c>
      <c r="N258" s="786"/>
      <c r="O258" s="787"/>
      <c r="P258" s="788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 spans="1:25" s="288" customFormat="1" ht="17.55" customHeight="1" x14ac:dyDescent="0.35">
      <c r="B259" s="891">
        <f t="shared" si="4"/>
        <v>65</v>
      </c>
      <c r="C259" s="760" t="s">
        <v>233</v>
      </c>
      <c r="D259" s="763" t="s">
        <v>91</v>
      </c>
      <c r="E259" s="746" t="s">
        <v>92</v>
      </c>
      <c r="F259" s="789"/>
      <c r="G259" s="911">
        <v>46110</v>
      </c>
      <c r="H259" s="1310" t="s">
        <v>549</v>
      </c>
      <c r="I259" s="1311"/>
      <c r="J259" s="1311"/>
      <c r="K259" s="1311"/>
      <c r="L259" s="911">
        <v>46110</v>
      </c>
      <c r="M259" s="786" t="s">
        <v>692</v>
      </c>
      <c r="N259" s="786"/>
      <c r="O259" s="787"/>
      <c r="P259" s="788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 spans="1:25" s="509" customFormat="1" ht="17.55" customHeight="1" x14ac:dyDescent="0.35">
      <c r="B260" s="891">
        <f t="shared" si="4"/>
        <v>66</v>
      </c>
      <c r="C260" s="747" t="s">
        <v>226</v>
      </c>
      <c r="D260" s="763" t="s">
        <v>91</v>
      </c>
      <c r="E260" s="746" t="s">
        <v>92</v>
      </c>
      <c r="F260" s="912"/>
      <c r="G260" s="911">
        <v>46110</v>
      </c>
      <c r="H260" s="1310" t="s">
        <v>549</v>
      </c>
      <c r="I260" s="1311"/>
      <c r="J260" s="1311"/>
      <c r="K260" s="1311"/>
      <c r="L260" s="911">
        <v>46110</v>
      </c>
      <c r="M260" s="786" t="s">
        <v>692</v>
      </c>
      <c r="N260" s="913"/>
      <c r="O260" s="913"/>
      <c r="P260" s="913"/>
    </row>
    <row r="261" spans="1:25" s="509" customFormat="1" ht="17.55" customHeight="1" x14ac:dyDescent="0.35">
      <c r="B261" s="891">
        <f t="shared" si="4"/>
        <v>67</v>
      </c>
      <c r="C261" s="747" t="s">
        <v>229</v>
      </c>
      <c r="D261" s="763" t="s">
        <v>87</v>
      </c>
      <c r="E261" s="746" t="s">
        <v>92</v>
      </c>
      <c r="F261" s="914" t="s">
        <v>92</v>
      </c>
      <c r="G261" s="911">
        <v>46112</v>
      </c>
      <c r="H261" s="1310" t="s">
        <v>549</v>
      </c>
      <c r="I261" s="1311"/>
      <c r="J261" s="1311"/>
      <c r="K261" s="1311"/>
      <c r="L261" s="911">
        <v>46112</v>
      </c>
      <c r="M261" s="786" t="s">
        <v>692</v>
      </c>
      <c r="N261" s="913"/>
      <c r="O261" s="913"/>
      <c r="P261" s="913"/>
    </row>
    <row r="262" spans="1:25" s="509" customFormat="1" ht="17.55" customHeight="1" x14ac:dyDescent="0.35">
      <c r="B262" s="891">
        <f t="shared" si="4"/>
        <v>68</v>
      </c>
      <c r="C262" s="747" t="s">
        <v>245</v>
      </c>
      <c r="D262" s="763" t="s">
        <v>91</v>
      </c>
      <c r="E262" s="746" t="s">
        <v>665</v>
      </c>
      <c r="F262" s="746" t="s">
        <v>665</v>
      </c>
      <c r="G262" s="911">
        <v>46125</v>
      </c>
      <c r="H262" s="1310" t="s">
        <v>549</v>
      </c>
      <c r="I262" s="1311"/>
      <c r="J262" s="1311"/>
      <c r="K262" s="1311"/>
      <c r="L262" s="911">
        <v>46125</v>
      </c>
      <c r="M262" s="786" t="s">
        <v>692</v>
      </c>
      <c r="N262" s="913"/>
      <c r="O262" s="913"/>
      <c r="P262" s="913"/>
    </row>
    <row r="263" spans="1:25" s="509" customFormat="1" ht="17.55" customHeight="1" x14ac:dyDescent="0.35">
      <c r="B263" s="891">
        <f t="shared" ref="B263:B322" si="5">B262+1</f>
        <v>69</v>
      </c>
      <c r="C263" s="747" t="s">
        <v>246</v>
      </c>
      <c r="D263" s="756" t="s">
        <v>87</v>
      </c>
      <c r="E263" s="755" t="s">
        <v>665</v>
      </c>
      <c r="F263" s="755" t="s">
        <v>665</v>
      </c>
      <c r="G263" s="911">
        <v>46125</v>
      </c>
      <c r="H263" s="1310" t="s">
        <v>549</v>
      </c>
      <c r="I263" s="1311"/>
      <c r="J263" s="1311"/>
      <c r="K263" s="1311"/>
      <c r="L263" s="911">
        <v>46125</v>
      </c>
      <c r="M263" s="786" t="s">
        <v>692</v>
      </c>
      <c r="N263" s="913"/>
      <c r="O263" s="913"/>
      <c r="P263" s="913"/>
    </row>
    <row r="264" spans="1:25" s="509" customFormat="1" ht="17.55" customHeight="1" x14ac:dyDescent="0.35">
      <c r="B264" s="891">
        <f t="shared" si="5"/>
        <v>70</v>
      </c>
      <c r="C264" s="747" t="s">
        <v>247</v>
      </c>
      <c r="D264" s="762" t="s">
        <v>87</v>
      </c>
      <c r="E264" s="746" t="s">
        <v>543</v>
      </c>
      <c r="F264" s="746" t="s">
        <v>543</v>
      </c>
      <c r="G264" s="911">
        <v>46125</v>
      </c>
      <c r="H264" s="1310" t="s">
        <v>549</v>
      </c>
      <c r="I264" s="1311"/>
      <c r="J264" s="1311"/>
      <c r="K264" s="1311"/>
      <c r="L264" s="911">
        <v>46125</v>
      </c>
      <c r="M264" s="786" t="s">
        <v>692</v>
      </c>
      <c r="N264" s="913"/>
      <c r="O264" s="913"/>
      <c r="P264" s="913"/>
    </row>
    <row r="265" spans="1:25" s="509" customFormat="1" ht="17.55" customHeight="1" x14ac:dyDescent="0.35">
      <c r="B265" s="891">
        <f t="shared" si="5"/>
        <v>71</v>
      </c>
      <c r="C265" s="747" t="s">
        <v>422</v>
      </c>
      <c r="D265" s="763" t="s">
        <v>760</v>
      </c>
      <c r="E265" s="746" t="s">
        <v>769</v>
      </c>
      <c r="F265" s="746"/>
      <c r="G265" s="911">
        <v>46125</v>
      </c>
      <c r="H265" s="1310" t="s">
        <v>549</v>
      </c>
      <c r="I265" s="1311"/>
      <c r="J265" s="1311"/>
      <c r="K265" s="1311"/>
      <c r="L265" s="911">
        <v>46125</v>
      </c>
      <c r="M265" s="786" t="s">
        <v>692</v>
      </c>
      <c r="N265" s="913"/>
      <c r="O265" s="913"/>
      <c r="P265" s="913"/>
    </row>
    <row r="266" spans="1:25" s="509" customFormat="1" ht="17.55" customHeight="1" x14ac:dyDescent="0.35">
      <c r="B266" s="891">
        <f t="shared" si="5"/>
        <v>72</v>
      </c>
      <c r="C266" s="747" t="s">
        <v>307</v>
      </c>
      <c r="D266" s="763" t="s">
        <v>109</v>
      </c>
      <c r="E266" s="746" t="s">
        <v>92</v>
      </c>
      <c r="F266" s="746"/>
      <c r="G266" s="911">
        <v>46125</v>
      </c>
      <c r="H266" s="1310" t="s">
        <v>549</v>
      </c>
      <c r="I266" s="1311"/>
      <c r="J266" s="1311"/>
      <c r="K266" s="1311"/>
      <c r="L266" s="911">
        <v>46125</v>
      </c>
      <c r="M266" s="786" t="s">
        <v>767</v>
      </c>
      <c r="N266" s="913"/>
      <c r="O266" s="913"/>
      <c r="P266" s="913"/>
    </row>
    <row r="267" spans="1:25" s="288" customFormat="1" ht="17.55" customHeight="1" x14ac:dyDescent="0.35">
      <c r="A267" s="284"/>
      <c r="B267" s="891">
        <f t="shared" si="5"/>
        <v>73</v>
      </c>
      <c r="C267" s="749" t="s">
        <v>431</v>
      </c>
      <c r="D267" s="915" t="s">
        <v>687</v>
      </c>
      <c r="E267" s="748" t="s">
        <v>92</v>
      </c>
      <c r="F267" s="916"/>
      <c r="G267" s="917">
        <v>46126</v>
      </c>
      <c r="H267" s="1308" t="s">
        <v>549</v>
      </c>
      <c r="I267" s="1309"/>
      <c r="J267" s="1309"/>
      <c r="K267" s="1309"/>
      <c r="L267" s="917">
        <v>46127</v>
      </c>
      <c r="M267" s="903" t="s">
        <v>692</v>
      </c>
      <c r="N267" s="747"/>
      <c r="O267" s="885"/>
      <c r="P267" s="885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 spans="1:25" s="288" customFormat="1" ht="17.55" customHeight="1" x14ac:dyDescent="0.35">
      <c r="A268" s="284"/>
      <c r="B268" s="891">
        <f t="shared" si="5"/>
        <v>74</v>
      </c>
      <c r="C268" s="747" t="s">
        <v>308</v>
      </c>
      <c r="D268" s="763" t="s">
        <v>87</v>
      </c>
      <c r="E268" s="746" t="s">
        <v>92</v>
      </c>
      <c r="F268" s="746" t="s">
        <v>92</v>
      </c>
      <c r="G268" s="784">
        <v>46127</v>
      </c>
      <c r="H268" s="1310" t="s">
        <v>549</v>
      </c>
      <c r="I268" s="1311"/>
      <c r="J268" s="1311"/>
      <c r="K268" s="1311"/>
      <c r="L268" s="784">
        <v>46127</v>
      </c>
      <c r="M268" s="786" t="s">
        <v>767</v>
      </c>
      <c r="N268" s="747"/>
      <c r="O268" s="885"/>
      <c r="P268" s="885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 spans="1:25" s="288" customFormat="1" ht="17.55" customHeight="1" x14ac:dyDescent="0.35">
      <c r="A269" s="284"/>
      <c r="B269" s="891">
        <f t="shared" si="5"/>
        <v>75</v>
      </c>
      <c r="C269" s="760" t="s">
        <v>237</v>
      </c>
      <c r="D269" s="763" t="s">
        <v>87</v>
      </c>
      <c r="E269" s="746" t="s">
        <v>665</v>
      </c>
      <c r="F269" s="746"/>
      <c r="G269" s="784">
        <v>46127</v>
      </c>
      <c r="H269" s="1310" t="s">
        <v>549</v>
      </c>
      <c r="I269" s="1311"/>
      <c r="J269" s="1311"/>
      <c r="K269" s="1311"/>
      <c r="L269" s="784">
        <v>46127</v>
      </c>
      <c r="M269" s="903" t="s">
        <v>692</v>
      </c>
      <c r="N269" s="747"/>
      <c r="O269" s="885"/>
      <c r="P269" s="885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1">
        <f t="shared" si="5"/>
        <v>76</v>
      </c>
      <c r="C270" s="747" t="s">
        <v>334</v>
      </c>
      <c r="D270" s="885" t="s">
        <v>95</v>
      </c>
      <c r="E270" s="885" t="s">
        <v>92</v>
      </c>
      <c r="F270" s="746"/>
      <c r="G270" s="911">
        <v>46129</v>
      </c>
      <c r="H270" s="1310" t="s">
        <v>549</v>
      </c>
      <c r="I270" s="1311"/>
      <c r="J270" s="1311"/>
      <c r="K270" s="1311"/>
      <c r="L270" s="911">
        <v>46129</v>
      </c>
      <c r="M270" s="918" t="s">
        <v>926</v>
      </c>
      <c r="N270" s="747"/>
      <c r="O270" s="885"/>
      <c r="P270" s="885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1">
        <f t="shared" si="5"/>
        <v>77</v>
      </c>
      <c r="C271" s="747" t="s">
        <v>335</v>
      </c>
      <c r="D271" s="747" t="s">
        <v>109</v>
      </c>
      <c r="E271" s="746" t="s">
        <v>92</v>
      </c>
      <c r="F271" s="746"/>
      <c r="G271" s="911">
        <v>46129</v>
      </c>
      <c r="H271" s="1310" t="s">
        <v>549</v>
      </c>
      <c r="I271" s="1311"/>
      <c r="J271" s="1311"/>
      <c r="K271" s="1311"/>
      <c r="L271" s="911">
        <v>46129</v>
      </c>
      <c r="M271" s="918" t="s">
        <v>926</v>
      </c>
      <c r="N271" s="747"/>
      <c r="O271" s="885"/>
      <c r="P271" s="885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1">
        <f t="shared" si="5"/>
        <v>78</v>
      </c>
      <c r="C272" s="747" t="s">
        <v>465</v>
      </c>
      <c r="D272" s="885" t="s">
        <v>559</v>
      </c>
      <c r="E272" s="746" t="s">
        <v>92</v>
      </c>
      <c r="F272" s="746" t="s">
        <v>92</v>
      </c>
      <c r="G272" s="784">
        <v>46130</v>
      </c>
      <c r="H272" s="1310" t="s">
        <v>549</v>
      </c>
      <c r="I272" s="1311"/>
      <c r="J272" s="1311"/>
      <c r="K272" s="1311"/>
      <c r="L272" s="784">
        <v>46130</v>
      </c>
      <c r="M272" s="918" t="s">
        <v>926</v>
      </c>
      <c r="N272" s="747"/>
      <c r="O272" s="885"/>
      <c r="P272" s="885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1">
        <f t="shared" si="5"/>
        <v>79</v>
      </c>
      <c r="C273" s="747" t="s">
        <v>310</v>
      </c>
      <c r="D273" s="763" t="s">
        <v>95</v>
      </c>
      <c r="E273" s="746" t="s">
        <v>92</v>
      </c>
      <c r="F273" s="746" t="s">
        <v>92</v>
      </c>
      <c r="G273" s="784">
        <v>46131</v>
      </c>
      <c r="H273" s="1310" t="s">
        <v>549</v>
      </c>
      <c r="I273" s="1311"/>
      <c r="J273" s="1311"/>
      <c r="K273" s="1311"/>
      <c r="L273" s="784">
        <v>46131</v>
      </c>
      <c r="M273" s="786" t="s">
        <v>767</v>
      </c>
      <c r="N273" s="747"/>
      <c r="O273" s="885"/>
      <c r="P273" s="885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1">
        <f t="shared" si="5"/>
        <v>80</v>
      </c>
      <c r="C274" s="746" t="s">
        <v>464</v>
      </c>
      <c r="D274" s="747" t="s">
        <v>669</v>
      </c>
      <c r="E274" s="746" t="s">
        <v>92</v>
      </c>
      <c r="F274" s="916"/>
      <c r="G274" s="784">
        <v>46131</v>
      </c>
      <c r="H274" s="1310" t="s">
        <v>549</v>
      </c>
      <c r="I274" s="1311"/>
      <c r="J274" s="1311"/>
      <c r="K274" s="1311"/>
      <c r="L274" s="784">
        <v>46131</v>
      </c>
      <c r="M274" s="918" t="s">
        <v>926</v>
      </c>
      <c r="N274" s="747"/>
      <c r="O274" s="885"/>
      <c r="P274" s="885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1">
        <f t="shared" si="5"/>
        <v>81</v>
      </c>
      <c r="C275" s="746" t="s">
        <v>342</v>
      </c>
      <c r="D275" s="747" t="s">
        <v>95</v>
      </c>
      <c r="E275" s="746" t="s">
        <v>543</v>
      </c>
      <c r="F275" s="916"/>
      <c r="G275" s="784">
        <v>46131</v>
      </c>
      <c r="H275" s="1310" t="s">
        <v>549</v>
      </c>
      <c r="I275" s="1311"/>
      <c r="J275" s="1311"/>
      <c r="K275" s="1311"/>
      <c r="L275" s="784">
        <v>46131</v>
      </c>
      <c r="M275" s="918" t="s">
        <v>926</v>
      </c>
      <c r="N275" s="747"/>
      <c r="O275" s="885"/>
      <c r="P275" s="885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1">
        <f t="shared" si="5"/>
        <v>82</v>
      </c>
      <c r="C276" s="749" t="s">
        <v>309</v>
      </c>
      <c r="D276" s="915" t="s">
        <v>87</v>
      </c>
      <c r="E276" s="748" t="s">
        <v>92</v>
      </c>
      <c r="F276" s="916"/>
      <c r="G276" s="789">
        <v>46131</v>
      </c>
      <c r="H276" s="1308" t="s">
        <v>549</v>
      </c>
      <c r="I276" s="1309"/>
      <c r="J276" s="1309"/>
      <c r="K276" s="1309"/>
      <c r="L276" s="789">
        <v>46131</v>
      </c>
      <c r="M276" s="903" t="s">
        <v>767</v>
      </c>
      <c r="N276" s="749"/>
      <c r="O276" s="897"/>
      <c r="P276" s="897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1">
        <f t="shared" si="5"/>
        <v>83</v>
      </c>
      <c r="C277" s="746" t="s">
        <v>344</v>
      </c>
      <c r="D277" s="747" t="s">
        <v>87</v>
      </c>
      <c r="E277" s="746" t="s">
        <v>543</v>
      </c>
      <c r="F277" s="746"/>
      <c r="G277" s="784">
        <v>46134</v>
      </c>
      <c r="H277" s="1310" t="s">
        <v>549</v>
      </c>
      <c r="I277" s="1311"/>
      <c r="J277" s="1311"/>
      <c r="K277" s="1311"/>
      <c r="L277" s="784">
        <v>46134</v>
      </c>
      <c r="M277" s="918" t="s">
        <v>926</v>
      </c>
      <c r="N277" s="747"/>
      <c r="O277" s="885"/>
      <c r="P277" s="885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1">
        <f t="shared" si="5"/>
        <v>84</v>
      </c>
      <c r="C278" s="755" t="s">
        <v>417</v>
      </c>
      <c r="D278" s="763" t="s">
        <v>227</v>
      </c>
      <c r="E278" s="769" t="s">
        <v>542</v>
      </c>
      <c r="F278" s="746"/>
      <c r="G278" s="784">
        <v>46134</v>
      </c>
      <c r="H278" s="1310" t="s">
        <v>549</v>
      </c>
      <c r="I278" s="1311"/>
      <c r="J278" s="1311"/>
      <c r="K278" s="1311"/>
      <c r="L278" s="784">
        <v>46114</v>
      </c>
      <c r="M278" s="786" t="s">
        <v>767</v>
      </c>
      <c r="N278" s="747"/>
      <c r="O278" s="885"/>
      <c r="P278" s="885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1">
        <f t="shared" si="5"/>
        <v>85</v>
      </c>
      <c r="C279" s="760" t="s">
        <v>222</v>
      </c>
      <c r="D279" s="747" t="s">
        <v>87</v>
      </c>
      <c r="E279" s="746" t="s">
        <v>92</v>
      </c>
      <c r="F279" s="916"/>
      <c r="G279" s="784">
        <v>46136</v>
      </c>
      <c r="H279" s="1310" t="s">
        <v>549</v>
      </c>
      <c r="I279" s="1311"/>
      <c r="J279" s="1311"/>
      <c r="K279" s="1311"/>
      <c r="L279" s="784">
        <v>46136</v>
      </c>
      <c r="M279" s="786" t="s">
        <v>739</v>
      </c>
      <c r="N279" s="747"/>
      <c r="O279" s="885"/>
      <c r="P279" s="885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1">
        <f t="shared" si="5"/>
        <v>86</v>
      </c>
      <c r="C280" s="760" t="s">
        <v>223</v>
      </c>
      <c r="D280" s="759" t="s">
        <v>87</v>
      </c>
      <c r="E280" s="746" t="s">
        <v>542</v>
      </c>
      <c r="F280" s="916"/>
      <c r="G280" s="784">
        <v>46136</v>
      </c>
      <c r="H280" s="1310" t="s">
        <v>549</v>
      </c>
      <c r="I280" s="1311"/>
      <c r="J280" s="1311"/>
      <c r="K280" s="1311"/>
      <c r="L280" s="784">
        <v>46136</v>
      </c>
      <c r="M280" s="786" t="s">
        <v>739</v>
      </c>
      <c r="N280" s="747"/>
      <c r="O280" s="885"/>
      <c r="P280" s="885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1">
        <f t="shared" si="5"/>
        <v>87</v>
      </c>
      <c r="C281" s="747" t="s">
        <v>297</v>
      </c>
      <c r="D281" s="763" t="s">
        <v>776</v>
      </c>
      <c r="E281" s="746" t="s">
        <v>92</v>
      </c>
      <c r="F281" s="916"/>
      <c r="G281" s="784">
        <v>46136</v>
      </c>
      <c r="H281" s="1310" t="s">
        <v>549</v>
      </c>
      <c r="I281" s="1311"/>
      <c r="J281" s="1311"/>
      <c r="K281" s="1311"/>
      <c r="L281" s="784">
        <v>46137</v>
      </c>
      <c r="M281" s="786" t="s">
        <v>767</v>
      </c>
      <c r="N281" s="747"/>
      <c r="O281" s="885"/>
      <c r="P281" s="885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1">
        <f t="shared" si="5"/>
        <v>88</v>
      </c>
      <c r="C282" s="747" t="s">
        <v>441</v>
      </c>
      <c r="D282" s="763" t="s">
        <v>580</v>
      </c>
      <c r="E282" s="746" t="s">
        <v>92</v>
      </c>
      <c r="F282" s="916"/>
      <c r="G282" s="784">
        <v>46140</v>
      </c>
      <c r="H282" s="1310" t="s">
        <v>549</v>
      </c>
      <c r="I282" s="1311"/>
      <c r="J282" s="1311"/>
      <c r="K282" s="1311"/>
      <c r="L282" s="784">
        <v>46140</v>
      </c>
      <c r="M282" s="786" t="s">
        <v>767</v>
      </c>
      <c r="N282" s="747"/>
      <c r="O282" s="885"/>
      <c r="P282" s="885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1">
        <f t="shared" si="5"/>
        <v>89</v>
      </c>
      <c r="C283" s="747" t="s">
        <v>220</v>
      </c>
      <c r="D283" s="763" t="s">
        <v>87</v>
      </c>
      <c r="E283" s="746" t="s">
        <v>92</v>
      </c>
      <c r="F283" s="916"/>
      <c r="G283" s="784">
        <v>46142</v>
      </c>
      <c r="H283" s="1310" t="s">
        <v>549</v>
      </c>
      <c r="I283" s="1311"/>
      <c r="J283" s="1311"/>
      <c r="K283" s="1311"/>
      <c r="L283" s="784">
        <v>46142</v>
      </c>
      <c r="M283" s="786" t="s">
        <v>739</v>
      </c>
      <c r="N283" s="747"/>
      <c r="O283" s="885"/>
      <c r="P283" s="885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1">
        <f t="shared" si="5"/>
        <v>90</v>
      </c>
      <c r="C284" s="767" t="s">
        <v>296</v>
      </c>
      <c r="D284" s="763" t="s">
        <v>87</v>
      </c>
      <c r="E284" s="746" t="s">
        <v>92</v>
      </c>
      <c r="F284" s="916"/>
      <c r="G284" s="784">
        <v>46143</v>
      </c>
      <c r="H284" s="1310" t="s">
        <v>549</v>
      </c>
      <c r="I284" s="1311"/>
      <c r="J284" s="1311"/>
      <c r="K284" s="1311"/>
      <c r="L284" s="784">
        <v>46143</v>
      </c>
      <c r="M284" s="786" t="s">
        <v>767</v>
      </c>
      <c r="N284" s="747"/>
      <c r="O284" s="885"/>
      <c r="P284" s="885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1">
        <f t="shared" si="5"/>
        <v>91</v>
      </c>
      <c r="C285" s="747" t="s">
        <v>440</v>
      </c>
      <c r="D285" s="763" t="s">
        <v>238</v>
      </c>
      <c r="E285" s="746" t="s">
        <v>92</v>
      </c>
      <c r="F285" s="916"/>
      <c r="G285" s="784">
        <v>46146</v>
      </c>
      <c r="H285" s="1310" t="s">
        <v>549</v>
      </c>
      <c r="I285" s="1311"/>
      <c r="J285" s="1311"/>
      <c r="K285" s="1311"/>
      <c r="L285" s="784">
        <v>46147</v>
      </c>
      <c r="M285" s="786" t="s">
        <v>767</v>
      </c>
      <c r="N285" s="747"/>
      <c r="O285" s="885"/>
      <c r="P285" s="885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1">
        <f t="shared" si="5"/>
        <v>92</v>
      </c>
      <c r="C286" s="743" t="s">
        <v>90</v>
      </c>
      <c r="D286" s="742" t="s">
        <v>91</v>
      </c>
      <c r="E286" s="742" t="s">
        <v>92</v>
      </c>
      <c r="F286" s="916"/>
      <c r="G286" s="784">
        <v>46151</v>
      </c>
      <c r="H286" s="1310" t="s">
        <v>549</v>
      </c>
      <c r="I286" s="1311"/>
      <c r="J286" s="1311"/>
      <c r="K286" s="1311"/>
      <c r="L286" s="784">
        <v>46151</v>
      </c>
      <c r="M286" s="918" t="s">
        <v>926</v>
      </c>
      <c r="N286" s="747"/>
      <c r="O286" s="885"/>
      <c r="P286" s="885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1">
        <f t="shared" si="5"/>
        <v>93</v>
      </c>
      <c r="C287" s="919" t="s">
        <v>93</v>
      </c>
      <c r="D287" s="742" t="s">
        <v>87</v>
      </c>
      <c r="E287" s="742" t="s">
        <v>92</v>
      </c>
      <c r="F287" s="916"/>
      <c r="G287" s="789">
        <v>46151</v>
      </c>
      <c r="H287" s="1308" t="s">
        <v>549</v>
      </c>
      <c r="I287" s="1309"/>
      <c r="J287" s="1309"/>
      <c r="K287" s="1309"/>
      <c r="L287" s="789">
        <v>46151</v>
      </c>
      <c r="M287" s="920" t="s">
        <v>926</v>
      </c>
      <c r="N287" s="747"/>
      <c r="O287" s="885"/>
      <c r="P287" s="885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1">
        <f t="shared" si="5"/>
        <v>94</v>
      </c>
      <c r="C288" s="746" t="s">
        <v>327</v>
      </c>
      <c r="D288" s="747" t="s">
        <v>87</v>
      </c>
      <c r="E288" s="746" t="s">
        <v>92</v>
      </c>
      <c r="F288" s="916"/>
      <c r="G288" s="784">
        <v>46152</v>
      </c>
      <c r="H288" s="1310" t="s">
        <v>549</v>
      </c>
      <c r="I288" s="1311"/>
      <c r="J288" s="1311"/>
      <c r="K288" s="1311"/>
      <c r="L288" s="784">
        <v>46152</v>
      </c>
      <c r="M288" s="918" t="s">
        <v>926</v>
      </c>
      <c r="N288" s="747"/>
      <c r="O288" s="885"/>
      <c r="P288" s="885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1">
        <f t="shared" si="5"/>
        <v>95</v>
      </c>
      <c r="C289" s="885" t="s">
        <v>326</v>
      </c>
      <c r="D289" s="885" t="s">
        <v>87</v>
      </c>
      <c r="E289" s="885" t="s">
        <v>92</v>
      </c>
      <c r="F289" s="916"/>
      <c r="G289" s="784">
        <v>46153</v>
      </c>
      <c r="H289" s="1310" t="s">
        <v>549</v>
      </c>
      <c r="I289" s="1311"/>
      <c r="J289" s="1311"/>
      <c r="K289" s="1311"/>
      <c r="L289" s="784">
        <v>46153</v>
      </c>
      <c r="M289" s="918" t="s">
        <v>926</v>
      </c>
      <c r="N289" s="747"/>
      <c r="O289" s="885"/>
      <c r="P289" s="885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1">
        <f t="shared" si="5"/>
        <v>96</v>
      </c>
      <c r="C290" s="746" t="s">
        <v>322</v>
      </c>
      <c r="D290" s="747" t="s">
        <v>87</v>
      </c>
      <c r="E290" s="746" t="s">
        <v>92</v>
      </c>
      <c r="F290" s="916"/>
      <c r="G290" s="784">
        <v>46153</v>
      </c>
      <c r="H290" s="1310" t="s">
        <v>549</v>
      </c>
      <c r="I290" s="1311"/>
      <c r="J290" s="1311"/>
      <c r="K290" s="1311"/>
      <c r="L290" s="784">
        <v>46153</v>
      </c>
      <c r="M290" s="918" t="s">
        <v>926</v>
      </c>
      <c r="N290" s="747"/>
      <c r="O290" s="885"/>
      <c r="P290" s="885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1">
        <f t="shared" si="5"/>
        <v>97</v>
      </c>
      <c r="C291" s="747" t="s">
        <v>207</v>
      </c>
      <c r="D291" s="763" t="s">
        <v>87</v>
      </c>
      <c r="E291" s="746" t="s">
        <v>92</v>
      </c>
      <c r="F291" s="916"/>
      <c r="G291" s="784">
        <v>46093</v>
      </c>
      <c r="H291" s="1310" t="s">
        <v>549</v>
      </c>
      <c r="I291" s="1311"/>
      <c r="J291" s="1311"/>
      <c r="K291" s="1311"/>
      <c r="L291" s="784">
        <v>46154</v>
      </c>
      <c r="M291" s="786" t="s">
        <v>770</v>
      </c>
      <c r="N291" s="747"/>
      <c r="O291" s="885"/>
      <c r="P291" s="885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1">
        <f t="shared" si="5"/>
        <v>98</v>
      </c>
      <c r="C292" s="767" t="s">
        <v>306</v>
      </c>
      <c r="D292" s="765" t="s">
        <v>95</v>
      </c>
      <c r="E292" s="766" t="s">
        <v>92</v>
      </c>
      <c r="F292" s="806"/>
      <c r="G292" s="806">
        <v>46162</v>
      </c>
      <c r="H292" s="1310" t="s">
        <v>549</v>
      </c>
      <c r="I292" s="1311"/>
      <c r="J292" s="1311"/>
      <c r="K292" s="1311"/>
      <c r="L292" s="784">
        <v>46162</v>
      </c>
      <c r="M292" s="786" t="s">
        <v>767</v>
      </c>
      <c r="N292" s="747"/>
      <c r="O292" s="885"/>
      <c r="P292" s="885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1">
        <f t="shared" si="5"/>
        <v>99</v>
      </c>
      <c r="C293" s="747" t="s">
        <v>203</v>
      </c>
      <c r="D293" s="763" t="s">
        <v>95</v>
      </c>
      <c r="E293" s="746" t="s">
        <v>92</v>
      </c>
      <c r="F293" s="784"/>
      <c r="G293" s="784">
        <v>46164</v>
      </c>
      <c r="H293" s="1310" t="s">
        <v>549</v>
      </c>
      <c r="I293" s="1311"/>
      <c r="J293" s="1311"/>
      <c r="K293" s="1311"/>
      <c r="L293" s="784">
        <v>46164</v>
      </c>
      <c r="M293" s="786" t="s">
        <v>770</v>
      </c>
      <c r="N293" s="747"/>
      <c r="O293" s="885"/>
      <c r="P293" s="885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1">
        <f t="shared" si="5"/>
        <v>100</v>
      </c>
      <c r="C294" s="747" t="s">
        <v>304</v>
      </c>
      <c r="D294" s="763" t="s">
        <v>91</v>
      </c>
      <c r="E294" s="746" t="s">
        <v>92</v>
      </c>
      <c r="F294" s="921"/>
      <c r="G294" s="784">
        <v>46166</v>
      </c>
      <c r="H294" s="1310" t="s">
        <v>549</v>
      </c>
      <c r="I294" s="1311"/>
      <c r="J294" s="1311"/>
      <c r="K294" s="1311"/>
      <c r="L294" s="784">
        <v>46166</v>
      </c>
      <c r="M294" s="786" t="s">
        <v>767</v>
      </c>
      <c r="N294" s="747"/>
      <c r="O294" s="885"/>
      <c r="P294" s="885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1">
        <f t="shared" si="5"/>
        <v>101</v>
      </c>
      <c r="C295" s="747" t="s">
        <v>305</v>
      </c>
      <c r="D295" s="763" t="s">
        <v>109</v>
      </c>
      <c r="E295" s="746" t="s">
        <v>92</v>
      </c>
      <c r="F295" s="921"/>
      <c r="G295" s="784">
        <v>46166</v>
      </c>
      <c r="H295" s="1310" t="s">
        <v>549</v>
      </c>
      <c r="I295" s="1311"/>
      <c r="J295" s="1311"/>
      <c r="K295" s="1311"/>
      <c r="L295" s="784">
        <v>46166</v>
      </c>
      <c r="M295" s="786" t="s">
        <v>767</v>
      </c>
      <c r="N295" s="747"/>
      <c r="O295" s="885"/>
      <c r="P295" s="885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1">
        <f t="shared" si="5"/>
        <v>102</v>
      </c>
      <c r="C296" s="747" t="s">
        <v>202</v>
      </c>
      <c r="D296" s="763" t="s">
        <v>87</v>
      </c>
      <c r="E296" s="746" t="s">
        <v>92</v>
      </c>
      <c r="F296" s="921"/>
      <c r="G296" s="922">
        <v>46173</v>
      </c>
      <c r="H296" s="1310" t="s">
        <v>549</v>
      </c>
      <c r="I296" s="1311"/>
      <c r="J296" s="1311"/>
      <c r="K296" s="1311"/>
      <c r="L296" s="922">
        <v>46173</v>
      </c>
      <c r="M296" s="786" t="s">
        <v>770</v>
      </c>
      <c r="N296" s="747"/>
      <c r="O296" s="885"/>
      <c r="P296" s="885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1">
        <f t="shared" si="5"/>
        <v>103</v>
      </c>
      <c r="C297" s="747" t="s">
        <v>313</v>
      </c>
      <c r="D297" s="763" t="s">
        <v>91</v>
      </c>
      <c r="E297" s="746" t="s">
        <v>92</v>
      </c>
      <c r="F297" s="921"/>
      <c r="G297" s="784">
        <v>46176</v>
      </c>
      <c r="H297" s="1310" t="s">
        <v>549</v>
      </c>
      <c r="I297" s="1311"/>
      <c r="J297" s="1311"/>
      <c r="K297" s="1311"/>
      <c r="L297" s="784">
        <v>46176</v>
      </c>
      <c r="M297" s="786" t="s">
        <v>767</v>
      </c>
      <c r="N297" s="747"/>
      <c r="O297" s="885"/>
      <c r="P297" s="885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1">
        <f t="shared" si="5"/>
        <v>104</v>
      </c>
      <c r="C298" s="747" t="s">
        <v>263</v>
      </c>
      <c r="D298" s="915" t="s">
        <v>87</v>
      </c>
      <c r="E298" s="748" t="s">
        <v>92</v>
      </c>
      <c r="F298" s="921"/>
      <c r="G298" s="789">
        <v>46181</v>
      </c>
      <c r="H298" s="1308" t="s">
        <v>549</v>
      </c>
      <c r="I298" s="1309"/>
      <c r="J298" s="1309"/>
      <c r="K298" s="1309"/>
      <c r="L298" s="789">
        <v>46181</v>
      </c>
      <c r="M298" s="903" t="s">
        <v>739</v>
      </c>
      <c r="N298" s="749"/>
      <c r="O298" s="897"/>
      <c r="P298" s="897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1">
        <f t="shared" si="5"/>
        <v>105</v>
      </c>
      <c r="C299" s="747" t="s">
        <v>443</v>
      </c>
      <c r="D299" s="763" t="s">
        <v>238</v>
      </c>
      <c r="E299" s="746" t="s">
        <v>92</v>
      </c>
      <c r="F299" s="784"/>
      <c r="G299" s="784">
        <v>46186</v>
      </c>
      <c r="H299" s="1310" t="s">
        <v>549</v>
      </c>
      <c r="I299" s="1311"/>
      <c r="J299" s="1311"/>
      <c r="K299" s="1311"/>
      <c r="L299" s="784">
        <v>46186</v>
      </c>
      <c r="M299" s="786" t="s">
        <v>767</v>
      </c>
      <c r="N299" s="747"/>
      <c r="O299" s="885"/>
      <c r="P299" s="885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1">
        <f t="shared" si="5"/>
        <v>106</v>
      </c>
      <c r="C300" s="747" t="s">
        <v>228</v>
      </c>
      <c r="D300" s="763" t="s">
        <v>91</v>
      </c>
      <c r="E300" s="746" t="s">
        <v>92</v>
      </c>
      <c r="F300" s="921"/>
      <c r="G300" s="784">
        <v>46200</v>
      </c>
      <c r="H300" s="1310" t="s">
        <v>549</v>
      </c>
      <c r="I300" s="1311"/>
      <c r="J300" s="1311"/>
      <c r="K300" s="1311"/>
      <c r="L300" s="784">
        <v>46200</v>
      </c>
      <c r="M300" s="786" t="s">
        <v>763</v>
      </c>
      <c r="N300" s="747"/>
      <c r="O300" s="885"/>
      <c r="P300" s="885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1">
        <f t="shared" si="5"/>
        <v>107</v>
      </c>
      <c r="C301" s="747" t="s">
        <v>231</v>
      </c>
      <c r="D301" s="763" t="s">
        <v>87</v>
      </c>
      <c r="E301" s="746" t="s">
        <v>92</v>
      </c>
      <c r="F301" s="921"/>
      <c r="G301" s="784">
        <v>46200</v>
      </c>
      <c r="H301" s="1310" t="s">
        <v>549</v>
      </c>
      <c r="I301" s="1311"/>
      <c r="J301" s="1311"/>
      <c r="K301" s="1311"/>
      <c r="L301" s="784">
        <v>46200</v>
      </c>
      <c r="M301" s="786" t="s">
        <v>763</v>
      </c>
      <c r="N301" s="747"/>
      <c r="O301" s="885"/>
      <c r="P301" s="885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1">
        <f t="shared" si="5"/>
        <v>108</v>
      </c>
      <c r="C302" s="747" t="s">
        <v>264</v>
      </c>
      <c r="D302" s="763" t="s">
        <v>87</v>
      </c>
      <c r="E302" s="746" t="s">
        <v>665</v>
      </c>
      <c r="F302" s="921"/>
      <c r="G302" s="784">
        <v>46202</v>
      </c>
      <c r="H302" s="1310" t="s">
        <v>549</v>
      </c>
      <c r="I302" s="1311"/>
      <c r="J302" s="1311"/>
      <c r="K302" s="1311"/>
      <c r="L302" s="784">
        <v>46202</v>
      </c>
      <c r="M302" s="903" t="s">
        <v>739</v>
      </c>
      <c r="N302" s="747"/>
      <c r="O302" s="885"/>
      <c r="P302" s="885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1">
        <f t="shared" si="5"/>
        <v>109</v>
      </c>
      <c r="C303" s="747" t="s">
        <v>389</v>
      </c>
      <c r="D303" s="763" t="s">
        <v>87</v>
      </c>
      <c r="E303" s="746" t="s">
        <v>92</v>
      </c>
      <c r="F303" s="921"/>
      <c r="G303" s="784">
        <v>46204</v>
      </c>
      <c r="H303" s="1310" t="s">
        <v>549</v>
      </c>
      <c r="I303" s="1311"/>
      <c r="J303" s="1311"/>
      <c r="K303" s="1311"/>
      <c r="L303" s="784">
        <v>46204</v>
      </c>
      <c r="M303" s="786" t="s">
        <v>767</v>
      </c>
      <c r="N303" s="747"/>
      <c r="O303" s="885"/>
      <c r="P303" s="885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1">
        <f t="shared" si="5"/>
        <v>110</v>
      </c>
      <c r="C304" s="747" t="s">
        <v>481</v>
      </c>
      <c r="D304" s="763" t="s">
        <v>670</v>
      </c>
      <c r="E304" s="746" t="s">
        <v>92</v>
      </c>
      <c r="F304" s="921"/>
      <c r="G304" s="784">
        <v>46204</v>
      </c>
      <c r="H304" s="1310" t="s">
        <v>549</v>
      </c>
      <c r="I304" s="1311"/>
      <c r="J304" s="1311"/>
      <c r="K304" s="1311"/>
      <c r="L304" s="784">
        <v>46204</v>
      </c>
      <c r="M304" s="786" t="s">
        <v>767</v>
      </c>
      <c r="N304" s="747"/>
      <c r="O304" s="885"/>
      <c r="P304" s="885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1">
        <f t="shared" si="5"/>
        <v>111</v>
      </c>
      <c r="C305" s="1051" t="s">
        <v>390</v>
      </c>
      <c r="D305" s="915" t="s">
        <v>87</v>
      </c>
      <c r="E305" s="748" t="s">
        <v>92</v>
      </c>
      <c r="F305" s="921"/>
      <c r="G305" s="789">
        <v>46204</v>
      </c>
      <c r="H305" s="1308" t="s">
        <v>549</v>
      </c>
      <c r="I305" s="1309"/>
      <c r="J305" s="1309"/>
      <c r="K305" s="1309"/>
      <c r="L305" s="789">
        <v>46204</v>
      </c>
      <c r="M305" s="903" t="s">
        <v>767</v>
      </c>
      <c r="N305" s="749"/>
      <c r="O305" s="897"/>
      <c r="P305" s="897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1">
        <f t="shared" si="5"/>
        <v>112</v>
      </c>
      <c r="C306" s="747" t="s">
        <v>392</v>
      </c>
      <c r="D306" s="763" t="s">
        <v>91</v>
      </c>
      <c r="E306" s="746" t="s">
        <v>92</v>
      </c>
      <c r="F306" s="784"/>
      <c r="G306" s="784">
        <v>46208</v>
      </c>
      <c r="H306" s="1310" t="s">
        <v>549</v>
      </c>
      <c r="I306" s="1311"/>
      <c r="J306" s="1311"/>
      <c r="K306" s="1311"/>
      <c r="L306" s="784">
        <v>46208</v>
      </c>
      <c r="M306" s="786" t="s">
        <v>767</v>
      </c>
      <c r="N306" s="747"/>
      <c r="O306" s="885"/>
      <c r="P306" s="885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1">
        <f t="shared" si="5"/>
        <v>113</v>
      </c>
      <c r="C307" s="755" t="s">
        <v>387</v>
      </c>
      <c r="D307" s="747" t="s">
        <v>387</v>
      </c>
      <c r="E307" s="763" t="s">
        <v>87</v>
      </c>
      <c r="F307" s="746" t="s">
        <v>92</v>
      </c>
      <c r="G307" s="784">
        <v>46208</v>
      </c>
      <c r="H307" s="1310" t="s">
        <v>549</v>
      </c>
      <c r="I307" s="1311"/>
      <c r="J307" s="1311"/>
      <c r="K307" s="1311"/>
      <c r="L307" s="784">
        <v>46208</v>
      </c>
      <c r="M307" s="786" t="s">
        <v>767</v>
      </c>
      <c r="N307" s="747"/>
      <c r="O307" s="885"/>
      <c r="P307" s="885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1">
        <f t="shared" si="5"/>
        <v>114</v>
      </c>
      <c r="C308" s="747" t="s">
        <v>386</v>
      </c>
      <c r="D308" s="763" t="s">
        <v>87</v>
      </c>
      <c r="E308" s="746" t="s">
        <v>92</v>
      </c>
      <c r="F308" s="746"/>
      <c r="G308" s="784">
        <v>46211</v>
      </c>
      <c r="H308" s="1310" t="s">
        <v>549</v>
      </c>
      <c r="I308" s="1311"/>
      <c r="J308" s="1311"/>
      <c r="K308" s="1311"/>
      <c r="L308" s="784">
        <v>46211</v>
      </c>
      <c r="M308" s="786" t="s">
        <v>767</v>
      </c>
      <c r="N308" s="747"/>
      <c r="O308" s="885"/>
      <c r="P308" s="885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1">
        <f t="shared" si="5"/>
        <v>115</v>
      </c>
      <c r="C309" s="747" t="s">
        <v>451</v>
      </c>
      <c r="D309" s="763" t="s">
        <v>669</v>
      </c>
      <c r="E309" s="746" t="s">
        <v>92</v>
      </c>
      <c r="F309" s="916"/>
      <c r="G309" s="784">
        <v>46211</v>
      </c>
      <c r="H309" s="1310" t="s">
        <v>549</v>
      </c>
      <c r="I309" s="1311"/>
      <c r="J309" s="1311"/>
      <c r="K309" s="1311"/>
      <c r="L309" s="784">
        <v>46211</v>
      </c>
      <c r="M309" s="786" t="s">
        <v>985</v>
      </c>
      <c r="N309" s="747"/>
      <c r="O309" s="885"/>
      <c r="P309" s="885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55" customHeight="1" x14ac:dyDescent="0.35">
      <c r="A310" s="284"/>
      <c r="B310" s="891">
        <f t="shared" si="5"/>
        <v>116</v>
      </c>
      <c r="C310" s="747" t="s">
        <v>385</v>
      </c>
      <c r="D310" s="763" t="s">
        <v>87</v>
      </c>
      <c r="E310" s="746" t="s">
        <v>92</v>
      </c>
      <c r="F310" s="916"/>
      <c r="G310" s="784">
        <v>46212</v>
      </c>
      <c r="H310" s="1310" t="s">
        <v>549</v>
      </c>
      <c r="I310" s="1311"/>
      <c r="J310" s="1311"/>
      <c r="K310" s="1311"/>
      <c r="L310" s="784">
        <v>46212</v>
      </c>
      <c r="M310" s="786" t="s">
        <v>767</v>
      </c>
      <c r="N310" s="747"/>
      <c r="O310" s="885"/>
      <c r="P310" s="885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7.55" customHeight="1" x14ac:dyDescent="0.35">
      <c r="A311" s="284"/>
      <c r="B311" s="891">
        <f t="shared" si="5"/>
        <v>117</v>
      </c>
      <c r="C311" s="747" t="s">
        <v>265</v>
      </c>
      <c r="D311" s="763" t="s">
        <v>87</v>
      </c>
      <c r="E311" s="746" t="s">
        <v>88</v>
      </c>
      <c r="F311" s="916"/>
      <c r="G311" s="784">
        <v>46212</v>
      </c>
      <c r="H311" s="1310" t="s">
        <v>549</v>
      </c>
      <c r="I311" s="1311"/>
      <c r="J311" s="1311"/>
      <c r="K311" s="1311"/>
      <c r="L311" s="784">
        <v>46212</v>
      </c>
      <c r="M311" s="786" t="s">
        <v>739</v>
      </c>
      <c r="N311" s="747"/>
      <c r="O311" s="885"/>
      <c r="P311" s="885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7.399999999999999" x14ac:dyDescent="0.35">
      <c r="A312" s="284"/>
      <c r="B312" s="891">
        <f t="shared" si="5"/>
        <v>118</v>
      </c>
      <c r="C312" s="747" t="s">
        <v>418</v>
      </c>
      <c r="D312" s="763" t="s">
        <v>759</v>
      </c>
      <c r="E312" s="746" t="s">
        <v>92</v>
      </c>
      <c r="F312" s="924"/>
      <c r="G312" s="806">
        <v>46213</v>
      </c>
      <c r="H312" s="1310" t="s">
        <v>549</v>
      </c>
      <c r="I312" s="1311"/>
      <c r="J312" s="1311"/>
      <c r="K312" s="1311"/>
      <c r="L312" s="806">
        <v>46213</v>
      </c>
      <c r="M312" s="786" t="s">
        <v>763</v>
      </c>
      <c r="N312" s="747"/>
      <c r="O312" s="885"/>
      <c r="P312" s="885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8" customHeight="1" x14ac:dyDescent="0.35">
      <c r="A313" s="284"/>
      <c r="B313" s="891">
        <f t="shared" si="5"/>
        <v>119</v>
      </c>
      <c r="C313" s="747" t="s">
        <v>446</v>
      </c>
      <c r="D313" s="763" t="s">
        <v>988</v>
      </c>
      <c r="E313" s="746" t="s">
        <v>92</v>
      </c>
      <c r="F313" s="924"/>
      <c r="G313" s="806">
        <v>46214</v>
      </c>
      <c r="H313" s="1310" t="s">
        <v>549</v>
      </c>
      <c r="I313" s="1311"/>
      <c r="J313" s="1311"/>
      <c r="K313" s="1311"/>
      <c r="L313" s="806">
        <v>46214</v>
      </c>
      <c r="M313" s="786" t="s">
        <v>985</v>
      </c>
      <c r="N313" s="747"/>
      <c r="O313" s="885"/>
      <c r="P313" s="885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8" customHeight="1" x14ac:dyDescent="0.35">
      <c r="A314" s="284"/>
      <c r="B314" s="891">
        <f t="shared" si="5"/>
        <v>120</v>
      </c>
      <c r="C314" s="747" t="s">
        <v>230</v>
      </c>
      <c r="D314" s="763" t="s">
        <v>87</v>
      </c>
      <c r="E314" s="746" t="s">
        <v>92</v>
      </c>
      <c r="F314" s="924"/>
      <c r="G314" s="806">
        <v>46215</v>
      </c>
      <c r="H314" s="1310" t="s">
        <v>549</v>
      </c>
      <c r="I314" s="1311"/>
      <c r="J314" s="1311"/>
      <c r="K314" s="1311"/>
      <c r="L314" s="806">
        <v>46215</v>
      </c>
      <c r="M314" s="786" t="s">
        <v>763</v>
      </c>
      <c r="N314" s="747"/>
      <c r="O314" s="885"/>
      <c r="P314" s="885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1">
        <f t="shared" si="5"/>
        <v>121</v>
      </c>
      <c r="C315" s="767" t="s">
        <v>232</v>
      </c>
      <c r="D315" s="763" t="s">
        <v>87</v>
      </c>
      <c r="E315" s="746" t="s">
        <v>92</v>
      </c>
      <c r="F315" s="924"/>
      <c r="G315" s="806">
        <v>46215</v>
      </c>
      <c r="H315" s="1310" t="s">
        <v>549</v>
      </c>
      <c r="I315" s="1311"/>
      <c r="J315" s="1311"/>
      <c r="K315" s="1311"/>
      <c r="L315" s="806">
        <v>46215</v>
      </c>
      <c r="M315" s="786" t="s">
        <v>763</v>
      </c>
      <c r="N315" s="747"/>
      <c r="O315" s="885"/>
      <c r="P315" s="885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x14ac:dyDescent="0.35">
      <c r="A316" s="284"/>
      <c r="B316" s="891">
        <f t="shared" si="5"/>
        <v>122</v>
      </c>
      <c r="C316" s="747" t="s">
        <v>428</v>
      </c>
      <c r="D316" s="763" t="s">
        <v>976</v>
      </c>
      <c r="E316" s="746" t="s">
        <v>92</v>
      </c>
      <c r="F316" s="924"/>
      <c r="G316" s="806">
        <v>46216</v>
      </c>
      <c r="H316" s="1310" t="s">
        <v>549</v>
      </c>
      <c r="I316" s="1311"/>
      <c r="J316" s="1311"/>
      <c r="K316" s="1311"/>
      <c r="L316" s="806">
        <v>46216</v>
      </c>
      <c r="M316" s="786" t="s">
        <v>739</v>
      </c>
      <c r="N316" s="747"/>
      <c r="O316" s="885"/>
      <c r="P316" s="885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8" customHeight="1" x14ac:dyDescent="0.35">
      <c r="A317" s="284"/>
      <c r="B317" s="891">
        <f t="shared" si="5"/>
        <v>123</v>
      </c>
      <c r="C317" s="747" t="s">
        <v>241</v>
      </c>
      <c r="D317" s="763" t="s">
        <v>87</v>
      </c>
      <c r="E317" s="746" t="s">
        <v>92</v>
      </c>
      <c r="F317" s="924"/>
      <c r="G317" s="806">
        <v>46217</v>
      </c>
      <c r="H317" s="1310" t="s">
        <v>549</v>
      </c>
      <c r="I317" s="1311"/>
      <c r="J317" s="1311"/>
      <c r="K317" s="1311"/>
      <c r="L317" s="806">
        <v>46217</v>
      </c>
      <c r="M317" s="786" t="s">
        <v>763</v>
      </c>
      <c r="N317" s="747"/>
      <c r="O317" s="885"/>
      <c r="P317" s="885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s="288" customFormat="1" ht="18" customHeight="1" x14ac:dyDescent="0.35">
      <c r="A318" s="284"/>
      <c r="B318" s="891">
        <f t="shared" si="5"/>
        <v>124</v>
      </c>
      <c r="C318" s="747" t="s">
        <v>384</v>
      </c>
      <c r="D318" s="763" t="s">
        <v>91</v>
      </c>
      <c r="E318" s="746" t="s">
        <v>92</v>
      </c>
      <c r="F318" s="924"/>
      <c r="G318" s="806">
        <v>46217</v>
      </c>
      <c r="H318" s="1310" t="s">
        <v>549</v>
      </c>
      <c r="I318" s="1311"/>
      <c r="J318" s="1311"/>
      <c r="K318" s="1311"/>
      <c r="L318" s="806">
        <v>46217</v>
      </c>
      <c r="M318" s="786" t="s">
        <v>767</v>
      </c>
      <c r="N318" s="747"/>
      <c r="O318" s="885"/>
      <c r="P318" s="885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 spans="1:25" s="288" customFormat="1" ht="18" customHeight="1" x14ac:dyDescent="0.35">
      <c r="A319" s="284"/>
      <c r="B319" s="891">
        <f t="shared" si="5"/>
        <v>125</v>
      </c>
      <c r="C319" s="747" t="s">
        <v>429</v>
      </c>
      <c r="D319" s="763" t="s">
        <v>669</v>
      </c>
      <c r="E319" s="746" t="s">
        <v>92</v>
      </c>
      <c r="F319" s="924"/>
      <c r="G319" s="806">
        <v>46219</v>
      </c>
      <c r="H319" s="1310" t="s">
        <v>549</v>
      </c>
      <c r="I319" s="1311"/>
      <c r="J319" s="1311"/>
      <c r="K319" s="1311"/>
      <c r="L319" s="806">
        <v>46219</v>
      </c>
      <c r="M319" s="786" t="s">
        <v>739</v>
      </c>
      <c r="N319" s="747"/>
      <c r="O319" s="885"/>
      <c r="P319" s="885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 spans="1:25" s="288" customFormat="1" ht="18" customHeight="1" x14ac:dyDescent="0.35">
      <c r="A320" s="284"/>
      <c r="B320" s="891">
        <f t="shared" si="5"/>
        <v>126</v>
      </c>
      <c r="C320" s="747" t="s">
        <v>455</v>
      </c>
      <c r="D320" s="763" t="s">
        <v>976</v>
      </c>
      <c r="E320" s="746" t="s">
        <v>92</v>
      </c>
      <c r="F320" s="924"/>
      <c r="G320" s="806">
        <v>46219</v>
      </c>
      <c r="H320" s="1310" t="s">
        <v>549</v>
      </c>
      <c r="I320" s="1311"/>
      <c r="J320" s="1311"/>
      <c r="K320" s="1311"/>
      <c r="L320" s="806">
        <v>46219</v>
      </c>
      <c r="M320" s="786" t="s">
        <v>985</v>
      </c>
      <c r="N320" s="747"/>
      <c r="O320" s="885"/>
      <c r="P320" s="885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 spans="1:25" s="288" customFormat="1" ht="18" customHeight="1" x14ac:dyDescent="0.35">
      <c r="A321" s="284"/>
      <c r="B321" s="891">
        <f t="shared" si="5"/>
        <v>127</v>
      </c>
      <c r="C321" s="747" t="s">
        <v>258</v>
      </c>
      <c r="D321" s="763" t="s">
        <v>91</v>
      </c>
      <c r="E321" s="746" t="s">
        <v>88</v>
      </c>
      <c r="F321" s="924"/>
      <c r="G321" s="806">
        <v>46219</v>
      </c>
      <c r="H321" s="1310" t="s">
        <v>549</v>
      </c>
      <c r="I321" s="1311"/>
      <c r="J321" s="1311"/>
      <c r="K321" s="1311"/>
      <c r="L321" s="806">
        <v>46219</v>
      </c>
      <c r="M321" s="786" t="s">
        <v>739</v>
      </c>
      <c r="N321" s="747"/>
      <c r="O321" s="885"/>
      <c r="P321" s="885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 spans="1:25" s="288" customFormat="1" ht="18" customHeight="1" x14ac:dyDescent="0.35">
      <c r="A322" s="284"/>
      <c r="B322" s="891">
        <f t="shared" si="5"/>
        <v>128</v>
      </c>
      <c r="C322" s="747" t="s">
        <v>291</v>
      </c>
      <c r="D322" s="763" t="s">
        <v>91</v>
      </c>
      <c r="E322" s="746" t="s">
        <v>92</v>
      </c>
      <c r="F322" s="924"/>
      <c r="G322" s="806">
        <v>46222</v>
      </c>
      <c r="H322" s="1310" t="s">
        <v>549</v>
      </c>
      <c r="I322" s="1311"/>
      <c r="J322" s="1311"/>
      <c r="K322" s="1311"/>
      <c r="L322" s="806">
        <v>46222</v>
      </c>
      <c r="M322" s="786" t="s">
        <v>1001</v>
      </c>
      <c r="N322" s="747"/>
      <c r="O322" s="885"/>
      <c r="P322" s="885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 spans="1:25" s="288" customFormat="1" ht="18" customHeight="1" thickBot="1" x14ac:dyDescent="0.4">
      <c r="A323" s="284"/>
      <c r="B323" s="923"/>
      <c r="C323" s="919"/>
      <c r="D323" s="768"/>
      <c r="E323" s="916"/>
      <c r="F323" s="924"/>
      <c r="G323" s="924"/>
      <c r="H323" s="925"/>
      <c r="I323" s="926"/>
      <c r="J323" s="926"/>
      <c r="K323" s="926"/>
      <c r="L323" s="924"/>
      <c r="M323" s="846"/>
      <c r="N323" s="919"/>
      <c r="O323" s="927"/>
      <c r="P323" s="927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 spans="1:25" ht="13.5" customHeight="1" thickBot="1" x14ac:dyDescent="0.4">
      <c r="B324" s="928" t="s">
        <v>101</v>
      </c>
      <c r="C324" s="929"/>
      <c r="D324" s="929"/>
      <c r="E324" s="929"/>
      <c r="F324" s="929"/>
      <c r="G324" s="929"/>
      <c r="H324" s="929"/>
      <c r="I324" s="929"/>
      <c r="J324" s="929"/>
      <c r="K324" s="929"/>
      <c r="L324" s="929"/>
      <c r="M324" s="929"/>
      <c r="N324" s="929"/>
      <c r="O324" s="930"/>
      <c r="P324" s="777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35">
      <c r="B325" s="931" t="s">
        <v>69</v>
      </c>
      <c r="C325" s="932" t="s">
        <v>70</v>
      </c>
      <c r="D325" s="932" t="s">
        <v>71</v>
      </c>
      <c r="E325" s="932" t="s">
        <v>99</v>
      </c>
      <c r="F325" s="933"/>
      <c r="G325" s="933"/>
      <c r="H325" s="933"/>
      <c r="I325" s="933"/>
      <c r="J325" s="932" t="s">
        <v>82</v>
      </c>
      <c r="K325" s="932" t="s">
        <v>84</v>
      </c>
      <c r="L325" s="932" t="s">
        <v>102</v>
      </c>
      <c r="M325" s="932" t="s">
        <v>103</v>
      </c>
      <c r="N325" s="932" t="s">
        <v>104</v>
      </c>
      <c r="O325" s="777"/>
      <c r="P325" s="777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35">
      <c r="B326" s="934"/>
      <c r="C326" s="935"/>
      <c r="D326" s="936"/>
      <c r="E326" s="937"/>
      <c r="F326" s="938"/>
      <c r="G326" s="938"/>
      <c r="H326" s="938"/>
      <c r="I326" s="939"/>
      <c r="J326" s="935"/>
      <c r="K326" s="935"/>
      <c r="L326" s="934"/>
      <c r="M326" s="940"/>
      <c r="N326" s="940"/>
      <c r="O326" s="777"/>
      <c r="P326" s="777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thickBot="1" x14ac:dyDescent="0.4">
      <c r="B327" s="941"/>
      <c r="C327" s="942"/>
      <c r="D327" s="943"/>
      <c r="E327" s="944"/>
      <c r="F327" s="944"/>
      <c r="G327" s="944"/>
      <c r="H327" s="944"/>
      <c r="I327" s="944"/>
      <c r="J327" s="942"/>
      <c r="K327" s="942"/>
      <c r="L327" s="945"/>
      <c r="M327" s="777"/>
      <c r="N327" s="777"/>
      <c r="O327" s="777"/>
      <c r="P327" s="777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5" customHeight="1" thickBot="1" x14ac:dyDescent="0.4">
      <c r="B328" s="928" t="s">
        <v>105</v>
      </c>
      <c r="C328" s="946"/>
      <c r="D328" s="946"/>
      <c r="E328" s="946"/>
      <c r="F328" s="946"/>
      <c r="G328" s="946"/>
      <c r="H328" s="946" t="s">
        <v>923</v>
      </c>
      <c r="I328" s="946"/>
      <c r="J328" s="946"/>
      <c r="K328" s="946"/>
      <c r="L328" s="947"/>
      <c r="M328" s="777"/>
      <c r="N328" s="777"/>
      <c r="O328" s="777"/>
      <c r="P328" s="777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35">
      <c r="B329" s="948" t="s">
        <v>69</v>
      </c>
      <c r="C329" s="948" t="s">
        <v>70</v>
      </c>
      <c r="D329" s="948" t="s">
        <v>71</v>
      </c>
      <c r="E329" s="949" t="s">
        <v>99</v>
      </c>
      <c r="F329" s="950"/>
      <c r="G329" s="950"/>
      <c r="H329" s="950"/>
      <c r="I329" s="951"/>
      <c r="J329" s="948" t="s">
        <v>82</v>
      </c>
      <c r="K329" s="948" t="s">
        <v>84</v>
      </c>
      <c r="L329" s="948" t="s">
        <v>33</v>
      </c>
      <c r="M329" s="777"/>
      <c r="N329" s="777"/>
      <c r="O329" s="777"/>
      <c r="P329" s="777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thickBot="1" x14ac:dyDescent="0.4">
      <c r="B330" s="952"/>
      <c r="C330" s="880"/>
      <c r="D330" s="953"/>
      <c r="E330" s="954"/>
      <c r="F330" s="955"/>
      <c r="G330" s="955"/>
      <c r="H330" s="955"/>
      <c r="I330" s="956"/>
      <c r="J330" s="776"/>
      <c r="K330" s="775"/>
      <c r="L330" s="742"/>
      <c r="M330" s="777"/>
      <c r="N330" s="777"/>
      <c r="O330" s="777"/>
      <c r="P330" s="777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6" customHeight="1" thickBot="1" x14ac:dyDescent="0.35">
      <c r="B331" s="1364" t="s">
        <v>106</v>
      </c>
      <c r="C331" s="1365"/>
      <c r="D331" s="1366"/>
      <c r="E331" s="957"/>
      <c r="F331" s="957"/>
      <c r="G331" s="957"/>
      <c r="H331" s="957"/>
      <c r="I331" s="957"/>
      <c r="J331" s="957"/>
      <c r="K331" s="957"/>
      <c r="L331" s="957"/>
      <c r="M331" s="957"/>
      <c r="N331" s="957"/>
      <c r="O331" s="957"/>
      <c r="P331" s="958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34.799999999999997" x14ac:dyDescent="0.35">
      <c r="B332" s="959" t="s">
        <v>98</v>
      </c>
      <c r="C332" s="959" t="s">
        <v>74</v>
      </c>
      <c r="D332" s="959" t="s">
        <v>75</v>
      </c>
      <c r="E332" s="960" t="s">
        <v>76</v>
      </c>
      <c r="F332" s="960"/>
      <c r="G332" s="960" t="s">
        <v>78</v>
      </c>
      <c r="H332" s="960" t="s">
        <v>107</v>
      </c>
      <c r="I332" s="1312" t="s">
        <v>99</v>
      </c>
      <c r="J332" s="1313"/>
      <c r="K332" s="1313"/>
      <c r="L332" s="1314"/>
      <c r="M332" s="960" t="s">
        <v>81</v>
      </c>
      <c r="N332" s="960" t="s">
        <v>82</v>
      </c>
      <c r="O332" s="960" t="s">
        <v>84</v>
      </c>
      <c r="P332" s="960" t="s">
        <v>100</v>
      </c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55" customHeight="1" x14ac:dyDescent="0.35">
      <c r="B333" s="952">
        <v>1</v>
      </c>
      <c r="C333" s="961" cm="1">
        <f t="array" aca="1" ref="C333" ca="1">C333:D40765/1</f>
        <v>0</v>
      </c>
      <c r="D333" s="880" t="s">
        <v>87</v>
      </c>
      <c r="E333" s="880" t="s">
        <v>92</v>
      </c>
      <c r="F333" s="880"/>
      <c r="G333" s="881">
        <v>46006</v>
      </c>
      <c r="H333" s="962">
        <v>35.088999999999999</v>
      </c>
      <c r="I333" s="1367" t="s">
        <v>668</v>
      </c>
      <c r="J333" s="1368"/>
      <c r="K333" s="1368"/>
      <c r="L333" s="1369"/>
      <c r="M333" s="881">
        <v>46011</v>
      </c>
      <c r="N333" s="963" t="s">
        <v>667</v>
      </c>
      <c r="O333" s="880">
        <v>35</v>
      </c>
      <c r="P333" s="880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55" customHeight="1" x14ac:dyDescent="0.35">
      <c r="B334" s="952">
        <f t="shared" ref="B334:B365" si="6">B333+1</f>
        <v>2</v>
      </c>
      <c r="C334" s="747" t="s">
        <v>272</v>
      </c>
      <c r="D334" s="887" t="s">
        <v>87</v>
      </c>
      <c r="E334" s="747" t="s">
        <v>543</v>
      </c>
      <c r="F334" s="747"/>
      <c r="G334" s="911">
        <v>46013</v>
      </c>
      <c r="H334" s="962">
        <v>35.088999999999999</v>
      </c>
      <c r="I334" s="1367" t="s">
        <v>668</v>
      </c>
      <c r="J334" s="1368"/>
      <c r="K334" s="1368"/>
      <c r="L334" s="1369"/>
      <c r="M334" s="895">
        <v>46018</v>
      </c>
      <c r="N334" s="963" t="s">
        <v>667</v>
      </c>
      <c r="O334" s="880">
        <v>35</v>
      </c>
      <c r="P334" s="896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55" customHeight="1" x14ac:dyDescent="0.35">
      <c r="B335" s="952">
        <f t="shared" si="6"/>
        <v>3</v>
      </c>
      <c r="C335" s="964" t="s">
        <v>322</v>
      </c>
      <c r="D335" s="880" t="s">
        <v>87</v>
      </c>
      <c r="E335" s="880" t="s">
        <v>92</v>
      </c>
      <c r="F335" s="898"/>
      <c r="G335" s="965">
        <v>46013</v>
      </c>
      <c r="H335" s="962">
        <v>35.088999999999999</v>
      </c>
      <c r="I335" s="1367" t="s">
        <v>668</v>
      </c>
      <c r="J335" s="1368"/>
      <c r="K335" s="1368"/>
      <c r="L335" s="1369"/>
      <c r="M335" s="795">
        <v>46022</v>
      </c>
      <c r="N335" s="966" t="s">
        <v>695</v>
      </c>
      <c r="O335" s="887">
        <v>49</v>
      </c>
      <c r="P335" s="887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55" customHeight="1" x14ac:dyDescent="0.35">
      <c r="B336" s="952">
        <f t="shared" si="6"/>
        <v>4</v>
      </c>
      <c r="C336" s="885" t="s">
        <v>267</v>
      </c>
      <c r="D336" s="887" t="s">
        <v>87</v>
      </c>
      <c r="E336" s="747" t="s">
        <v>543</v>
      </c>
      <c r="F336" s="885"/>
      <c r="G336" s="889">
        <v>46016</v>
      </c>
      <c r="H336" s="962">
        <v>35.088999999999999</v>
      </c>
      <c r="I336" s="1294" t="s">
        <v>668</v>
      </c>
      <c r="J336" s="1295"/>
      <c r="K336" s="1295"/>
      <c r="L336" s="1295"/>
      <c r="M336" s="889">
        <v>46032</v>
      </c>
      <c r="N336" s="966" t="s">
        <v>667</v>
      </c>
      <c r="O336" s="887">
        <v>35</v>
      </c>
      <c r="P336" s="885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2">
        <f t="shared" si="6"/>
        <v>5</v>
      </c>
      <c r="C337" s="885" t="s">
        <v>321</v>
      </c>
      <c r="D337" s="887" t="s">
        <v>87</v>
      </c>
      <c r="E337" s="747" t="s">
        <v>543</v>
      </c>
      <c r="F337" s="885"/>
      <c r="G337" s="889">
        <v>46016</v>
      </c>
      <c r="H337" s="962">
        <v>35.088999999999999</v>
      </c>
      <c r="I337" s="1367" t="s">
        <v>668</v>
      </c>
      <c r="J337" s="1368"/>
      <c r="K337" s="1368"/>
      <c r="L337" s="1369"/>
      <c r="M337" s="889">
        <v>46030</v>
      </c>
      <c r="N337" s="966" t="s">
        <v>695</v>
      </c>
      <c r="O337" s="887">
        <v>49</v>
      </c>
      <c r="P337" s="885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2">
        <f t="shared" si="6"/>
        <v>6</v>
      </c>
      <c r="C338" s="885" t="s">
        <v>266</v>
      </c>
      <c r="D338" s="885" t="s">
        <v>95</v>
      </c>
      <c r="E338" s="747" t="s">
        <v>543</v>
      </c>
      <c r="F338" s="885"/>
      <c r="G338" s="889">
        <v>46024</v>
      </c>
      <c r="H338" s="967">
        <v>41.88</v>
      </c>
      <c r="I338" s="1294" t="s">
        <v>668</v>
      </c>
      <c r="J338" s="1295"/>
      <c r="K338" s="1295"/>
      <c r="L338" s="1295"/>
      <c r="M338" s="889">
        <v>46032</v>
      </c>
      <c r="N338" s="966" t="s">
        <v>667</v>
      </c>
      <c r="O338" s="887">
        <v>35</v>
      </c>
      <c r="P338" s="885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2">
        <f t="shared" si="6"/>
        <v>7</v>
      </c>
      <c r="C339" s="885" t="s">
        <v>319</v>
      </c>
      <c r="D339" s="887" t="s">
        <v>87</v>
      </c>
      <c r="E339" s="747" t="s">
        <v>543</v>
      </c>
      <c r="F339" s="885"/>
      <c r="G339" s="889">
        <v>46023</v>
      </c>
      <c r="H339" s="962">
        <v>35.088999999999999</v>
      </c>
      <c r="I339" s="1294" t="s">
        <v>668</v>
      </c>
      <c r="J339" s="1295"/>
      <c r="K339" s="1295"/>
      <c r="L339" s="1295"/>
      <c r="M339" s="889">
        <v>46035</v>
      </c>
      <c r="N339" s="966" t="s">
        <v>695</v>
      </c>
      <c r="O339" s="887">
        <v>49</v>
      </c>
      <c r="P339" s="885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2">
        <f t="shared" si="6"/>
        <v>8</v>
      </c>
      <c r="C340" s="885" t="s">
        <v>268</v>
      </c>
      <c r="D340" s="887" t="s">
        <v>87</v>
      </c>
      <c r="E340" s="747" t="s">
        <v>543</v>
      </c>
      <c r="F340" s="885"/>
      <c r="G340" s="889">
        <v>46031</v>
      </c>
      <c r="H340" s="962">
        <v>35.088999999999999</v>
      </c>
      <c r="I340" s="1294" t="s">
        <v>668</v>
      </c>
      <c r="J340" s="1295"/>
      <c r="K340" s="1295"/>
      <c r="L340" s="1295"/>
      <c r="M340" s="889">
        <v>46036</v>
      </c>
      <c r="N340" s="966" t="s">
        <v>667</v>
      </c>
      <c r="O340" s="887">
        <v>35</v>
      </c>
      <c r="P340" s="885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2">
        <f t="shared" si="6"/>
        <v>9</v>
      </c>
      <c r="C341" s="885" t="s">
        <v>323</v>
      </c>
      <c r="D341" s="968" t="s">
        <v>87</v>
      </c>
      <c r="E341" s="747" t="s">
        <v>543</v>
      </c>
      <c r="F341" s="969"/>
      <c r="G341" s="889">
        <v>46029</v>
      </c>
      <c r="H341" s="962">
        <v>35.088999999999999</v>
      </c>
      <c r="I341" s="1294" t="s">
        <v>668</v>
      </c>
      <c r="J341" s="1295"/>
      <c r="K341" s="1295"/>
      <c r="L341" s="1295"/>
      <c r="M341" s="889">
        <v>46038</v>
      </c>
      <c r="N341" s="918" t="s">
        <v>671</v>
      </c>
      <c r="O341" s="885">
        <v>21</v>
      </c>
      <c r="P341" s="885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2">
        <f t="shared" si="6"/>
        <v>10</v>
      </c>
      <c r="C342" s="885" t="s">
        <v>86</v>
      </c>
      <c r="D342" s="887" t="s">
        <v>87</v>
      </c>
      <c r="E342" s="885" t="s">
        <v>88</v>
      </c>
      <c r="F342" s="885"/>
      <c r="G342" s="970">
        <v>46033</v>
      </c>
      <c r="H342" s="971">
        <v>35.088999999999999</v>
      </c>
      <c r="I342" s="1294" t="s">
        <v>668</v>
      </c>
      <c r="J342" s="1295"/>
      <c r="K342" s="1295"/>
      <c r="L342" s="1295"/>
      <c r="M342" s="889">
        <v>46038</v>
      </c>
      <c r="N342" s="918" t="s">
        <v>694</v>
      </c>
      <c r="O342" s="885">
        <v>31</v>
      </c>
      <c r="P342" s="885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2">
        <f t="shared" si="6"/>
        <v>11</v>
      </c>
      <c r="C343" s="885" t="s">
        <v>96</v>
      </c>
      <c r="D343" s="885" t="s">
        <v>87</v>
      </c>
      <c r="E343" s="885" t="s">
        <v>92</v>
      </c>
      <c r="F343" s="885"/>
      <c r="G343" s="970">
        <v>46037</v>
      </c>
      <c r="H343" s="971">
        <v>35.088999999999999</v>
      </c>
      <c r="I343" s="1294" t="s">
        <v>668</v>
      </c>
      <c r="J343" s="1295"/>
      <c r="K343" s="1295"/>
      <c r="L343" s="1295"/>
      <c r="M343" s="889">
        <v>46042</v>
      </c>
      <c r="N343" s="918" t="s">
        <v>694</v>
      </c>
      <c r="O343" s="885">
        <v>31</v>
      </c>
      <c r="P343" s="885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2">
        <f t="shared" si="6"/>
        <v>12</v>
      </c>
      <c r="C344" s="897" t="s">
        <v>274</v>
      </c>
      <c r="D344" s="897" t="s">
        <v>95</v>
      </c>
      <c r="E344" s="897" t="s">
        <v>543</v>
      </c>
      <c r="F344" s="897"/>
      <c r="G344" s="889">
        <v>46037</v>
      </c>
      <c r="H344" s="972">
        <v>41.88</v>
      </c>
      <c r="I344" s="1296" t="s">
        <v>668</v>
      </c>
      <c r="J344" s="1297"/>
      <c r="K344" s="1297"/>
      <c r="L344" s="1297"/>
      <c r="M344" s="973">
        <v>46043</v>
      </c>
      <c r="N344" s="974" t="s">
        <v>667</v>
      </c>
      <c r="O344" s="898">
        <v>35</v>
      </c>
      <c r="P344" s="897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2">
        <f t="shared" si="6"/>
        <v>13</v>
      </c>
      <c r="C345" s="885" t="s">
        <v>326</v>
      </c>
      <c r="D345" s="885" t="s">
        <v>87</v>
      </c>
      <c r="E345" s="885" t="s">
        <v>92</v>
      </c>
      <c r="F345" s="885"/>
      <c r="G345" s="970">
        <v>46039</v>
      </c>
      <c r="H345" s="971">
        <v>35.088999999999999</v>
      </c>
      <c r="I345" s="1294" t="s">
        <v>668</v>
      </c>
      <c r="J345" s="1295"/>
      <c r="K345" s="1295"/>
      <c r="L345" s="1295"/>
      <c r="M345" s="889">
        <v>46043</v>
      </c>
      <c r="N345" s="918" t="s">
        <v>671</v>
      </c>
      <c r="O345" s="885">
        <v>21</v>
      </c>
      <c r="P345" s="885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2">
        <f t="shared" si="6"/>
        <v>14</v>
      </c>
      <c r="C346" s="885" t="s">
        <v>343</v>
      </c>
      <c r="D346" s="885" t="s">
        <v>87</v>
      </c>
      <c r="E346" s="885" t="s">
        <v>543</v>
      </c>
      <c r="F346" s="885"/>
      <c r="G346" s="970">
        <v>46038</v>
      </c>
      <c r="H346" s="971">
        <v>35.088999999999999</v>
      </c>
      <c r="I346" s="1294" t="s">
        <v>668</v>
      </c>
      <c r="J346" s="1295"/>
      <c r="K346" s="1295"/>
      <c r="L346" s="1295"/>
      <c r="M346" s="889">
        <v>46043</v>
      </c>
      <c r="N346" s="918" t="s">
        <v>697</v>
      </c>
      <c r="O346" s="885">
        <v>32</v>
      </c>
      <c r="P346" s="885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2">
        <f t="shared" si="6"/>
        <v>15</v>
      </c>
      <c r="C347" s="885" t="s">
        <v>399</v>
      </c>
      <c r="D347" s="885" t="s">
        <v>87</v>
      </c>
      <c r="E347" s="885" t="s">
        <v>92</v>
      </c>
      <c r="F347" s="885"/>
      <c r="G347" s="970">
        <v>46039</v>
      </c>
      <c r="H347" s="971">
        <v>35.088999999999999</v>
      </c>
      <c r="I347" s="1294" t="s">
        <v>668</v>
      </c>
      <c r="J347" s="1295"/>
      <c r="K347" s="1295"/>
      <c r="L347" s="1295"/>
      <c r="M347" s="889">
        <v>46043</v>
      </c>
      <c r="N347" s="975" t="s">
        <v>696</v>
      </c>
      <c r="O347" s="885">
        <v>45</v>
      </c>
      <c r="P347" s="885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2">
        <f t="shared" si="6"/>
        <v>16</v>
      </c>
      <c r="C348" s="885" t="s">
        <v>344</v>
      </c>
      <c r="D348" s="887" t="s">
        <v>87</v>
      </c>
      <c r="E348" s="885" t="s">
        <v>543</v>
      </c>
      <c r="F348" s="885"/>
      <c r="G348" s="970">
        <v>46041</v>
      </c>
      <c r="H348" s="971">
        <v>35.088999999999999</v>
      </c>
      <c r="I348" s="1294" t="s">
        <v>668</v>
      </c>
      <c r="J348" s="1295"/>
      <c r="K348" s="1295"/>
      <c r="L348" s="1295"/>
      <c r="M348" s="889">
        <v>46046</v>
      </c>
      <c r="N348" s="918" t="s">
        <v>697</v>
      </c>
      <c r="O348" s="885">
        <v>32</v>
      </c>
      <c r="P348" s="885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2">
        <f t="shared" si="6"/>
        <v>17</v>
      </c>
      <c r="C349" s="885" t="s">
        <v>94</v>
      </c>
      <c r="D349" s="885" t="s">
        <v>95</v>
      </c>
      <c r="E349" s="885" t="s">
        <v>542</v>
      </c>
      <c r="F349" s="885"/>
      <c r="G349" s="970">
        <v>46041</v>
      </c>
      <c r="H349" s="967">
        <v>41.88</v>
      </c>
      <c r="I349" s="1294" t="s">
        <v>668</v>
      </c>
      <c r="J349" s="1295"/>
      <c r="K349" s="1295"/>
      <c r="L349" s="1295"/>
      <c r="M349" s="889">
        <v>46047</v>
      </c>
      <c r="N349" s="918" t="s">
        <v>694</v>
      </c>
      <c r="O349" s="885">
        <v>31</v>
      </c>
      <c r="P349" s="885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2">
        <f t="shared" si="6"/>
        <v>18</v>
      </c>
      <c r="C350" s="885" t="s">
        <v>275</v>
      </c>
      <c r="D350" s="887" t="s">
        <v>87</v>
      </c>
      <c r="E350" s="885" t="s">
        <v>543</v>
      </c>
      <c r="F350" s="885"/>
      <c r="G350" s="889">
        <v>46044</v>
      </c>
      <c r="H350" s="962">
        <v>35.088999999999999</v>
      </c>
      <c r="I350" s="1294" t="s">
        <v>668</v>
      </c>
      <c r="J350" s="1295"/>
      <c r="K350" s="1295"/>
      <c r="L350" s="1295"/>
      <c r="M350" s="889">
        <v>46049</v>
      </c>
      <c r="N350" s="918" t="s">
        <v>667</v>
      </c>
      <c r="O350" s="887">
        <v>35</v>
      </c>
      <c r="P350" s="885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2">
        <f t="shared" si="6"/>
        <v>19</v>
      </c>
      <c r="C351" s="885" t="s">
        <v>398</v>
      </c>
      <c r="D351" s="885" t="s">
        <v>87</v>
      </c>
      <c r="E351" s="885" t="s">
        <v>92</v>
      </c>
      <c r="F351" s="885"/>
      <c r="G351" s="970">
        <v>46045</v>
      </c>
      <c r="H351" s="971">
        <v>35.088999999999999</v>
      </c>
      <c r="I351" s="1294" t="s">
        <v>668</v>
      </c>
      <c r="J351" s="1295"/>
      <c r="K351" s="1295"/>
      <c r="L351" s="1295"/>
      <c r="M351" s="889">
        <v>46049</v>
      </c>
      <c r="N351" s="975" t="s">
        <v>696</v>
      </c>
      <c r="O351" s="885">
        <v>45</v>
      </c>
      <c r="P351" s="885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2">
        <f t="shared" si="6"/>
        <v>20</v>
      </c>
      <c r="C352" s="885" t="s">
        <v>342</v>
      </c>
      <c r="D352" s="885" t="s">
        <v>95</v>
      </c>
      <c r="E352" s="885" t="s">
        <v>543</v>
      </c>
      <c r="F352" s="885"/>
      <c r="G352" s="970">
        <v>46047</v>
      </c>
      <c r="H352" s="967">
        <v>41.88</v>
      </c>
      <c r="I352" s="1294" t="s">
        <v>668</v>
      </c>
      <c r="J352" s="1295"/>
      <c r="K352" s="1295"/>
      <c r="L352" s="1295"/>
      <c r="M352" s="889">
        <v>46050</v>
      </c>
      <c r="N352" s="918" t="s">
        <v>697</v>
      </c>
      <c r="O352" s="885">
        <v>32</v>
      </c>
      <c r="P352" s="885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2">
        <f t="shared" si="6"/>
        <v>21</v>
      </c>
      <c r="C353" s="885" t="s">
        <v>395</v>
      </c>
      <c r="D353" s="887" t="s">
        <v>87</v>
      </c>
      <c r="E353" s="747" t="s">
        <v>543</v>
      </c>
      <c r="F353" s="885"/>
      <c r="G353" s="889">
        <v>46034</v>
      </c>
      <c r="H353" s="971">
        <v>35.088999999999999</v>
      </c>
      <c r="I353" s="1294" t="s">
        <v>668</v>
      </c>
      <c r="J353" s="1295"/>
      <c r="K353" s="1295"/>
      <c r="L353" s="1295"/>
      <c r="M353" s="889">
        <v>46051</v>
      </c>
      <c r="N353" s="966" t="s">
        <v>695</v>
      </c>
      <c r="O353" s="887">
        <v>49</v>
      </c>
      <c r="P353" s="885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2">
        <f t="shared" si="6"/>
        <v>22</v>
      </c>
      <c r="C354" s="885" t="s">
        <v>329</v>
      </c>
      <c r="D354" s="885" t="s">
        <v>91</v>
      </c>
      <c r="E354" s="885" t="s">
        <v>543</v>
      </c>
      <c r="F354" s="885"/>
      <c r="G354" s="970">
        <v>46048</v>
      </c>
      <c r="H354" s="967">
        <v>36.771000000000001</v>
      </c>
      <c r="I354" s="1294" t="s">
        <v>668</v>
      </c>
      <c r="J354" s="1295"/>
      <c r="K354" s="1295"/>
      <c r="L354" s="1295"/>
      <c r="M354" s="889">
        <v>46052</v>
      </c>
      <c r="N354" s="918" t="s">
        <v>671</v>
      </c>
      <c r="O354" s="885">
        <v>21</v>
      </c>
      <c r="P354" s="885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2">
        <f t="shared" si="6"/>
        <v>23</v>
      </c>
      <c r="C355" s="885" t="s">
        <v>334</v>
      </c>
      <c r="D355" s="885" t="s">
        <v>95</v>
      </c>
      <c r="E355" s="885" t="s">
        <v>92</v>
      </c>
      <c r="F355" s="885"/>
      <c r="G355" s="970">
        <v>46049</v>
      </c>
      <c r="H355" s="967">
        <v>41.88</v>
      </c>
      <c r="I355" s="1294" t="s">
        <v>668</v>
      </c>
      <c r="J355" s="1295"/>
      <c r="K355" s="1295"/>
      <c r="L355" s="1295"/>
      <c r="M355" s="889">
        <v>46053</v>
      </c>
      <c r="N355" s="918" t="s">
        <v>694</v>
      </c>
      <c r="O355" s="885">
        <v>31</v>
      </c>
      <c r="P355" s="885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2">
        <f t="shared" si="6"/>
        <v>24</v>
      </c>
      <c r="C356" s="885" t="s">
        <v>402</v>
      </c>
      <c r="D356" s="885" t="s">
        <v>91</v>
      </c>
      <c r="E356" s="885" t="s">
        <v>92</v>
      </c>
      <c r="F356" s="885"/>
      <c r="G356" s="889">
        <v>46049</v>
      </c>
      <c r="H356" s="967">
        <v>36.771000000000001</v>
      </c>
      <c r="I356" s="1294" t="s">
        <v>668</v>
      </c>
      <c r="J356" s="1295"/>
      <c r="K356" s="1295"/>
      <c r="L356" s="1295"/>
      <c r="M356" s="889">
        <v>46053</v>
      </c>
      <c r="N356" s="966" t="s">
        <v>696</v>
      </c>
      <c r="O356" s="885">
        <v>45</v>
      </c>
      <c r="P356" s="885"/>
      <c r="Q356" s="1"/>
      <c r="R356" s="1"/>
      <c r="S356" s="1"/>
      <c r="T356" s="1"/>
      <c r="U356" s="1"/>
      <c r="V356" s="1"/>
      <c r="W356" s="1"/>
      <c r="X356" s="1"/>
      <c r="Y356" s="1"/>
    </row>
    <row r="357" spans="1:25" s="486" customFormat="1" ht="17.55" customHeight="1" x14ac:dyDescent="0.35">
      <c r="B357" s="952">
        <f t="shared" si="6"/>
        <v>25</v>
      </c>
      <c r="C357" s="894" t="s">
        <v>277</v>
      </c>
      <c r="D357" s="894" t="s">
        <v>87</v>
      </c>
      <c r="E357" s="894" t="s">
        <v>92</v>
      </c>
      <c r="F357" s="894"/>
      <c r="G357" s="976">
        <v>46049</v>
      </c>
      <c r="H357" s="977">
        <v>35.088999999999999</v>
      </c>
      <c r="I357" s="1294" t="s">
        <v>668</v>
      </c>
      <c r="J357" s="1295"/>
      <c r="K357" s="1295"/>
      <c r="L357" s="1295"/>
      <c r="M357" s="976">
        <v>46055</v>
      </c>
      <c r="N357" s="978" t="s">
        <v>667</v>
      </c>
      <c r="O357" s="979">
        <v>35</v>
      </c>
      <c r="P357" s="894"/>
      <c r="Q357" s="487"/>
      <c r="R357" s="487"/>
      <c r="S357" s="487"/>
      <c r="T357" s="487"/>
      <c r="U357" s="487"/>
      <c r="V357" s="487"/>
      <c r="W357" s="487"/>
      <c r="X357" s="487"/>
      <c r="Y357" s="487"/>
    </row>
    <row r="358" spans="1:25" ht="17.55" customHeight="1" x14ac:dyDescent="0.35">
      <c r="B358" s="952">
        <f t="shared" si="6"/>
        <v>26</v>
      </c>
      <c r="C358" s="885" t="s">
        <v>396</v>
      </c>
      <c r="D358" s="885" t="s">
        <v>87</v>
      </c>
      <c r="E358" s="885" t="s">
        <v>92</v>
      </c>
      <c r="F358" s="885"/>
      <c r="G358" s="889">
        <v>46052</v>
      </c>
      <c r="H358" s="971">
        <v>35.088999999999999</v>
      </c>
      <c r="I358" s="1294" t="s">
        <v>668</v>
      </c>
      <c r="J358" s="1295"/>
      <c r="K358" s="1295"/>
      <c r="L358" s="1295"/>
      <c r="M358" s="889">
        <v>46056</v>
      </c>
      <c r="N358" s="966" t="s">
        <v>695</v>
      </c>
      <c r="O358" s="887">
        <v>49</v>
      </c>
      <c r="P358" s="885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B359" s="952">
        <f t="shared" si="6"/>
        <v>27</v>
      </c>
      <c r="C359" s="766" t="s">
        <v>348</v>
      </c>
      <c r="D359" s="747" t="s">
        <v>87</v>
      </c>
      <c r="E359" s="746" t="s">
        <v>686</v>
      </c>
      <c r="F359" s="885"/>
      <c r="G359" s="889">
        <v>46053</v>
      </c>
      <c r="H359" s="971">
        <v>35.088999999999999</v>
      </c>
      <c r="I359" s="1294" t="s">
        <v>668</v>
      </c>
      <c r="J359" s="1295"/>
      <c r="K359" s="1295"/>
      <c r="L359" s="1295"/>
      <c r="M359" s="889">
        <v>46056</v>
      </c>
      <c r="N359" s="918" t="s">
        <v>697</v>
      </c>
      <c r="O359" s="885">
        <v>32</v>
      </c>
      <c r="P359" s="885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B360" s="952">
        <f t="shared" si="6"/>
        <v>28</v>
      </c>
      <c r="C360" s="746" t="s">
        <v>335</v>
      </c>
      <c r="D360" s="747" t="s">
        <v>109</v>
      </c>
      <c r="E360" s="746" t="s">
        <v>92</v>
      </c>
      <c r="F360" s="885"/>
      <c r="G360" s="889">
        <v>46054</v>
      </c>
      <c r="H360" s="971">
        <v>43.575000000000003</v>
      </c>
      <c r="I360" s="1294" t="s">
        <v>668</v>
      </c>
      <c r="J360" s="1295"/>
      <c r="K360" s="1295"/>
      <c r="L360" s="1295"/>
      <c r="M360" s="889">
        <v>46057</v>
      </c>
      <c r="N360" s="918" t="s">
        <v>694</v>
      </c>
      <c r="O360" s="885">
        <v>31</v>
      </c>
      <c r="P360" s="885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B361" s="952">
        <f t="shared" si="6"/>
        <v>29</v>
      </c>
      <c r="C361" s="885" t="s">
        <v>345</v>
      </c>
      <c r="D361" s="885" t="s">
        <v>109</v>
      </c>
      <c r="E361" s="885" t="s">
        <v>543</v>
      </c>
      <c r="F361" s="885"/>
      <c r="G361" s="889">
        <v>46050</v>
      </c>
      <c r="H361" s="971">
        <v>43.575000000000003</v>
      </c>
      <c r="I361" s="1294" t="s">
        <v>668</v>
      </c>
      <c r="J361" s="1295"/>
      <c r="K361" s="1295"/>
      <c r="L361" s="1295"/>
      <c r="M361" s="889">
        <v>46058</v>
      </c>
      <c r="N361" s="918" t="s">
        <v>697</v>
      </c>
      <c r="O361" s="885">
        <v>32</v>
      </c>
      <c r="P361" s="885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B362" s="952">
        <f t="shared" si="6"/>
        <v>30</v>
      </c>
      <c r="C362" s="746" t="s">
        <v>401</v>
      </c>
      <c r="D362" s="747" t="s">
        <v>91</v>
      </c>
      <c r="E362" s="746" t="s">
        <v>542</v>
      </c>
      <c r="F362" s="885"/>
      <c r="G362" s="889">
        <v>46052</v>
      </c>
      <c r="H362" s="967">
        <v>36.771000000000001</v>
      </c>
      <c r="I362" s="1294" t="s">
        <v>668</v>
      </c>
      <c r="J362" s="1295"/>
      <c r="K362" s="1295"/>
      <c r="L362" s="1295"/>
      <c r="M362" s="889">
        <v>46058</v>
      </c>
      <c r="N362" s="966" t="s">
        <v>696</v>
      </c>
      <c r="O362" s="885">
        <v>45</v>
      </c>
      <c r="P362" s="885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B363" s="952">
        <f t="shared" si="6"/>
        <v>31</v>
      </c>
      <c r="C363" s="754" t="s">
        <v>261</v>
      </c>
      <c r="D363" s="747" t="s">
        <v>87</v>
      </c>
      <c r="E363" s="746" t="s">
        <v>88</v>
      </c>
      <c r="F363" s="885"/>
      <c r="G363" s="889">
        <v>46059</v>
      </c>
      <c r="H363" s="971">
        <v>35.088999999999999</v>
      </c>
      <c r="I363" s="1294" t="s">
        <v>668</v>
      </c>
      <c r="J363" s="1295"/>
      <c r="K363" s="1295"/>
      <c r="L363" s="1295"/>
      <c r="M363" s="889">
        <v>46062</v>
      </c>
      <c r="N363" s="918" t="s">
        <v>694</v>
      </c>
      <c r="O363" s="885">
        <v>35</v>
      </c>
      <c r="P363" s="885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B364" s="952">
        <f t="shared" si="6"/>
        <v>32</v>
      </c>
      <c r="C364" s="885" t="s">
        <v>394</v>
      </c>
      <c r="D364" s="885" t="s">
        <v>87</v>
      </c>
      <c r="E364" s="885" t="s">
        <v>92</v>
      </c>
      <c r="F364" s="885"/>
      <c r="G364" s="889">
        <v>46361</v>
      </c>
      <c r="H364" s="971">
        <v>35.088999999999999</v>
      </c>
      <c r="I364" s="1294" t="s">
        <v>668</v>
      </c>
      <c r="J364" s="1295"/>
      <c r="K364" s="1295"/>
      <c r="L364" s="1295"/>
      <c r="M364" s="889">
        <v>46062</v>
      </c>
      <c r="N364" s="966" t="s">
        <v>695</v>
      </c>
      <c r="O364" s="887">
        <v>49</v>
      </c>
      <c r="P364" s="885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B365" s="952">
        <f t="shared" si="6"/>
        <v>33</v>
      </c>
      <c r="C365" s="885" t="s">
        <v>465</v>
      </c>
      <c r="D365" s="885" t="s">
        <v>559</v>
      </c>
      <c r="E365" s="746" t="s">
        <v>92</v>
      </c>
      <c r="F365" s="885"/>
      <c r="G365" s="889">
        <v>46058</v>
      </c>
      <c r="H365" s="971">
        <v>54.72</v>
      </c>
      <c r="I365" s="1294" t="s">
        <v>668</v>
      </c>
      <c r="J365" s="1295"/>
      <c r="K365" s="1295"/>
      <c r="L365" s="1295"/>
      <c r="M365" s="889">
        <v>46063</v>
      </c>
      <c r="N365" s="918" t="s">
        <v>697</v>
      </c>
      <c r="O365" s="885">
        <v>32</v>
      </c>
      <c r="P365" s="885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952">
        <f t="shared" ref="B366:B397" si="7">B365+1</f>
        <v>34</v>
      </c>
      <c r="C366" s="885" t="s">
        <v>259</v>
      </c>
      <c r="D366" s="898" t="s">
        <v>87</v>
      </c>
      <c r="E366" s="891" t="s">
        <v>543</v>
      </c>
      <c r="F366" s="885"/>
      <c r="G366" s="889">
        <v>46056</v>
      </c>
      <c r="H366" s="971">
        <v>35.088999999999999</v>
      </c>
      <c r="I366" s="1294" t="s">
        <v>668</v>
      </c>
      <c r="J366" s="1295"/>
      <c r="K366" s="1295"/>
      <c r="L366" s="1295"/>
      <c r="M366" s="889">
        <v>46064</v>
      </c>
      <c r="N366" s="966" t="s">
        <v>667</v>
      </c>
      <c r="O366" s="887">
        <v>35</v>
      </c>
      <c r="P366" s="885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952">
        <f t="shared" si="7"/>
        <v>35</v>
      </c>
      <c r="C367" s="906" t="s">
        <v>410</v>
      </c>
      <c r="D367" s="749" t="s">
        <v>87</v>
      </c>
      <c r="E367" s="748" t="s">
        <v>92</v>
      </c>
      <c r="F367" s="897"/>
      <c r="G367" s="889">
        <v>46058</v>
      </c>
      <c r="H367" s="980">
        <v>35.088999999999999</v>
      </c>
      <c r="I367" s="1294" t="s">
        <v>668</v>
      </c>
      <c r="J367" s="1295"/>
      <c r="K367" s="1295"/>
      <c r="L367" s="1295"/>
      <c r="M367" s="973">
        <v>46065</v>
      </c>
      <c r="N367" s="974" t="s">
        <v>696</v>
      </c>
      <c r="O367" s="897">
        <v>45</v>
      </c>
      <c r="P367" s="89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2">
        <f t="shared" si="7"/>
        <v>36</v>
      </c>
      <c r="C368" s="885" t="s">
        <v>262</v>
      </c>
      <c r="D368" s="885" t="s">
        <v>95</v>
      </c>
      <c r="E368" s="885" t="s">
        <v>543</v>
      </c>
      <c r="F368" s="885"/>
      <c r="G368" s="889">
        <v>46063</v>
      </c>
      <c r="H368" s="967">
        <v>41.88</v>
      </c>
      <c r="I368" s="1294" t="s">
        <v>668</v>
      </c>
      <c r="J368" s="1295"/>
      <c r="K368" s="1295"/>
      <c r="L368" s="1295"/>
      <c r="M368" s="973">
        <v>46066</v>
      </c>
      <c r="N368" s="918" t="s">
        <v>694</v>
      </c>
      <c r="O368" s="897">
        <v>31</v>
      </c>
      <c r="P368" s="89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2">
        <f t="shared" si="7"/>
        <v>37</v>
      </c>
      <c r="C369" s="885" t="s">
        <v>93</v>
      </c>
      <c r="D369" s="747" t="s">
        <v>87</v>
      </c>
      <c r="E369" s="746" t="s">
        <v>92</v>
      </c>
      <c r="F369" s="885"/>
      <c r="G369" s="889">
        <v>46063</v>
      </c>
      <c r="H369" s="971">
        <v>35.088999999999999</v>
      </c>
      <c r="I369" s="1294" t="s">
        <v>668</v>
      </c>
      <c r="J369" s="1295"/>
      <c r="K369" s="1295"/>
      <c r="L369" s="1295"/>
      <c r="M369" s="973">
        <v>46066</v>
      </c>
      <c r="N369" s="918" t="s">
        <v>697</v>
      </c>
      <c r="O369" s="885">
        <v>32</v>
      </c>
      <c r="P369" s="89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2">
        <f t="shared" si="7"/>
        <v>38</v>
      </c>
      <c r="C370" s="746" t="s">
        <v>397</v>
      </c>
      <c r="D370" s="747" t="s">
        <v>87</v>
      </c>
      <c r="E370" s="746" t="s">
        <v>543</v>
      </c>
      <c r="F370" s="885"/>
      <c r="G370" s="889">
        <v>46053</v>
      </c>
      <c r="H370" s="971">
        <v>35.088999999999999</v>
      </c>
      <c r="I370" s="1294" t="s">
        <v>668</v>
      </c>
      <c r="J370" s="1295"/>
      <c r="K370" s="1295"/>
      <c r="L370" s="1295"/>
      <c r="M370" s="889">
        <v>46069</v>
      </c>
      <c r="N370" s="966" t="s">
        <v>695</v>
      </c>
      <c r="O370" s="885">
        <v>49</v>
      </c>
      <c r="P370" s="885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2">
        <f t="shared" si="7"/>
        <v>39</v>
      </c>
      <c r="C371" s="885" t="s">
        <v>615</v>
      </c>
      <c r="D371" s="747" t="s">
        <v>87</v>
      </c>
      <c r="E371" s="746" t="s">
        <v>543</v>
      </c>
      <c r="F371" s="885"/>
      <c r="G371" s="889">
        <v>46065</v>
      </c>
      <c r="H371" s="971">
        <v>35.088999999999999</v>
      </c>
      <c r="I371" s="1294" t="s">
        <v>668</v>
      </c>
      <c r="J371" s="1295"/>
      <c r="K371" s="1295"/>
      <c r="L371" s="1295"/>
      <c r="M371" s="889">
        <v>46069</v>
      </c>
      <c r="N371" s="966" t="s">
        <v>696</v>
      </c>
      <c r="O371" s="885">
        <v>45</v>
      </c>
      <c r="P371" s="885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2">
        <f t="shared" si="7"/>
        <v>40</v>
      </c>
      <c r="C372" s="747" t="s">
        <v>626</v>
      </c>
      <c r="D372" s="747" t="s">
        <v>87</v>
      </c>
      <c r="E372" s="747" t="s">
        <v>92</v>
      </c>
      <c r="F372" s="747"/>
      <c r="G372" s="911">
        <v>46067</v>
      </c>
      <c r="H372" s="971">
        <v>35.088999999999999</v>
      </c>
      <c r="I372" s="1294" t="s">
        <v>668</v>
      </c>
      <c r="J372" s="1295"/>
      <c r="K372" s="1295"/>
      <c r="L372" s="1295"/>
      <c r="M372" s="889">
        <v>46070</v>
      </c>
      <c r="N372" s="966" t="s">
        <v>697</v>
      </c>
      <c r="O372" s="885">
        <v>32</v>
      </c>
      <c r="P372" s="885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2">
        <f t="shared" si="7"/>
        <v>41</v>
      </c>
      <c r="C373" s="885" t="s">
        <v>251</v>
      </c>
      <c r="D373" s="747" t="s">
        <v>87</v>
      </c>
      <c r="E373" s="746" t="s">
        <v>543</v>
      </c>
      <c r="F373" s="885"/>
      <c r="G373" s="889">
        <v>46067</v>
      </c>
      <c r="H373" s="971">
        <v>35.088999999999999</v>
      </c>
      <c r="I373" s="1294" t="s">
        <v>668</v>
      </c>
      <c r="J373" s="1295"/>
      <c r="K373" s="1295"/>
      <c r="L373" s="1295"/>
      <c r="M373" s="889">
        <v>46070</v>
      </c>
      <c r="N373" s="966" t="s">
        <v>694</v>
      </c>
      <c r="O373" s="885">
        <v>35</v>
      </c>
      <c r="P373" s="885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2">
        <f t="shared" si="7"/>
        <v>42</v>
      </c>
      <c r="C374" s="897" t="s">
        <v>627</v>
      </c>
      <c r="D374" s="749" t="s">
        <v>87</v>
      </c>
      <c r="E374" s="748" t="s">
        <v>542</v>
      </c>
      <c r="F374" s="897"/>
      <c r="G374" s="973">
        <v>46068</v>
      </c>
      <c r="H374" s="980">
        <v>35.088999999999999</v>
      </c>
      <c r="I374" s="1294" t="s">
        <v>668</v>
      </c>
      <c r="J374" s="1295"/>
      <c r="K374" s="1295"/>
      <c r="L374" s="1295"/>
      <c r="M374" s="973">
        <v>46072</v>
      </c>
      <c r="N374" s="974" t="s">
        <v>697</v>
      </c>
      <c r="O374" s="897">
        <v>32</v>
      </c>
      <c r="P374" s="885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2">
        <f t="shared" si="7"/>
        <v>43</v>
      </c>
      <c r="C375" s="897" t="s">
        <v>260</v>
      </c>
      <c r="D375" s="747" t="s">
        <v>559</v>
      </c>
      <c r="E375" s="748" t="s">
        <v>543</v>
      </c>
      <c r="F375" s="897"/>
      <c r="G375" s="973">
        <v>46065</v>
      </c>
      <c r="H375" s="980">
        <v>54.72</v>
      </c>
      <c r="I375" s="1294" t="s">
        <v>668</v>
      </c>
      <c r="J375" s="1295"/>
      <c r="K375" s="1295"/>
      <c r="L375" s="1295"/>
      <c r="M375" s="973">
        <v>46073</v>
      </c>
      <c r="N375" s="974" t="s">
        <v>667</v>
      </c>
      <c r="O375" s="897">
        <v>35</v>
      </c>
      <c r="P375" s="885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2">
        <f t="shared" si="7"/>
        <v>44</v>
      </c>
      <c r="C376" s="981" t="s">
        <v>409</v>
      </c>
      <c r="D376" s="747" t="s">
        <v>87</v>
      </c>
      <c r="E376" s="747" t="s">
        <v>543</v>
      </c>
      <c r="F376" s="747"/>
      <c r="G376" s="911">
        <v>46069</v>
      </c>
      <c r="H376" s="971">
        <v>35.088999999999999</v>
      </c>
      <c r="I376" s="1294" t="s">
        <v>668</v>
      </c>
      <c r="J376" s="1295"/>
      <c r="K376" s="1295"/>
      <c r="L376" s="1295"/>
      <c r="M376" s="973">
        <v>46073</v>
      </c>
      <c r="N376" s="966" t="s">
        <v>696</v>
      </c>
      <c r="O376" s="885">
        <v>45</v>
      </c>
      <c r="P376" s="885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2">
        <f t="shared" si="7"/>
        <v>45</v>
      </c>
      <c r="C377" s="885" t="s">
        <v>419</v>
      </c>
      <c r="D377" s="747" t="s">
        <v>687</v>
      </c>
      <c r="E377" s="746" t="s">
        <v>92</v>
      </c>
      <c r="F377" s="885"/>
      <c r="G377" s="889">
        <v>46070</v>
      </c>
      <c r="H377" s="971">
        <v>54.72</v>
      </c>
      <c r="I377" s="1294" t="s">
        <v>668</v>
      </c>
      <c r="J377" s="1295"/>
      <c r="K377" s="1295"/>
      <c r="L377" s="1295"/>
      <c r="M377" s="889">
        <v>46074</v>
      </c>
      <c r="N377" s="966" t="s">
        <v>694</v>
      </c>
      <c r="O377" s="885">
        <v>35</v>
      </c>
      <c r="P377" s="885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2">
        <f t="shared" si="7"/>
        <v>46</v>
      </c>
      <c r="C378" s="969" t="s">
        <v>624</v>
      </c>
      <c r="D378" s="747" t="s">
        <v>87</v>
      </c>
      <c r="E378" s="746" t="s">
        <v>92</v>
      </c>
      <c r="F378" s="885"/>
      <c r="G378" s="889">
        <v>46073</v>
      </c>
      <c r="H378" s="971">
        <v>35.088999999999999</v>
      </c>
      <c r="I378" s="1294" t="s">
        <v>668</v>
      </c>
      <c r="J378" s="1295"/>
      <c r="K378" s="1295"/>
      <c r="L378" s="1295"/>
      <c r="M378" s="889">
        <v>46075</v>
      </c>
      <c r="N378" s="966" t="s">
        <v>697</v>
      </c>
      <c r="O378" s="885">
        <v>32</v>
      </c>
      <c r="P378" s="885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2">
        <f t="shared" si="7"/>
        <v>47</v>
      </c>
      <c r="C379" s="969" t="s">
        <v>405</v>
      </c>
      <c r="D379" s="747" t="s">
        <v>87</v>
      </c>
      <c r="E379" s="746" t="s">
        <v>92</v>
      </c>
      <c r="F379" s="885"/>
      <c r="G379" s="889">
        <v>46061</v>
      </c>
      <c r="H379" s="971">
        <v>35.088999999999999</v>
      </c>
      <c r="I379" s="1294" t="s">
        <v>668</v>
      </c>
      <c r="J379" s="1295"/>
      <c r="K379" s="1295"/>
      <c r="L379" s="1295"/>
      <c r="M379" s="889">
        <v>46077</v>
      </c>
      <c r="N379" s="966" t="s">
        <v>696</v>
      </c>
      <c r="O379" s="885">
        <v>45</v>
      </c>
      <c r="P379" s="885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2">
        <f t="shared" si="7"/>
        <v>48</v>
      </c>
      <c r="C380" s="982" t="s">
        <v>625</v>
      </c>
      <c r="D380" s="747" t="s">
        <v>87</v>
      </c>
      <c r="E380" s="746" t="s">
        <v>92</v>
      </c>
      <c r="F380" s="885"/>
      <c r="G380" s="889">
        <v>46075</v>
      </c>
      <c r="H380" s="971">
        <v>35.088999999999999</v>
      </c>
      <c r="I380" s="1294" t="s">
        <v>668</v>
      </c>
      <c r="J380" s="1295"/>
      <c r="K380" s="1295"/>
      <c r="L380" s="1295"/>
      <c r="M380" s="889">
        <v>46077</v>
      </c>
      <c r="N380" s="966" t="s">
        <v>697</v>
      </c>
      <c r="O380" s="885">
        <v>32</v>
      </c>
      <c r="P380" s="885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2">
        <f t="shared" si="7"/>
        <v>49</v>
      </c>
      <c r="C381" s="755" t="s">
        <v>243</v>
      </c>
      <c r="D381" s="753" t="s">
        <v>91</v>
      </c>
      <c r="E381" s="752" t="s">
        <v>92</v>
      </c>
      <c r="F381" s="885"/>
      <c r="G381" s="983">
        <v>46075</v>
      </c>
      <c r="H381" s="984">
        <v>36.771000000000001</v>
      </c>
      <c r="I381" s="1294" t="s">
        <v>668</v>
      </c>
      <c r="J381" s="1295"/>
      <c r="K381" s="1295"/>
      <c r="L381" s="1295"/>
      <c r="M381" s="983">
        <v>46078</v>
      </c>
      <c r="N381" s="985" t="s">
        <v>694</v>
      </c>
      <c r="O381" s="986">
        <v>40</v>
      </c>
      <c r="P381" s="986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2">
        <f t="shared" si="7"/>
        <v>50</v>
      </c>
      <c r="C382" s="755" t="s">
        <v>255</v>
      </c>
      <c r="D382" s="747" t="s">
        <v>91</v>
      </c>
      <c r="E382" s="746" t="s">
        <v>543</v>
      </c>
      <c r="F382" s="777"/>
      <c r="G382" s="889">
        <v>46073</v>
      </c>
      <c r="H382" s="967">
        <v>36.771000000000001</v>
      </c>
      <c r="I382" s="1294" t="s">
        <v>668</v>
      </c>
      <c r="J382" s="1295"/>
      <c r="K382" s="1295"/>
      <c r="L382" s="1295"/>
      <c r="M382" s="889">
        <v>46079</v>
      </c>
      <c r="N382" s="974" t="s">
        <v>667</v>
      </c>
      <c r="O382" s="897">
        <v>30</v>
      </c>
      <c r="P382" s="885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2">
        <f t="shared" si="7"/>
        <v>51</v>
      </c>
      <c r="C383" s="969" t="s">
        <v>623</v>
      </c>
      <c r="D383" s="756" t="s">
        <v>87</v>
      </c>
      <c r="E383" s="746" t="s">
        <v>92</v>
      </c>
      <c r="F383" s="885"/>
      <c r="G383" s="889">
        <v>46077</v>
      </c>
      <c r="H383" s="971">
        <v>35.088999999999999</v>
      </c>
      <c r="I383" s="1294" t="s">
        <v>668</v>
      </c>
      <c r="J383" s="1295"/>
      <c r="K383" s="1295"/>
      <c r="L383" s="1295"/>
      <c r="M383" s="889">
        <v>46080</v>
      </c>
      <c r="N383" s="966" t="s">
        <v>697</v>
      </c>
      <c r="O383" s="885">
        <v>32</v>
      </c>
      <c r="P383" s="885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2">
        <f t="shared" si="7"/>
        <v>52</v>
      </c>
      <c r="C384" s="885" t="s">
        <v>328</v>
      </c>
      <c r="D384" s="756" t="s">
        <v>87</v>
      </c>
      <c r="E384" s="746" t="s">
        <v>92</v>
      </c>
      <c r="F384" s="885"/>
      <c r="G384" s="889">
        <v>46077</v>
      </c>
      <c r="H384" s="971">
        <v>35.088999999999999</v>
      </c>
      <c r="I384" s="1294" t="s">
        <v>668</v>
      </c>
      <c r="J384" s="1295"/>
      <c r="K384" s="1295"/>
      <c r="L384" s="1295"/>
      <c r="M384" s="889">
        <v>46081</v>
      </c>
      <c r="N384" s="918" t="s">
        <v>737</v>
      </c>
      <c r="O384" s="885">
        <v>24</v>
      </c>
      <c r="P384" s="885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2">
        <f t="shared" si="7"/>
        <v>53</v>
      </c>
      <c r="C385" s="914" t="s">
        <v>244</v>
      </c>
      <c r="D385" s="747" t="s">
        <v>87</v>
      </c>
      <c r="E385" s="746" t="s">
        <v>543</v>
      </c>
      <c r="F385" s="777"/>
      <c r="G385" s="889">
        <v>46078</v>
      </c>
      <c r="H385" s="971">
        <v>35.088999999999999</v>
      </c>
      <c r="I385" s="1294" t="s">
        <v>668</v>
      </c>
      <c r="J385" s="1295"/>
      <c r="K385" s="1295"/>
      <c r="L385" s="1295"/>
      <c r="M385" s="889">
        <v>46081</v>
      </c>
      <c r="N385" s="918" t="s">
        <v>694</v>
      </c>
      <c r="O385" s="885">
        <v>40</v>
      </c>
      <c r="P385" s="885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2">
        <f t="shared" si="7"/>
        <v>54</v>
      </c>
      <c r="C386" s="747" t="s">
        <v>617</v>
      </c>
      <c r="D386" s="747" t="s">
        <v>87</v>
      </c>
      <c r="E386" s="747" t="s">
        <v>543</v>
      </c>
      <c r="F386" s="987"/>
      <c r="G386" s="988">
        <v>46080</v>
      </c>
      <c r="H386" s="989">
        <v>35.088999999999999</v>
      </c>
      <c r="I386" s="1370" t="s">
        <v>668</v>
      </c>
      <c r="J386" s="1371"/>
      <c r="K386" s="1371"/>
      <c r="L386" s="1371"/>
      <c r="M386" s="988">
        <v>46083</v>
      </c>
      <c r="N386" s="990" t="s">
        <v>697</v>
      </c>
      <c r="O386" s="991">
        <v>32</v>
      </c>
      <c r="P386" s="885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2">
        <f t="shared" si="7"/>
        <v>55</v>
      </c>
      <c r="C387" s="747" t="s">
        <v>483</v>
      </c>
      <c r="D387" s="747" t="s">
        <v>559</v>
      </c>
      <c r="E387" s="746" t="s">
        <v>543</v>
      </c>
      <c r="F387" s="927"/>
      <c r="G387" s="889">
        <v>46073</v>
      </c>
      <c r="H387" s="971">
        <v>54.72</v>
      </c>
      <c r="I387" s="1294" t="s">
        <v>668</v>
      </c>
      <c r="J387" s="1295"/>
      <c r="K387" s="1295"/>
      <c r="L387" s="1295"/>
      <c r="M387" s="889">
        <v>46084</v>
      </c>
      <c r="N387" s="966" t="s">
        <v>696</v>
      </c>
      <c r="O387" s="885">
        <v>45</v>
      </c>
      <c r="P387" s="885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2">
        <f t="shared" si="7"/>
        <v>56</v>
      </c>
      <c r="C388" s="747" t="s">
        <v>236</v>
      </c>
      <c r="D388" s="885" t="s">
        <v>91</v>
      </c>
      <c r="E388" s="746" t="s">
        <v>92</v>
      </c>
      <c r="F388" s="885"/>
      <c r="G388" s="821">
        <v>46081</v>
      </c>
      <c r="H388" s="967">
        <v>36.771000000000001</v>
      </c>
      <c r="I388" s="1294" t="s">
        <v>668</v>
      </c>
      <c r="J388" s="1295"/>
      <c r="K388" s="1295"/>
      <c r="L388" s="1295"/>
      <c r="M388" s="889">
        <v>46086</v>
      </c>
      <c r="N388" s="918" t="s">
        <v>694</v>
      </c>
      <c r="O388" s="885">
        <v>40</v>
      </c>
      <c r="P388" s="885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2">
        <f t="shared" si="7"/>
        <v>57</v>
      </c>
      <c r="C389" s="747" t="s">
        <v>256</v>
      </c>
      <c r="D389" s="749" t="s">
        <v>87</v>
      </c>
      <c r="E389" s="748" t="s">
        <v>92</v>
      </c>
      <c r="F389" s="927"/>
      <c r="G389" s="973">
        <v>46078</v>
      </c>
      <c r="H389" s="980">
        <v>35.088999999999999</v>
      </c>
      <c r="I389" s="1294" t="s">
        <v>668</v>
      </c>
      <c r="J389" s="1295"/>
      <c r="K389" s="1295"/>
      <c r="L389" s="1295"/>
      <c r="M389" s="973">
        <v>46088</v>
      </c>
      <c r="N389" s="974" t="s">
        <v>667</v>
      </c>
      <c r="O389" s="897">
        <v>30</v>
      </c>
      <c r="P389" s="89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2">
        <f t="shared" si="7"/>
        <v>58</v>
      </c>
      <c r="C390" s="747" t="s">
        <v>341</v>
      </c>
      <c r="D390" s="756" t="s">
        <v>87</v>
      </c>
      <c r="E390" s="746" t="s">
        <v>92</v>
      </c>
      <c r="F390" s="885"/>
      <c r="G390" s="889">
        <v>46077</v>
      </c>
      <c r="H390" s="971">
        <v>35.088999999999999</v>
      </c>
      <c r="I390" s="1294" t="s">
        <v>668</v>
      </c>
      <c r="J390" s="1295"/>
      <c r="K390" s="1295"/>
      <c r="L390" s="1295"/>
      <c r="M390" s="889">
        <v>46090</v>
      </c>
      <c r="N390" s="918" t="s">
        <v>737</v>
      </c>
      <c r="O390" s="885">
        <v>24</v>
      </c>
      <c r="P390" s="885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2">
        <f t="shared" si="7"/>
        <v>59</v>
      </c>
      <c r="C391" s="747" t="s">
        <v>347</v>
      </c>
      <c r="D391" s="747" t="s">
        <v>109</v>
      </c>
      <c r="E391" s="746" t="s">
        <v>665</v>
      </c>
      <c r="F391" s="885"/>
      <c r="G391" s="889">
        <v>46089</v>
      </c>
      <c r="H391" s="971">
        <v>43.575000000000003</v>
      </c>
      <c r="I391" s="1294" t="s">
        <v>668</v>
      </c>
      <c r="J391" s="1295"/>
      <c r="K391" s="1295"/>
      <c r="L391" s="1295"/>
      <c r="M391" s="889">
        <v>46092</v>
      </c>
      <c r="N391" s="918" t="s">
        <v>694</v>
      </c>
      <c r="O391" s="885">
        <v>40</v>
      </c>
      <c r="P391" s="885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2">
        <f t="shared" si="7"/>
        <v>60</v>
      </c>
      <c r="C392" s="747" t="s">
        <v>406</v>
      </c>
      <c r="D392" s="747" t="s">
        <v>87</v>
      </c>
      <c r="E392" s="746" t="s">
        <v>92</v>
      </c>
      <c r="F392" s="885"/>
      <c r="G392" s="889">
        <v>46091</v>
      </c>
      <c r="H392" s="971">
        <v>35.088999999999999</v>
      </c>
      <c r="I392" s="1294" t="s">
        <v>668</v>
      </c>
      <c r="J392" s="1295"/>
      <c r="K392" s="1295"/>
      <c r="L392" s="1295"/>
      <c r="M392" s="889">
        <v>46097</v>
      </c>
      <c r="N392" s="918" t="s">
        <v>737</v>
      </c>
      <c r="O392" s="885">
        <v>24</v>
      </c>
      <c r="P392" s="885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2">
        <f t="shared" si="7"/>
        <v>61</v>
      </c>
      <c r="C393" s="747" t="s">
        <v>618</v>
      </c>
      <c r="D393" s="747" t="s">
        <v>87</v>
      </c>
      <c r="E393" s="746" t="s">
        <v>92</v>
      </c>
      <c r="F393" s="885"/>
      <c r="G393" s="889">
        <v>46094</v>
      </c>
      <c r="H393" s="971">
        <v>35.088999999999999</v>
      </c>
      <c r="I393" s="1294" t="s">
        <v>668</v>
      </c>
      <c r="J393" s="1295"/>
      <c r="K393" s="1295"/>
      <c r="L393" s="1295"/>
      <c r="M393" s="889">
        <v>46097</v>
      </c>
      <c r="N393" s="918" t="s">
        <v>694</v>
      </c>
      <c r="O393" s="885">
        <v>40</v>
      </c>
      <c r="P393" s="897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2">
        <f t="shared" si="7"/>
        <v>62</v>
      </c>
      <c r="C394" s="747" t="s">
        <v>253</v>
      </c>
      <c r="D394" s="747" t="s">
        <v>87</v>
      </c>
      <c r="E394" s="746" t="s">
        <v>543</v>
      </c>
      <c r="F394" s="885"/>
      <c r="G394" s="889">
        <v>46092</v>
      </c>
      <c r="H394" s="971">
        <v>35.088999999999999</v>
      </c>
      <c r="I394" s="1294" t="s">
        <v>668</v>
      </c>
      <c r="J394" s="1295"/>
      <c r="K394" s="1295"/>
      <c r="L394" s="1295"/>
      <c r="M394" s="889">
        <v>46099</v>
      </c>
      <c r="N394" s="966" t="s">
        <v>667</v>
      </c>
      <c r="O394" s="885">
        <v>30</v>
      </c>
      <c r="P394" s="885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2" customHeight="1" x14ac:dyDescent="0.35">
      <c r="A395" s="1"/>
      <c r="B395" s="952">
        <f t="shared" si="7"/>
        <v>63</v>
      </c>
      <c r="C395" s="747" t="s">
        <v>619</v>
      </c>
      <c r="D395" s="759" t="s">
        <v>87</v>
      </c>
      <c r="E395" s="746" t="s">
        <v>92</v>
      </c>
      <c r="F395" s="777"/>
      <c r="G395" s="889">
        <v>46097</v>
      </c>
      <c r="H395" s="971">
        <v>35.088999999999999</v>
      </c>
      <c r="I395" s="1294" t="s">
        <v>668</v>
      </c>
      <c r="J395" s="1295"/>
      <c r="K395" s="1295"/>
      <c r="L395" s="1295"/>
      <c r="M395" s="889">
        <v>46101</v>
      </c>
      <c r="N395" s="918" t="s">
        <v>694</v>
      </c>
      <c r="O395" s="885">
        <v>40</v>
      </c>
      <c r="P395" s="885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2">
        <f t="shared" si="7"/>
        <v>64</v>
      </c>
      <c r="C396" s="747" t="s">
        <v>407</v>
      </c>
      <c r="D396" s="747" t="s">
        <v>91</v>
      </c>
      <c r="E396" s="746" t="s">
        <v>92</v>
      </c>
      <c r="F396" s="777"/>
      <c r="G396" s="889">
        <v>46097</v>
      </c>
      <c r="H396" s="967">
        <v>36.771000000000001</v>
      </c>
      <c r="I396" s="1294" t="s">
        <v>668</v>
      </c>
      <c r="J396" s="1295"/>
      <c r="K396" s="1295"/>
      <c r="L396" s="1295"/>
      <c r="M396" s="889">
        <v>46104</v>
      </c>
      <c r="N396" s="918" t="s">
        <v>737</v>
      </c>
      <c r="O396" s="885">
        <v>24</v>
      </c>
      <c r="P396" s="885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2">
        <f t="shared" si="7"/>
        <v>65</v>
      </c>
      <c r="C397" s="747" t="s">
        <v>257</v>
      </c>
      <c r="D397" s="747" t="s">
        <v>91</v>
      </c>
      <c r="E397" s="885" t="s">
        <v>665</v>
      </c>
      <c r="F397" s="927"/>
      <c r="G397" s="889">
        <v>46099</v>
      </c>
      <c r="H397" s="967">
        <v>36.771000000000001</v>
      </c>
      <c r="I397" s="1294" t="s">
        <v>668</v>
      </c>
      <c r="J397" s="1295"/>
      <c r="K397" s="1295"/>
      <c r="L397" s="1295"/>
      <c r="M397" s="889">
        <v>46106</v>
      </c>
      <c r="N397" s="966" t="s">
        <v>667</v>
      </c>
      <c r="O397" s="885">
        <v>30</v>
      </c>
      <c r="P397" s="885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2">
        <f t="shared" ref="B398:B439" si="8">B397+1</f>
        <v>66</v>
      </c>
      <c r="C398" s="906" t="s">
        <v>404</v>
      </c>
      <c r="D398" s="749" t="s">
        <v>87</v>
      </c>
      <c r="E398" s="748" t="s">
        <v>92</v>
      </c>
      <c r="F398" s="992"/>
      <c r="G398" s="993">
        <v>46101</v>
      </c>
      <c r="H398" s="994">
        <v>35.088999999999999</v>
      </c>
      <c r="I398" s="1370" t="s">
        <v>668</v>
      </c>
      <c r="J398" s="1371"/>
      <c r="K398" s="1371"/>
      <c r="L398" s="1371"/>
      <c r="M398" s="993">
        <v>46110</v>
      </c>
      <c r="N398" s="995" t="s">
        <v>737</v>
      </c>
      <c r="O398" s="996">
        <v>24</v>
      </c>
      <c r="P398" s="897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2">
        <f t="shared" si="8"/>
        <v>67</v>
      </c>
      <c r="C399" s="885" t="s">
        <v>246</v>
      </c>
      <c r="D399" s="747" t="s">
        <v>87</v>
      </c>
      <c r="E399" s="885" t="s">
        <v>665</v>
      </c>
      <c r="F399" s="885"/>
      <c r="G399" s="889">
        <v>46107</v>
      </c>
      <c r="H399" s="971">
        <v>35.088999999999999</v>
      </c>
      <c r="I399" s="1294" t="s">
        <v>668</v>
      </c>
      <c r="J399" s="1295"/>
      <c r="K399" s="1295"/>
      <c r="L399" s="1295"/>
      <c r="M399" s="889">
        <v>46113</v>
      </c>
      <c r="N399" s="966" t="s">
        <v>667</v>
      </c>
      <c r="O399" s="885">
        <v>30</v>
      </c>
      <c r="P399" s="885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2">
        <f t="shared" si="8"/>
        <v>68</v>
      </c>
      <c r="C400" s="748" t="s">
        <v>408</v>
      </c>
      <c r="D400" s="749" t="s">
        <v>87</v>
      </c>
      <c r="E400" s="748" t="s">
        <v>92</v>
      </c>
      <c r="F400" s="927"/>
      <c r="G400" s="973">
        <v>46111</v>
      </c>
      <c r="H400" s="980">
        <v>35.088999999999999</v>
      </c>
      <c r="I400" s="1294" t="s">
        <v>668</v>
      </c>
      <c r="J400" s="1295"/>
      <c r="K400" s="1295"/>
      <c r="L400" s="1295"/>
      <c r="M400" s="973">
        <v>46116</v>
      </c>
      <c r="N400" s="920" t="s">
        <v>737</v>
      </c>
      <c r="O400" s="897">
        <v>24</v>
      </c>
      <c r="P400" s="89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2">
        <f t="shared" si="8"/>
        <v>69</v>
      </c>
      <c r="C401" s="969" t="s">
        <v>247</v>
      </c>
      <c r="D401" s="747" t="s">
        <v>87</v>
      </c>
      <c r="E401" s="746" t="s">
        <v>543</v>
      </c>
      <c r="F401" s="997"/>
      <c r="G401" s="889" t="s">
        <v>768</v>
      </c>
      <c r="H401" s="971">
        <v>35.088999999999999</v>
      </c>
      <c r="I401" s="1294" t="s">
        <v>668</v>
      </c>
      <c r="J401" s="1295"/>
      <c r="K401" s="1295"/>
      <c r="L401" s="1295"/>
      <c r="M401" s="889">
        <v>46119</v>
      </c>
      <c r="N401" s="966" t="s">
        <v>667</v>
      </c>
      <c r="O401" s="885">
        <v>30</v>
      </c>
      <c r="P401" s="885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2">
        <f t="shared" si="8"/>
        <v>70</v>
      </c>
      <c r="C402" s="998" t="s">
        <v>482</v>
      </c>
      <c r="D402" s="763" t="s">
        <v>687</v>
      </c>
      <c r="E402" s="746" t="s">
        <v>92</v>
      </c>
      <c r="F402" s="927"/>
      <c r="G402" s="889">
        <v>46117</v>
      </c>
      <c r="H402" s="971">
        <v>54.72</v>
      </c>
      <c r="I402" s="1294" t="s">
        <v>668</v>
      </c>
      <c r="J402" s="1295"/>
      <c r="K402" s="1295"/>
      <c r="L402" s="1295"/>
      <c r="M402" s="889">
        <v>46124</v>
      </c>
      <c r="N402" s="918" t="s">
        <v>737</v>
      </c>
      <c r="O402" s="885">
        <v>24</v>
      </c>
      <c r="P402" s="885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2">
        <f t="shared" si="8"/>
        <v>71</v>
      </c>
      <c r="C403" s="1232" t="s">
        <v>431</v>
      </c>
      <c r="D403" s="999" t="s">
        <v>687</v>
      </c>
      <c r="E403" s="1000" t="s">
        <v>92</v>
      </c>
      <c r="F403" s="1001"/>
      <c r="G403" s="1002">
        <v>46147</v>
      </c>
      <c r="H403" s="1003">
        <v>54.72</v>
      </c>
      <c r="I403" s="1296" t="s">
        <v>668</v>
      </c>
      <c r="J403" s="1297"/>
      <c r="K403" s="1297"/>
      <c r="L403" s="1297"/>
      <c r="M403" s="973">
        <v>46160</v>
      </c>
      <c r="N403" s="920" t="s">
        <v>667</v>
      </c>
      <c r="O403" s="897">
        <v>24</v>
      </c>
      <c r="P403" s="897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2">
        <f t="shared" si="8"/>
        <v>72</v>
      </c>
      <c r="C404" s="1231" t="s">
        <v>430</v>
      </c>
      <c r="D404" s="1004" t="s">
        <v>670</v>
      </c>
      <c r="E404" s="1005" t="s">
        <v>92</v>
      </c>
      <c r="F404" s="1004"/>
      <c r="G404" s="1006">
        <v>46161</v>
      </c>
      <c r="H404" s="1004">
        <v>62.500999999999998</v>
      </c>
      <c r="I404" s="1296" t="s">
        <v>668</v>
      </c>
      <c r="J404" s="1297"/>
      <c r="K404" s="1297"/>
      <c r="L404" s="1297"/>
      <c r="M404" s="889">
        <v>46175</v>
      </c>
      <c r="N404" s="918" t="s">
        <v>962</v>
      </c>
      <c r="O404" s="885">
        <v>24</v>
      </c>
      <c r="P404" s="88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2">
        <f t="shared" si="8"/>
        <v>73</v>
      </c>
      <c r="C405" s="1004" t="s">
        <v>220</v>
      </c>
      <c r="D405" s="1004" t="s">
        <v>87</v>
      </c>
      <c r="E405" s="1005" t="s">
        <v>92</v>
      </c>
      <c r="F405" s="1001"/>
      <c r="G405" s="1006">
        <v>46179</v>
      </c>
      <c r="H405" s="1004">
        <v>35.088999999999999</v>
      </c>
      <c r="I405" s="1296" t="s">
        <v>668</v>
      </c>
      <c r="J405" s="1297"/>
      <c r="K405" s="1297"/>
      <c r="L405" s="1297"/>
      <c r="M405" s="889">
        <v>46185</v>
      </c>
      <c r="N405" s="918" t="s">
        <v>964</v>
      </c>
      <c r="O405" s="885">
        <v>30</v>
      </c>
      <c r="P405" s="885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2">
        <f t="shared" si="8"/>
        <v>74</v>
      </c>
      <c r="C406" s="1233" t="s">
        <v>278</v>
      </c>
      <c r="D406" s="747" t="s">
        <v>95</v>
      </c>
      <c r="E406" s="746" t="s">
        <v>543</v>
      </c>
      <c r="F406" s="777"/>
      <c r="G406" s="889">
        <v>46176</v>
      </c>
      <c r="H406" s="967">
        <v>41.88</v>
      </c>
      <c r="I406" s="1296" t="s">
        <v>668</v>
      </c>
      <c r="J406" s="1297"/>
      <c r="K406" s="1297"/>
      <c r="L406" s="1297"/>
      <c r="M406" s="889">
        <v>46186</v>
      </c>
      <c r="N406" s="918" t="s">
        <v>962</v>
      </c>
      <c r="O406" s="885">
        <v>30</v>
      </c>
      <c r="P406" s="885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2">
        <f t="shared" si="8"/>
        <v>75</v>
      </c>
      <c r="C407" s="1234" t="s">
        <v>237</v>
      </c>
      <c r="D407" s="763" t="s">
        <v>87</v>
      </c>
      <c r="E407" s="746" t="s">
        <v>665</v>
      </c>
      <c r="F407" s="777"/>
      <c r="G407" s="889">
        <v>46182</v>
      </c>
      <c r="H407" s="971">
        <v>35.088999999999999</v>
      </c>
      <c r="I407" s="1296" t="s">
        <v>668</v>
      </c>
      <c r="J407" s="1297"/>
      <c r="K407" s="1297"/>
      <c r="L407" s="1297"/>
      <c r="M407" s="889">
        <v>46189</v>
      </c>
      <c r="N407" s="918" t="s">
        <v>966</v>
      </c>
      <c r="O407" s="885">
        <v>30</v>
      </c>
      <c r="P407" s="885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2">
        <f t="shared" si="8"/>
        <v>76</v>
      </c>
      <c r="C408" s="760" t="s">
        <v>222</v>
      </c>
      <c r="D408" s="747" t="s">
        <v>87</v>
      </c>
      <c r="E408" s="746" t="s">
        <v>92</v>
      </c>
      <c r="F408" s="777"/>
      <c r="G408" s="889">
        <v>46181</v>
      </c>
      <c r="H408" s="971">
        <v>35.088999999999999</v>
      </c>
      <c r="I408" s="1296" t="s">
        <v>668</v>
      </c>
      <c r="J408" s="1297"/>
      <c r="K408" s="1297"/>
      <c r="L408" s="1297"/>
      <c r="M408" s="889">
        <v>46191</v>
      </c>
      <c r="N408" s="918" t="s">
        <v>965</v>
      </c>
      <c r="O408" s="885">
        <v>30</v>
      </c>
      <c r="P408" s="885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2">
        <f t="shared" si="8"/>
        <v>77</v>
      </c>
      <c r="C409" s="1007" t="s">
        <v>298</v>
      </c>
      <c r="D409" s="915" t="s">
        <v>95</v>
      </c>
      <c r="E409" s="748" t="s">
        <v>92</v>
      </c>
      <c r="F409" s="927"/>
      <c r="G409" s="973">
        <v>46183</v>
      </c>
      <c r="H409" s="980">
        <v>35.088999999999999</v>
      </c>
      <c r="I409" s="1296" t="s">
        <v>668</v>
      </c>
      <c r="J409" s="1297"/>
      <c r="K409" s="1297"/>
      <c r="L409" s="1297"/>
      <c r="M409" s="973">
        <v>46192</v>
      </c>
      <c r="N409" s="920" t="s">
        <v>694</v>
      </c>
      <c r="O409" s="885">
        <v>30</v>
      </c>
      <c r="P409" s="89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2">
        <f t="shared" si="8"/>
        <v>78</v>
      </c>
      <c r="C410" s="760" t="s">
        <v>223</v>
      </c>
      <c r="D410" s="759" t="s">
        <v>87</v>
      </c>
      <c r="E410" s="746" t="s">
        <v>542</v>
      </c>
      <c r="F410" s="885"/>
      <c r="G410" s="889">
        <v>46186</v>
      </c>
      <c r="H410" s="971">
        <v>35.088999999999999</v>
      </c>
      <c r="I410" s="1296" t="s">
        <v>668</v>
      </c>
      <c r="J410" s="1297"/>
      <c r="K410" s="1297"/>
      <c r="L410" s="1297"/>
      <c r="M410" s="973">
        <v>46192</v>
      </c>
      <c r="N410" s="918" t="s">
        <v>964</v>
      </c>
      <c r="O410" s="885">
        <v>30</v>
      </c>
      <c r="P410" s="885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2">
        <f t="shared" si="8"/>
        <v>79</v>
      </c>
      <c r="C411" s="1235" t="s">
        <v>258</v>
      </c>
      <c r="D411" s="763" t="s">
        <v>91</v>
      </c>
      <c r="E411" s="746" t="s">
        <v>88</v>
      </c>
      <c r="F411" s="885"/>
      <c r="G411" s="889">
        <v>46187</v>
      </c>
      <c r="H411" s="967">
        <v>36.771000000000001</v>
      </c>
      <c r="I411" s="1296" t="s">
        <v>668</v>
      </c>
      <c r="J411" s="1297"/>
      <c r="K411" s="1297"/>
      <c r="L411" s="1297"/>
      <c r="M411" s="889">
        <v>46193</v>
      </c>
      <c r="N411" s="918" t="s">
        <v>962</v>
      </c>
      <c r="O411" s="885">
        <v>30</v>
      </c>
      <c r="P411" s="885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55" customHeight="1" x14ac:dyDescent="0.35">
      <c r="A412" s="1"/>
      <c r="B412" s="952">
        <f t="shared" si="8"/>
        <v>80</v>
      </c>
      <c r="C412" s="1234" t="s">
        <v>235</v>
      </c>
      <c r="D412" s="763" t="s">
        <v>87</v>
      </c>
      <c r="E412" s="746" t="s">
        <v>92</v>
      </c>
      <c r="F412" s="777"/>
      <c r="G412" s="889">
        <v>46189</v>
      </c>
      <c r="H412" s="971">
        <v>35.088999999999999</v>
      </c>
      <c r="I412" s="1296" t="s">
        <v>668</v>
      </c>
      <c r="J412" s="1297"/>
      <c r="K412" s="1297"/>
      <c r="L412" s="1297"/>
      <c r="M412" s="889">
        <v>46196</v>
      </c>
      <c r="N412" s="918" t="s">
        <v>966</v>
      </c>
      <c r="O412" s="885">
        <v>30</v>
      </c>
      <c r="P412" s="885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55" customHeight="1" x14ac:dyDescent="0.35">
      <c r="A413" s="1"/>
      <c r="B413" s="952">
        <f t="shared" si="8"/>
        <v>81</v>
      </c>
      <c r="C413" s="767" t="s">
        <v>296</v>
      </c>
      <c r="D413" s="763" t="s">
        <v>87</v>
      </c>
      <c r="E413" s="746" t="s">
        <v>92</v>
      </c>
      <c r="F413" s="885"/>
      <c r="G413" s="889">
        <v>46192</v>
      </c>
      <c r="H413" s="971">
        <v>35.088999999999999</v>
      </c>
      <c r="I413" s="1296" t="s">
        <v>668</v>
      </c>
      <c r="J413" s="1297"/>
      <c r="K413" s="1297"/>
      <c r="L413" s="1297"/>
      <c r="M413" s="889">
        <v>46196</v>
      </c>
      <c r="N413" s="918" t="s">
        <v>694</v>
      </c>
      <c r="O413" s="885">
        <v>30</v>
      </c>
      <c r="P413" s="885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5" customHeight="1" x14ac:dyDescent="0.35">
      <c r="A414" s="1"/>
      <c r="B414" s="952">
        <f t="shared" si="8"/>
        <v>82</v>
      </c>
      <c r="C414" s="746" t="s">
        <v>225</v>
      </c>
      <c r="D414" s="759" t="s">
        <v>87</v>
      </c>
      <c r="E414" s="755" t="s">
        <v>665</v>
      </c>
      <c r="F414" s="15"/>
      <c r="G414" s="1012">
        <v>46193</v>
      </c>
      <c r="H414" s="1054">
        <v>35.088999999999999</v>
      </c>
      <c r="I414" s="1296" t="s">
        <v>668</v>
      </c>
      <c r="J414" s="1297"/>
      <c r="K414" s="1297"/>
      <c r="L414" s="1297"/>
      <c r="M414" s="1012">
        <v>46198</v>
      </c>
      <c r="N414" s="918" t="s">
        <v>964</v>
      </c>
      <c r="O414" s="885">
        <v>30</v>
      </c>
      <c r="P414" s="885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399999999999999" x14ac:dyDescent="0.35">
      <c r="A415" s="1"/>
      <c r="B415" s="952">
        <f t="shared" si="8"/>
        <v>83</v>
      </c>
      <c r="C415" s="747" t="s">
        <v>226</v>
      </c>
      <c r="D415" s="915" t="s">
        <v>91</v>
      </c>
      <c r="E415" s="748" t="s">
        <v>92</v>
      </c>
      <c r="F415" s="280"/>
      <c r="G415" s="1055">
        <v>46192</v>
      </c>
      <c r="H415" s="1056">
        <v>36.771000000000001</v>
      </c>
      <c r="I415" s="1296" t="s">
        <v>668</v>
      </c>
      <c r="J415" s="1297"/>
      <c r="K415" s="1297"/>
      <c r="L415" s="1297"/>
      <c r="M415" s="1012">
        <v>46198</v>
      </c>
      <c r="N415" s="920" t="s">
        <v>965</v>
      </c>
      <c r="O415" s="885">
        <v>30</v>
      </c>
      <c r="P415" s="885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55" customHeight="1" x14ac:dyDescent="0.35">
      <c r="A416" s="1"/>
      <c r="B416" s="952">
        <f t="shared" si="8"/>
        <v>84</v>
      </c>
      <c r="C416" s="767" t="s">
        <v>306</v>
      </c>
      <c r="D416" s="765" t="s">
        <v>95</v>
      </c>
      <c r="E416" s="766" t="s">
        <v>92</v>
      </c>
      <c r="F416" s="777"/>
      <c r="G416" s="1012">
        <v>46188</v>
      </c>
      <c r="H416" s="1057">
        <v>41.88</v>
      </c>
      <c r="I416" s="1296" t="s">
        <v>668</v>
      </c>
      <c r="J416" s="1297"/>
      <c r="K416" s="1297"/>
      <c r="L416" s="1297"/>
      <c r="M416" s="1012">
        <v>46200</v>
      </c>
      <c r="N416" s="1008" t="s">
        <v>971</v>
      </c>
      <c r="O416" s="885">
        <v>30</v>
      </c>
      <c r="P416" s="885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55" customHeight="1" x14ac:dyDescent="0.35">
      <c r="A417" s="1"/>
      <c r="B417" s="952">
        <f t="shared" si="8"/>
        <v>85</v>
      </c>
      <c r="C417" s="747" t="s">
        <v>307</v>
      </c>
      <c r="D417" s="763" t="s">
        <v>109</v>
      </c>
      <c r="E417" s="746" t="s">
        <v>92</v>
      </c>
      <c r="F417" s="777"/>
      <c r="G417" s="1012">
        <v>46188</v>
      </c>
      <c r="H417" s="1054">
        <v>43.575000000000003</v>
      </c>
      <c r="I417" s="1294" t="s">
        <v>668</v>
      </c>
      <c r="J417" s="1295"/>
      <c r="K417" s="1295"/>
      <c r="L417" s="1295"/>
      <c r="M417" s="1012">
        <v>46201</v>
      </c>
      <c r="N417" s="1009" t="s">
        <v>970</v>
      </c>
      <c r="O417" s="885">
        <v>30</v>
      </c>
      <c r="P417" s="885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399999999999999" customHeight="1" x14ac:dyDescent="0.35">
      <c r="A418" s="1"/>
      <c r="B418" s="952">
        <f t="shared" si="8"/>
        <v>86</v>
      </c>
      <c r="C418" s="1235" t="s">
        <v>263</v>
      </c>
      <c r="D418" s="763" t="s">
        <v>87</v>
      </c>
      <c r="E418" s="746" t="s">
        <v>92</v>
      </c>
      <c r="F418" s="281"/>
      <c r="G418" s="1012">
        <v>46194</v>
      </c>
      <c r="H418" s="1054">
        <v>35.088999999999999</v>
      </c>
      <c r="I418" s="1294" t="s">
        <v>668</v>
      </c>
      <c r="J418" s="1295"/>
      <c r="K418" s="1295"/>
      <c r="L418" s="1295"/>
      <c r="M418" s="1012">
        <v>46201</v>
      </c>
      <c r="N418" s="918" t="s">
        <v>962</v>
      </c>
      <c r="O418" s="885">
        <v>30</v>
      </c>
      <c r="P418" s="28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399999999999999" customHeight="1" x14ac:dyDescent="0.35">
      <c r="A419" s="1"/>
      <c r="B419" s="952">
        <f t="shared" si="8"/>
        <v>87</v>
      </c>
      <c r="C419" s="747" t="s">
        <v>440</v>
      </c>
      <c r="D419" s="763" t="s">
        <v>238</v>
      </c>
      <c r="E419" s="746" t="s">
        <v>92</v>
      </c>
      <c r="F419" s="15"/>
      <c r="G419" s="1012">
        <v>46197</v>
      </c>
      <c r="H419" s="1058">
        <v>54.72</v>
      </c>
      <c r="I419" s="1294" t="s">
        <v>668</v>
      </c>
      <c r="J419" s="1295"/>
      <c r="K419" s="1295"/>
      <c r="L419" s="1295"/>
      <c r="M419" s="1012">
        <v>46201</v>
      </c>
      <c r="N419" s="918" t="s">
        <v>694</v>
      </c>
      <c r="O419" s="885">
        <v>30</v>
      </c>
      <c r="P419" s="28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399999999999999" customHeight="1" x14ac:dyDescent="0.35">
      <c r="A420" s="1"/>
      <c r="B420" s="747">
        <f t="shared" si="8"/>
        <v>88</v>
      </c>
      <c r="C420" s="1235" t="s">
        <v>239</v>
      </c>
      <c r="D420" s="915" t="s">
        <v>109</v>
      </c>
      <c r="E420" s="748" t="s">
        <v>92</v>
      </c>
      <c r="F420" s="280"/>
      <c r="G420" s="1012">
        <v>46197</v>
      </c>
      <c r="H420" s="1054">
        <v>43.575000000000003</v>
      </c>
      <c r="I420" s="1294" t="s">
        <v>668</v>
      </c>
      <c r="J420" s="1295"/>
      <c r="K420" s="1295"/>
      <c r="L420" s="1295"/>
      <c r="M420" s="1012">
        <v>46203</v>
      </c>
      <c r="N420" s="918" t="s">
        <v>966</v>
      </c>
      <c r="O420" s="885">
        <v>30</v>
      </c>
      <c r="P420" s="28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s="486" customFormat="1" ht="17.399999999999999" customHeight="1" x14ac:dyDescent="0.35">
      <c r="A421" s="487"/>
      <c r="B421" s="767">
        <f t="shared" si="8"/>
        <v>89</v>
      </c>
      <c r="C421" s="767" t="s">
        <v>203</v>
      </c>
      <c r="D421" s="765" t="s">
        <v>95</v>
      </c>
      <c r="E421" s="766" t="s">
        <v>92</v>
      </c>
      <c r="F421" s="1217"/>
      <c r="G421" s="1218">
        <v>46199</v>
      </c>
      <c r="H421" s="1219">
        <v>41.88</v>
      </c>
      <c r="I421" s="1294" t="s">
        <v>668</v>
      </c>
      <c r="J421" s="1295"/>
      <c r="K421" s="1295"/>
      <c r="L421" s="1295"/>
      <c r="M421" s="1218">
        <v>46206</v>
      </c>
      <c r="N421" s="1220" t="s">
        <v>965</v>
      </c>
      <c r="O421" s="894">
        <v>30</v>
      </c>
      <c r="P421" s="1221"/>
      <c r="Q421" s="487"/>
      <c r="R421" s="487"/>
      <c r="S421" s="487"/>
      <c r="T421" s="487"/>
      <c r="U421" s="487"/>
      <c r="V421" s="487"/>
      <c r="W421" s="487"/>
      <c r="X421" s="487"/>
      <c r="Y421" s="487"/>
    </row>
    <row r="422" spans="1:25" s="486" customFormat="1" ht="17.399999999999999" customHeight="1" x14ac:dyDescent="0.35">
      <c r="A422" s="487"/>
      <c r="B422" s="767">
        <f t="shared" si="8"/>
        <v>90</v>
      </c>
      <c r="C422" s="767" t="s">
        <v>444</v>
      </c>
      <c r="D422" s="765" t="s">
        <v>669</v>
      </c>
      <c r="E422" s="766" t="s">
        <v>665</v>
      </c>
      <c r="F422" s="1222"/>
      <c r="G422" s="1223">
        <v>46200</v>
      </c>
      <c r="H422" s="1218"/>
      <c r="I422" s="1294" t="s">
        <v>668</v>
      </c>
      <c r="J422" s="1295"/>
      <c r="K422" s="1295"/>
      <c r="L422" s="1295"/>
      <c r="M422" s="1218">
        <v>46207</v>
      </c>
      <c r="N422" s="1008" t="s">
        <v>971</v>
      </c>
      <c r="O422" s="894">
        <v>30</v>
      </c>
      <c r="P422" s="1221"/>
      <c r="Q422" s="487"/>
      <c r="R422" s="487"/>
      <c r="S422" s="487"/>
      <c r="T422" s="487"/>
      <c r="U422" s="487"/>
      <c r="V422" s="487"/>
      <c r="W422" s="487"/>
      <c r="X422" s="487"/>
      <c r="Y422" s="487"/>
    </row>
    <row r="423" spans="1:25" s="486" customFormat="1" ht="17.399999999999999" customHeight="1" x14ac:dyDescent="0.35">
      <c r="A423" s="487"/>
      <c r="B423" s="767">
        <f t="shared" si="8"/>
        <v>91</v>
      </c>
      <c r="C423" s="1235" t="s">
        <v>265</v>
      </c>
      <c r="D423" s="765" t="s">
        <v>87</v>
      </c>
      <c r="E423" s="766" t="s">
        <v>88</v>
      </c>
      <c r="F423" s="1225"/>
      <c r="G423" s="1218">
        <v>46202</v>
      </c>
      <c r="H423" s="1054">
        <v>35.088999999999999</v>
      </c>
      <c r="I423" s="1294" t="s">
        <v>668</v>
      </c>
      <c r="J423" s="1295"/>
      <c r="K423" s="1295"/>
      <c r="L423" s="1295"/>
      <c r="M423" s="1218">
        <v>46208</v>
      </c>
      <c r="N423" s="1220" t="s">
        <v>962</v>
      </c>
      <c r="O423" s="894">
        <v>30</v>
      </c>
      <c r="P423" s="1221"/>
      <c r="Q423" s="487"/>
      <c r="R423" s="487"/>
      <c r="S423" s="487"/>
      <c r="T423" s="487"/>
      <c r="U423" s="487"/>
      <c r="V423" s="487"/>
      <c r="W423" s="487"/>
      <c r="X423" s="487"/>
      <c r="Y423" s="487"/>
    </row>
    <row r="424" spans="1:25" s="486" customFormat="1" ht="17.399999999999999" customHeight="1" x14ac:dyDescent="0.35">
      <c r="A424" s="487"/>
      <c r="B424" s="767">
        <f t="shared" si="8"/>
        <v>92</v>
      </c>
      <c r="C424" s="767" t="s">
        <v>441</v>
      </c>
      <c r="D424" s="765" t="s">
        <v>580</v>
      </c>
      <c r="E424" s="766" t="s">
        <v>92</v>
      </c>
      <c r="F424" s="1225"/>
      <c r="G424" s="1218">
        <v>46202</v>
      </c>
      <c r="H424" s="1224"/>
      <c r="I424" s="1294" t="s">
        <v>668</v>
      </c>
      <c r="J424" s="1295"/>
      <c r="K424" s="1295"/>
      <c r="L424" s="1295"/>
      <c r="M424" s="1218">
        <v>46208</v>
      </c>
      <c r="N424" s="1220" t="s">
        <v>694</v>
      </c>
      <c r="O424" s="894">
        <v>30</v>
      </c>
      <c r="P424" s="1221"/>
      <c r="Q424" s="487"/>
      <c r="R424" s="487"/>
      <c r="S424" s="487"/>
      <c r="T424" s="487"/>
      <c r="U424" s="487"/>
      <c r="V424" s="487"/>
      <c r="W424" s="487"/>
      <c r="X424" s="487"/>
      <c r="Y424" s="487"/>
    </row>
    <row r="425" spans="1:25" s="486" customFormat="1" ht="17.399999999999999" customHeight="1" x14ac:dyDescent="0.35">
      <c r="A425" s="487"/>
      <c r="B425" s="767">
        <f t="shared" si="8"/>
        <v>93</v>
      </c>
      <c r="C425" s="1234" t="s">
        <v>233</v>
      </c>
      <c r="D425" s="765" t="s">
        <v>91</v>
      </c>
      <c r="E425" s="766" t="s">
        <v>92</v>
      </c>
      <c r="F425" s="1225"/>
      <c r="G425" s="1218">
        <v>46204</v>
      </c>
      <c r="H425" s="1219">
        <v>36.771000000000001</v>
      </c>
      <c r="I425" s="1294" t="s">
        <v>668</v>
      </c>
      <c r="J425" s="1295"/>
      <c r="K425" s="1295"/>
      <c r="L425" s="1295"/>
      <c r="M425" s="1218">
        <v>46209</v>
      </c>
      <c r="N425" s="1220" t="s">
        <v>966</v>
      </c>
      <c r="O425" s="894">
        <v>30</v>
      </c>
      <c r="P425" s="1221"/>
      <c r="Q425" s="487"/>
      <c r="R425" s="487"/>
      <c r="S425" s="487"/>
      <c r="T425" s="487"/>
      <c r="U425" s="487"/>
      <c r="V425" s="487"/>
      <c r="W425" s="487"/>
      <c r="X425" s="487"/>
      <c r="Y425" s="487"/>
    </row>
    <row r="426" spans="1:25" s="486" customFormat="1" ht="17.399999999999999" x14ac:dyDescent="0.35">
      <c r="A426" s="487"/>
      <c r="B426" s="767">
        <f t="shared" si="8"/>
        <v>94</v>
      </c>
      <c r="C426" s="760" t="s">
        <v>417</v>
      </c>
      <c r="D426" s="765" t="s">
        <v>759</v>
      </c>
      <c r="E426" s="1005" t="s">
        <v>542</v>
      </c>
      <c r="F426" s="1221"/>
      <c r="G426" s="1218">
        <v>45834</v>
      </c>
      <c r="H426" s="1224">
        <v>62.500999999999998</v>
      </c>
      <c r="I426" s="1294" t="s">
        <v>668</v>
      </c>
      <c r="J426" s="1295"/>
      <c r="K426" s="1295"/>
      <c r="L426" s="1295"/>
      <c r="M426" s="1218">
        <v>46209</v>
      </c>
      <c r="N426" s="1220" t="s">
        <v>964</v>
      </c>
      <c r="O426" s="894">
        <v>30</v>
      </c>
      <c r="P426" s="1221"/>
      <c r="Q426" s="487"/>
      <c r="R426" s="487"/>
      <c r="S426" s="487"/>
      <c r="T426" s="487"/>
      <c r="U426" s="487"/>
      <c r="V426" s="487"/>
      <c r="W426" s="487"/>
      <c r="X426" s="487"/>
      <c r="Y426" s="487"/>
    </row>
    <row r="427" spans="1:25" s="486" customFormat="1" ht="17.399999999999999" customHeight="1" x14ac:dyDescent="0.35">
      <c r="A427" s="487"/>
      <c r="B427" s="767">
        <f t="shared" si="8"/>
        <v>95</v>
      </c>
      <c r="C427" s="767" t="s">
        <v>202</v>
      </c>
      <c r="D427" s="765" t="s">
        <v>87</v>
      </c>
      <c r="E427" s="766" t="s">
        <v>92</v>
      </c>
      <c r="F427" s="1225"/>
      <c r="G427" s="1218">
        <v>46207</v>
      </c>
      <c r="H427" s="1226">
        <v>35.088999999999999</v>
      </c>
      <c r="I427" s="1294" t="s">
        <v>668</v>
      </c>
      <c r="J427" s="1295"/>
      <c r="K427" s="1295"/>
      <c r="L427" s="1295"/>
      <c r="M427" s="1218">
        <v>46211</v>
      </c>
      <c r="N427" s="1220" t="s">
        <v>965</v>
      </c>
      <c r="O427" s="894">
        <v>30</v>
      </c>
      <c r="P427" s="1221"/>
      <c r="Q427" s="487"/>
      <c r="R427" s="487"/>
      <c r="S427" s="487"/>
      <c r="T427" s="487"/>
      <c r="U427" s="487"/>
      <c r="V427" s="487"/>
      <c r="W427" s="487"/>
      <c r="X427" s="487"/>
      <c r="Y427" s="487"/>
    </row>
    <row r="428" spans="1:25" s="486" customFormat="1" ht="17.399999999999999" x14ac:dyDescent="0.35">
      <c r="A428" s="487"/>
      <c r="B428" s="767">
        <f t="shared" si="8"/>
        <v>96</v>
      </c>
      <c r="C428" s="767" t="s">
        <v>308</v>
      </c>
      <c r="D428" s="765" t="s">
        <v>87</v>
      </c>
      <c r="E428" s="766" t="s">
        <v>92</v>
      </c>
      <c r="F428" s="1225"/>
      <c r="G428" s="1218">
        <v>46202</v>
      </c>
      <c r="H428" s="1226">
        <v>35.088999999999999</v>
      </c>
      <c r="I428" s="1294" t="s">
        <v>668</v>
      </c>
      <c r="J428" s="1295"/>
      <c r="K428" s="1295"/>
      <c r="L428" s="1295"/>
      <c r="M428" s="1218">
        <v>46212</v>
      </c>
      <c r="N428" s="1008" t="s">
        <v>970</v>
      </c>
      <c r="O428" s="894">
        <v>30</v>
      </c>
      <c r="P428" s="1221"/>
      <c r="Q428" s="487"/>
      <c r="R428" s="487"/>
      <c r="S428" s="487"/>
      <c r="T428" s="487"/>
      <c r="U428" s="487"/>
      <c r="V428" s="487"/>
      <c r="W428" s="487"/>
      <c r="X428" s="487"/>
      <c r="Y428" s="487"/>
    </row>
    <row r="429" spans="1:25" s="486" customFormat="1" ht="17.399999999999999" x14ac:dyDescent="0.35">
      <c r="A429" s="487"/>
      <c r="B429" s="767">
        <f t="shared" si="8"/>
        <v>97</v>
      </c>
      <c r="C429" s="1234" t="s">
        <v>234</v>
      </c>
      <c r="D429" s="765" t="s">
        <v>214</v>
      </c>
      <c r="E429" s="766" t="s">
        <v>92</v>
      </c>
      <c r="F429" s="1225"/>
      <c r="G429" s="1218">
        <v>46210</v>
      </c>
      <c r="H429" s="1227">
        <v>36.771000000000001</v>
      </c>
      <c r="I429" s="1294" t="s">
        <v>668</v>
      </c>
      <c r="J429" s="1295"/>
      <c r="K429" s="1295"/>
      <c r="L429" s="1295"/>
      <c r="M429" s="1228">
        <v>46214</v>
      </c>
      <c r="N429" s="1220" t="s">
        <v>966</v>
      </c>
      <c r="O429" s="894">
        <v>30</v>
      </c>
      <c r="P429" s="1221"/>
      <c r="Q429" s="487"/>
      <c r="R429" s="487"/>
      <c r="S429" s="487"/>
      <c r="T429" s="487"/>
      <c r="U429" s="487"/>
      <c r="V429" s="487"/>
      <c r="W429" s="487"/>
      <c r="X429" s="487"/>
      <c r="Y429" s="487"/>
    </row>
    <row r="430" spans="1:25" s="486" customFormat="1" ht="17.399999999999999" x14ac:dyDescent="0.35">
      <c r="A430" s="487"/>
      <c r="B430" s="767">
        <f t="shared" si="8"/>
        <v>98</v>
      </c>
      <c r="C430" s="1235" t="s">
        <v>264</v>
      </c>
      <c r="D430" s="765" t="s">
        <v>87</v>
      </c>
      <c r="E430" s="766" t="s">
        <v>665</v>
      </c>
      <c r="F430" s="1217"/>
      <c r="G430" s="1218">
        <v>46209</v>
      </c>
      <c r="H430" s="977">
        <v>35.088999999999999</v>
      </c>
      <c r="I430" s="1294" t="s">
        <v>668</v>
      </c>
      <c r="J430" s="1295"/>
      <c r="K430" s="1295"/>
      <c r="L430" s="1295"/>
      <c r="M430" s="1228">
        <v>46214</v>
      </c>
      <c r="N430" s="1220" t="s">
        <v>962</v>
      </c>
      <c r="O430" s="894">
        <v>30</v>
      </c>
      <c r="P430" s="1221"/>
      <c r="Q430" s="487"/>
      <c r="R430" s="487"/>
      <c r="S430" s="487"/>
      <c r="T430" s="487"/>
      <c r="U430" s="487"/>
      <c r="V430" s="487"/>
      <c r="W430" s="487"/>
      <c r="X430" s="487"/>
      <c r="Y430" s="487"/>
    </row>
    <row r="431" spans="1:25" s="486" customFormat="1" ht="17.399999999999999" x14ac:dyDescent="0.35">
      <c r="A431" s="487"/>
      <c r="B431" s="767">
        <f t="shared" si="8"/>
        <v>99</v>
      </c>
      <c r="C431" s="1229" t="s">
        <v>481</v>
      </c>
      <c r="D431" s="1229" t="s">
        <v>670</v>
      </c>
      <c r="E431" s="894" t="s">
        <v>92</v>
      </c>
      <c r="F431" s="1221"/>
      <c r="G431" s="1218">
        <v>46212</v>
      </c>
      <c r="H431" s="1224">
        <v>62.500999999999998</v>
      </c>
      <c r="I431" s="1294" t="s">
        <v>668</v>
      </c>
      <c r="J431" s="1295"/>
      <c r="K431" s="1295"/>
      <c r="L431" s="1295"/>
      <c r="M431" s="1228">
        <v>46215</v>
      </c>
      <c r="N431" s="1220" t="s">
        <v>694</v>
      </c>
      <c r="O431" s="894">
        <v>30</v>
      </c>
      <c r="P431" s="1221"/>
      <c r="Q431" s="487"/>
      <c r="R431" s="487"/>
      <c r="S431" s="487"/>
      <c r="T431" s="487"/>
      <c r="U431" s="487"/>
      <c r="V431" s="487"/>
      <c r="W431" s="487"/>
      <c r="X431" s="487"/>
      <c r="Y431" s="487"/>
    </row>
    <row r="432" spans="1:25" s="486" customFormat="1" ht="17.399999999999999" x14ac:dyDescent="0.35">
      <c r="A432" s="487"/>
      <c r="B432" s="767">
        <f t="shared" si="8"/>
        <v>100</v>
      </c>
      <c r="C432" s="1229" t="s">
        <v>391</v>
      </c>
      <c r="D432" s="1229" t="s">
        <v>91</v>
      </c>
      <c r="E432" s="894" t="s">
        <v>88</v>
      </c>
      <c r="F432" s="1221"/>
      <c r="G432" s="1218">
        <v>46210</v>
      </c>
      <c r="H432" s="1219">
        <v>36.771000000000001</v>
      </c>
      <c r="I432" s="1294" t="s">
        <v>668</v>
      </c>
      <c r="J432" s="1295"/>
      <c r="K432" s="1295"/>
      <c r="L432" s="1295"/>
      <c r="M432" s="1228">
        <v>46215</v>
      </c>
      <c r="N432" s="1008" t="s">
        <v>971</v>
      </c>
      <c r="O432" s="894">
        <v>30</v>
      </c>
      <c r="P432" s="1221"/>
      <c r="Q432" s="487"/>
      <c r="R432" s="487"/>
      <c r="S432" s="487"/>
      <c r="T432" s="487"/>
      <c r="U432" s="487"/>
      <c r="V432" s="487"/>
      <c r="W432" s="487"/>
      <c r="X432" s="487"/>
      <c r="Y432" s="487"/>
    </row>
    <row r="433" spans="1:25" s="486" customFormat="1" ht="17.399999999999999" x14ac:dyDescent="0.35">
      <c r="A433" s="487"/>
      <c r="B433" s="767">
        <f t="shared" si="8"/>
        <v>101</v>
      </c>
      <c r="C433" s="767" t="s">
        <v>208</v>
      </c>
      <c r="D433" s="765" t="s">
        <v>87</v>
      </c>
      <c r="E433" s="766" t="s">
        <v>92</v>
      </c>
      <c r="F433" s="1225"/>
      <c r="G433" s="1218">
        <v>46210</v>
      </c>
      <c r="H433" s="1226">
        <v>35.088999999999999</v>
      </c>
      <c r="I433" s="1294" t="s">
        <v>668</v>
      </c>
      <c r="J433" s="1295"/>
      <c r="K433" s="1295"/>
      <c r="L433" s="1295"/>
      <c r="M433" s="1218">
        <v>46216</v>
      </c>
      <c r="N433" s="1220" t="s">
        <v>964</v>
      </c>
      <c r="O433" s="894">
        <v>30</v>
      </c>
      <c r="P433" s="1221"/>
      <c r="Q433" s="487"/>
      <c r="R433" s="487"/>
      <c r="S433" s="487"/>
      <c r="T433" s="487"/>
      <c r="U433" s="487"/>
      <c r="V433" s="487"/>
      <c r="W433" s="487"/>
      <c r="X433" s="487"/>
      <c r="Y433" s="487"/>
    </row>
    <row r="434" spans="1:25" s="486" customFormat="1" ht="17.399999999999999" x14ac:dyDescent="0.35">
      <c r="A434" s="487"/>
      <c r="B434" s="767">
        <f t="shared" si="8"/>
        <v>102</v>
      </c>
      <c r="C434" s="767" t="s">
        <v>228</v>
      </c>
      <c r="D434" s="765" t="s">
        <v>91</v>
      </c>
      <c r="E434" s="766" t="s">
        <v>92</v>
      </c>
      <c r="F434" s="1225"/>
      <c r="G434" s="1218">
        <v>46212</v>
      </c>
      <c r="H434" s="1219">
        <v>36.771000000000001</v>
      </c>
      <c r="I434" s="1294" t="s">
        <v>668</v>
      </c>
      <c r="J434" s="1295"/>
      <c r="K434" s="1295"/>
      <c r="L434" s="1295"/>
      <c r="M434" s="1218">
        <v>46217</v>
      </c>
      <c r="N434" s="1220" t="s">
        <v>965</v>
      </c>
      <c r="O434" s="894">
        <v>30</v>
      </c>
      <c r="P434" s="1221"/>
      <c r="Q434" s="487"/>
      <c r="R434" s="487"/>
      <c r="S434" s="487"/>
      <c r="T434" s="487"/>
      <c r="U434" s="487"/>
      <c r="V434" s="487"/>
      <c r="W434" s="487"/>
      <c r="X434" s="487"/>
      <c r="Y434" s="487"/>
    </row>
    <row r="435" spans="1:25" ht="17.399999999999999" x14ac:dyDescent="0.35">
      <c r="A435" s="1"/>
      <c r="B435" s="767">
        <f t="shared" si="8"/>
        <v>103</v>
      </c>
      <c r="C435" s="767" t="s">
        <v>389</v>
      </c>
      <c r="D435" s="763" t="s">
        <v>87</v>
      </c>
      <c r="E435" s="746" t="s">
        <v>92</v>
      </c>
      <c r="F435" s="15"/>
      <c r="G435" s="1218">
        <v>46216</v>
      </c>
      <c r="H435" s="1226">
        <v>35.088999999999999</v>
      </c>
      <c r="I435" s="1294" t="s">
        <v>668</v>
      </c>
      <c r="J435" s="1295"/>
      <c r="K435" s="1295"/>
      <c r="L435" s="1295"/>
      <c r="M435" s="1218">
        <v>46219</v>
      </c>
      <c r="N435" s="1220" t="s">
        <v>694</v>
      </c>
      <c r="O435" s="894">
        <v>30</v>
      </c>
      <c r="P435" s="28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399999999999999" x14ac:dyDescent="0.35">
      <c r="A436" s="1"/>
      <c r="B436" s="767">
        <f t="shared" si="8"/>
        <v>104</v>
      </c>
      <c r="C436" s="760" t="s">
        <v>390</v>
      </c>
      <c r="D436" s="763" t="s">
        <v>87</v>
      </c>
      <c r="E436" s="746" t="s">
        <v>92</v>
      </c>
      <c r="F436" s="15"/>
      <c r="G436" s="1218">
        <v>46216</v>
      </c>
      <c r="H436" s="1226">
        <v>35.088999999999999</v>
      </c>
      <c r="I436" s="1294" t="s">
        <v>668</v>
      </c>
      <c r="J436" s="1295"/>
      <c r="K436" s="1295"/>
      <c r="L436" s="1295"/>
      <c r="M436" s="1218">
        <v>46219</v>
      </c>
      <c r="N436" s="1008" t="s">
        <v>971</v>
      </c>
      <c r="O436" s="894">
        <v>30</v>
      </c>
      <c r="P436" s="28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399999999999999" x14ac:dyDescent="0.35">
      <c r="A437" s="1"/>
      <c r="B437" s="767">
        <f t="shared" si="8"/>
        <v>105</v>
      </c>
      <c r="C437" s="767" t="s">
        <v>209</v>
      </c>
      <c r="D437" s="763" t="s">
        <v>87</v>
      </c>
      <c r="E437" s="746" t="s">
        <v>92</v>
      </c>
      <c r="F437" s="15"/>
      <c r="G437" s="1012">
        <v>46217</v>
      </c>
      <c r="H437" s="1226">
        <v>35.088999999999999</v>
      </c>
      <c r="I437" s="1294" t="s">
        <v>668</v>
      </c>
      <c r="J437" s="1295"/>
      <c r="K437" s="1295"/>
      <c r="L437" s="1295"/>
      <c r="M437" s="1012">
        <v>46222</v>
      </c>
      <c r="N437" s="1008" t="s">
        <v>964</v>
      </c>
      <c r="O437" s="894">
        <v>30</v>
      </c>
      <c r="P437" s="28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399999999999999" x14ac:dyDescent="0.35">
      <c r="A438" s="1"/>
      <c r="B438" s="767">
        <f t="shared" si="8"/>
        <v>106</v>
      </c>
      <c r="C438" s="747" t="s">
        <v>229</v>
      </c>
      <c r="D438" s="763" t="s">
        <v>87</v>
      </c>
      <c r="E438" s="746" t="s">
        <v>92</v>
      </c>
      <c r="F438" s="15"/>
      <c r="G438" s="1012">
        <v>46218</v>
      </c>
      <c r="H438" s="1226">
        <v>35.088999999999999</v>
      </c>
      <c r="I438" s="1294" t="s">
        <v>668</v>
      </c>
      <c r="J438" s="1295"/>
      <c r="K438" s="1295"/>
      <c r="L438" s="1295"/>
      <c r="M438" s="1012">
        <v>46222</v>
      </c>
      <c r="N438" s="1008" t="s">
        <v>965</v>
      </c>
      <c r="O438" s="894">
        <v>30</v>
      </c>
      <c r="P438" s="28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399999999999999" x14ac:dyDescent="0.35">
      <c r="A439" s="1"/>
      <c r="B439" s="767">
        <f t="shared" si="8"/>
        <v>107</v>
      </c>
      <c r="C439" s="767" t="s">
        <v>422</v>
      </c>
      <c r="D439" s="763" t="s">
        <v>760</v>
      </c>
      <c r="E439" s="746" t="s">
        <v>769</v>
      </c>
      <c r="F439" s="15"/>
      <c r="G439" s="1012">
        <v>46215</v>
      </c>
      <c r="H439" s="281"/>
      <c r="I439" s="1294" t="s">
        <v>668</v>
      </c>
      <c r="J439" s="1295"/>
      <c r="K439" s="1295"/>
      <c r="L439" s="1295"/>
      <c r="M439" s="1012">
        <v>46222</v>
      </c>
      <c r="N439" s="1008" t="s">
        <v>966</v>
      </c>
      <c r="O439" s="894">
        <v>30</v>
      </c>
      <c r="P439" s="28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/>
    <row r="501" spans="1:25" ht="13.8" x14ac:dyDescent="0.3"/>
    <row r="502" spans="1:25" ht="13.8" x14ac:dyDescent="0.3"/>
    <row r="503" spans="1:25" ht="13.8" x14ac:dyDescent="0.3"/>
    <row r="504" spans="1:25" ht="13.8" x14ac:dyDescent="0.3"/>
    <row r="505" spans="1:25" ht="13.8" x14ac:dyDescent="0.3"/>
    <row r="506" spans="1:25" ht="13.8" x14ac:dyDescent="0.3"/>
    <row r="507" spans="1:25" ht="13.8" x14ac:dyDescent="0.3"/>
    <row r="508" spans="1:25" ht="13.8" x14ac:dyDescent="0.3"/>
    <row r="509" spans="1:25" ht="13.8" x14ac:dyDescent="0.3"/>
    <row r="510" spans="1:25" ht="13.8" x14ac:dyDescent="0.3"/>
    <row r="511" spans="1:25" ht="13.8" x14ac:dyDescent="0.3"/>
    <row r="512" spans="1:25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</sheetData>
  <autoFilter ref="A332:DC436" xr:uid="{00000000-0001-0000-0100-000000000000}">
    <filterColumn colId="8" showButton="0"/>
    <filterColumn colId="9" showButton="0"/>
    <filterColumn colId="10" showButton="0"/>
  </autoFilter>
  <mergeCells count="351">
    <mergeCell ref="I362:L362"/>
    <mergeCell ref="I360:L360"/>
    <mergeCell ref="I419:L419"/>
    <mergeCell ref="I412:L412"/>
    <mergeCell ref="H322:K322"/>
    <mergeCell ref="I437:L437"/>
    <mergeCell ref="I438:L438"/>
    <mergeCell ref="I439:L439"/>
    <mergeCell ref="I356:L356"/>
    <mergeCell ref="I338:L338"/>
    <mergeCell ref="I344:L344"/>
    <mergeCell ref="H308:K308"/>
    <mergeCell ref="I435:L435"/>
    <mergeCell ref="I436:L436"/>
    <mergeCell ref="H319:K319"/>
    <mergeCell ref="H320:K320"/>
    <mergeCell ref="H321:K321"/>
    <mergeCell ref="I431:L431"/>
    <mergeCell ref="I432:L432"/>
    <mergeCell ref="H314:K314"/>
    <mergeCell ref="H315:K315"/>
    <mergeCell ref="H316:K316"/>
    <mergeCell ref="I433:L433"/>
    <mergeCell ref="I345:L345"/>
    <mergeCell ref="I359:L359"/>
    <mergeCell ref="I376:L376"/>
    <mergeCell ref="I372:L372"/>
    <mergeCell ref="I373:L373"/>
    <mergeCell ref="I349:L349"/>
    <mergeCell ref="I353:L353"/>
    <mergeCell ref="I357:L357"/>
    <mergeCell ref="I361:L361"/>
    <mergeCell ref="H309:K309"/>
    <mergeCell ref="H281:K281"/>
    <mergeCell ref="H272:K272"/>
    <mergeCell ref="H273:K273"/>
    <mergeCell ref="H274:K274"/>
    <mergeCell ref="H275:K275"/>
    <mergeCell ref="H276:K276"/>
    <mergeCell ref="H278:K278"/>
    <mergeCell ref="H280:K280"/>
    <mergeCell ref="H279:K279"/>
    <mergeCell ref="H277:K277"/>
    <mergeCell ref="H289:K289"/>
    <mergeCell ref="H290:K290"/>
    <mergeCell ref="H291:K291"/>
    <mergeCell ref="H292:K292"/>
    <mergeCell ref="H298:K298"/>
    <mergeCell ref="H299:K299"/>
    <mergeCell ref="H307:K307"/>
    <mergeCell ref="H306:K306"/>
    <mergeCell ref="H313:K313"/>
    <mergeCell ref="I355:L355"/>
    <mergeCell ref="H317:K317"/>
    <mergeCell ref="H318:K318"/>
    <mergeCell ref="I334:L334"/>
    <mergeCell ref="I347:L347"/>
    <mergeCell ref="I346:L346"/>
    <mergeCell ref="I352:L352"/>
    <mergeCell ref="I354:L354"/>
    <mergeCell ref="I351:L351"/>
    <mergeCell ref="I350:L350"/>
    <mergeCell ref="I343:L343"/>
    <mergeCell ref="I348:L348"/>
    <mergeCell ref="I336:L336"/>
    <mergeCell ref="I339:L339"/>
    <mergeCell ref="I341:L341"/>
    <mergeCell ref="I337:L337"/>
    <mergeCell ref="H312:K312"/>
    <mergeCell ref="I365:L365"/>
    <mergeCell ref="H267:K267"/>
    <mergeCell ref="H251:K251"/>
    <mergeCell ref="H297:K297"/>
    <mergeCell ref="H295:K295"/>
    <mergeCell ref="I333:L333"/>
    <mergeCell ref="I340:L340"/>
    <mergeCell ref="H258:K258"/>
    <mergeCell ref="I335:L335"/>
    <mergeCell ref="H302:K302"/>
    <mergeCell ref="H294:K294"/>
    <mergeCell ref="H286:K286"/>
    <mergeCell ref="H287:K287"/>
    <mergeCell ref="H288:K288"/>
    <mergeCell ref="H304:K304"/>
    <mergeCell ref="H300:K300"/>
    <mergeCell ref="H301:K301"/>
    <mergeCell ref="H303:K303"/>
    <mergeCell ref="H266:K266"/>
    <mergeCell ref="H293:K293"/>
    <mergeCell ref="H296:K296"/>
    <mergeCell ref="H270:K270"/>
    <mergeCell ref="H271:K271"/>
    <mergeCell ref="B331:D331"/>
    <mergeCell ref="H228:K228"/>
    <mergeCell ref="H211:K211"/>
    <mergeCell ref="H200:K200"/>
    <mergeCell ref="H232:K232"/>
    <mergeCell ref="H236:K236"/>
    <mergeCell ref="H238:K238"/>
    <mergeCell ref="H237:K237"/>
    <mergeCell ref="H233:K233"/>
    <mergeCell ref="H231:K231"/>
    <mergeCell ref="H213:K213"/>
    <mergeCell ref="H216:K216"/>
    <mergeCell ref="H214:K214"/>
    <mergeCell ref="H220:K220"/>
    <mergeCell ref="H221:K221"/>
    <mergeCell ref="H234:K234"/>
    <mergeCell ref="H207:K207"/>
    <mergeCell ref="H235:K235"/>
    <mergeCell ref="H246:K246"/>
    <mergeCell ref="H230:K230"/>
    <mergeCell ref="H254:K254"/>
    <mergeCell ref="H215:K215"/>
    <mergeCell ref="H204:K204"/>
    <mergeCell ref="H226:K22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81:L18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198:K198"/>
    <mergeCell ref="H208:K208"/>
    <mergeCell ref="H225:K225"/>
    <mergeCell ref="H224:K224"/>
    <mergeCell ref="H197:K197"/>
    <mergeCell ref="H203:K203"/>
    <mergeCell ref="H199:K199"/>
    <mergeCell ref="H202:K202"/>
    <mergeCell ref="H201:K201"/>
    <mergeCell ref="H210:K210"/>
    <mergeCell ref="H212:K212"/>
    <mergeCell ref="H217:K217"/>
    <mergeCell ref="H219:K219"/>
    <mergeCell ref="H209:K209"/>
    <mergeCell ref="H222:K222"/>
    <mergeCell ref="H218:K218"/>
    <mergeCell ref="H244:K244"/>
    <mergeCell ref="H245:K245"/>
    <mergeCell ref="H248:K248"/>
    <mergeCell ref="H243:K243"/>
    <mergeCell ref="H252:K252"/>
    <mergeCell ref="H257:K257"/>
    <mergeCell ref="H265:K265"/>
    <mergeCell ref="H269:K269"/>
    <mergeCell ref="H268:K268"/>
    <mergeCell ref="I103:L103"/>
    <mergeCell ref="H305:K305"/>
    <mergeCell ref="I97:L97"/>
    <mergeCell ref="I87:L87"/>
    <mergeCell ref="I88:L88"/>
    <mergeCell ref="I92:L92"/>
    <mergeCell ref="I90:L90"/>
    <mergeCell ref="I94:L94"/>
    <mergeCell ref="H195:K195"/>
    <mergeCell ref="I188:L188"/>
    <mergeCell ref="I189:L189"/>
    <mergeCell ref="I184:L184"/>
    <mergeCell ref="I183:L183"/>
    <mergeCell ref="I187:L187"/>
    <mergeCell ref="H283:K283"/>
    <mergeCell ref="H284:K284"/>
    <mergeCell ref="H285:K285"/>
    <mergeCell ref="I98:L98"/>
    <mergeCell ref="H196:K196"/>
    <mergeCell ref="H223:K223"/>
    <mergeCell ref="I99:L99"/>
    <mergeCell ref="I182:L182"/>
    <mergeCell ref="H227:K227"/>
    <mergeCell ref="H229:K229"/>
    <mergeCell ref="I104:L104"/>
    <mergeCell ref="H239:K239"/>
    <mergeCell ref="H240:K240"/>
    <mergeCell ref="H250:K250"/>
    <mergeCell ref="H249:K249"/>
    <mergeCell ref="I342:L342"/>
    <mergeCell ref="I332:L332"/>
    <mergeCell ref="H256:K256"/>
    <mergeCell ref="H282:K282"/>
    <mergeCell ref="H262:K262"/>
    <mergeCell ref="H263:K263"/>
    <mergeCell ref="H264:K264"/>
    <mergeCell ref="H260:K260"/>
    <mergeCell ref="H310:K310"/>
    <mergeCell ref="H311:K311"/>
    <mergeCell ref="H205:K205"/>
    <mergeCell ref="H206:K206"/>
    <mergeCell ref="H241:K241"/>
    <mergeCell ref="H247:K247"/>
    <mergeCell ref="H255:K255"/>
    <mergeCell ref="H261:K261"/>
    <mergeCell ref="H253:K253"/>
    <mergeCell ref="H259:K259"/>
    <mergeCell ref="H242:K242"/>
    <mergeCell ref="I100:L100"/>
    <mergeCell ref="I186:L186"/>
    <mergeCell ref="I185:L185"/>
    <mergeCell ref="H194:K194"/>
    <mergeCell ref="I191:L191"/>
    <mergeCell ref="I428:L428"/>
    <mergeCell ref="I425:L425"/>
    <mergeCell ref="I426:L426"/>
    <mergeCell ref="I421:L421"/>
    <mergeCell ref="I366:L366"/>
    <mergeCell ref="I390:L390"/>
    <mergeCell ref="I379:L379"/>
    <mergeCell ref="I380:L380"/>
    <mergeCell ref="I367:L367"/>
    <mergeCell ref="I370:L370"/>
    <mergeCell ref="I409:L409"/>
    <mergeCell ref="I418:L418"/>
    <mergeCell ref="I416:L416"/>
    <mergeCell ref="I417:L417"/>
    <mergeCell ref="I413:L413"/>
    <mergeCell ref="I411:L411"/>
    <mergeCell ref="I410:L410"/>
    <mergeCell ref="I406:L406"/>
    <mergeCell ref="I371:L371"/>
    <mergeCell ref="I378:L378"/>
    <mergeCell ref="I403:L403"/>
    <mergeCell ref="I392:L392"/>
    <mergeCell ref="I384:L384"/>
    <mergeCell ref="I427:L427"/>
    <mergeCell ref="I423:L423"/>
    <mergeCell ref="I424:L424"/>
    <mergeCell ref="I404:L404"/>
    <mergeCell ref="I358:L358"/>
    <mergeCell ref="I363:L363"/>
    <mergeCell ref="I364:L364"/>
    <mergeCell ref="I369:L369"/>
    <mergeCell ref="I374:L374"/>
    <mergeCell ref="I368:L368"/>
    <mergeCell ref="I375:L375"/>
    <mergeCell ref="I402:L402"/>
    <mergeCell ref="I401:L401"/>
    <mergeCell ref="I395:L395"/>
    <mergeCell ref="I385:L385"/>
    <mergeCell ref="I389:L389"/>
    <mergeCell ref="I398:L398"/>
    <mergeCell ref="I383:L383"/>
    <mergeCell ref="I386:L386"/>
    <mergeCell ref="I377:L377"/>
    <mergeCell ref="I434:L434"/>
    <mergeCell ref="I420:L420"/>
    <mergeCell ref="I408:L408"/>
    <mergeCell ref="I381:L381"/>
    <mergeCell ref="I407:L407"/>
    <mergeCell ref="I397:L397"/>
    <mergeCell ref="I391:L391"/>
    <mergeCell ref="I405:L405"/>
    <mergeCell ref="I396:L396"/>
    <mergeCell ref="I399:L399"/>
    <mergeCell ref="I387:L387"/>
    <mergeCell ref="I429:L429"/>
    <mergeCell ref="I430:L430"/>
    <mergeCell ref="I414:L414"/>
    <mergeCell ref="I415:L415"/>
    <mergeCell ref="I422:L422"/>
    <mergeCell ref="I394:L394"/>
    <mergeCell ref="I393:L393"/>
    <mergeCell ref="I388:L388"/>
    <mergeCell ref="I382:L382"/>
    <mergeCell ref="I400:L400"/>
  </mergeCells>
  <phoneticPr fontId="57" type="noConversion"/>
  <conditionalFormatting sqref="C13:C191">
    <cfRule type="duplicateValues" dxfId="121" priority="284"/>
  </conditionalFormatting>
  <conditionalFormatting sqref="C258">
    <cfRule type="duplicateValues" dxfId="120" priority="107"/>
  </conditionalFormatting>
  <conditionalFormatting sqref="C259">
    <cfRule type="duplicateValues" dxfId="119" priority="106"/>
  </conditionalFormatting>
  <conditionalFormatting sqref="C260:C261">
    <cfRule type="duplicateValues" dxfId="118" priority="105"/>
  </conditionalFormatting>
  <conditionalFormatting sqref="C262:C264 C266:C268 C270:C273">
    <cfRule type="duplicateValues" dxfId="117" priority="163"/>
  </conditionalFormatting>
  <conditionalFormatting sqref="C265">
    <cfRule type="duplicateValues" dxfId="116" priority="92"/>
  </conditionalFormatting>
  <conditionalFormatting sqref="C269">
    <cfRule type="duplicateValues" dxfId="115" priority="91"/>
  </conditionalFormatting>
  <conditionalFormatting sqref="C274">
    <cfRule type="duplicateValues" dxfId="114" priority="95"/>
  </conditionalFormatting>
  <conditionalFormatting sqref="C275">
    <cfRule type="duplicateValues" dxfId="113" priority="94"/>
  </conditionalFormatting>
  <conditionalFormatting sqref="C276">
    <cfRule type="duplicateValues" dxfId="112" priority="93"/>
  </conditionalFormatting>
  <conditionalFormatting sqref="C277">
    <cfRule type="duplicateValues" dxfId="111" priority="90"/>
  </conditionalFormatting>
  <conditionalFormatting sqref="C278">
    <cfRule type="duplicateValues" dxfId="110" priority="89"/>
  </conditionalFormatting>
  <conditionalFormatting sqref="C279">
    <cfRule type="duplicateValues" dxfId="109" priority="88"/>
  </conditionalFormatting>
  <conditionalFormatting sqref="C280">
    <cfRule type="duplicateValues" dxfId="108" priority="87"/>
  </conditionalFormatting>
  <conditionalFormatting sqref="C281">
    <cfRule type="duplicateValues" dxfId="107" priority="86"/>
  </conditionalFormatting>
  <conditionalFormatting sqref="C282">
    <cfRule type="duplicateValues" dxfId="106" priority="85"/>
  </conditionalFormatting>
  <conditionalFormatting sqref="C283">
    <cfRule type="duplicateValues" dxfId="105" priority="84"/>
  </conditionalFormatting>
  <conditionalFormatting sqref="C284">
    <cfRule type="duplicateValues" dxfId="104" priority="83"/>
  </conditionalFormatting>
  <conditionalFormatting sqref="C285 C287">
    <cfRule type="duplicateValues" dxfId="103" priority="82"/>
  </conditionalFormatting>
  <conditionalFormatting sqref="C286">
    <cfRule type="duplicateValues" dxfId="102" priority="80"/>
  </conditionalFormatting>
  <conditionalFormatting sqref="C288">
    <cfRule type="duplicateValues" dxfId="101" priority="79"/>
  </conditionalFormatting>
  <conditionalFormatting sqref="C290">
    <cfRule type="duplicateValues" dxfId="100" priority="78"/>
  </conditionalFormatting>
  <conditionalFormatting sqref="C291">
    <cfRule type="duplicateValues" dxfId="99" priority="77"/>
  </conditionalFormatting>
  <conditionalFormatting sqref="C292">
    <cfRule type="duplicateValues" dxfId="98" priority="76"/>
  </conditionalFormatting>
  <conditionalFormatting sqref="C293">
    <cfRule type="duplicateValues" dxfId="97" priority="75"/>
  </conditionalFormatting>
  <conditionalFormatting sqref="C294">
    <cfRule type="duplicateValues" dxfId="96" priority="74"/>
  </conditionalFormatting>
  <conditionalFormatting sqref="C295">
    <cfRule type="duplicateValues" dxfId="95" priority="73"/>
  </conditionalFormatting>
  <conditionalFormatting sqref="C296">
    <cfRule type="duplicateValues" dxfId="94" priority="72"/>
  </conditionalFormatting>
  <conditionalFormatting sqref="C297">
    <cfRule type="duplicateValues" dxfId="93" priority="70"/>
  </conditionalFormatting>
  <conditionalFormatting sqref="C298">
    <cfRule type="duplicateValues" dxfId="92" priority="67"/>
  </conditionalFormatting>
  <conditionalFormatting sqref="C299">
    <cfRule type="duplicateValues" dxfId="91" priority="61"/>
  </conditionalFormatting>
  <conditionalFormatting sqref="C300">
    <cfRule type="duplicateValues" dxfId="90" priority="47"/>
  </conditionalFormatting>
  <conditionalFormatting sqref="C301">
    <cfRule type="duplicateValues" dxfId="89" priority="246"/>
  </conditionalFormatting>
  <conditionalFormatting sqref="C302">
    <cfRule type="duplicateValues" dxfId="88" priority="38"/>
  </conditionalFormatting>
  <conditionalFormatting sqref="C303">
    <cfRule type="duplicateValues" dxfId="87" priority="39"/>
  </conditionalFormatting>
  <conditionalFormatting sqref="C304">
    <cfRule type="duplicateValues" dxfId="86" priority="36"/>
  </conditionalFormatting>
  <conditionalFormatting sqref="C305 C307">
    <cfRule type="duplicateValues" dxfId="85" priority="35"/>
  </conditionalFormatting>
  <conditionalFormatting sqref="C306">
    <cfRule type="duplicateValues" dxfId="84" priority="26"/>
  </conditionalFormatting>
  <conditionalFormatting sqref="C308">
    <cfRule type="duplicateValues" dxfId="83" priority="24"/>
  </conditionalFormatting>
  <conditionalFormatting sqref="C309">
    <cfRule type="duplicateValues" dxfId="82" priority="21"/>
  </conditionalFormatting>
  <conditionalFormatting sqref="C310">
    <cfRule type="duplicateValues" dxfId="81" priority="20"/>
  </conditionalFormatting>
  <conditionalFormatting sqref="C311">
    <cfRule type="duplicateValues" dxfId="80" priority="19"/>
  </conditionalFormatting>
  <conditionalFormatting sqref="C312">
    <cfRule type="duplicateValues" dxfId="79" priority="18"/>
  </conditionalFormatting>
  <conditionalFormatting sqref="C313 C323">
    <cfRule type="duplicateValues" dxfId="78" priority="276"/>
  </conditionalFormatting>
  <conditionalFormatting sqref="C314">
    <cfRule type="duplicateValues" dxfId="77" priority="16"/>
  </conditionalFormatting>
  <conditionalFormatting sqref="C315">
    <cfRule type="duplicateValues" dxfId="76" priority="15"/>
  </conditionalFormatting>
  <conditionalFormatting sqref="C316">
    <cfRule type="duplicateValues" dxfId="75" priority="14"/>
  </conditionalFormatting>
  <conditionalFormatting sqref="C317">
    <cfRule type="duplicateValues" dxfId="74" priority="12"/>
  </conditionalFormatting>
  <conditionalFormatting sqref="C318">
    <cfRule type="duplicateValues" dxfId="73" priority="11"/>
  </conditionalFormatting>
  <conditionalFormatting sqref="C319">
    <cfRule type="duplicateValues" dxfId="72" priority="7"/>
  </conditionalFormatting>
  <conditionalFormatting sqref="C320">
    <cfRule type="duplicateValues" dxfId="71" priority="6"/>
  </conditionalFormatting>
  <conditionalFormatting sqref="C321">
    <cfRule type="duplicateValues" dxfId="70" priority="5"/>
  </conditionalFormatting>
  <conditionalFormatting sqref="C402">
    <cfRule type="duplicateValues" dxfId="69" priority="103"/>
  </conditionalFormatting>
  <conditionalFormatting sqref="C403">
    <cfRule type="duplicateValues" dxfId="68" priority="81"/>
  </conditionalFormatting>
  <conditionalFormatting sqref="C406">
    <cfRule type="duplicateValues" dxfId="67" priority="71"/>
  </conditionalFormatting>
  <conditionalFormatting sqref="C407">
    <cfRule type="duplicateValues" dxfId="66" priority="58"/>
  </conditionalFormatting>
  <conditionalFormatting sqref="C408">
    <cfRule type="duplicateValues" dxfId="65" priority="68"/>
  </conditionalFormatting>
  <conditionalFormatting sqref="C409">
    <cfRule type="duplicateValues" dxfId="64" priority="200"/>
  </conditionalFormatting>
  <conditionalFormatting sqref="C410">
    <cfRule type="duplicateValues" dxfId="63" priority="64"/>
  </conditionalFormatting>
  <conditionalFormatting sqref="C411">
    <cfRule type="duplicateValues" dxfId="62" priority="62"/>
  </conditionalFormatting>
  <conditionalFormatting sqref="C412">
    <cfRule type="duplicateValues" dxfId="61" priority="52"/>
  </conditionalFormatting>
  <conditionalFormatting sqref="C413">
    <cfRule type="duplicateValues" dxfId="60" priority="63"/>
  </conditionalFormatting>
  <conditionalFormatting sqref="C414">
    <cfRule type="duplicateValues" dxfId="59" priority="50"/>
  </conditionalFormatting>
  <conditionalFormatting sqref="C415">
    <cfRule type="duplicateValues" dxfId="58" priority="49"/>
  </conditionalFormatting>
  <conditionalFormatting sqref="C416">
    <cfRule type="duplicateValues" dxfId="57" priority="59"/>
  </conditionalFormatting>
  <conditionalFormatting sqref="C417">
    <cfRule type="duplicateValues" dxfId="56" priority="60"/>
  </conditionalFormatting>
  <conditionalFormatting sqref="C418">
    <cfRule type="duplicateValues" dxfId="55" priority="54"/>
  </conditionalFormatting>
  <conditionalFormatting sqref="C419">
    <cfRule type="duplicateValues" dxfId="54" priority="53"/>
  </conditionalFormatting>
  <conditionalFormatting sqref="C420">
    <cfRule type="duplicateValues" dxfId="53" priority="51"/>
  </conditionalFormatting>
  <conditionalFormatting sqref="C421">
    <cfRule type="duplicateValues" dxfId="52" priority="34"/>
  </conditionalFormatting>
  <conditionalFormatting sqref="C422">
    <cfRule type="duplicateValues" dxfId="51" priority="33"/>
  </conditionalFormatting>
  <conditionalFormatting sqref="C423">
    <cfRule type="duplicateValues" dxfId="50" priority="29"/>
  </conditionalFormatting>
  <conditionalFormatting sqref="C424">
    <cfRule type="duplicateValues" dxfId="49" priority="28"/>
  </conditionalFormatting>
  <conditionalFormatting sqref="C425">
    <cfRule type="duplicateValues" dxfId="48" priority="25"/>
  </conditionalFormatting>
  <conditionalFormatting sqref="C426">
    <cfRule type="duplicateValues" dxfId="47" priority="256"/>
  </conditionalFormatting>
  <conditionalFormatting sqref="C427">
    <cfRule type="duplicateValues" dxfId="46" priority="22"/>
  </conditionalFormatting>
  <conditionalFormatting sqref="C428">
    <cfRule type="duplicateValues" dxfId="45" priority="42"/>
  </conditionalFormatting>
  <conditionalFormatting sqref="C429">
    <cfRule type="duplicateValues" dxfId="44" priority="31"/>
  </conditionalFormatting>
  <conditionalFormatting sqref="C430">
    <cfRule type="duplicateValues" dxfId="43" priority="30"/>
  </conditionalFormatting>
  <conditionalFormatting sqref="C433">
    <cfRule type="duplicateValues" dxfId="42" priority="13"/>
  </conditionalFormatting>
  <conditionalFormatting sqref="C434">
    <cfRule type="duplicateValues" dxfId="41" priority="10"/>
  </conditionalFormatting>
  <conditionalFormatting sqref="C435">
    <cfRule type="duplicateValues" dxfId="40" priority="9"/>
  </conditionalFormatting>
  <conditionalFormatting sqref="C436">
    <cfRule type="duplicateValues" dxfId="39" priority="8"/>
  </conditionalFormatting>
  <conditionalFormatting sqref="D307">
    <cfRule type="duplicateValues" dxfId="38" priority="27"/>
  </conditionalFormatting>
  <conditionalFormatting sqref="C322">
    <cfRule type="duplicateValues" dxfId="37" priority="4"/>
  </conditionalFormatting>
  <conditionalFormatting sqref="C437">
    <cfRule type="duplicateValues" dxfId="36" priority="3"/>
  </conditionalFormatting>
  <conditionalFormatting sqref="C438">
    <cfRule type="duplicateValues" dxfId="35" priority="2"/>
  </conditionalFormatting>
  <conditionalFormatting sqref="C439">
    <cfRule type="duplicateValues" dxfId="34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K18" sqref="K18:K27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8"/>
      <c r="B1" s="1375" t="s">
        <v>111</v>
      </c>
      <c r="C1" s="1373"/>
      <c r="D1" s="1373"/>
      <c r="E1" s="1373"/>
      <c r="F1" s="1373"/>
      <c r="G1" s="1373"/>
      <c r="H1" s="1373"/>
      <c r="I1" s="1374"/>
      <c r="J1" s="711"/>
      <c r="K1" s="1109"/>
      <c r="L1" s="1109"/>
      <c r="M1" s="1109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</row>
    <row r="2" spans="1:26" ht="18" customHeight="1" thickBot="1" x14ac:dyDescent="0.4">
      <c r="A2" s="1108"/>
      <c r="B2" s="1376" t="s">
        <v>112</v>
      </c>
      <c r="C2" s="1377"/>
      <c r="D2" s="1377"/>
      <c r="E2" s="1377"/>
      <c r="F2" s="1377"/>
      <c r="G2" s="1377"/>
      <c r="H2" s="1377"/>
      <c r="I2" s="1378"/>
      <c r="J2" s="711"/>
      <c r="K2" s="1109"/>
      <c r="L2" s="1109"/>
      <c r="M2" s="1109"/>
      <c r="N2" s="1108"/>
      <c r="O2" s="1108"/>
      <c r="P2" s="1108"/>
      <c r="Q2" s="1108"/>
      <c r="R2" s="1108"/>
      <c r="S2" s="1108"/>
      <c r="T2" s="1108"/>
      <c r="U2" s="1108"/>
      <c r="V2" s="1108"/>
      <c r="W2" s="1108"/>
      <c r="X2" s="1108"/>
      <c r="Y2" s="1108"/>
      <c r="Z2" s="1108"/>
    </row>
    <row r="3" spans="1:26" ht="18" customHeight="1" thickBot="1" x14ac:dyDescent="0.4">
      <c r="A3" s="1108"/>
      <c r="B3" s="1189" t="s">
        <v>113</v>
      </c>
      <c r="C3" s="1203" t="s">
        <v>114</v>
      </c>
      <c r="D3" s="1179" t="s">
        <v>23</v>
      </c>
      <c r="E3" s="1179" t="s">
        <v>115</v>
      </c>
      <c r="F3" s="1179" t="s">
        <v>116</v>
      </c>
      <c r="G3" s="1202" t="s">
        <v>57</v>
      </c>
      <c r="H3" s="1179"/>
      <c r="I3" s="1201"/>
      <c r="J3" s="711"/>
      <c r="K3" s="1109"/>
      <c r="L3" s="1109"/>
      <c r="M3" s="1109"/>
      <c r="N3" s="1108"/>
      <c r="O3" s="1108"/>
      <c r="P3" s="1108"/>
      <c r="Q3" s="1108"/>
      <c r="R3" s="1108"/>
      <c r="S3" s="1108"/>
      <c r="T3" s="1108"/>
      <c r="U3" s="1108"/>
      <c r="V3" s="1108"/>
      <c r="W3" s="1108"/>
      <c r="X3" s="1108"/>
      <c r="Y3" s="1108"/>
      <c r="Z3" s="1108"/>
    </row>
    <row r="4" spans="1:26" ht="18" customHeight="1" x14ac:dyDescent="0.35">
      <c r="A4" s="1108"/>
      <c r="B4" s="1199">
        <v>1</v>
      </c>
      <c r="C4" s="1165" t="s">
        <v>117</v>
      </c>
      <c r="D4" s="1165" t="s">
        <v>64</v>
      </c>
      <c r="E4" s="1165"/>
      <c r="F4" s="1198">
        <v>208</v>
      </c>
      <c r="G4" s="1197"/>
      <c r="H4" s="1165"/>
      <c r="I4" s="1196"/>
      <c r="J4" s="1200"/>
      <c r="K4" s="1109"/>
      <c r="L4" s="1109"/>
      <c r="M4" s="1109"/>
      <c r="N4" s="1108"/>
      <c r="O4" s="1108"/>
      <c r="P4" s="1108"/>
      <c r="Q4" s="1108"/>
      <c r="R4" s="1108"/>
      <c r="S4" s="1108"/>
      <c r="T4" s="1108"/>
      <c r="U4" s="1108"/>
      <c r="V4" s="1108"/>
      <c r="W4" s="1108"/>
      <c r="X4" s="1108"/>
      <c r="Y4" s="1108"/>
      <c r="Z4" s="1108"/>
    </row>
    <row r="5" spans="1:26" ht="18" customHeight="1" x14ac:dyDescent="0.35">
      <c r="A5" s="1108"/>
      <c r="B5" s="1199">
        <v>2</v>
      </c>
      <c r="C5" s="1165" t="s">
        <v>118</v>
      </c>
      <c r="D5" s="1165" t="s">
        <v>64</v>
      </c>
      <c r="E5" s="1165"/>
      <c r="F5" s="1198">
        <v>37</v>
      </c>
      <c r="G5" s="1197"/>
      <c r="H5" s="1165"/>
      <c r="I5" s="1196"/>
      <c r="J5" s="1200"/>
      <c r="K5" s="1109"/>
      <c r="L5" s="1109"/>
      <c r="M5" s="1109"/>
      <c r="N5" s="1108"/>
      <c r="O5" s="1108"/>
      <c r="P5" s="1108"/>
      <c r="Q5" s="1108"/>
      <c r="R5" s="1108"/>
      <c r="S5" s="1108"/>
      <c r="T5" s="1108"/>
      <c r="U5" s="1108"/>
      <c r="V5" s="1108"/>
      <c r="W5" s="1108"/>
      <c r="X5" s="1108"/>
      <c r="Y5" s="1108"/>
      <c r="Z5" s="1108"/>
    </row>
    <row r="6" spans="1:26" ht="18" customHeight="1" x14ac:dyDescent="0.35">
      <c r="A6" s="1108"/>
      <c r="B6" s="1199">
        <v>3</v>
      </c>
      <c r="C6" s="1165" t="s">
        <v>119</v>
      </c>
      <c r="D6" s="1165" t="s">
        <v>64</v>
      </c>
      <c r="E6" s="1165"/>
      <c r="F6" s="1198">
        <v>20</v>
      </c>
      <c r="G6" s="1197"/>
      <c r="H6" s="1165"/>
      <c r="I6" s="1196"/>
      <c r="J6" s="1200"/>
      <c r="K6" s="1109"/>
      <c r="L6" s="1109"/>
      <c r="M6" s="1109"/>
      <c r="N6" s="1108"/>
      <c r="O6" s="1108"/>
      <c r="P6" s="1108"/>
      <c r="Q6" s="1108"/>
      <c r="R6" s="1108"/>
      <c r="S6" s="1108"/>
      <c r="T6" s="1108"/>
      <c r="U6" s="1108"/>
      <c r="V6" s="1108"/>
      <c r="W6" s="1108"/>
      <c r="X6" s="1108"/>
      <c r="Y6" s="1108"/>
      <c r="Z6" s="1108"/>
    </row>
    <row r="7" spans="1:26" ht="18" customHeight="1" x14ac:dyDescent="0.35">
      <c r="A7" s="1108"/>
      <c r="B7" s="1199">
        <v>4</v>
      </c>
      <c r="C7" s="1165" t="s">
        <v>120</v>
      </c>
      <c r="D7" s="1165" t="s">
        <v>64</v>
      </c>
      <c r="E7" s="1165"/>
      <c r="F7" s="1198">
        <v>8</v>
      </c>
      <c r="G7" s="1197"/>
      <c r="H7" s="1165"/>
      <c r="I7" s="1196"/>
      <c r="J7" s="1200"/>
      <c r="K7" s="1109"/>
      <c r="L7" s="1109"/>
      <c r="M7" s="1109"/>
      <c r="N7" s="1108"/>
      <c r="O7" s="1108"/>
      <c r="P7" s="1108"/>
      <c r="Q7" s="1108"/>
      <c r="R7" s="1108"/>
      <c r="S7" s="1108"/>
      <c r="T7" s="1108"/>
      <c r="U7" s="1108"/>
      <c r="V7" s="1108"/>
      <c r="W7" s="1108"/>
      <c r="X7" s="1108"/>
      <c r="Y7" s="1108"/>
      <c r="Z7" s="1108"/>
    </row>
    <row r="8" spans="1:26" ht="18" customHeight="1" x14ac:dyDescent="0.35">
      <c r="A8" s="1108"/>
      <c r="B8" s="1199">
        <v>5</v>
      </c>
      <c r="C8" s="1165" t="s">
        <v>121</v>
      </c>
      <c r="D8" s="1165" t="s">
        <v>64</v>
      </c>
      <c r="E8" s="1165"/>
      <c r="F8" s="1198">
        <v>4</v>
      </c>
      <c r="G8" s="1197"/>
      <c r="H8" s="1165"/>
      <c r="I8" s="1196"/>
      <c r="J8" s="1195"/>
      <c r="K8" s="1109"/>
      <c r="L8" s="1109"/>
      <c r="M8" s="1109"/>
      <c r="N8" s="1108"/>
      <c r="O8" s="1108"/>
      <c r="P8" s="1108"/>
      <c r="Q8" s="1108"/>
      <c r="R8" s="1108"/>
      <c r="S8" s="1108"/>
      <c r="T8" s="1108"/>
      <c r="U8" s="1108"/>
      <c r="V8" s="1108"/>
      <c r="W8" s="1108"/>
      <c r="X8" s="1108"/>
      <c r="Y8" s="1108"/>
      <c r="Z8" s="1108"/>
    </row>
    <row r="9" spans="1:26" ht="18" customHeight="1" thickBot="1" x14ac:dyDescent="0.4">
      <c r="A9" s="1108"/>
      <c r="B9" s="1194"/>
      <c r="C9" s="1191" t="s">
        <v>122</v>
      </c>
      <c r="D9" s="1191" t="s">
        <v>64</v>
      </c>
      <c r="E9" s="1191">
        <f>SUM(E4:E8)</f>
        <v>0</v>
      </c>
      <c r="F9" s="1193">
        <f>SUM(F4:F8)</f>
        <v>277</v>
      </c>
      <c r="G9" s="1192">
        <f>SUM(G4:G8)</f>
        <v>0</v>
      </c>
      <c r="H9" s="1191">
        <f>SUM(H4:H8)</f>
        <v>0</v>
      </c>
      <c r="I9" s="1191">
        <f>SUM(I4:I8)</f>
        <v>0</v>
      </c>
      <c r="J9" s="711"/>
      <c r="K9" s="1109"/>
      <c r="L9" s="1109"/>
      <c r="M9" s="1109"/>
      <c r="N9" s="1108"/>
      <c r="O9" s="1108"/>
      <c r="P9" s="1108"/>
      <c r="Q9" s="1108"/>
      <c r="R9" s="1108"/>
      <c r="S9" s="1108"/>
      <c r="T9" s="1108"/>
      <c r="U9" s="1108"/>
      <c r="V9" s="1108"/>
      <c r="W9" s="1108"/>
      <c r="X9" s="1108"/>
      <c r="Y9" s="1108"/>
      <c r="Z9" s="1108"/>
    </row>
    <row r="10" spans="1:26" ht="18" customHeight="1" thickBot="1" x14ac:dyDescent="0.4">
      <c r="A10" s="1108"/>
      <c r="B10" s="711"/>
      <c r="C10" s="711"/>
      <c r="D10" s="711"/>
      <c r="E10" s="711"/>
      <c r="F10" s="711"/>
      <c r="G10" s="711"/>
      <c r="H10" s="1190"/>
      <c r="I10" s="1190"/>
      <c r="J10" s="711"/>
      <c r="K10" s="1109"/>
      <c r="L10" s="1109"/>
      <c r="M10" s="1109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08"/>
      <c r="Z10" s="1108"/>
    </row>
    <row r="11" spans="1:26" ht="18" customHeight="1" thickBot="1" x14ac:dyDescent="0.4">
      <c r="A11" s="1108"/>
      <c r="B11" s="1372" t="s">
        <v>123</v>
      </c>
      <c r="C11" s="1373"/>
      <c r="D11" s="1373"/>
      <c r="E11" s="1373"/>
      <c r="F11" s="1373"/>
      <c r="G11" s="1373"/>
      <c r="H11" s="1373"/>
      <c r="I11" s="1373"/>
      <c r="J11" s="1374"/>
      <c r="K11" s="1109"/>
      <c r="L11" s="1109"/>
      <c r="M11" s="1109"/>
      <c r="N11" s="1108"/>
      <c r="O11" s="1108"/>
      <c r="P11" s="1108"/>
      <c r="Q11" s="1108"/>
      <c r="R11" s="1108"/>
      <c r="S11" s="1108"/>
      <c r="T11" s="1108"/>
      <c r="U11" s="1108"/>
      <c r="V11" s="1108"/>
      <c r="W11" s="1108"/>
      <c r="X11" s="1108"/>
      <c r="Y11" s="1108"/>
      <c r="Z11" s="1108"/>
    </row>
    <row r="12" spans="1:26" ht="18" customHeight="1" thickBot="1" x14ac:dyDescent="0.4">
      <c r="A12" s="1108"/>
      <c r="B12" s="1143" t="s">
        <v>113</v>
      </c>
      <c r="C12" s="1189" t="s">
        <v>124</v>
      </c>
      <c r="D12" s="1188" t="s">
        <v>114</v>
      </c>
      <c r="E12" s="1188" t="s">
        <v>115</v>
      </c>
      <c r="F12" s="1188" t="s">
        <v>116</v>
      </c>
      <c r="G12" s="1188" t="s">
        <v>125</v>
      </c>
      <c r="H12" s="1188"/>
      <c r="I12" s="1188"/>
      <c r="J12" s="1187" t="s">
        <v>85</v>
      </c>
      <c r="K12" s="1109"/>
      <c r="L12" s="1109"/>
      <c r="M12" s="1109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08"/>
      <c r="Z12" s="1108"/>
    </row>
    <row r="13" spans="1:26" ht="18" customHeight="1" x14ac:dyDescent="0.35">
      <c r="A13" s="1108"/>
      <c r="B13" s="1376">
        <v>1</v>
      </c>
      <c r="C13" s="1381" t="s">
        <v>126</v>
      </c>
      <c r="D13" s="1179" t="s">
        <v>127</v>
      </c>
      <c r="E13" s="1181"/>
      <c r="F13" s="1180">
        <v>216</v>
      </c>
      <c r="G13" s="1179"/>
      <c r="H13" s="1179"/>
      <c r="I13" s="1183"/>
      <c r="J13" s="1186"/>
      <c r="K13" s="1109"/>
      <c r="L13" s="1109"/>
      <c r="M13" s="1109"/>
      <c r="N13" s="1108"/>
      <c r="O13" s="1108"/>
      <c r="P13" s="1108"/>
      <c r="Q13" s="1108"/>
      <c r="R13" s="1108"/>
      <c r="S13" s="1108"/>
      <c r="T13" s="1108"/>
      <c r="U13" s="1108"/>
      <c r="V13" s="1108"/>
      <c r="W13" s="1108"/>
      <c r="X13" s="1108"/>
      <c r="Y13" s="1108"/>
      <c r="Z13" s="1108"/>
    </row>
    <row r="14" spans="1:26" ht="18" customHeight="1" x14ac:dyDescent="0.35">
      <c r="A14" s="1108"/>
      <c r="B14" s="1379"/>
      <c r="C14" s="1382"/>
      <c r="D14" s="1167" t="s">
        <v>128</v>
      </c>
      <c r="E14" s="1166"/>
      <c r="F14" s="1168">
        <v>168</v>
      </c>
      <c r="G14" s="1165"/>
      <c r="H14" s="1165"/>
      <c r="I14" s="1176"/>
      <c r="J14" s="1185"/>
      <c r="K14" s="1109"/>
      <c r="L14" s="1109"/>
      <c r="M14" s="1109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</row>
    <row r="15" spans="1:26" ht="18" customHeight="1" x14ac:dyDescent="0.35">
      <c r="A15" s="1108"/>
      <c r="B15" s="1379"/>
      <c r="C15" s="1382"/>
      <c r="D15" s="1167" t="s">
        <v>129</v>
      </c>
      <c r="E15" s="1166"/>
      <c r="F15" s="1168">
        <v>48</v>
      </c>
      <c r="G15" s="1165"/>
      <c r="H15" s="1165"/>
      <c r="I15" s="1176"/>
      <c r="J15" s="1185"/>
      <c r="K15" s="1109"/>
      <c r="L15" s="1109"/>
      <c r="M15" s="1109"/>
      <c r="N15" s="1108"/>
      <c r="O15" s="1108"/>
      <c r="P15" s="1108"/>
      <c r="Q15" s="1108"/>
      <c r="R15" s="1108"/>
      <c r="S15" s="1108"/>
      <c r="T15" s="1108"/>
      <c r="U15" s="1108"/>
      <c r="V15" s="1108"/>
      <c r="W15" s="1108"/>
      <c r="X15" s="1108"/>
      <c r="Y15" s="1108"/>
      <c r="Z15" s="1108"/>
    </row>
    <row r="16" spans="1:26" ht="18" customHeight="1" x14ac:dyDescent="0.35">
      <c r="A16" s="1108"/>
      <c r="B16" s="1379"/>
      <c r="C16" s="1382"/>
      <c r="D16" s="1167" t="s">
        <v>130</v>
      </c>
      <c r="E16" s="1166"/>
      <c r="F16" s="1168">
        <v>21</v>
      </c>
      <c r="G16" s="1165"/>
      <c r="H16" s="1165"/>
      <c r="I16" s="1176"/>
      <c r="J16" s="1185"/>
      <c r="K16" s="1109"/>
      <c r="L16" s="1109"/>
      <c r="M16" s="1109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</row>
    <row r="17" spans="1:26" ht="18" customHeight="1" thickBot="1" x14ac:dyDescent="0.4">
      <c r="A17" s="1108"/>
      <c r="B17" s="1380"/>
      <c r="C17" s="1383"/>
      <c r="D17" s="1167" t="s">
        <v>131</v>
      </c>
      <c r="E17" s="1166"/>
      <c r="F17" s="1168">
        <v>12</v>
      </c>
      <c r="G17" s="1165"/>
      <c r="H17" s="1165"/>
      <c r="I17" s="1176"/>
      <c r="J17" s="1185"/>
      <c r="K17" s="1109"/>
      <c r="L17" s="1109"/>
      <c r="M17" s="1109"/>
      <c r="N17" s="1108"/>
      <c r="O17" s="1108"/>
      <c r="P17" s="1108"/>
      <c r="Q17" s="1108"/>
      <c r="R17" s="1108"/>
      <c r="S17" s="1108"/>
      <c r="T17" s="1108"/>
      <c r="U17" s="1108"/>
      <c r="V17" s="1108"/>
      <c r="W17" s="1108"/>
      <c r="X17" s="1108"/>
      <c r="Y17" s="1108"/>
      <c r="Z17" s="1108"/>
    </row>
    <row r="18" spans="1:26" ht="18" customHeight="1" thickBot="1" x14ac:dyDescent="0.4">
      <c r="A18" s="1108"/>
      <c r="B18" s="1376">
        <v>2</v>
      </c>
      <c r="C18" s="1381" t="s">
        <v>132</v>
      </c>
      <c r="D18" s="1179" t="s">
        <v>127</v>
      </c>
      <c r="E18" s="1181"/>
      <c r="F18" s="1180">
        <v>38</v>
      </c>
      <c r="G18" s="1179"/>
      <c r="H18" s="1179"/>
      <c r="I18" s="1183"/>
      <c r="J18" s="1178"/>
      <c r="K18" s="1384"/>
      <c r="L18" s="711"/>
      <c r="M18" s="1109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</row>
    <row r="19" spans="1:26" ht="18" customHeight="1" x14ac:dyDescent="0.35">
      <c r="A19" s="1108"/>
      <c r="B19" s="1379"/>
      <c r="C19" s="1382"/>
      <c r="D19" s="1167" t="s">
        <v>128</v>
      </c>
      <c r="E19" s="1166"/>
      <c r="F19" s="1180">
        <v>33</v>
      </c>
      <c r="G19" s="1165"/>
      <c r="H19" s="1165"/>
      <c r="I19" s="1176"/>
      <c r="J19" s="1175"/>
      <c r="K19" s="1385"/>
      <c r="L19" s="711"/>
      <c r="M19" s="1109"/>
      <c r="N19" s="1108"/>
      <c r="O19" s="1108"/>
      <c r="P19" s="1108"/>
      <c r="Q19" s="1108"/>
      <c r="R19" s="1108"/>
      <c r="S19" s="1108"/>
      <c r="T19" s="1108"/>
      <c r="U19" s="1108"/>
      <c r="V19" s="1108"/>
      <c r="W19" s="1108"/>
      <c r="X19" s="1108"/>
      <c r="Y19" s="1108"/>
      <c r="Z19" s="1108"/>
    </row>
    <row r="20" spans="1:26" ht="18" customHeight="1" x14ac:dyDescent="0.35">
      <c r="A20" s="1108"/>
      <c r="B20" s="1379"/>
      <c r="C20" s="1382"/>
      <c r="D20" s="1167" t="s">
        <v>129</v>
      </c>
      <c r="E20" s="1184"/>
      <c r="F20" s="1168">
        <v>5</v>
      </c>
      <c r="G20" s="1165"/>
      <c r="H20" s="1165"/>
      <c r="I20" s="1176"/>
      <c r="J20" s="1175"/>
      <c r="K20" s="1385"/>
      <c r="L20" s="711"/>
      <c r="M20" s="1109"/>
      <c r="N20" s="1108"/>
      <c r="O20" s="1108"/>
      <c r="P20" s="1108"/>
      <c r="Q20" s="1108"/>
      <c r="R20" s="1108"/>
      <c r="S20" s="1108"/>
      <c r="T20" s="1108"/>
      <c r="U20" s="1108"/>
      <c r="V20" s="1108"/>
      <c r="W20" s="1108"/>
      <c r="X20" s="1108"/>
      <c r="Y20" s="1108"/>
      <c r="Z20" s="1108"/>
    </row>
    <row r="21" spans="1:26" ht="18" customHeight="1" x14ac:dyDescent="0.35">
      <c r="A21" s="1108"/>
      <c r="B21" s="1379"/>
      <c r="C21" s="1382"/>
      <c r="D21" s="1167" t="s">
        <v>130</v>
      </c>
      <c r="E21" s="1166"/>
      <c r="F21" s="1168">
        <v>5</v>
      </c>
      <c r="G21" s="1165"/>
      <c r="H21" s="1165"/>
      <c r="I21" s="1176"/>
      <c r="J21" s="1175"/>
      <c r="K21" s="1385"/>
      <c r="L21" s="711"/>
      <c r="M21" s="1109"/>
      <c r="N21" s="1108"/>
      <c r="O21" s="1108"/>
      <c r="P21" s="1108"/>
      <c r="Q21" s="1108"/>
      <c r="R21" s="1108"/>
      <c r="S21" s="1108"/>
      <c r="T21" s="1108"/>
      <c r="U21" s="1108"/>
      <c r="V21" s="1108"/>
      <c r="W21" s="1108"/>
      <c r="X21" s="1108"/>
      <c r="Y21" s="1108"/>
      <c r="Z21" s="1108"/>
    </row>
    <row r="22" spans="1:26" ht="18" customHeight="1" thickBot="1" x14ac:dyDescent="0.4">
      <c r="A22" s="1108"/>
      <c r="B22" s="1380"/>
      <c r="C22" s="1383"/>
      <c r="D22" s="1167" t="s">
        <v>131</v>
      </c>
      <c r="E22" s="1166"/>
      <c r="F22" s="1168">
        <v>10</v>
      </c>
      <c r="G22" s="1165"/>
      <c r="H22" s="1165"/>
      <c r="I22" s="1176"/>
      <c r="J22" s="1175"/>
      <c r="K22" s="1385"/>
      <c r="L22" s="711"/>
      <c r="M22" s="1109"/>
      <c r="N22" s="1108"/>
      <c r="O22" s="1108"/>
      <c r="P22" s="1108"/>
      <c r="Q22" s="1108"/>
      <c r="R22" s="1108"/>
      <c r="S22" s="1108"/>
      <c r="T22" s="1108"/>
      <c r="U22" s="1108"/>
      <c r="V22" s="1108"/>
      <c r="W22" s="1108"/>
      <c r="X22" s="1108"/>
      <c r="Y22" s="1108"/>
      <c r="Z22" s="1108"/>
    </row>
    <row r="23" spans="1:26" ht="18" customHeight="1" x14ac:dyDescent="0.35">
      <c r="A23" s="1108"/>
      <c r="B23" s="1376">
        <v>3</v>
      </c>
      <c r="C23" s="1381" t="s">
        <v>133</v>
      </c>
      <c r="D23" s="1179" t="s">
        <v>127</v>
      </c>
      <c r="E23" s="1181"/>
      <c r="F23" s="1180">
        <v>21</v>
      </c>
      <c r="G23" s="1179"/>
      <c r="H23" s="1179"/>
      <c r="I23" s="1183"/>
      <c r="J23" s="1178"/>
      <c r="K23" s="1385"/>
      <c r="L23" s="711"/>
      <c r="M23" s="1109"/>
      <c r="N23" s="1108"/>
      <c r="O23" s="1108"/>
      <c r="P23" s="1108"/>
      <c r="Q23" s="1108"/>
      <c r="R23" s="1108"/>
      <c r="S23" s="1108"/>
      <c r="T23" s="1108"/>
      <c r="U23" s="1108"/>
      <c r="V23" s="1108"/>
      <c r="W23" s="1108"/>
      <c r="X23" s="1108"/>
      <c r="Y23" s="1108"/>
      <c r="Z23" s="1108"/>
    </row>
    <row r="24" spans="1:26" ht="18" customHeight="1" x14ac:dyDescent="0.35">
      <c r="A24" s="1108"/>
      <c r="B24" s="1379"/>
      <c r="C24" s="1382"/>
      <c r="D24" s="1167" t="s">
        <v>128</v>
      </c>
      <c r="E24" s="1166"/>
      <c r="F24" s="1168">
        <v>18</v>
      </c>
      <c r="G24" s="1165"/>
      <c r="H24" s="1165"/>
      <c r="I24" s="1176"/>
      <c r="J24" s="1175"/>
      <c r="K24" s="1385"/>
      <c r="L24" s="711"/>
      <c r="M24" s="1109"/>
      <c r="N24" s="1108"/>
      <c r="O24" s="1108"/>
      <c r="P24" s="1108"/>
      <c r="Q24" s="1108"/>
      <c r="R24" s="1108"/>
      <c r="S24" s="1108"/>
      <c r="T24" s="1108"/>
      <c r="U24" s="1108"/>
      <c r="V24" s="1108"/>
      <c r="W24" s="1108"/>
      <c r="X24" s="1108"/>
      <c r="Y24" s="1108"/>
      <c r="Z24" s="1108"/>
    </row>
    <row r="25" spans="1:26" ht="18" customHeight="1" x14ac:dyDescent="0.35">
      <c r="A25" s="1108"/>
      <c r="B25" s="1379"/>
      <c r="C25" s="1382"/>
      <c r="D25" s="1167" t="s">
        <v>129</v>
      </c>
      <c r="E25" s="1166"/>
      <c r="F25" s="1168">
        <v>3</v>
      </c>
      <c r="G25" s="1165"/>
      <c r="H25" s="1165"/>
      <c r="I25" s="1176"/>
      <c r="J25" s="1175"/>
      <c r="K25" s="1385"/>
      <c r="L25" s="711"/>
      <c r="M25" s="1109"/>
      <c r="N25" s="1108"/>
      <c r="O25" s="1108"/>
      <c r="P25" s="1108"/>
      <c r="Q25" s="1108"/>
      <c r="R25" s="1108"/>
      <c r="S25" s="1108"/>
      <c r="T25" s="1108"/>
      <c r="U25" s="1108"/>
      <c r="V25" s="1108"/>
      <c r="W25" s="1108"/>
      <c r="X25" s="1108"/>
      <c r="Y25" s="1108"/>
      <c r="Z25" s="1108"/>
    </row>
    <row r="26" spans="1:26" ht="18" customHeight="1" x14ac:dyDescent="0.35">
      <c r="A26" s="1108"/>
      <c r="B26" s="1379"/>
      <c r="C26" s="1382"/>
      <c r="D26" s="1167" t="s">
        <v>130</v>
      </c>
      <c r="E26" s="1166"/>
      <c r="F26" s="1168">
        <v>2</v>
      </c>
      <c r="G26" s="1165"/>
      <c r="H26" s="1165"/>
      <c r="I26" s="1176"/>
      <c r="J26" s="1175"/>
      <c r="K26" s="1385"/>
      <c r="L26" s="1182"/>
      <c r="M26" s="1109"/>
      <c r="N26" s="1108"/>
      <c r="O26" s="1108"/>
      <c r="P26" s="1108"/>
      <c r="Q26" s="1108"/>
      <c r="R26" s="1108"/>
      <c r="S26" s="1108"/>
      <c r="T26" s="1108"/>
      <c r="U26" s="1108"/>
      <c r="V26" s="1108"/>
      <c r="W26" s="1108"/>
      <c r="X26" s="1108"/>
      <c r="Y26" s="1108"/>
      <c r="Z26" s="1108"/>
    </row>
    <row r="27" spans="1:26" ht="18" customHeight="1" thickBot="1" x14ac:dyDescent="0.4">
      <c r="A27" s="1108"/>
      <c r="B27" s="1379"/>
      <c r="C27" s="1382"/>
      <c r="D27" s="1167" t="s">
        <v>131</v>
      </c>
      <c r="E27" s="1166"/>
      <c r="F27" s="1168">
        <v>3</v>
      </c>
      <c r="G27" s="1165"/>
      <c r="H27" s="1165"/>
      <c r="I27" s="1176"/>
      <c r="J27" s="1175"/>
      <c r="K27" s="1385"/>
      <c r="L27" s="711"/>
      <c r="M27" s="1109"/>
      <c r="N27" s="1108"/>
      <c r="O27" s="1108"/>
      <c r="P27" s="1108"/>
      <c r="Q27" s="1108"/>
      <c r="R27" s="1108"/>
      <c r="S27" s="1108"/>
      <c r="T27" s="1108"/>
      <c r="U27" s="1108"/>
      <c r="V27" s="1108"/>
      <c r="W27" s="1108"/>
      <c r="X27" s="1108"/>
      <c r="Y27" s="1108"/>
      <c r="Z27" s="1108"/>
    </row>
    <row r="28" spans="1:26" ht="18" customHeight="1" x14ac:dyDescent="0.35">
      <c r="A28" s="1108"/>
      <c r="B28" s="1376">
        <v>4</v>
      </c>
      <c r="C28" s="1381" t="s">
        <v>134</v>
      </c>
      <c r="D28" s="1179" t="s">
        <v>127</v>
      </c>
      <c r="E28" s="1181"/>
      <c r="F28" s="1180">
        <v>7</v>
      </c>
      <c r="G28" s="1179"/>
      <c r="H28" s="1179"/>
      <c r="I28" s="1178"/>
      <c r="J28" s="1178"/>
      <c r="K28" s="1386"/>
      <c r="L28" s="1385"/>
      <c r="M28" s="1109"/>
      <c r="N28" s="1108"/>
      <c r="O28" s="1108"/>
      <c r="P28" s="1108"/>
      <c r="Q28" s="1108"/>
      <c r="R28" s="1108"/>
      <c r="S28" s="1108"/>
      <c r="T28" s="1108"/>
      <c r="U28" s="1108"/>
      <c r="V28" s="1108"/>
      <c r="W28" s="1108"/>
      <c r="X28" s="1108"/>
      <c r="Y28" s="1108"/>
      <c r="Z28" s="1108"/>
    </row>
    <row r="29" spans="1:26" ht="18" customHeight="1" x14ac:dyDescent="0.35">
      <c r="A29" s="1108"/>
      <c r="B29" s="1379"/>
      <c r="C29" s="1382"/>
      <c r="D29" s="1167" t="s">
        <v>128</v>
      </c>
      <c r="E29" s="1166"/>
      <c r="F29" s="1177">
        <v>6</v>
      </c>
      <c r="G29" s="1165"/>
      <c r="H29" s="1165"/>
      <c r="I29" s="1175"/>
      <c r="J29" s="1175"/>
      <c r="K29" s="1387"/>
      <c r="L29" s="1388"/>
      <c r="M29" s="1109"/>
      <c r="N29" s="1108"/>
      <c r="O29" s="1108"/>
      <c r="P29" s="1108"/>
      <c r="Q29" s="1108"/>
      <c r="R29" s="1108"/>
      <c r="S29" s="1108"/>
      <c r="T29" s="1108"/>
      <c r="U29" s="1108"/>
      <c r="V29" s="1108"/>
      <c r="W29" s="1108"/>
      <c r="X29" s="1108"/>
      <c r="Y29" s="1108"/>
      <c r="Z29" s="1108"/>
    </row>
    <row r="30" spans="1:26" ht="18" x14ac:dyDescent="0.35">
      <c r="A30" s="1108"/>
      <c r="B30" s="1379"/>
      <c r="C30" s="1382"/>
      <c r="D30" s="1167" t="s">
        <v>129</v>
      </c>
      <c r="E30" s="1166"/>
      <c r="F30" s="1168">
        <v>1</v>
      </c>
      <c r="G30" s="1165"/>
      <c r="H30" s="1165"/>
      <c r="I30" s="1176"/>
      <c r="J30" s="1175"/>
      <c r="K30" s="1385"/>
      <c r="L30" s="1385"/>
      <c r="M30" s="1109"/>
      <c r="N30" s="1108"/>
      <c r="O30" s="1108"/>
      <c r="P30" s="1108"/>
      <c r="Q30" s="1108"/>
      <c r="R30" s="1108"/>
      <c r="S30" s="1108"/>
      <c r="T30" s="1108"/>
      <c r="U30" s="1108"/>
      <c r="V30" s="1108"/>
      <c r="W30" s="1108"/>
      <c r="X30" s="1108"/>
      <c r="Y30" s="1108"/>
      <c r="Z30" s="1108"/>
    </row>
    <row r="31" spans="1:26" ht="18" customHeight="1" x14ac:dyDescent="0.35">
      <c r="A31" s="1108"/>
      <c r="B31" s="1379"/>
      <c r="C31" s="1382"/>
      <c r="D31" s="1167" t="s">
        <v>130</v>
      </c>
      <c r="E31" s="1166"/>
      <c r="F31" s="1168">
        <v>0</v>
      </c>
      <c r="G31" s="1165"/>
      <c r="H31" s="1165"/>
      <c r="I31" s="1176"/>
      <c r="J31" s="1175"/>
      <c r="K31" s="1385"/>
      <c r="L31" s="1385"/>
      <c r="M31" s="1109"/>
      <c r="N31" s="1108"/>
      <c r="O31" s="1108"/>
      <c r="P31" s="1108"/>
      <c r="Q31" s="1108"/>
      <c r="R31" s="1108"/>
      <c r="S31" s="1108"/>
      <c r="T31" s="1108"/>
      <c r="U31" s="1108"/>
      <c r="V31" s="1108"/>
      <c r="W31" s="1108"/>
      <c r="X31" s="1108"/>
      <c r="Y31" s="1108"/>
      <c r="Z31" s="1108"/>
    </row>
    <row r="32" spans="1:26" ht="18" customHeight="1" x14ac:dyDescent="0.35">
      <c r="A32" s="1108"/>
      <c r="B32" s="1379"/>
      <c r="C32" s="1382"/>
      <c r="D32" s="1174" t="s">
        <v>131</v>
      </c>
      <c r="E32" s="1173"/>
      <c r="F32" s="1172">
        <v>4</v>
      </c>
      <c r="G32" s="1169"/>
      <c r="H32" s="1169"/>
      <c r="I32" s="1171"/>
      <c r="J32" s="1170"/>
      <c r="K32" s="376"/>
      <c r="L32" s="376"/>
      <c r="M32" s="1109"/>
      <c r="N32" s="1108"/>
      <c r="O32" s="1108"/>
      <c r="P32" s="1108"/>
      <c r="Q32" s="1108"/>
      <c r="R32" s="1108"/>
      <c r="S32" s="1108"/>
      <c r="T32" s="1108"/>
      <c r="U32" s="1108"/>
      <c r="V32" s="1108"/>
      <c r="W32" s="1108"/>
      <c r="X32" s="1108"/>
      <c r="Y32" s="1108"/>
      <c r="Z32" s="1108"/>
    </row>
    <row r="33" spans="1:26" ht="18" customHeight="1" x14ac:dyDescent="0.35">
      <c r="A33" s="1108"/>
      <c r="B33" s="1390">
        <v>5</v>
      </c>
      <c r="C33" s="1390" t="s">
        <v>135</v>
      </c>
      <c r="D33" s="1165" t="s">
        <v>127</v>
      </c>
      <c r="E33" s="1166"/>
      <c r="F33" s="1168">
        <v>2</v>
      </c>
      <c r="G33" s="1165"/>
      <c r="H33" s="1165"/>
      <c r="I33" s="1165"/>
      <c r="J33" s="1121"/>
      <c r="K33" s="376"/>
      <c r="L33" s="376"/>
      <c r="M33" s="1109"/>
      <c r="N33" s="1108"/>
      <c r="O33" s="1108"/>
      <c r="P33" s="1108"/>
      <c r="Q33" s="1108"/>
      <c r="R33" s="1108"/>
      <c r="S33" s="1108"/>
      <c r="T33" s="1108"/>
      <c r="U33" s="1108"/>
      <c r="V33" s="1108"/>
      <c r="W33" s="1108"/>
      <c r="X33" s="1108"/>
      <c r="Y33" s="1108"/>
      <c r="Z33" s="1108"/>
    </row>
    <row r="34" spans="1:26" ht="18" customHeight="1" x14ac:dyDescent="0.35">
      <c r="A34" s="1108"/>
      <c r="B34" s="1391"/>
      <c r="C34" s="1391"/>
      <c r="D34" s="1167" t="s">
        <v>128</v>
      </c>
      <c r="E34" s="1166"/>
      <c r="F34" s="1165">
        <v>2</v>
      </c>
      <c r="G34" s="1165"/>
      <c r="H34" s="1165"/>
      <c r="I34" s="1165"/>
      <c r="J34" s="1121"/>
      <c r="K34" s="376"/>
      <c r="L34" s="376"/>
      <c r="M34" s="1109"/>
      <c r="N34" s="1108"/>
      <c r="O34" s="1108"/>
      <c r="P34" s="1108"/>
      <c r="Q34" s="1108"/>
      <c r="R34" s="1108"/>
      <c r="S34" s="1108"/>
      <c r="T34" s="1108"/>
      <c r="U34" s="1108"/>
      <c r="V34" s="1108"/>
      <c r="W34" s="1108"/>
      <c r="X34" s="1108"/>
      <c r="Y34" s="1108"/>
      <c r="Z34" s="1108"/>
    </row>
    <row r="35" spans="1:26" ht="18" customHeight="1" x14ac:dyDescent="0.35">
      <c r="A35" s="1108"/>
      <c r="B35" s="1391"/>
      <c r="C35" s="1391"/>
      <c r="D35" s="1167" t="s">
        <v>129</v>
      </c>
      <c r="E35" s="1166"/>
      <c r="F35" s="1165">
        <v>0</v>
      </c>
      <c r="G35" s="1165"/>
      <c r="H35" s="1165"/>
      <c r="I35" s="1165"/>
      <c r="J35" s="1121"/>
      <c r="K35" s="376"/>
      <c r="L35" s="376"/>
      <c r="M35" s="1109"/>
      <c r="N35" s="1108"/>
      <c r="O35" s="1108"/>
      <c r="P35" s="1108"/>
      <c r="Q35" s="1108"/>
      <c r="R35" s="1108"/>
      <c r="S35" s="1108"/>
      <c r="T35" s="1108"/>
      <c r="U35" s="1108"/>
      <c r="V35" s="1108"/>
      <c r="W35" s="1108"/>
      <c r="X35" s="1108"/>
      <c r="Y35" s="1108"/>
      <c r="Z35" s="1108"/>
    </row>
    <row r="36" spans="1:26" ht="18" customHeight="1" x14ac:dyDescent="0.35">
      <c r="A36" s="1108"/>
      <c r="B36" s="1391"/>
      <c r="C36" s="1391"/>
      <c r="D36" s="1167" t="s">
        <v>130</v>
      </c>
      <c r="E36" s="1166"/>
      <c r="F36" s="1165">
        <v>0</v>
      </c>
      <c r="G36" s="1165"/>
      <c r="H36" s="1165"/>
      <c r="I36" s="1165"/>
      <c r="J36" s="1121"/>
      <c r="K36" s="376"/>
      <c r="L36" s="376"/>
      <c r="M36" s="1109"/>
      <c r="N36" s="1108"/>
      <c r="O36" s="1108"/>
      <c r="P36" s="1108"/>
      <c r="Q36" s="1108"/>
      <c r="R36" s="1108"/>
      <c r="S36" s="1108"/>
      <c r="T36" s="1108"/>
      <c r="U36" s="1108"/>
      <c r="V36" s="1108"/>
      <c r="W36" s="1108"/>
      <c r="X36" s="1108"/>
      <c r="Y36" s="1108"/>
      <c r="Z36" s="1108"/>
    </row>
    <row r="37" spans="1:26" ht="18" customHeight="1" x14ac:dyDescent="0.35">
      <c r="A37" s="1108"/>
      <c r="B37" s="1392"/>
      <c r="C37" s="1392"/>
      <c r="D37" s="1167" t="s">
        <v>131</v>
      </c>
      <c r="E37" s="1166"/>
      <c r="F37" s="1165">
        <v>0</v>
      </c>
      <c r="G37" s="1165"/>
      <c r="H37" s="1165"/>
      <c r="I37" s="1165"/>
      <c r="J37" s="1121"/>
      <c r="K37" s="376"/>
      <c r="L37" s="376"/>
      <c r="M37" s="1109"/>
      <c r="N37" s="1108"/>
      <c r="O37" s="1108"/>
      <c r="P37" s="1108"/>
      <c r="Q37" s="1108"/>
      <c r="R37" s="1108"/>
      <c r="S37" s="1108"/>
      <c r="T37" s="1108"/>
      <c r="U37" s="1108"/>
      <c r="V37" s="1108"/>
      <c r="W37" s="1108"/>
      <c r="X37" s="1108"/>
      <c r="Y37" s="1108"/>
      <c r="Z37" s="1108"/>
    </row>
    <row r="38" spans="1:26" ht="18" customHeight="1" x14ac:dyDescent="0.35">
      <c r="A38" s="1108"/>
      <c r="B38" s="1161"/>
      <c r="C38" s="1161"/>
      <c r="D38" s="1164"/>
      <c r="E38" s="1164"/>
      <c r="F38" s="1164"/>
      <c r="G38" s="1164"/>
      <c r="H38" s="1164"/>
      <c r="I38" s="1163"/>
      <c r="J38" s="1162"/>
      <c r="K38" s="376"/>
      <c r="L38" s="376"/>
      <c r="M38" s="1109"/>
      <c r="N38" s="1108"/>
      <c r="O38" s="1108"/>
      <c r="P38" s="1108"/>
      <c r="Q38" s="1108"/>
      <c r="R38" s="1108"/>
      <c r="S38" s="1108"/>
      <c r="T38" s="1108"/>
      <c r="U38" s="1108"/>
      <c r="V38" s="1108"/>
      <c r="W38" s="1108"/>
      <c r="X38" s="1108"/>
      <c r="Y38" s="1108"/>
      <c r="Z38" s="1108"/>
    </row>
    <row r="39" spans="1:26" ht="18" customHeight="1" x14ac:dyDescent="0.35">
      <c r="A39" s="1108"/>
      <c r="B39" s="1161"/>
      <c r="C39" s="1161"/>
      <c r="D39" s="1159" t="s">
        <v>122</v>
      </c>
      <c r="E39" s="1159"/>
      <c r="F39" s="1160">
        <f>F13+F18+F23+F28+F33</f>
        <v>284</v>
      </c>
      <c r="G39" s="1159"/>
      <c r="H39" s="1159"/>
      <c r="I39" s="1158"/>
      <c r="J39" s="1157"/>
      <c r="K39" s="1109"/>
      <c r="L39" s="1109"/>
      <c r="M39" s="1109"/>
      <c r="N39" s="1108"/>
      <c r="O39" s="1108"/>
      <c r="P39" s="1108"/>
      <c r="Q39" s="1108"/>
      <c r="R39" s="1108"/>
      <c r="S39" s="1108"/>
      <c r="T39" s="1108"/>
      <c r="U39" s="1108"/>
      <c r="V39" s="1108"/>
      <c r="W39" s="1108"/>
      <c r="X39" s="1108"/>
      <c r="Y39" s="1108"/>
      <c r="Z39" s="1108"/>
    </row>
    <row r="40" spans="1:26" ht="18" customHeight="1" x14ac:dyDescent="0.35">
      <c r="A40" s="1108"/>
      <c r="B40" s="1156"/>
      <c r="C40" s="1156"/>
      <c r="D40" s="376"/>
      <c r="E40" s="376"/>
      <c r="F40" s="376"/>
      <c r="G40" s="376"/>
      <c r="H40" s="376"/>
      <c r="I40" s="376"/>
      <c r="J40" s="376"/>
      <c r="K40" s="1109"/>
      <c r="L40" s="1109"/>
      <c r="M40" s="1109"/>
      <c r="N40" s="1108"/>
      <c r="O40" s="1108"/>
      <c r="P40" s="1108"/>
      <c r="Q40" s="1108"/>
      <c r="R40" s="1108"/>
      <c r="S40" s="1108"/>
      <c r="T40" s="1108"/>
      <c r="U40" s="1108"/>
      <c r="V40" s="1108"/>
      <c r="W40" s="1108"/>
      <c r="X40" s="1108"/>
      <c r="Y40" s="1108"/>
      <c r="Z40" s="1108"/>
    </row>
    <row r="41" spans="1:26" ht="18" customHeight="1" x14ac:dyDescent="0.35">
      <c r="A41" s="1108"/>
      <c r="B41" s="1156"/>
      <c r="C41" s="1156"/>
      <c r="D41" s="376"/>
      <c r="E41" s="376"/>
      <c r="F41" s="376"/>
      <c r="G41" s="376"/>
      <c r="H41" s="376"/>
      <c r="I41" s="376"/>
      <c r="J41" s="376"/>
      <c r="K41" s="1109"/>
      <c r="L41" s="1109"/>
      <c r="M41" s="1109"/>
      <c r="N41" s="1108"/>
      <c r="O41" s="1108"/>
      <c r="P41" s="1108"/>
      <c r="Q41" s="1108"/>
      <c r="R41" s="1108"/>
      <c r="S41" s="1108"/>
      <c r="T41" s="1108"/>
      <c r="U41" s="1108"/>
      <c r="V41" s="1108"/>
      <c r="W41" s="1108"/>
      <c r="X41" s="1108"/>
      <c r="Y41" s="1108"/>
      <c r="Z41" s="1108"/>
    </row>
    <row r="42" spans="1:26" ht="18" customHeight="1" thickBot="1" x14ac:dyDescent="0.4">
      <c r="A42" s="1108"/>
      <c r="B42" s="1156"/>
      <c r="C42" s="1156"/>
      <c r="D42" s="376"/>
      <c r="E42" s="376"/>
      <c r="F42" s="376"/>
      <c r="G42" s="376"/>
      <c r="H42" s="376"/>
      <c r="I42" s="376"/>
      <c r="J42" s="376"/>
      <c r="K42" s="1109"/>
      <c r="L42" s="1109"/>
      <c r="M42" s="1109"/>
      <c r="N42" s="1108"/>
      <c r="O42" s="1108"/>
      <c r="P42" s="1108"/>
      <c r="Q42" s="1108"/>
      <c r="R42" s="1108"/>
      <c r="S42" s="1108"/>
      <c r="T42" s="1108"/>
      <c r="U42" s="1108"/>
      <c r="V42" s="1108"/>
      <c r="W42" s="1108"/>
      <c r="X42" s="1108"/>
      <c r="Y42" s="1108"/>
      <c r="Z42" s="1108"/>
    </row>
    <row r="43" spans="1:26" ht="18" customHeight="1" thickBot="1" x14ac:dyDescent="0.55000000000000004">
      <c r="A43" s="1108"/>
      <c r="B43" s="1389"/>
      <c r="C43" s="1373"/>
      <c r="D43" s="1373"/>
      <c r="E43" s="1373"/>
      <c r="F43" s="1373"/>
      <c r="G43" s="1373"/>
      <c r="H43" s="1373"/>
      <c r="I43" s="1373"/>
      <c r="J43" s="1373"/>
      <c r="K43" s="1374"/>
      <c r="L43" s="1109"/>
      <c r="M43" s="1109"/>
      <c r="N43" s="1108"/>
      <c r="O43" s="1108"/>
      <c r="P43" s="1108"/>
      <c r="Q43" s="1108"/>
      <c r="R43" s="1108"/>
      <c r="S43" s="1108"/>
      <c r="T43" s="1108"/>
      <c r="U43" s="1108"/>
      <c r="V43" s="1108"/>
      <c r="W43" s="1108"/>
      <c r="X43" s="1108"/>
      <c r="Y43" s="1108"/>
      <c r="Z43" s="1108"/>
    </row>
    <row r="44" spans="1:26" ht="27.6" x14ac:dyDescent="0.3">
      <c r="A44" s="1108"/>
      <c r="B44" s="1155" t="s">
        <v>22</v>
      </c>
      <c r="C44" s="1154" t="s">
        <v>23</v>
      </c>
      <c r="D44" s="1154" t="s">
        <v>24</v>
      </c>
      <c r="E44" s="1154" t="s">
        <v>25</v>
      </c>
      <c r="F44" s="1154" t="s">
        <v>56</v>
      </c>
      <c r="G44" s="1154" t="s">
        <v>57</v>
      </c>
      <c r="H44" s="1154" t="s">
        <v>58</v>
      </c>
      <c r="I44" s="1154" t="s">
        <v>59</v>
      </c>
      <c r="J44" s="1154" t="s">
        <v>60</v>
      </c>
      <c r="K44" s="1154" t="s">
        <v>61</v>
      </c>
      <c r="L44" s="1154" t="s">
        <v>62</v>
      </c>
      <c r="M44" s="1153" t="s">
        <v>33</v>
      </c>
      <c r="N44" s="1108"/>
      <c r="O44" s="1108"/>
      <c r="P44" s="1108"/>
      <c r="Q44" s="1108"/>
      <c r="R44" s="1108"/>
      <c r="S44" s="1108"/>
      <c r="T44" s="1108"/>
      <c r="U44" s="1108"/>
      <c r="V44" s="1108"/>
      <c r="W44" s="1108"/>
      <c r="X44" s="1108"/>
      <c r="Y44" s="1108"/>
      <c r="Z44" s="1108"/>
    </row>
    <row r="45" spans="1:26" ht="63.75" customHeight="1" x14ac:dyDescent="0.3">
      <c r="A45" s="1108"/>
      <c r="B45" s="1152" t="s">
        <v>63</v>
      </c>
      <c r="C45" s="1151" t="s">
        <v>64</v>
      </c>
      <c r="D45" s="1151">
        <f>'Master Sheet'!D48</f>
        <v>292</v>
      </c>
      <c r="E45" s="1151">
        <f>'Master Sheet'!E48</f>
        <v>316</v>
      </c>
      <c r="F45" s="1151">
        <f>'Master Sheet'!F48</f>
        <v>277</v>
      </c>
      <c r="G45" s="1151">
        <f>'Master Sheet'!G48</f>
        <v>15</v>
      </c>
      <c r="H45" s="1151">
        <f>'Master Sheet'!H48</f>
        <v>0</v>
      </c>
      <c r="I45" s="1151">
        <f>'Master Sheet'!I48</f>
        <v>15</v>
      </c>
      <c r="J45" s="1151">
        <f>'Master Sheet'!J48</f>
        <v>0</v>
      </c>
      <c r="K45" s="1151">
        <f>'Master Sheet'!K48</f>
        <v>277</v>
      </c>
      <c r="L45" s="1151" t="str">
        <f>'Master Sheet'!L47</f>
        <v>Gap between Supply &amp; Cumm.L2</v>
      </c>
      <c r="M45" s="1150"/>
      <c r="N45" s="1108"/>
      <c r="O45" s="1108"/>
      <c r="P45" s="1108"/>
      <c r="Q45" s="1108"/>
      <c r="R45" s="1108"/>
      <c r="S45" s="1108"/>
      <c r="T45" s="1108"/>
      <c r="U45" s="1108"/>
      <c r="V45" s="1108"/>
      <c r="W45" s="1108"/>
      <c r="X45" s="1108"/>
      <c r="Y45" s="1108"/>
      <c r="Z45" s="1108"/>
    </row>
    <row r="46" spans="1:26" ht="13.8" x14ac:dyDescent="0.3">
      <c r="A46" s="1108"/>
      <c r="B46" s="1149" t="s">
        <v>65</v>
      </c>
      <c r="C46" s="1148" t="s">
        <v>66</v>
      </c>
      <c r="D46" s="1148">
        <f>'Master Sheet'!D49</f>
        <v>292</v>
      </c>
      <c r="E46" s="1148">
        <f>'Master Sheet'!E49</f>
        <v>290</v>
      </c>
      <c r="F46" s="1148">
        <f>'Master Sheet'!F49</f>
        <v>284</v>
      </c>
      <c r="G46" s="1148">
        <f>'Master Sheet'!G49</f>
        <v>8</v>
      </c>
      <c r="H46" s="1148">
        <f>'Master Sheet'!H49</f>
        <v>26</v>
      </c>
      <c r="I46" s="1148">
        <f>'Master Sheet'!I49</f>
        <v>6</v>
      </c>
      <c r="J46" s="1148">
        <f>'Master Sheet'!J49</f>
        <v>0</v>
      </c>
      <c r="K46" s="1148">
        <f>'Master Sheet'!K49</f>
        <v>284</v>
      </c>
      <c r="L46" s="1148">
        <f>'Master Sheet'!L48</f>
        <v>39</v>
      </c>
      <c r="M46" s="1147"/>
      <c r="N46" s="1108"/>
      <c r="O46" s="1108"/>
      <c r="P46" s="1108"/>
      <c r="Q46" s="1108"/>
      <c r="R46" s="1108"/>
      <c r="S46" s="1108"/>
      <c r="T46" s="1108"/>
      <c r="U46" s="1108"/>
      <c r="V46" s="1108"/>
      <c r="W46" s="1108"/>
      <c r="X46" s="1108"/>
      <c r="Y46" s="1108"/>
      <c r="Z46" s="1108"/>
    </row>
    <row r="47" spans="1:26" ht="49.2" customHeight="1" thickBot="1" x14ac:dyDescent="0.35">
      <c r="A47" s="1108"/>
      <c r="B47" s="1146" t="s">
        <v>544</v>
      </c>
      <c r="C47" s="1145" t="s">
        <v>35</v>
      </c>
      <c r="D47" s="1145">
        <f>'Master Sheet'!D50</f>
        <v>4118</v>
      </c>
      <c r="E47" s="1145">
        <f>'Master Sheet'!E50</f>
        <v>3600</v>
      </c>
      <c r="F47" s="1145">
        <f>'Master Sheet'!F50</f>
        <v>3925.9349999999999</v>
      </c>
      <c r="G47" s="1145">
        <f>'Master Sheet'!G50</f>
        <v>192.06500000000005</v>
      </c>
      <c r="H47" s="1145">
        <f>'Master Sheet'!H50</f>
        <v>200</v>
      </c>
      <c r="I47" s="1145">
        <f>'Master Sheet'!I50</f>
        <v>192.06500000000005</v>
      </c>
      <c r="J47" s="1145">
        <f>'Master Sheet'!J50</f>
        <v>77.79300000000012</v>
      </c>
      <c r="K47" s="1145">
        <f>'Master Sheet'!K50</f>
        <v>4003.7280000000001</v>
      </c>
      <c r="L47" s="1145">
        <f>'Master Sheet'!L49</f>
        <v>32</v>
      </c>
      <c r="M47" s="1144"/>
      <c r="N47" s="1108"/>
      <c r="O47" s="1108"/>
      <c r="P47" s="1108"/>
      <c r="Q47" s="1108"/>
      <c r="R47" s="1108"/>
      <c r="S47" s="1108"/>
      <c r="T47" s="1108"/>
      <c r="U47" s="1108"/>
      <c r="V47" s="1108"/>
      <c r="W47" s="1108"/>
      <c r="X47" s="1108"/>
      <c r="Y47" s="1108"/>
      <c r="Z47" s="1108"/>
    </row>
    <row r="48" spans="1:26" ht="18" customHeight="1" x14ac:dyDescent="0.35">
      <c r="A48" s="1108"/>
      <c r="B48" s="376"/>
      <c r="C48" s="376"/>
      <c r="D48" s="376"/>
      <c r="E48" s="376"/>
      <c r="F48" s="376"/>
      <c r="G48" s="376"/>
      <c r="H48" s="376"/>
      <c r="I48" s="376"/>
      <c r="J48" s="376"/>
      <c r="K48" s="1109"/>
      <c r="L48" s="1109"/>
      <c r="M48" s="1109"/>
      <c r="N48" s="1108"/>
      <c r="O48" s="1108"/>
      <c r="P48" s="1108"/>
      <c r="Q48" s="1108"/>
      <c r="R48" s="1108"/>
      <c r="S48" s="1108"/>
      <c r="T48" s="1108"/>
      <c r="U48" s="1108"/>
      <c r="V48" s="1108"/>
      <c r="W48" s="1108"/>
      <c r="X48" s="1108"/>
      <c r="Y48" s="1108"/>
      <c r="Z48" s="1108"/>
    </row>
    <row r="49" spans="1:26" ht="18" customHeight="1" thickBot="1" x14ac:dyDescent="0.4">
      <c r="A49" s="1108"/>
      <c r="B49" s="376"/>
      <c r="C49" s="376"/>
      <c r="D49" s="376"/>
      <c r="E49" s="376"/>
      <c r="F49" s="376"/>
      <c r="G49" s="376"/>
      <c r="H49" s="376"/>
      <c r="I49" s="376"/>
      <c r="J49" s="376"/>
      <c r="K49" s="1109"/>
      <c r="L49" s="1109"/>
      <c r="M49" s="1109"/>
      <c r="N49" s="1108"/>
      <c r="O49" s="1108"/>
      <c r="P49" s="1108"/>
      <c r="Q49" s="1108"/>
      <c r="R49" s="1108"/>
      <c r="S49" s="1108"/>
      <c r="T49" s="1108"/>
      <c r="U49" s="1108"/>
      <c r="V49" s="1108"/>
      <c r="W49" s="1108"/>
      <c r="X49" s="1108"/>
      <c r="Y49" s="1108"/>
      <c r="Z49" s="1108"/>
    </row>
    <row r="50" spans="1:26" ht="18" customHeight="1" thickBot="1" x14ac:dyDescent="0.35">
      <c r="A50" s="1108"/>
      <c r="B50" s="1372" t="s">
        <v>136</v>
      </c>
      <c r="C50" s="1373"/>
      <c r="D50" s="1373"/>
      <c r="E50" s="1373"/>
      <c r="F50" s="1373"/>
      <c r="G50" s="1373"/>
      <c r="H50" s="1373"/>
      <c r="I50" s="1373"/>
      <c r="J50" s="1374"/>
      <c r="K50" s="1142"/>
      <c r="L50" s="1141"/>
      <c r="M50" s="1140"/>
      <c r="N50" s="1108"/>
      <c r="O50" s="1108"/>
      <c r="P50" s="1108"/>
      <c r="Q50" s="1108"/>
      <c r="R50" s="1108"/>
      <c r="S50" s="1108"/>
      <c r="T50" s="1108"/>
      <c r="U50" s="1108"/>
      <c r="V50" s="1108"/>
      <c r="W50" s="1108"/>
      <c r="X50" s="1108"/>
      <c r="Y50" s="1108"/>
      <c r="Z50" s="1108"/>
    </row>
    <row r="51" spans="1:26" ht="41.4" x14ac:dyDescent="0.3">
      <c r="A51" s="1108"/>
      <c r="B51" s="1139" t="s">
        <v>137</v>
      </c>
      <c r="C51" s="1138" t="s">
        <v>138</v>
      </c>
      <c r="D51" s="1138" t="s">
        <v>23</v>
      </c>
      <c r="E51" s="1138" t="s">
        <v>139</v>
      </c>
      <c r="F51" s="1138" t="s">
        <v>980</v>
      </c>
      <c r="G51" s="1138" t="s">
        <v>981</v>
      </c>
      <c r="H51" s="1138" t="s">
        <v>140</v>
      </c>
      <c r="I51" s="1137" t="s">
        <v>982</v>
      </c>
      <c r="J51" s="1136" t="s">
        <v>983</v>
      </c>
      <c r="K51" s="1136" t="s">
        <v>984</v>
      </c>
      <c r="L51" s="1135" t="s">
        <v>141</v>
      </c>
      <c r="M51" s="1135" t="s">
        <v>142</v>
      </c>
      <c r="N51" s="1108"/>
      <c r="O51" s="1108"/>
      <c r="P51" s="1108"/>
      <c r="Q51" s="1108"/>
      <c r="R51" s="1108"/>
      <c r="S51" s="1108"/>
      <c r="T51" s="1108"/>
      <c r="U51" s="1108"/>
      <c r="V51" s="1108"/>
      <c r="W51" s="1108"/>
      <c r="X51" s="1108"/>
      <c r="Y51" s="1108"/>
      <c r="Z51" s="1108"/>
    </row>
    <row r="52" spans="1:26" ht="18" customHeight="1" x14ac:dyDescent="0.3">
      <c r="A52" s="1108"/>
      <c r="B52" s="1117">
        <v>1</v>
      </c>
      <c r="C52" s="1121" t="s">
        <v>143</v>
      </c>
      <c r="D52" s="1134" t="s">
        <v>144</v>
      </c>
      <c r="E52" s="1133">
        <v>292</v>
      </c>
      <c r="F52" s="1121">
        <f>'Master Sheet'!E48</f>
        <v>316</v>
      </c>
      <c r="G52" s="1121">
        <f>'Master Sheet'!F48</f>
        <v>277</v>
      </c>
      <c r="H52" s="1124">
        <f>'Master Sheet'!H48</f>
        <v>0</v>
      </c>
      <c r="I52" s="1124">
        <f>E52-G52</f>
        <v>15</v>
      </c>
      <c r="J52" s="1128">
        <v>0</v>
      </c>
      <c r="K52" s="1127">
        <v>51</v>
      </c>
      <c r="L52" s="1112">
        <v>277</v>
      </c>
      <c r="M52" s="1123">
        <f>E52-L52</f>
        <v>15</v>
      </c>
      <c r="N52" s="1108"/>
      <c r="O52" s="1108"/>
      <c r="P52" s="1108"/>
      <c r="Q52" s="1108"/>
      <c r="R52" s="1108"/>
      <c r="S52" s="1108"/>
      <c r="T52" s="1108"/>
      <c r="U52" s="1108"/>
      <c r="V52" s="1108"/>
      <c r="W52" s="1108"/>
      <c r="X52" s="1108"/>
      <c r="Y52" s="1108"/>
      <c r="Z52" s="1108"/>
    </row>
    <row r="53" spans="1:26" ht="18" customHeight="1" x14ac:dyDescent="0.3">
      <c r="A53" s="1108"/>
      <c r="B53" s="1117">
        <v>2</v>
      </c>
      <c r="C53" s="1121" t="s">
        <v>145</v>
      </c>
      <c r="D53" s="1121" t="s">
        <v>146</v>
      </c>
      <c r="E53" s="1133">
        <v>292</v>
      </c>
      <c r="F53" s="1121">
        <f>'Master Sheet'!E49</f>
        <v>290</v>
      </c>
      <c r="G53" s="1121">
        <f>'Master Sheet'!F49</f>
        <v>284</v>
      </c>
      <c r="H53" s="1129">
        <v>26</v>
      </c>
      <c r="I53" s="1124">
        <f>E53-G53</f>
        <v>8</v>
      </c>
      <c r="J53" s="1129">
        <v>0</v>
      </c>
      <c r="K53" s="1121">
        <v>28</v>
      </c>
      <c r="L53" s="1112">
        <v>284</v>
      </c>
      <c r="M53" s="1123">
        <f>E53-L53</f>
        <v>8</v>
      </c>
      <c r="N53" s="1108"/>
      <c r="O53" s="1108"/>
      <c r="P53" s="1108"/>
      <c r="Q53" s="1108"/>
      <c r="R53" s="1108"/>
      <c r="S53" s="1108"/>
      <c r="T53" s="1108"/>
      <c r="U53" s="1108"/>
      <c r="V53" s="1108"/>
      <c r="W53" s="1108"/>
      <c r="X53" s="1108"/>
      <c r="Y53" s="1108"/>
      <c r="Z53" s="1108"/>
    </row>
    <row r="54" spans="1:26" ht="18" customHeight="1" x14ac:dyDescent="0.3">
      <c r="A54" s="1108"/>
      <c r="B54" s="1117">
        <v>3</v>
      </c>
      <c r="C54" s="1121" t="s">
        <v>147</v>
      </c>
      <c r="D54" s="1134" t="s">
        <v>148</v>
      </c>
      <c r="E54" s="1133">
        <v>114</v>
      </c>
      <c r="F54" s="1125">
        <v>110</v>
      </c>
      <c r="G54" s="1125">
        <v>86</v>
      </c>
      <c r="H54" s="1129">
        <v>0</v>
      </c>
      <c r="I54" s="1124">
        <f>E54-G54</f>
        <v>28</v>
      </c>
      <c r="J54" s="1128">
        <v>0</v>
      </c>
      <c r="K54" s="1127">
        <v>0</v>
      </c>
      <c r="L54" s="1112">
        <v>86</v>
      </c>
      <c r="M54" s="1123">
        <f>E54-L54</f>
        <v>28</v>
      </c>
      <c r="N54" s="1108"/>
      <c r="O54" s="1108"/>
      <c r="P54" s="1108"/>
      <c r="Q54" s="1108"/>
      <c r="R54" s="1108"/>
      <c r="S54" s="1108"/>
      <c r="T54" s="1108"/>
      <c r="U54" s="1108"/>
      <c r="V54" s="1108"/>
      <c r="W54" s="1108"/>
      <c r="X54" s="1108"/>
      <c r="Y54" s="1108"/>
      <c r="Z54" s="1108"/>
    </row>
    <row r="55" spans="1:26" ht="18" customHeight="1" x14ac:dyDescent="0.3">
      <c r="A55" s="1108"/>
      <c r="B55" s="1117">
        <v>4</v>
      </c>
      <c r="C55" s="1121" t="s">
        <v>149</v>
      </c>
      <c r="D55" s="1134" t="s">
        <v>148</v>
      </c>
      <c r="E55" s="1133">
        <v>4118</v>
      </c>
      <c r="F55" s="1121">
        <f>'Master Sheet'!E50</f>
        <v>3600</v>
      </c>
      <c r="G55" s="1121">
        <f>'Master Sheet'!F50</f>
        <v>3925.9349999999999</v>
      </c>
      <c r="H55" s="1129">
        <v>200</v>
      </c>
      <c r="I55" s="1124">
        <f>E55-G55</f>
        <v>192.06500000000005</v>
      </c>
      <c r="J55" s="1128">
        <v>0</v>
      </c>
      <c r="K55" s="1127">
        <v>143.66499999999999</v>
      </c>
      <c r="L55" s="1112">
        <v>3926</v>
      </c>
      <c r="M55" s="1123">
        <f>E55-L55</f>
        <v>192</v>
      </c>
      <c r="N55" s="1108"/>
      <c r="O55" s="1108"/>
      <c r="P55" s="1108"/>
      <c r="Q55" s="1108"/>
      <c r="R55" s="1108"/>
      <c r="S55" s="1108"/>
      <c r="T55" s="1108"/>
      <c r="U55" s="1108"/>
      <c r="V55" s="1108"/>
      <c r="W55" s="1108"/>
      <c r="X55" s="1108"/>
      <c r="Y55" s="1108"/>
      <c r="Z55" s="1108"/>
    </row>
    <row r="56" spans="1:26" ht="18" customHeight="1" x14ac:dyDescent="0.3">
      <c r="A56" s="1108"/>
      <c r="B56" s="1117">
        <v>5</v>
      </c>
      <c r="C56" s="1121" t="s">
        <v>150</v>
      </c>
      <c r="D56" s="1121" t="s">
        <v>151</v>
      </c>
      <c r="E56" s="1115">
        <v>1</v>
      </c>
      <c r="F56" s="1113">
        <v>0.9</v>
      </c>
      <c r="G56" s="1113">
        <f>F56</f>
        <v>0.9</v>
      </c>
      <c r="H56" s="1113">
        <v>0</v>
      </c>
      <c r="I56" s="1113">
        <v>0.1</v>
      </c>
      <c r="J56" s="1132">
        <v>0</v>
      </c>
      <c r="K56" s="1122">
        <v>0.2</v>
      </c>
      <c r="L56" s="1112">
        <v>0.9</v>
      </c>
      <c r="M56" s="1111">
        <v>1</v>
      </c>
      <c r="N56" s="1108"/>
      <c r="O56" s="1108"/>
      <c r="P56" s="1108"/>
      <c r="Q56" s="1108"/>
      <c r="R56" s="1108"/>
      <c r="S56" s="1108"/>
      <c r="T56" s="1108"/>
      <c r="U56" s="1108"/>
      <c r="V56" s="1108"/>
      <c r="W56" s="1108"/>
      <c r="X56" s="1108"/>
      <c r="Y56" s="1108"/>
      <c r="Z56" s="1108"/>
    </row>
    <row r="57" spans="1:26" ht="18" customHeight="1" x14ac:dyDescent="0.3">
      <c r="A57" s="1108"/>
      <c r="B57" s="1117">
        <v>6</v>
      </c>
      <c r="C57" s="1121" t="s">
        <v>152</v>
      </c>
      <c r="D57" s="1121" t="s">
        <v>146</v>
      </c>
      <c r="E57" s="1131">
        <v>12384</v>
      </c>
      <c r="F57" s="1130">
        <v>11869</v>
      </c>
      <c r="G57" s="1125">
        <v>0</v>
      </c>
      <c r="H57" s="1129">
        <v>0</v>
      </c>
      <c r="I57" s="1124">
        <f t="shared" ref="I57:I63" si="0">E57-G57</f>
        <v>12384</v>
      </c>
      <c r="J57" s="1128">
        <v>0</v>
      </c>
      <c r="K57" s="1127">
        <v>0</v>
      </c>
      <c r="L57" s="1112">
        <f t="shared" ref="L57:L63" si="1">K57+G57</f>
        <v>0</v>
      </c>
      <c r="M57" s="1123">
        <f t="shared" ref="M57:M63" si="2">E57-L57</f>
        <v>12384</v>
      </c>
      <c r="N57" s="1108"/>
      <c r="O57" s="1108"/>
      <c r="P57" s="1108"/>
      <c r="Q57" s="1108"/>
      <c r="R57" s="1108"/>
      <c r="S57" s="1108"/>
      <c r="T57" s="1108"/>
      <c r="U57" s="1108"/>
      <c r="V57" s="1108"/>
      <c r="W57" s="1108"/>
      <c r="X57" s="1108"/>
      <c r="Y57" s="1108"/>
      <c r="Z57" s="1108"/>
    </row>
    <row r="58" spans="1:26" ht="18" customHeight="1" x14ac:dyDescent="0.3">
      <c r="A58" s="1108"/>
      <c r="B58" s="1117">
        <v>7</v>
      </c>
      <c r="C58" s="1121" t="s">
        <v>153</v>
      </c>
      <c r="D58" s="1121" t="s">
        <v>151</v>
      </c>
      <c r="E58" s="1115">
        <v>1</v>
      </c>
      <c r="F58" s="1126">
        <v>0.5</v>
      </c>
      <c r="G58" s="1125">
        <v>0</v>
      </c>
      <c r="H58" s="1113">
        <v>0</v>
      </c>
      <c r="I58" s="1124">
        <f t="shared" si="0"/>
        <v>1</v>
      </c>
      <c r="J58" s="1119">
        <v>0</v>
      </c>
      <c r="K58" s="1119">
        <v>0</v>
      </c>
      <c r="L58" s="1112">
        <f t="shared" si="1"/>
        <v>0</v>
      </c>
      <c r="M58" s="1123">
        <f t="shared" si="2"/>
        <v>1</v>
      </c>
      <c r="N58" s="1108"/>
      <c r="O58" s="1108"/>
      <c r="P58" s="1108"/>
      <c r="Q58" s="1108"/>
      <c r="R58" s="1108"/>
      <c r="S58" s="1108"/>
      <c r="T58" s="1108"/>
      <c r="U58" s="1108"/>
      <c r="V58" s="1108"/>
      <c r="W58" s="1108"/>
      <c r="X58" s="1108"/>
      <c r="Y58" s="1108"/>
      <c r="Z58" s="1108"/>
    </row>
    <row r="59" spans="1:26" ht="18" customHeight="1" x14ac:dyDescent="0.3">
      <c r="A59" s="1108"/>
      <c r="B59" s="1117">
        <v>8</v>
      </c>
      <c r="C59" s="1121" t="s">
        <v>155</v>
      </c>
      <c r="D59" s="1121" t="s">
        <v>151</v>
      </c>
      <c r="E59" s="1115">
        <v>1</v>
      </c>
      <c r="F59" s="1120">
        <v>0.5</v>
      </c>
      <c r="G59" s="1113">
        <v>0</v>
      </c>
      <c r="H59" s="1113">
        <v>0</v>
      </c>
      <c r="I59" s="1113">
        <f t="shared" si="0"/>
        <v>1</v>
      </c>
      <c r="J59" s="1119">
        <v>0</v>
      </c>
      <c r="K59" s="1119">
        <v>0</v>
      </c>
      <c r="L59" s="1112">
        <f t="shared" si="1"/>
        <v>0</v>
      </c>
      <c r="M59" s="1111">
        <f t="shared" si="2"/>
        <v>1</v>
      </c>
      <c r="N59" s="1108"/>
      <c r="O59" s="1108"/>
      <c r="P59" s="1108"/>
      <c r="Q59" s="1108"/>
      <c r="R59" s="1108"/>
      <c r="S59" s="1108"/>
      <c r="T59" s="1108"/>
      <c r="U59" s="1108"/>
      <c r="V59" s="1108"/>
      <c r="W59" s="1108"/>
      <c r="X59" s="1108"/>
      <c r="Y59" s="1108"/>
      <c r="Z59" s="1108"/>
    </row>
    <row r="60" spans="1:26" ht="18" customHeight="1" x14ac:dyDescent="0.3">
      <c r="A60" s="1108"/>
      <c r="B60" s="1117">
        <v>9</v>
      </c>
      <c r="C60" s="1121" t="s">
        <v>156</v>
      </c>
      <c r="D60" s="1121" t="s">
        <v>151</v>
      </c>
      <c r="E60" s="1115">
        <v>1</v>
      </c>
      <c r="F60" s="1113">
        <v>1</v>
      </c>
      <c r="G60" s="1113">
        <v>0.92</v>
      </c>
      <c r="H60" s="1113">
        <v>0</v>
      </c>
      <c r="I60" s="1113">
        <f t="shared" si="0"/>
        <v>7.999999999999996E-2</v>
      </c>
      <c r="J60" s="1113">
        <v>0</v>
      </c>
      <c r="K60" s="1113">
        <v>0</v>
      </c>
      <c r="L60" s="1122">
        <f t="shared" si="1"/>
        <v>0.92</v>
      </c>
      <c r="M60" s="1111">
        <f t="shared" si="2"/>
        <v>7.999999999999996E-2</v>
      </c>
      <c r="N60" s="1108"/>
      <c r="O60" s="1108">
        <f>50/296</f>
        <v>0.16891891891891891</v>
      </c>
      <c r="P60" s="1108"/>
      <c r="Q60" s="1108"/>
      <c r="R60" s="1108"/>
      <c r="S60" s="1108"/>
      <c r="T60" s="1108"/>
      <c r="U60" s="1108"/>
      <c r="V60" s="1108"/>
      <c r="W60" s="1108"/>
      <c r="X60" s="1108"/>
      <c r="Y60" s="1108"/>
      <c r="Z60" s="1108"/>
    </row>
    <row r="61" spans="1:26" ht="18" customHeight="1" x14ac:dyDescent="0.3">
      <c r="A61" s="1108"/>
      <c r="B61" s="1117">
        <v>10</v>
      </c>
      <c r="C61" s="1121" t="s">
        <v>157</v>
      </c>
      <c r="D61" s="1121" t="s">
        <v>151</v>
      </c>
      <c r="E61" s="1115">
        <v>1</v>
      </c>
      <c r="F61" s="1113">
        <v>0.9</v>
      </c>
      <c r="G61" s="1113">
        <v>0.9</v>
      </c>
      <c r="H61" s="1113">
        <v>0</v>
      </c>
      <c r="I61" s="1113">
        <f t="shared" si="0"/>
        <v>9.9999999999999978E-2</v>
      </c>
      <c r="J61" s="1120">
        <v>0</v>
      </c>
      <c r="K61" s="1113">
        <v>0</v>
      </c>
      <c r="L61" s="1122">
        <f t="shared" si="1"/>
        <v>0.9</v>
      </c>
      <c r="M61" s="1111">
        <f t="shared" si="2"/>
        <v>9.9999999999999978E-2</v>
      </c>
      <c r="N61" s="1108"/>
      <c r="O61" s="1108">
        <f>132/296</f>
        <v>0.44594594594594594</v>
      </c>
      <c r="P61" s="1108"/>
      <c r="Q61" s="1108"/>
      <c r="R61" s="1108"/>
      <c r="S61" s="1108"/>
      <c r="T61" s="1108"/>
      <c r="U61" s="1108"/>
      <c r="V61" s="1108"/>
      <c r="W61" s="1108"/>
      <c r="X61" s="1108"/>
      <c r="Y61" s="1108"/>
      <c r="Z61" s="1108"/>
    </row>
    <row r="62" spans="1:26" ht="18" customHeight="1" x14ac:dyDescent="0.3">
      <c r="A62" s="1108"/>
      <c r="B62" s="1117">
        <v>11</v>
      </c>
      <c r="C62" s="1121" t="s">
        <v>158</v>
      </c>
      <c r="D62" s="1121" t="s">
        <v>151</v>
      </c>
      <c r="E62" s="1115">
        <v>1</v>
      </c>
      <c r="F62" s="1120">
        <v>0.2</v>
      </c>
      <c r="G62" s="1113">
        <v>0</v>
      </c>
      <c r="H62" s="1119">
        <v>0</v>
      </c>
      <c r="I62" s="1113">
        <f t="shared" si="0"/>
        <v>1</v>
      </c>
      <c r="J62" s="1118">
        <v>0</v>
      </c>
      <c r="K62" s="1113">
        <v>0</v>
      </c>
      <c r="L62" s="1112">
        <f t="shared" si="1"/>
        <v>0</v>
      </c>
      <c r="M62" s="1111">
        <f t="shared" si="2"/>
        <v>1</v>
      </c>
      <c r="N62" s="1108"/>
      <c r="O62" s="1108"/>
      <c r="P62" s="1108"/>
      <c r="Q62" s="1108"/>
      <c r="R62" s="1108"/>
      <c r="S62" s="1108"/>
      <c r="T62" s="1108"/>
      <c r="U62" s="1108"/>
      <c r="V62" s="1108"/>
      <c r="W62" s="1108"/>
      <c r="X62" s="1108"/>
      <c r="Y62" s="1108"/>
      <c r="Z62" s="1108"/>
    </row>
    <row r="63" spans="1:26" ht="18" customHeight="1" thickBot="1" x14ac:dyDescent="0.35">
      <c r="A63" s="1108"/>
      <c r="B63" s="1117">
        <v>12</v>
      </c>
      <c r="C63" s="1116" t="s">
        <v>159</v>
      </c>
      <c r="D63" s="1116" t="s">
        <v>151</v>
      </c>
      <c r="E63" s="1115">
        <v>1</v>
      </c>
      <c r="F63" s="1113">
        <v>0.9</v>
      </c>
      <c r="G63" s="1113">
        <v>0.7</v>
      </c>
      <c r="H63" s="1113">
        <v>0</v>
      </c>
      <c r="I63" s="1113">
        <f t="shared" si="0"/>
        <v>0.30000000000000004</v>
      </c>
      <c r="J63" s="1114">
        <v>0.4</v>
      </c>
      <c r="K63" s="1113">
        <v>0.75</v>
      </c>
      <c r="L63" s="1112">
        <f t="shared" si="1"/>
        <v>1.45</v>
      </c>
      <c r="M63" s="1111">
        <f t="shared" si="2"/>
        <v>-0.44999999999999996</v>
      </c>
      <c r="N63" s="1108"/>
      <c r="O63" s="1108"/>
      <c r="P63" s="1108"/>
      <c r="Q63" s="1108"/>
      <c r="R63" s="1108"/>
      <c r="S63" s="1108"/>
      <c r="T63" s="1108"/>
      <c r="U63" s="1108"/>
      <c r="V63" s="1108"/>
      <c r="W63" s="1108"/>
      <c r="X63" s="1108"/>
      <c r="Y63" s="1108"/>
      <c r="Z63" s="1108"/>
    </row>
    <row r="64" spans="1:26" ht="18" customHeight="1" x14ac:dyDescent="0.35">
      <c r="A64" s="1108"/>
      <c r="B64" s="376"/>
      <c r="C64" s="376"/>
      <c r="D64" s="376"/>
      <c r="E64" s="376"/>
      <c r="F64" s="376"/>
      <c r="G64" s="376"/>
      <c r="H64" s="376"/>
      <c r="I64" s="376"/>
      <c r="J64" s="376"/>
      <c r="K64" s="1109"/>
      <c r="L64" s="1109"/>
      <c r="M64" s="1109"/>
      <c r="N64" s="1108"/>
      <c r="O64" s="1108"/>
      <c r="P64" s="1108"/>
      <c r="Q64" s="1108"/>
      <c r="R64" s="1108"/>
      <c r="S64" s="1108"/>
      <c r="T64" s="1108"/>
      <c r="U64" s="1108"/>
      <c r="V64" s="1108"/>
      <c r="W64" s="1108"/>
      <c r="X64" s="1108"/>
      <c r="Y64" s="1108"/>
      <c r="Z64" s="1108"/>
    </row>
    <row r="65" spans="1:26" ht="18" customHeight="1" x14ac:dyDescent="0.35">
      <c r="A65" s="1108"/>
      <c r="B65" s="376"/>
      <c r="C65" s="376"/>
      <c r="D65" s="376"/>
      <c r="E65" s="376"/>
      <c r="F65" s="1110"/>
      <c r="G65" s="376"/>
      <c r="H65" s="376"/>
      <c r="I65" s="376"/>
      <c r="J65" s="376"/>
      <c r="K65" s="1109"/>
      <c r="L65" s="1109"/>
      <c r="M65" s="1109"/>
      <c r="N65" s="1108"/>
      <c r="O65" s="1108"/>
      <c r="P65" s="1108"/>
      <c r="Q65" s="1108"/>
      <c r="R65" s="1108"/>
      <c r="S65" s="1108"/>
      <c r="T65" s="1108"/>
      <c r="U65" s="1108"/>
      <c r="V65" s="1108"/>
      <c r="W65" s="1108"/>
      <c r="X65" s="1108"/>
      <c r="Y65" s="1108"/>
      <c r="Z65" s="1108"/>
    </row>
    <row r="66" spans="1:26" ht="18" customHeight="1" x14ac:dyDescent="0.35">
      <c r="A66" s="1108"/>
      <c r="B66" s="376"/>
      <c r="C66" s="376"/>
      <c r="D66" s="376"/>
      <c r="E66" s="376"/>
      <c r="F66" s="376"/>
      <c r="G66" s="376"/>
      <c r="H66" s="376"/>
      <c r="I66" s="376"/>
      <c r="J66" s="376"/>
      <c r="K66" s="1109"/>
      <c r="L66" s="1109"/>
      <c r="M66" s="1109"/>
      <c r="N66" s="1108"/>
      <c r="O66" s="1108"/>
      <c r="P66" s="1108"/>
      <c r="Q66" s="1108"/>
      <c r="R66" s="1108"/>
      <c r="S66" s="1108"/>
      <c r="T66" s="1108"/>
      <c r="U66" s="1108"/>
      <c r="V66" s="1108"/>
      <c r="W66" s="1108"/>
      <c r="X66" s="1108"/>
      <c r="Y66" s="1108"/>
      <c r="Z66" s="1108"/>
    </row>
    <row r="67" spans="1:26" ht="18" customHeight="1" x14ac:dyDescent="0.35">
      <c r="A67" s="1108"/>
      <c r="B67" s="376"/>
      <c r="C67" s="376"/>
      <c r="D67" s="376"/>
      <c r="E67" s="376"/>
      <c r="F67" s="376"/>
      <c r="G67" s="376"/>
      <c r="H67" s="376"/>
      <c r="I67" s="376"/>
      <c r="J67" s="376"/>
      <c r="K67" s="1109"/>
      <c r="L67" s="1109"/>
      <c r="M67" s="1109"/>
      <c r="N67" s="1108"/>
      <c r="O67" s="1108"/>
      <c r="P67" s="1108"/>
      <c r="Q67" s="1108"/>
      <c r="R67" s="1108"/>
      <c r="S67" s="1108"/>
      <c r="T67" s="1108"/>
      <c r="U67" s="1108"/>
      <c r="V67" s="1108"/>
      <c r="W67" s="1108"/>
      <c r="X67" s="1108"/>
      <c r="Y67" s="1108"/>
      <c r="Z67" s="1108"/>
    </row>
    <row r="68" spans="1:26" ht="18" customHeight="1" x14ac:dyDescent="0.35">
      <c r="A68" s="1108"/>
      <c r="B68" s="376"/>
      <c r="C68" s="376"/>
      <c r="D68" s="376"/>
      <c r="E68" s="376"/>
      <c r="F68" s="376"/>
      <c r="G68" s="376"/>
      <c r="H68" s="376"/>
      <c r="I68" s="376"/>
      <c r="J68" s="376"/>
      <c r="K68" s="1109"/>
      <c r="L68" s="1109"/>
      <c r="M68" s="1109"/>
      <c r="N68" s="1108"/>
      <c r="O68" s="1108"/>
      <c r="P68" s="1108"/>
      <c r="Q68" s="1108"/>
      <c r="R68" s="1108"/>
      <c r="S68" s="1108"/>
      <c r="T68" s="1108"/>
      <c r="U68" s="1108"/>
      <c r="V68" s="1108"/>
      <c r="W68" s="1108"/>
      <c r="X68" s="1108"/>
      <c r="Y68" s="1108"/>
      <c r="Z68" s="1108"/>
    </row>
    <row r="69" spans="1:26" ht="18" customHeight="1" x14ac:dyDescent="0.35">
      <c r="A69" s="1108"/>
      <c r="B69" s="376"/>
      <c r="C69" s="376"/>
      <c r="D69" s="376"/>
      <c r="E69" s="376"/>
      <c r="F69" s="376"/>
      <c r="G69" s="376"/>
      <c r="H69" s="376"/>
      <c r="I69" s="376"/>
      <c r="J69" s="376"/>
      <c r="K69" s="1109"/>
      <c r="L69" s="1109"/>
      <c r="M69" s="1109"/>
      <c r="N69" s="1108"/>
      <c r="O69" s="1108"/>
      <c r="P69" s="1108"/>
      <c r="Q69" s="1108"/>
      <c r="R69" s="1108"/>
      <c r="S69" s="1108"/>
      <c r="T69" s="1108"/>
      <c r="U69" s="1108"/>
      <c r="V69" s="1108"/>
      <c r="W69" s="1108"/>
      <c r="X69" s="1108"/>
      <c r="Y69" s="1108"/>
      <c r="Z69" s="1108"/>
    </row>
    <row r="70" spans="1:26" ht="18" customHeight="1" x14ac:dyDescent="0.35">
      <c r="A70" s="1108"/>
      <c r="B70" s="376"/>
      <c r="C70" s="376"/>
      <c r="D70" s="376"/>
      <c r="E70" s="376"/>
      <c r="F70" s="376"/>
      <c r="G70" s="376"/>
      <c r="H70" s="376"/>
      <c r="I70" s="376"/>
      <c r="J70" s="376"/>
      <c r="K70" s="1109"/>
      <c r="L70" s="1109"/>
      <c r="M70" s="1109"/>
      <c r="N70" s="1108"/>
      <c r="O70" s="1108"/>
      <c r="P70" s="1108"/>
      <c r="Q70" s="1108"/>
      <c r="R70" s="1108"/>
      <c r="S70" s="1108"/>
      <c r="T70" s="1108"/>
      <c r="U70" s="1108"/>
      <c r="V70" s="1108"/>
      <c r="W70" s="1108"/>
      <c r="X70" s="1108"/>
      <c r="Y70" s="1108"/>
      <c r="Z70" s="1108"/>
    </row>
    <row r="71" spans="1:26" ht="18" customHeight="1" x14ac:dyDescent="0.35">
      <c r="A71" s="1108"/>
      <c r="B71" s="376"/>
      <c r="C71" s="376"/>
      <c r="D71" s="376"/>
      <c r="E71" s="376"/>
      <c r="F71" s="376"/>
      <c r="G71" s="376"/>
      <c r="H71" s="376"/>
      <c r="I71" s="376"/>
      <c r="J71" s="376"/>
      <c r="K71" s="1109"/>
      <c r="L71" s="1109"/>
      <c r="M71" s="1109"/>
      <c r="N71" s="1108"/>
      <c r="O71" s="1108"/>
      <c r="P71" s="1108"/>
      <c r="Q71" s="1108"/>
      <c r="R71" s="1108"/>
      <c r="S71" s="1108"/>
      <c r="T71" s="1108"/>
      <c r="U71" s="1108"/>
      <c r="V71" s="1108"/>
      <c r="W71" s="1108"/>
      <c r="X71" s="1108"/>
      <c r="Y71" s="1108"/>
      <c r="Z71" s="1108"/>
    </row>
    <row r="72" spans="1:26" ht="18" customHeight="1" x14ac:dyDescent="0.35">
      <c r="A72" s="1108"/>
      <c r="B72" s="376"/>
      <c r="C72" s="376"/>
      <c r="D72" s="376"/>
      <c r="E72" s="376"/>
      <c r="F72" s="376"/>
      <c r="G72" s="376"/>
      <c r="H72" s="376"/>
      <c r="I72" s="376"/>
      <c r="J72" s="376"/>
      <c r="K72" s="1109"/>
      <c r="L72" s="1109"/>
      <c r="M72" s="1109"/>
      <c r="N72" s="1108"/>
      <c r="O72" s="1108"/>
      <c r="P72" s="1108"/>
      <c r="Q72" s="1108"/>
      <c r="R72" s="1108"/>
      <c r="S72" s="1108"/>
      <c r="T72" s="1108"/>
      <c r="U72" s="1108"/>
      <c r="V72" s="1108"/>
      <c r="W72" s="1108"/>
      <c r="X72" s="1108"/>
      <c r="Y72" s="1108"/>
      <c r="Z72" s="1108"/>
    </row>
    <row r="73" spans="1:26" ht="18" customHeight="1" x14ac:dyDescent="0.35">
      <c r="A73" s="1108"/>
      <c r="B73" s="376"/>
      <c r="C73" s="376"/>
      <c r="D73" s="376"/>
      <c r="E73" s="376"/>
      <c r="F73" s="376"/>
      <c r="G73" s="376"/>
      <c r="H73" s="376"/>
      <c r="I73" s="376"/>
      <c r="J73" s="376"/>
      <c r="K73" s="1109"/>
      <c r="L73" s="1109"/>
      <c r="M73" s="1109"/>
      <c r="N73" s="1108"/>
      <c r="O73" s="1108"/>
      <c r="P73" s="1108"/>
      <c r="Q73" s="1108"/>
      <c r="R73" s="1108"/>
      <c r="S73" s="1108"/>
      <c r="T73" s="1108"/>
      <c r="U73" s="1108"/>
      <c r="V73" s="1108"/>
      <c r="W73" s="1108"/>
      <c r="X73" s="1108"/>
      <c r="Y73" s="1108"/>
      <c r="Z73" s="1108"/>
    </row>
    <row r="74" spans="1:26" ht="18" customHeight="1" x14ac:dyDescent="0.35">
      <c r="A74" s="1108"/>
      <c r="B74" s="376"/>
      <c r="C74" s="376"/>
      <c r="D74" s="376"/>
      <c r="E74" s="376"/>
      <c r="F74" s="376"/>
      <c r="G74" s="376"/>
      <c r="H74" s="376"/>
      <c r="I74" s="376"/>
      <c r="J74" s="376"/>
      <c r="K74" s="1109"/>
      <c r="L74" s="1109"/>
      <c r="M74" s="1109"/>
      <c r="N74" s="1108"/>
      <c r="O74" s="1108"/>
      <c r="P74" s="1108"/>
      <c r="Q74" s="1108"/>
      <c r="R74" s="1108"/>
      <c r="S74" s="1108"/>
      <c r="T74" s="1108"/>
      <c r="U74" s="1108"/>
      <c r="V74" s="1108"/>
      <c r="W74" s="1108"/>
      <c r="X74" s="1108"/>
      <c r="Y74" s="1108"/>
      <c r="Z74" s="1108"/>
    </row>
    <row r="75" spans="1:26" ht="18" customHeight="1" x14ac:dyDescent="0.35">
      <c r="A75" s="1108"/>
      <c r="B75" s="376"/>
      <c r="C75" s="376"/>
      <c r="D75" s="376"/>
      <c r="E75" s="376"/>
      <c r="F75" s="376"/>
      <c r="G75" s="376"/>
      <c r="H75" s="376"/>
      <c r="I75" s="376"/>
      <c r="J75" s="376"/>
      <c r="K75" s="1109"/>
      <c r="L75" s="1109"/>
      <c r="M75" s="1109"/>
      <c r="N75" s="1108"/>
      <c r="O75" s="1108"/>
      <c r="P75" s="1108"/>
      <c r="Q75" s="1108"/>
      <c r="R75" s="1108"/>
      <c r="S75" s="1108"/>
      <c r="T75" s="1108"/>
      <c r="U75" s="1108"/>
      <c r="V75" s="1108"/>
      <c r="W75" s="1108"/>
      <c r="X75" s="1108"/>
      <c r="Y75" s="1108"/>
      <c r="Z75" s="1108"/>
    </row>
    <row r="76" spans="1:26" ht="18" customHeight="1" x14ac:dyDescent="0.35">
      <c r="A76" s="1108"/>
      <c r="B76" s="376"/>
      <c r="C76" s="376"/>
      <c r="D76" s="376"/>
      <c r="E76" s="376"/>
      <c r="F76" s="376"/>
      <c r="G76" s="376"/>
      <c r="H76" s="376"/>
      <c r="I76" s="376"/>
      <c r="J76" s="376"/>
      <c r="K76" s="1109"/>
      <c r="L76" s="1109"/>
      <c r="M76" s="1109"/>
      <c r="N76" s="1108"/>
      <c r="O76" s="1108"/>
      <c r="P76" s="1108"/>
      <c r="Q76" s="1108"/>
      <c r="R76" s="1108"/>
      <c r="S76" s="1108"/>
      <c r="T76" s="1108"/>
      <c r="U76" s="1108"/>
      <c r="V76" s="1108"/>
      <c r="W76" s="1108"/>
      <c r="X76" s="1108"/>
      <c r="Y76" s="1108"/>
      <c r="Z76" s="1108"/>
    </row>
    <row r="77" spans="1:26" ht="18" customHeight="1" x14ac:dyDescent="0.35">
      <c r="A77" s="1108"/>
      <c r="B77" s="376"/>
      <c r="C77" s="376"/>
      <c r="D77" s="376"/>
      <c r="E77" s="376"/>
      <c r="F77" s="376"/>
      <c r="G77" s="376"/>
      <c r="H77" s="376"/>
      <c r="I77" s="376"/>
      <c r="J77" s="376"/>
      <c r="K77" s="1109"/>
      <c r="L77" s="1109"/>
      <c r="M77" s="1109"/>
      <c r="N77" s="1108"/>
      <c r="O77" s="1108"/>
      <c r="P77" s="1108"/>
      <c r="Q77" s="1108"/>
      <c r="R77" s="1108"/>
      <c r="S77" s="1108"/>
      <c r="T77" s="1108"/>
      <c r="U77" s="1108"/>
      <c r="V77" s="1108"/>
      <c r="W77" s="1108"/>
      <c r="X77" s="1108"/>
      <c r="Y77" s="1108"/>
      <c r="Z77" s="1108"/>
    </row>
    <row r="78" spans="1:26" ht="18" customHeight="1" x14ac:dyDescent="0.35">
      <c r="A78" s="1108"/>
      <c r="B78" s="376"/>
      <c r="C78" s="376"/>
      <c r="D78" s="376"/>
      <c r="E78" s="376"/>
      <c r="F78" s="376"/>
      <c r="G78" s="376"/>
      <c r="H78" s="376"/>
      <c r="I78" s="376"/>
      <c r="J78" s="376"/>
      <c r="K78" s="1109"/>
      <c r="L78" s="1109"/>
      <c r="M78" s="1109"/>
      <c r="N78" s="1108"/>
      <c r="O78" s="1108"/>
      <c r="P78" s="1108"/>
      <c r="Q78" s="1108"/>
      <c r="R78" s="1108"/>
      <c r="S78" s="1108"/>
      <c r="T78" s="1108"/>
      <c r="U78" s="1108"/>
      <c r="V78" s="1108"/>
      <c r="W78" s="1108"/>
      <c r="X78" s="1108"/>
      <c r="Y78" s="1108"/>
      <c r="Z78" s="1108"/>
    </row>
    <row r="79" spans="1:26" ht="18" customHeight="1" x14ac:dyDescent="0.35">
      <c r="A79" s="1108"/>
      <c r="B79" s="376"/>
      <c r="C79" s="376"/>
      <c r="D79" s="376"/>
      <c r="E79" s="376"/>
      <c r="F79" s="376"/>
      <c r="G79" s="376"/>
      <c r="H79" s="376"/>
      <c r="I79" s="376"/>
      <c r="J79" s="376"/>
      <c r="K79" s="1109"/>
      <c r="L79" s="1109"/>
      <c r="M79" s="1109"/>
      <c r="N79" s="1108"/>
      <c r="O79" s="1108"/>
      <c r="P79" s="1108"/>
      <c r="Q79" s="1108"/>
      <c r="R79" s="1108"/>
      <c r="S79" s="1108"/>
      <c r="T79" s="1108"/>
      <c r="U79" s="1108"/>
      <c r="V79" s="1108"/>
      <c r="W79" s="1108"/>
      <c r="X79" s="1108"/>
      <c r="Y79" s="1108"/>
      <c r="Z79" s="1108"/>
    </row>
    <row r="80" spans="1:26" ht="18" customHeight="1" x14ac:dyDescent="0.35">
      <c r="A80" s="1108"/>
      <c r="B80" s="376"/>
      <c r="C80" s="376"/>
      <c r="D80" s="376"/>
      <c r="E80" s="376"/>
      <c r="F80" s="376"/>
      <c r="G80" s="376"/>
      <c r="H80" s="376"/>
      <c r="I80" s="376"/>
      <c r="J80" s="376"/>
      <c r="K80" s="1109"/>
      <c r="L80" s="1109"/>
      <c r="M80" s="1109"/>
      <c r="N80" s="1108"/>
      <c r="O80" s="1108"/>
      <c r="P80" s="1108"/>
      <c r="Q80" s="1108"/>
      <c r="R80" s="1108"/>
      <c r="S80" s="1108"/>
      <c r="T80" s="1108"/>
      <c r="U80" s="1108"/>
      <c r="V80" s="1108"/>
      <c r="W80" s="1108"/>
      <c r="X80" s="1108"/>
      <c r="Y80" s="1108"/>
      <c r="Z80" s="1108"/>
    </row>
    <row r="81" spans="1:26" ht="18" customHeight="1" x14ac:dyDescent="0.35">
      <c r="A81" s="1108"/>
      <c r="B81" s="376"/>
      <c r="C81" s="376"/>
      <c r="D81" s="376"/>
      <c r="E81" s="376"/>
      <c r="F81" s="376"/>
      <c r="G81" s="376"/>
      <c r="H81" s="376"/>
      <c r="I81" s="376"/>
      <c r="J81" s="376"/>
      <c r="K81" s="1109"/>
      <c r="L81" s="1109"/>
      <c r="M81" s="1109"/>
      <c r="N81" s="1108"/>
      <c r="O81" s="1108"/>
      <c r="P81" s="1108"/>
      <c r="Q81" s="1108"/>
      <c r="R81" s="1108"/>
      <c r="S81" s="1108"/>
      <c r="T81" s="1108"/>
      <c r="U81" s="1108"/>
      <c r="V81" s="1108"/>
      <c r="W81" s="1108"/>
      <c r="X81" s="1108"/>
      <c r="Y81" s="1108"/>
      <c r="Z81" s="1108"/>
    </row>
    <row r="82" spans="1:26" ht="18" customHeight="1" x14ac:dyDescent="0.35">
      <c r="A82" s="1108"/>
      <c r="B82" s="376"/>
      <c r="C82" s="376"/>
      <c r="D82" s="376"/>
      <c r="E82" s="376"/>
      <c r="F82" s="376"/>
      <c r="G82" s="376"/>
      <c r="H82" s="376"/>
      <c r="I82" s="376"/>
      <c r="J82" s="376"/>
      <c r="K82" s="1109"/>
      <c r="L82" s="1109"/>
      <c r="M82" s="1109"/>
      <c r="N82" s="1108"/>
      <c r="O82" s="1108"/>
      <c r="P82" s="1108"/>
      <c r="Q82" s="1108"/>
      <c r="R82" s="1108"/>
      <c r="S82" s="1108"/>
      <c r="T82" s="1108"/>
      <c r="U82" s="1108"/>
      <c r="V82" s="1108"/>
      <c r="W82" s="1108"/>
      <c r="X82" s="1108"/>
      <c r="Y82" s="1108"/>
      <c r="Z82" s="1108"/>
    </row>
    <row r="83" spans="1:26" ht="18" customHeight="1" x14ac:dyDescent="0.35">
      <c r="A83" s="1108"/>
      <c r="B83" s="376"/>
      <c r="C83" s="376"/>
      <c r="D83" s="376"/>
      <c r="E83" s="376"/>
      <c r="F83" s="376"/>
      <c r="G83" s="376"/>
      <c r="H83" s="376"/>
      <c r="I83" s="376"/>
      <c r="J83" s="376"/>
      <c r="K83" s="1109"/>
      <c r="L83" s="1109"/>
      <c r="M83" s="1109"/>
      <c r="N83" s="1108"/>
      <c r="O83" s="1108"/>
      <c r="P83" s="1108"/>
      <c r="Q83" s="1108"/>
      <c r="R83" s="1108"/>
      <c r="S83" s="1108"/>
      <c r="T83" s="1108"/>
      <c r="U83" s="1108"/>
      <c r="V83" s="1108"/>
      <c r="W83" s="1108"/>
      <c r="X83" s="1108"/>
      <c r="Y83" s="1108"/>
      <c r="Z83" s="1108"/>
    </row>
    <row r="84" spans="1:26" ht="18" customHeight="1" x14ac:dyDescent="0.35">
      <c r="A84" s="1108"/>
      <c r="B84" s="376"/>
      <c r="C84" s="376"/>
      <c r="D84" s="376"/>
      <c r="E84" s="376"/>
      <c r="F84" s="376"/>
      <c r="G84" s="376"/>
      <c r="H84" s="376"/>
      <c r="I84" s="376"/>
      <c r="J84" s="376"/>
      <c r="K84" s="1109"/>
      <c r="L84" s="1109"/>
      <c r="M84" s="1109"/>
      <c r="N84" s="1108"/>
      <c r="O84" s="1108"/>
      <c r="P84" s="1108"/>
      <c r="Q84" s="1108"/>
      <c r="R84" s="1108"/>
      <c r="S84" s="1108"/>
      <c r="T84" s="1108"/>
      <c r="U84" s="1108"/>
      <c r="V84" s="1108"/>
      <c r="W84" s="1108"/>
      <c r="X84" s="1108"/>
      <c r="Y84" s="1108"/>
      <c r="Z84" s="1108"/>
    </row>
    <row r="85" spans="1:26" ht="18" customHeight="1" x14ac:dyDescent="0.35">
      <c r="A85" s="1108"/>
      <c r="B85" s="376"/>
      <c r="C85" s="376"/>
      <c r="D85" s="376"/>
      <c r="E85" s="376"/>
      <c r="F85" s="376"/>
      <c r="G85" s="376"/>
      <c r="H85" s="376"/>
      <c r="I85" s="376"/>
      <c r="J85" s="376"/>
      <c r="K85" s="1109"/>
      <c r="L85" s="1109"/>
      <c r="M85" s="1109"/>
      <c r="N85" s="1108"/>
      <c r="O85" s="1108"/>
      <c r="P85" s="1108"/>
      <c r="Q85" s="1108"/>
      <c r="R85" s="1108"/>
      <c r="S85" s="1108"/>
      <c r="T85" s="1108"/>
      <c r="U85" s="1108"/>
      <c r="V85" s="1108"/>
      <c r="W85" s="1108"/>
      <c r="X85" s="1108"/>
      <c r="Y85" s="1108"/>
      <c r="Z85" s="1108"/>
    </row>
    <row r="86" spans="1:26" ht="18" customHeight="1" x14ac:dyDescent="0.35">
      <c r="A86" s="1108"/>
      <c r="B86" s="376"/>
      <c r="C86" s="376"/>
      <c r="D86" s="376"/>
      <c r="E86" s="376"/>
      <c r="F86" s="376"/>
      <c r="G86" s="376"/>
      <c r="H86" s="376"/>
      <c r="I86" s="376"/>
      <c r="J86" s="376"/>
      <c r="K86" s="1109"/>
      <c r="L86" s="1109"/>
      <c r="M86" s="1109"/>
      <c r="N86" s="1108"/>
      <c r="O86" s="1108"/>
      <c r="P86" s="1108"/>
      <c r="Q86" s="1108"/>
      <c r="R86" s="1108"/>
      <c r="S86" s="1108"/>
      <c r="T86" s="1108"/>
      <c r="U86" s="1108"/>
      <c r="V86" s="1108"/>
      <c r="W86" s="1108"/>
      <c r="X86" s="1108"/>
      <c r="Y86" s="1108"/>
      <c r="Z86" s="1108"/>
    </row>
    <row r="87" spans="1:26" ht="18" customHeight="1" x14ac:dyDescent="0.35">
      <c r="A87" s="1108"/>
      <c r="B87" s="376"/>
      <c r="C87" s="376"/>
      <c r="D87" s="376"/>
      <c r="E87" s="376"/>
      <c r="F87" s="376"/>
      <c r="G87" s="376"/>
      <c r="H87" s="376"/>
      <c r="I87" s="376"/>
      <c r="J87" s="376"/>
      <c r="K87" s="1109"/>
      <c r="L87" s="1109"/>
      <c r="M87" s="1109"/>
      <c r="N87" s="1108"/>
      <c r="O87" s="1108"/>
      <c r="P87" s="1108"/>
      <c r="Q87" s="1108"/>
      <c r="R87" s="1108"/>
      <c r="S87" s="1108"/>
      <c r="T87" s="1108"/>
      <c r="U87" s="1108"/>
      <c r="V87" s="1108"/>
      <c r="W87" s="1108"/>
      <c r="X87" s="1108"/>
      <c r="Y87" s="1108"/>
      <c r="Z87" s="1108"/>
    </row>
    <row r="88" spans="1:26" ht="18" customHeight="1" x14ac:dyDescent="0.35">
      <c r="A88" s="1108"/>
      <c r="B88" s="376"/>
      <c r="C88" s="376"/>
      <c r="D88" s="376"/>
      <c r="E88" s="376"/>
      <c r="F88" s="376"/>
      <c r="G88" s="376"/>
      <c r="H88" s="376"/>
      <c r="I88" s="376"/>
      <c r="J88" s="376"/>
      <c r="K88" s="1109"/>
      <c r="L88" s="1109"/>
      <c r="M88" s="1109"/>
      <c r="N88" s="1108"/>
      <c r="O88" s="1108"/>
      <c r="P88" s="1108"/>
      <c r="Q88" s="1108"/>
      <c r="R88" s="1108"/>
      <c r="S88" s="1108"/>
      <c r="T88" s="1108"/>
      <c r="U88" s="1108"/>
      <c r="V88" s="1108"/>
      <c r="W88" s="1108"/>
      <c r="X88" s="1108"/>
      <c r="Y88" s="1108"/>
      <c r="Z88" s="1108"/>
    </row>
    <row r="89" spans="1:26" ht="18" customHeight="1" x14ac:dyDescent="0.35">
      <c r="A89" s="1108"/>
      <c r="B89" s="376"/>
      <c r="C89" s="376"/>
      <c r="D89" s="376"/>
      <c r="E89" s="376"/>
      <c r="F89" s="376"/>
      <c r="G89" s="376"/>
      <c r="H89" s="376"/>
      <c r="I89" s="376"/>
      <c r="J89" s="376"/>
      <c r="K89" s="1109"/>
      <c r="L89" s="1109"/>
      <c r="M89" s="1109"/>
      <c r="N89" s="1108"/>
      <c r="O89" s="1108"/>
      <c r="P89" s="1108"/>
      <c r="Q89" s="1108"/>
      <c r="R89" s="1108"/>
      <c r="S89" s="1108"/>
      <c r="T89" s="1108"/>
      <c r="U89" s="1108"/>
      <c r="V89" s="1108"/>
      <c r="W89" s="1108"/>
      <c r="X89" s="1108"/>
      <c r="Y89" s="1108"/>
      <c r="Z89" s="1108"/>
    </row>
    <row r="90" spans="1:26" ht="18" customHeight="1" x14ac:dyDescent="0.35">
      <c r="A90" s="1108"/>
      <c r="B90" s="376"/>
      <c r="C90" s="376"/>
      <c r="D90" s="376"/>
      <c r="E90" s="376"/>
      <c r="F90" s="376"/>
      <c r="G90" s="376"/>
      <c r="H90" s="376"/>
      <c r="I90" s="376"/>
      <c r="J90" s="376"/>
      <c r="K90" s="1109"/>
      <c r="L90" s="1109"/>
      <c r="M90" s="1109"/>
      <c r="N90" s="1108"/>
      <c r="O90" s="1108"/>
      <c r="P90" s="1108"/>
      <c r="Q90" s="1108"/>
      <c r="R90" s="1108"/>
      <c r="S90" s="1108"/>
      <c r="T90" s="1108"/>
      <c r="U90" s="1108"/>
      <c r="V90" s="1108"/>
      <c r="W90" s="1108"/>
      <c r="X90" s="1108"/>
      <c r="Y90" s="1108"/>
      <c r="Z90" s="1108"/>
    </row>
    <row r="91" spans="1:26" ht="18" customHeight="1" x14ac:dyDescent="0.35">
      <c r="A91" s="1108"/>
      <c r="B91" s="376"/>
      <c r="C91" s="376"/>
      <c r="D91" s="376"/>
      <c r="E91" s="376"/>
      <c r="F91" s="376"/>
      <c r="G91" s="376"/>
      <c r="H91" s="376"/>
      <c r="I91" s="376"/>
      <c r="J91" s="376"/>
      <c r="K91" s="1109"/>
      <c r="L91" s="1109"/>
      <c r="M91" s="1109"/>
      <c r="N91" s="1108"/>
      <c r="O91" s="1108"/>
      <c r="P91" s="1108"/>
      <c r="Q91" s="1108"/>
      <c r="R91" s="1108"/>
      <c r="S91" s="1108"/>
      <c r="T91" s="1108"/>
      <c r="U91" s="1108"/>
      <c r="V91" s="1108"/>
      <c r="W91" s="1108"/>
      <c r="X91" s="1108"/>
      <c r="Y91" s="1108"/>
      <c r="Z91" s="1108"/>
    </row>
    <row r="92" spans="1:26" ht="18" customHeight="1" x14ac:dyDescent="0.35">
      <c r="A92" s="1108"/>
      <c r="B92" s="376"/>
      <c r="C92" s="376"/>
      <c r="D92" s="376"/>
      <c r="E92" s="376"/>
      <c r="F92" s="376"/>
      <c r="G92" s="376"/>
      <c r="H92" s="376"/>
      <c r="I92" s="376"/>
      <c r="J92" s="376"/>
      <c r="K92" s="1109"/>
      <c r="L92" s="1109"/>
      <c r="M92" s="1109"/>
      <c r="N92" s="1108"/>
      <c r="O92" s="1108"/>
      <c r="P92" s="1108"/>
      <c r="Q92" s="1108"/>
      <c r="R92" s="1108"/>
      <c r="S92" s="1108"/>
      <c r="T92" s="1108"/>
      <c r="U92" s="1108"/>
      <c r="V92" s="1108"/>
      <c r="W92" s="1108"/>
      <c r="X92" s="1108"/>
      <c r="Y92" s="1108"/>
      <c r="Z92" s="1108"/>
    </row>
    <row r="93" spans="1:26" ht="18" customHeight="1" x14ac:dyDescent="0.35">
      <c r="A93" s="1108"/>
      <c r="B93" s="376"/>
      <c r="C93" s="376"/>
      <c r="D93" s="376"/>
      <c r="E93" s="376"/>
      <c r="F93" s="376"/>
      <c r="G93" s="376"/>
      <c r="H93" s="376"/>
      <c r="I93" s="376"/>
      <c r="J93" s="376"/>
      <c r="K93" s="1109"/>
      <c r="L93" s="1109"/>
      <c r="M93" s="1109"/>
      <c r="N93" s="1108"/>
      <c r="O93" s="1108"/>
      <c r="P93" s="1108"/>
      <c r="Q93" s="1108"/>
      <c r="R93" s="1108"/>
      <c r="S93" s="1108"/>
      <c r="T93" s="1108"/>
      <c r="U93" s="1108"/>
      <c r="V93" s="1108"/>
      <c r="W93" s="1108"/>
      <c r="X93" s="1108"/>
      <c r="Y93" s="1108"/>
      <c r="Z93" s="1108"/>
    </row>
    <row r="94" spans="1:26" ht="18" customHeight="1" x14ac:dyDescent="0.35">
      <c r="A94" s="1108"/>
      <c r="B94" s="376"/>
      <c r="C94" s="376"/>
      <c r="D94" s="376"/>
      <c r="E94" s="376"/>
      <c r="F94" s="376"/>
      <c r="G94" s="376"/>
      <c r="H94" s="376"/>
      <c r="I94" s="376"/>
      <c r="J94" s="376"/>
      <c r="K94" s="1109"/>
      <c r="L94" s="1109"/>
      <c r="M94" s="1109"/>
      <c r="N94" s="1108"/>
      <c r="O94" s="1108"/>
      <c r="P94" s="1108"/>
      <c r="Q94" s="1108"/>
      <c r="R94" s="1108"/>
      <c r="S94" s="1108"/>
      <c r="T94" s="1108"/>
      <c r="U94" s="1108"/>
      <c r="V94" s="1108"/>
      <c r="W94" s="1108"/>
      <c r="X94" s="1108"/>
      <c r="Y94" s="1108"/>
      <c r="Z94" s="1108"/>
    </row>
    <row r="95" spans="1:26" ht="18" customHeight="1" x14ac:dyDescent="0.35">
      <c r="A95" s="1108"/>
      <c r="B95" s="376"/>
      <c r="C95" s="376"/>
      <c r="D95" s="376"/>
      <c r="E95" s="376"/>
      <c r="F95" s="376"/>
      <c r="G95" s="376"/>
      <c r="H95" s="376"/>
      <c r="I95" s="376"/>
      <c r="J95" s="376"/>
      <c r="K95" s="1109"/>
      <c r="L95" s="1109"/>
      <c r="M95" s="1109"/>
      <c r="N95" s="1108"/>
      <c r="O95" s="1108"/>
      <c r="P95" s="1108"/>
      <c r="Q95" s="1108"/>
      <c r="R95" s="1108"/>
      <c r="S95" s="1108"/>
      <c r="T95" s="1108"/>
      <c r="U95" s="1108"/>
      <c r="V95" s="1108"/>
      <c r="W95" s="1108"/>
      <c r="X95" s="1108"/>
      <c r="Y95" s="1108"/>
      <c r="Z95" s="1108"/>
    </row>
    <row r="96" spans="1:26" ht="18" customHeight="1" x14ac:dyDescent="0.35">
      <c r="A96" s="1108"/>
      <c r="B96" s="376"/>
      <c r="C96" s="376"/>
      <c r="D96" s="376"/>
      <c r="E96" s="376"/>
      <c r="F96" s="376"/>
      <c r="G96" s="376"/>
      <c r="H96" s="376"/>
      <c r="I96" s="376"/>
      <c r="J96" s="376"/>
      <c r="K96" s="1109"/>
      <c r="L96" s="1109"/>
      <c r="M96" s="1109"/>
      <c r="N96" s="1108"/>
      <c r="O96" s="1108"/>
      <c r="P96" s="1108"/>
      <c r="Q96" s="1108"/>
      <c r="R96" s="1108"/>
      <c r="S96" s="1108"/>
      <c r="T96" s="1108"/>
      <c r="U96" s="1108"/>
      <c r="V96" s="1108"/>
      <c r="W96" s="1108"/>
      <c r="X96" s="1108"/>
      <c r="Y96" s="1108"/>
      <c r="Z96" s="1108"/>
    </row>
    <row r="97" spans="1:26" ht="18" customHeight="1" x14ac:dyDescent="0.35">
      <c r="A97" s="1108"/>
      <c r="B97" s="376"/>
      <c r="C97" s="376"/>
      <c r="D97" s="376"/>
      <c r="E97" s="376"/>
      <c r="F97" s="376"/>
      <c r="G97" s="376"/>
      <c r="H97" s="376"/>
      <c r="I97" s="376"/>
      <c r="J97" s="376"/>
      <c r="K97" s="1109"/>
      <c r="L97" s="1109"/>
      <c r="M97" s="1109"/>
      <c r="N97" s="1108"/>
      <c r="O97" s="1108"/>
      <c r="P97" s="1108"/>
      <c r="Q97" s="1108"/>
      <c r="R97" s="1108"/>
      <c r="S97" s="1108"/>
      <c r="T97" s="1108"/>
      <c r="U97" s="1108"/>
      <c r="V97" s="1108"/>
      <c r="W97" s="1108"/>
      <c r="X97" s="1108"/>
      <c r="Y97" s="1108"/>
      <c r="Z97" s="1108"/>
    </row>
    <row r="98" spans="1:26" ht="18" customHeight="1" x14ac:dyDescent="0.35">
      <c r="A98" s="1108"/>
      <c r="B98" s="376"/>
      <c r="C98" s="376"/>
      <c r="D98" s="376"/>
      <c r="E98" s="376"/>
      <c r="F98" s="376"/>
      <c r="G98" s="376"/>
      <c r="H98" s="376"/>
      <c r="I98" s="376"/>
      <c r="J98" s="376"/>
      <c r="K98" s="1109"/>
      <c r="L98" s="1109"/>
      <c r="M98" s="1109"/>
      <c r="N98" s="1108"/>
      <c r="O98" s="1108"/>
      <c r="P98" s="1108"/>
      <c r="Q98" s="1108"/>
      <c r="R98" s="1108"/>
      <c r="S98" s="1108"/>
      <c r="T98" s="1108"/>
      <c r="U98" s="1108"/>
      <c r="V98" s="1108"/>
      <c r="W98" s="1108"/>
      <c r="X98" s="1108"/>
      <c r="Y98" s="1108"/>
      <c r="Z98" s="1108"/>
    </row>
    <row r="99" spans="1:26" ht="18" customHeight="1" x14ac:dyDescent="0.35">
      <c r="A99" s="1108"/>
      <c r="B99" s="376"/>
      <c r="C99" s="376"/>
      <c r="D99" s="376"/>
      <c r="E99" s="376"/>
      <c r="F99" s="376"/>
      <c r="G99" s="376"/>
      <c r="H99" s="376"/>
      <c r="I99" s="376"/>
      <c r="J99" s="376"/>
      <c r="K99" s="1109"/>
      <c r="L99" s="1109"/>
      <c r="M99" s="1109"/>
      <c r="N99" s="1108"/>
      <c r="O99" s="1108"/>
      <c r="P99" s="1108"/>
      <c r="Q99" s="1108"/>
      <c r="R99" s="1108"/>
      <c r="S99" s="1108"/>
      <c r="T99" s="1108"/>
      <c r="U99" s="1108"/>
      <c r="V99" s="1108"/>
      <c r="W99" s="1108"/>
      <c r="X99" s="1108"/>
      <c r="Y99" s="1108"/>
      <c r="Z99" s="1108"/>
    </row>
    <row r="100" spans="1:26" ht="18" customHeight="1" x14ac:dyDescent="0.35">
      <c r="A100" s="1108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9"/>
      <c r="L100" s="1109"/>
      <c r="M100" s="1109"/>
      <c r="N100" s="1108"/>
      <c r="O100" s="1108"/>
      <c r="P100" s="1108"/>
      <c r="Q100" s="1108"/>
      <c r="R100" s="1108"/>
      <c r="S100" s="1108"/>
      <c r="T100" s="1108"/>
      <c r="U100" s="1108"/>
      <c r="V100" s="1108"/>
      <c r="W100" s="1108"/>
      <c r="X100" s="1108"/>
      <c r="Y100" s="1108"/>
      <c r="Z100" s="1108"/>
    </row>
    <row r="101" spans="1:26" ht="18" customHeight="1" x14ac:dyDescent="0.35">
      <c r="A101" s="1108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9"/>
      <c r="L101" s="1109"/>
      <c r="M101" s="1109"/>
      <c r="N101" s="1108"/>
      <c r="O101" s="1108"/>
      <c r="P101" s="1108"/>
      <c r="Q101" s="1108"/>
      <c r="R101" s="1108"/>
      <c r="S101" s="1108"/>
      <c r="T101" s="1108"/>
      <c r="U101" s="1108"/>
      <c r="V101" s="1108"/>
      <c r="W101" s="1108"/>
      <c r="X101" s="1108"/>
      <c r="Y101" s="1108"/>
      <c r="Z101" s="1108"/>
    </row>
    <row r="102" spans="1:26" ht="18" customHeight="1" x14ac:dyDescent="0.35">
      <c r="A102" s="1108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9"/>
      <c r="L102" s="1109"/>
      <c r="M102" s="1109"/>
      <c r="N102" s="1108"/>
      <c r="O102" s="1108"/>
      <c r="P102" s="1108"/>
      <c r="Q102" s="1108"/>
      <c r="R102" s="1108"/>
      <c r="S102" s="1108"/>
      <c r="T102" s="1108"/>
      <c r="U102" s="1108"/>
      <c r="V102" s="1108"/>
      <c r="W102" s="1108"/>
      <c r="X102" s="1108"/>
      <c r="Y102" s="1108"/>
      <c r="Z102" s="1108"/>
    </row>
    <row r="103" spans="1:26" ht="18" customHeight="1" x14ac:dyDescent="0.35">
      <c r="A103" s="1108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9"/>
      <c r="L103" s="1109"/>
      <c r="M103" s="1109"/>
      <c r="N103" s="1108"/>
      <c r="O103" s="1108"/>
      <c r="P103" s="1108"/>
      <c r="Q103" s="1108"/>
      <c r="R103" s="1108"/>
      <c r="S103" s="1108"/>
      <c r="T103" s="1108"/>
      <c r="U103" s="1108"/>
      <c r="V103" s="1108"/>
      <c r="W103" s="1108"/>
      <c r="X103" s="1108"/>
      <c r="Y103" s="1108"/>
      <c r="Z103" s="1108"/>
    </row>
    <row r="104" spans="1:26" ht="18" customHeight="1" x14ac:dyDescent="0.35">
      <c r="A104" s="1108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9"/>
      <c r="L104" s="1109"/>
      <c r="M104" s="1109"/>
      <c r="N104" s="1108"/>
      <c r="O104" s="1108"/>
      <c r="P104" s="1108"/>
      <c r="Q104" s="1108"/>
      <c r="R104" s="1108"/>
      <c r="S104" s="1108"/>
      <c r="T104" s="1108"/>
      <c r="U104" s="1108"/>
      <c r="V104" s="1108"/>
      <c r="W104" s="1108"/>
      <c r="X104" s="1108"/>
      <c r="Y104" s="1108"/>
      <c r="Z104" s="1108"/>
    </row>
    <row r="105" spans="1:26" ht="18" customHeight="1" x14ac:dyDescent="0.35">
      <c r="A105" s="1108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9"/>
      <c r="L105" s="1109"/>
      <c r="M105" s="1109"/>
      <c r="N105" s="1108"/>
      <c r="O105" s="1108"/>
      <c r="P105" s="1108"/>
      <c r="Q105" s="1108"/>
      <c r="R105" s="1108"/>
      <c r="S105" s="1108"/>
      <c r="T105" s="1108"/>
      <c r="U105" s="1108"/>
      <c r="V105" s="1108"/>
      <c r="W105" s="1108"/>
      <c r="X105" s="1108"/>
      <c r="Y105" s="1108"/>
      <c r="Z105" s="1108"/>
    </row>
    <row r="106" spans="1:26" ht="18" customHeight="1" x14ac:dyDescent="0.35">
      <c r="A106" s="1108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9"/>
      <c r="L106" s="1109"/>
      <c r="M106" s="1109"/>
      <c r="N106" s="1108"/>
      <c r="O106" s="1108"/>
      <c r="P106" s="1108"/>
      <c r="Q106" s="1108"/>
      <c r="R106" s="1108"/>
      <c r="S106" s="1108"/>
      <c r="T106" s="1108"/>
      <c r="U106" s="1108"/>
      <c r="V106" s="1108"/>
      <c r="W106" s="1108"/>
      <c r="X106" s="1108"/>
      <c r="Y106" s="1108"/>
      <c r="Z106" s="1108"/>
    </row>
    <row r="107" spans="1:26" ht="18" customHeight="1" x14ac:dyDescent="0.35">
      <c r="A107" s="1108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9"/>
      <c r="L107" s="1109"/>
      <c r="M107" s="1109"/>
      <c r="N107" s="1108"/>
      <c r="O107" s="1108"/>
      <c r="P107" s="1108"/>
      <c r="Q107" s="1108"/>
      <c r="R107" s="1108"/>
      <c r="S107" s="1108"/>
      <c r="T107" s="1108"/>
      <c r="U107" s="1108"/>
      <c r="V107" s="1108"/>
      <c r="W107" s="1108"/>
      <c r="X107" s="1108"/>
      <c r="Y107" s="1108"/>
      <c r="Z107" s="1108"/>
    </row>
    <row r="108" spans="1:26" ht="18" customHeight="1" x14ac:dyDescent="0.35">
      <c r="A108" s="1108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9"/>
      <c r="L108" s="1109"/>
      <c r="M108" s="1109"/>
      <c r="N108" s="1108"/>
      <c r="O108" s="1108"/>
      <c r="P108" s="1108"/>
      <c r="Q108" s="1108"/>
      <c r="R108" s="1108"/>
      <c r="S108" s="1108"/>
      <c r="T108" s="1108"/>
      <c r="U108" s="1108"/>
      <c r="V108" s="1108"/>
      <c r="W108" s="1108"/>
      <c r="X108" s="1108"/>
      <c r="Y108" s="1108"/>
      <c r="Z108" s="1108"/>
    </row>
    <row r="109" spans="1:26" ht="18" customHeight="1" x14ac:dyDescent="0.35">
      <c r="A109" s="1108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9"/>
      <c r="L109" s="1109"/>
      <c r="M109" s="1109"/>
      <c r="N109" s="1108"/>
      <c r="O109" s="1108"/>
      <c r="P109" s="1108"/>
      <c r="Q109" s="1108"/>
      <c r="R109" s="1108"/>
      <c r="S109" s="1108"/>
      <c r="T109" s="1108"/>
      <c r="U109" s="1108"/>
      <c r="V109" s="1108"/>
      <c r="W109" s="1108"/>
      <c r="X109" s="1108"/>
      <c r="Y109" s="1108"/>
      <c r="Z109" s="1108"/>
    </row>
    <row r="110" spans="1:26" ht="18" customHeight="1" x14ac:dyDescent="0.35">
      <c r="A110" s="1108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9"/>
      <c r="L110" s="1109"/>
      <c r="M110" s="1109"/>
      <c r="N110" s="1108"/>
      <c r="O110" s="1108"/>
      <c r="P110" s="1108"/>
      <c r="Q110" s="1108"/>
      <c r="R110" s="1108"/>
      <c r="S110" s="1108"/>
      <c r="T110" s="1108"/>
      <c r="U110" s="1108"/>
      <c r="V110" s="1108"/>
      <c r="W110" s="1108"/>
      <c r="X110" s="1108"/>
      <c r="Y110" s="1108"/>
      <c r="Z110" s="1108"/>
    </row>
    <row r="111" spans="1:26" ht="18" customHeight="1" x14ac:dyDescent="0.35">
      <c r="A111" s="1108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9"/>
      <c r="L111" s="1109"/>
      <c r="M111" s="1109"/>
      <c r="N111" s="1108"/>
      <c r="O111" s="1108"/>
      <c r="P111" s="1108"/>
      <c r="Q111" s="1108"/>
      <c r="R111" s="1108"/>
      <c r="S111" s="1108"/>
      <c r="T111" s="1108"/>
      <c r="U111" s="1108"/>
      <c r="V111" s="1108"/>
      <c r="W111" s="1108"/>
      <c r="X111" s="1108"/>
      <c r="Y111" s="1108"/>
      <c r="Z111" s="1108"/>
    </row>
    <row r="112" spans="1:26" ht="18" customHeight="1" x14ac:dyDescent="0.35">
      <c r="A112" s="1108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9"/>
      <c r="L112" s="1109"/>
      <c r="M112" s="1109"/>
      <c r="N112" s="1108"/>
      <c r="O112" s="1108"/>
      <c r="P112" s="1108"/>
      <c r="Q112" s="1108"/>
      <c r="R112" s="1108"/>
      <c r="S112" s="1108"/>
      <c r="T112" s="1108"/>
      <c r="U112" s="1108"/>
      <c r="V112" s="1108"/>
      <c r="W112" s="1108"/>
      <c r="X112" s="1108"/>
      <c r="Y112" s="1108"/>
      <c r="Z112" s="1108"/>
    </row>
    <row r="113" spans="1:26" ht="18" customHeight="1" x14ac:dyDescent="0.35">
      <c r="A113" s="1108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9"/>
      <c r="L113" s="1109"/>
      <c r="M113" s="1109"/>
      <c r="N113" s="1108"/>
      <c r="O113" s="1108"/>
      <c r="P113" s="1108"/>
      <c r="Q113" s="1108"/>
      <c r="R113" s="1108"/>
      <c r="S113" s="1108"/>
      <c r="T113" s="1108"/>
      <c r="U113" s="1108"/>
      <c r="V113" s="1108"/>
      <c r="W113" s="1108"/>
      <c r="X113" s="1108"/>
      <c r="Y113" s="1108"/>
      <c r="Z113" s="1108"/>
    </row>
    <row r="114" spans="1:26" ht="18" customHeight="1" x14ac:dyDescent="0.35">
      <c r="A114" s="1108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9"/>
      <c r="L114" s="1109"/>
      <c r="M114" s="1109"/>
      <c r="N114" s="1108"/>
      <c r="O114" s="1108"/>
      <c r="P114" s="1108"/>
      <c r="Q114" s="1108"/>
      <c r="R114" s="1108"/>
      <c r="S114" s="1108"/>
      <c r="T114" s="1108"/>
      <c r="U114" s="1108"/>
      <c r="V114" s="1108"/>
      <c r="W114" s="1108"/>
      <c r="X114" s="1108"/>
      <c r="Y114" s="1108"/>
      <c r="Z114" s="1108"/>
    </row>
    <row r="115" spans="1:26" ht="18" customHeight="1" x14ac:dyDescent="0.35">
      <c r="A115" s="1108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9"/>
      <c r="L115" s="1109"/>
      <c r="M115" s="1109"/>
      <c r="N115" s="1108"/>
      <c r="O115" s="1108"/>
      <c r="P115" s="1108"/>
      <c r="Q115" s="1108"/>
      <c r="R115" s="1108"/>
      <c r="S115" s="1108"/>
      <c r="T115" s="1108"/>
      <c r="U115" s="1108"/>
      <c r="V115" s="1108"/>
      <c r="W115" s="1108"/>
      <c r="X115" s="1108"/>
      <c r="Y115" s="1108"/>
      <c r="Z115" s="1108"/>
    </row>
    <row r="116" spans="1:26" ht="18" customHeight="1" x14ac:dyDescent="0.35">
      <c r="A116" s="1108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9"/>
      <c r="L116" s="1109"/>
      <c r="M116" s="1109"/>
      <c r="N116" s="1108"/>
      <c r="O116" s="1108"/>
      <c r="P116" s="1108"/>
      <c r="Q116" s="1108"/>
      <c r="R116" s="1108"/>
      <c r="S116" s="1108"/>
      <c r="T116" s="1108"/>
      <c r="U116" s="1108"/>
      <c r="V116" s="1108"/>
      <c r="W116" s="1108"/>
      <c r="X116" s="1108"/>
      <c r="Y116" s="1108"/>
      <c r="Z116" s="1108"/>
    </row>
    <row r="117" spans="1:26" ht="18" customHeight="1" x14ac:dyDescent="0.35">
      <c r="A117" s="1108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9"/>
      <c r="L117" s="1109"/>
      <c r="M117" s="1109"/>
      <c r="N117" s="1108"/>
      <c r="O117" s="1108"/>
      <c r="P117" s="1108"/>
      <c r="Q117" s="1108"/>
      <c r="R117" s="1108"/>
      <c r="S117" s="1108"/>
      <c r="T117" s="1108"/>
      <c r="U117" s="1108"/>
      <c r="V117" s="1108"/>
      <c r="W117" s="1108"/>
      <c r="X117" s="1108"/>
      <c r="Y117" s="1108"/>
      <c r="Z117" s="1108"/>
    </row>
    <row r="118" spans="1:26" ht="18" customHeight="1" x14ac:dyDescent="0.35">
      <c r="A118" s="1108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9"/>
      <c r="L118" s="1109"/>
      <c r="M118" s="1109"/>
      <c r="N118" s="1108"/>
      <c r="O118" s="1108"/>
      <c r="P118" s="1108"/>
      <c r="Q118" s="1108"/>
      <c r="R118" s="1108"/>
      <c r="S118" s="1108"/>
      <c r="T118" s="1108"/>
      <c r="U118" s="1108"/>
      <c r="V118" s="1108"/>
      <c r="W118" s="1108"/>
      <c r="X118" s="1108"/>
      <c r="Y118" s="1108"/>
      <c r="Z118" s="1108"/>
    </row>
    <row r="119" spans="1:26" ht="18" customHeight="1" x14ac:dyDescent="0.35">
      <c r="A119" s="1108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9"/>
      <c r="L119" s="1109"/>
      <c r="M119" s="1109"/>
      <c r="N119" s="1108"/>
      <c r="O119" s="1108"/>
      <c r="P119" s="1108"/>
      <c r="Q119" s="1108"/>
      <c r="R119" s="1108"/>
      <c r="S119" s="1108"/>
      <c r="T119" s="1108"/>
      <c r="U119" s="1108"/>
      <c r="V119" s="1108"/>
      <c r="W119" s="1108"/>
      <c r="X119" s="1108"/>
      <c r="Y119" s="1108"/>
      <c r="Z119" s="1108"/>
    </row>
    <row r="120" spans="1:26" ht="18" customHeight="1" x14ac:dyDescent="0.35">
      <c r="A120" s="1108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9"/>
      <c r="L120" s="1109"/>
      <c r="M120" s="1109"/>
      <c r="N120" s="1108"/>
      <c r="O120" s="1108"/>
      <c r="P120" s="1108"/>
      <c r="Q120" s="1108"/>
      <c r="R120" s="1108"/>
      <c r="S120" s="1108"/>
      <c r="T120" s="1108"/>
      <c r="U120" s="1108"/>
      <c r="V120" s="1108"/>
      <c r="W120" s="1108"/>
      <c r="X120" s="1108"/>
      <c r="Y120" s="1108"/>
      <c r="Z120" s="1108"/>
    </row>
    <row r="121" spans="1:26" ht="18" customHeight="1" x14ac:dyDescent="0.35">
      <c r="A121" s="1108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9"/>
      <c r="L121" s="1109"/>
      <c r="M121" s="1109"/>
      <c r="N121" s="1108"/>
      <c r="O121" s="1108"/>
      <c r="P121" s="1108"/>
      <c r="Q121" s="1108"/>
      <c r="R121" s="1108"/>
      <c r="S121" s="1108"/>
      <c r="T121" s="1108"/>
      <c r="U121" s="1108"/>
      <c r="V121" s="1108"/>
      <c r="W121" s="1108"/>
      <c r="X121" s="1108"/>
      <c r="Y121" s="1108"/>
      <c r="Z121" s="1108"/>
    </row>
    <row r="122" spans="1:26" ht="18" customHeight="1" x14ac:dyDescent="0.35">
      <c r="A122" s="1108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9"/>
      <c r="L122" s="1109"/>
      <c r="M122" s="1109"/>
      <c r="N122" s="1108"/>
      <c r="O122" s="1108"/>
      <c r="P122" s="1108"/>
      <c r="Q122" s="1108"/>
      <c r="R122" s="1108"/>
      <c r="S122" s="1108"/>
      <c r="T122" s="1108"/>
      <c r="U122" s="1108"/>
      <c r="V122" s="1108"/>
      <c r="W122" s="1108"/>
      <c r="X122" s="1108"/>
      <c r="Y122" s="1108"/>
      <c r="Z122" s="1108"/>
    </row>
    <row r="123" spans="1:26" ht="18" customHeight="1" x14ac:dyDescent="0.35">
      <c r="A123" s="1108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9"/>
      <c r="L123" s="1109"/>
      <c r="M123" s="1109"/>
      <c r="N123" s="1108"/>
      <c r="O123" s="1108"/>
      <c r="P123" s="1108"/>
      <c r="Q123" s="1108"/>
      <c r="R123" s="1108"/>
      <c r="S123" s="1108"/>
      <c r="T123" s="1108"/>
      <c r="U123" s="1108"/>
      <c r="V123" s="1108"/>
      <c r="W123" s="1108"/>
      <c r="X123" s="1108"/>
      <c r="Y123" s="1108"/>
      <c r="Z123" s="1108"/>
    </row>
    <row r="124" spans="1:26" ht="18" customHeight="1" x14ac:dyDescent="0.35">
      <c r="A124" s="1108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9"/>
      <c r="L124" s="1109"/>
      <c r="M124" s="1109"/>
      <c r="N124" s="1108"/>
      <c r="O124" s="1108"/>
      <c r="P124" s="1108"/>
      <c r="Q124" s="1108"/>
      <c r="R124" s="1108"/>
      <c r="S124" s="1108"/>
      <c r="T124" s="1108"/>
      <c r="U124" s="1108"/>
      <c r="V124" s="1108"/>
      <c r="W124" s="1108"/>
      <c r="X124" s="1108"/>
      <c r="Y124" s="1108"/>
      <c r="Z124" s="1108"/>
    </row>
    <row r="125" spans="1:26" ht="18" customHeight="1" x14ac:dyDescent="0.35">
      <c r="A125" s="1108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9"/>
      <c r="L125" s="1109"/>
      <c r="M125" s="1109"/>
      <c r="N125" s="1108"/>
      <c r="O125" s="1108"/>
      <c r="P125" s="1108"/>
      <c r="Q125" s="1108"/>
      <c r="R125" s="1108"/>
      <c r="S125" s="1108"/>
      <c r="T125" s="1108"/>
      <c r="U125" s="1108"/>
      <c r="V125" s="1108"/>
      <c r="W125" s="1108"/>
      <c r="X125" s="1108"/>
      <c r="Y125" s="1108"/>
      <c r="Z125" s="1108"/>
    </row>
    <row r="126" spans="1:26" ht="18" customHeight="1" x14ac:dyDescent="0.35">
      <c r="A126" s="1108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9"/>
      <c r="L126" s="1109"/>
      <c r="M126" s="1109"/>
      <c r="N126" s="1108"/>
      <c r="O126" s="1108"/>
      <c r="P126" s="1108"/>
      <c r="Q126" s="1108"/>
      <c r="R126" s="1108"/>
      <c r="S126" s="1108"/>
      <c r="T126" s="1108"/>
      <c r="U126" s="1108"/>
      <c r="V126" s="1108"/>
      <c r="W126" s="1108"/>
      <c r="X126" s="1108"/>
      <c r="Y126" s="1108"/>
      <c r="Z126" s="1108"/>
    </row>
    <row r="127" spans="1:26" ht="18" customHeight="1" x14ac:dyDescent="0.35">
      <c r="A127" s="1108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9"/>
      <c r="L127" s="1109"/>
      <c r="M127" s="1109"/>
      <c r="N127" s="1108"/>
      <c r="O127" s="1108"/>
      <c r="P127" s="1108"/>
      <c r="Q127" s="1108"/>
      <c r="R127" s="1108"/>
      <c r="S127" s="1108"/>
      <c r="T127" s="1108"/>
      <c r="U127" s="1108"/>
      <c r="V127" s="1108"/>
      <c r="W127" s="1108"/>
      <c r="X127" s="1108"/>
      <c r="Y127" s="1108"/>
      <c r="Z127" s="1108"/>
    </row>
    <row r="128" spans="1:26" ht="18" customHeight="1" x14ac:dyDescent="0.35">
      <c r="A128" s="1108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9"/>
      <c r="L128" s="1109"/>
      <c r="M128" s="1109"/>
      <c r="N128" s="1108"/>
      <c r="O128" s="1108"/>
      <c r="P128" s="1108"/>
      <c r="Q128" s="1108"/>
      <c r="R128" s="1108"/>
      <c r="S128" s="1108"/>
      <c r="T128" s="1108"/>
      <c r="U128" s="1108"/>
      <c r="V128" s="1108"/>
      <c r="W128" s="1108"/>
      <c r="X128" s="1108"/>
      <c r="Y128" s="1108"/>
      <c r="Z128" s="1108"/>
    </row>
    <row r="129" spans="1:26" ht="18" customHeight="1" x14ac:dyDescent="0.35">
      <c r="A129" s="1108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9"/>
      <c r="L129" s="1109"/>
      <c r="M129" s="1109"/>
      <c r="N129" s="1108"/>
      <c r="O129" s="1108"/>
      <c r="P129" s="1108"/>
      <c r="Q129" s="1108"/>
      <c r="R129" s="1108"/>
      <c r="S129" s="1108"/>
      <c r="T129" s="1108"/>
      <c r="U129" s="1108"/>
      <c r="V129" s="1108"/>
      <c r="W129" s="1108"/>
      <c r="X129" s="1108"/>
      <c r="Y129" s="1108"/>
      <c r="Z129" s="1108"/>
    </row>
    <row r="130" spans="1:26" ht="18" customHeight="1" x14ac:dyDescent="0.35">
      <c r="A130" s="1108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9"/>
      <c r="L130" s="1109"/>
      <c r="M130" s="1109"/>
      <c r="N130" s="1108"/>
      <c r="O130" s="1108"/>
      <c r="P130" s="1108"/>
      <c r="Q130" s="1108"/>
      <c r="R130" s="1108"/>
      <c r="S130" s="1108"/>
      <c r="T130" s="1108"/>
      <c r="U130" s="1108"/>
      <c r="V130" s="1108"/>
      <c r="W130" s="1108"/>
      <c r="X130" s="1108"/>
      <c r="Y130" s="1108"/>
      <c r="Z130" s="1108"/>
    </row>
    <row r="131" spans="1:26" ht="18" customHeight="1" x14ac:dyDescent="0.35">
      <c r="A131" s="1108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9"/>
      <c r="L131" s="1109"/>
      <c r="M131" s="1109"/>
      <c r="N131" s="1108"/>
      <c r="O131" s="1108"/>
      <c r="P131" s="1108"/>
      <c r="Q131" s="1108"/>
      <c r="R131" s="1108"/>
      <c r="S131" s="1108"/>
      <c r="T131" s="1108"/>
      <c r="U131" s="1108"/>
      <c r="V131" s="1108"/>
      <c r="W131" s="1108"/>
      <c r="X131" s="1108"/>
      <c r="Y131" s="1108"/>
      <c r="Z131" s="1108"/>
    </row>
    <row r="132" spans="1:26" ht="18" customHeight="1" x14ac:dyDescent="0.35">
      <c r="A132" s="1108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9"/>
      <c r="L132" s="1109"/>
      <c r="M132" s="1109"/>
      <c r="N132" s="1108"/>
      <c r="O132" s="1108"/>
      <c r="P132" s="1108"/>
      <c r="Q132" s="1108"/>
      <c r="R132" s="1108"/>
      <c r="S132" s="1108"/>
      <c r="T132" s="1108"/>
      <c r="U132" s="1108"/>
      <c r="V132" s="1108"/>
      <c r="W132" s="1108"/>
      <c r="X132" s="1108"/>
      <c r="Y132" s="1108"/>
      <c r="Z132" s="1108"/>
    </row>
    <row r="133" spans="1:26" ht="18" customHeight="1" x14ac:dyDescent="0.35">
      <c r="A133" s="1108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9"/>
      <c r="L133" s="1109"/>
      <c r="M133" s="1109"/>
      <c r="N133" s="1108"/>
      <c r="O133" s="1108"/>
      <c r="P133" s="1108"/>
      <c r="Q133" s="1108"/>
      <c r="R133" s="1108"/>
      <c r="S133" s="1108"/>
      <c r="T133" s="1108"/>
      <c r="U133" s="1108"/>
      <c r="V133" s="1108"/>
      <c r="W133" s="1108"/>
      <c r="X133" s="1108"/>
      <c r="Y133" s="1108"/>
      <c r="Z133" s="1108"/>
    </row>
    <row r="134" spans="1:26" ht="18" customHeight="1" x14ac:dyDescent="0.35">
      <c r="A134" s="1108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9"/>
      <c r="L134" s="1109"/>
      <c r="M134" s="1109"/>
      <c r="N134" s="1108"/>
      <c r="O134" s="1108"/>
      <c r="P134" s="1108"/>
      <c r="Q134" s="1108"/>
      <c r="R134" s="1108"/>
      <c r="S134" s="1108"/>
      <c r="T134" s="1108"/>
      <c r="U134" s="1108"/>
      <c r="V134" s="1108"/>
      <c r="W134" s="1108"/>
      <c r="X134" s="1108"/>
      <c r="Y134" s="1108"/>
      <c r="Z134" s="1108"/>
    </row>
    <row r="135" spans="1:26" ht="18" customHeight="1" x14ac:dyDescent="0.35">
      <c r="A135" s="1108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9"/>
      <c r="L135" s="1109"/>
      <c r="M135" s="1109"/>
      <c r="N135" s="1108"/>
      <c r="O135" s="1108"/>
      <c r="P135" s="1108"/>
      <c r="Q135" s="1108"/>
      <c r="R135" s="1108"/>
      <c r="S135" s="1108"/>
      <c r="T135" s="1108"/>
      <c r="U135" s="1108"/>
      <c r="V135" s="1108"/>
      <c r="W135" s="1108"/>
      <c r="X135" s="1108"/>
      <c r="Y135" s="1108"/>
      <c r="Z135" s="1108"/>
    </row>
    <row r="136" spans="1:26" ht="18" customHeight="1" x14ac:dyDescent="0.35">
      <c r="A136" s="1108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9"/>
      <c r="L136" s="1109"/>
      <c r="M136" s="1109"/>
      <c r="N136" s="1108"/>
      <c r="O136" s="1108"/>
      <c r="P136" s="1108"/>
      <c r="Q136" s="1108"/>
      <c r="R136" s="1108"/>
      <c r="S136" s="1108"/>
      <c r="T136" s="1108"/>
      <c r="U136" s="1108"/>
      <c r="V136" s="1108"/>
      <c r="W136" s="1108"/>
      <c r="X136" s="1108"/>
      <c r="Y136" s="1108"/>
      <c r="Z136" s="1108"/>
    </row>
    <row r="137" spans="1:26" ht="18" customHeight="1" x14ac:dyDescent="0.35">
      <c r="A137" s="1108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9"/>
      <c r="L137" s="1109"/>
      <c r="M137" s="1109"/>
      <c r="N137" s="1108"/>
      <c r="O137" s="1108"/>
      <c r="P137" s="1108"/>
      <c r="Q137" s="1108"/>
      <c r="R137" s="1108"/>
      <c r="S137" s="1108"/>
      <c r="T137" s="1108"/>
      <c r="U137" s="1108"/>
      <c r="V137" s="1108"/>
      <c r="W137" s="1108"/>
      <c r="X137" s="1108"/>
      <c r="Y137" s="1108"/>
      <c r="Z137" s="1108"/>
    </row>
    <row r="138" spans="1:26" ht="18" customHeight="1" x14ac:dyDescent="0.35">
      <c r="A138" s="1108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9"/>
      <c r="L138" s="1109"/>
      <c r="M138" s="1109"/>
      <c r="N138" s="1108"/>
      <c r="O138" s="1108"/>
      <c r="P138" s="1108"/>
      <c r="Q138" s="1108"/>
      <c r="R138" s="1108"/>
      <c r="S138" s="1108"/>
      <c r="T138" s="1108"/>
      <c r="U138" s="1108"/>
      <c r="V138" s="1108"/>
      <c r="W138" s="1108"/>
      <c r="X138" s="1108"/>
      <c r="Y138" s="1108"/>
      <c r="Z138" s="1108"/>
    </row>
    <row r="139" spans="1:26" ht="18" customHeight="1" x14ac:dyDescent="0.35">
      <c r="A139" s="1108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9"/>
      <c r="L139" s="1109"/>
      <c r="M139" s="1109"/>
      <c r="N139" s="1108"/>
      <c r="O139" s="1108"/>
      <c r="P139" s="1108"/>
      <c r="Q139" s="1108"/>
      <c r="R139" s="1108"/>
      <c r="S139" s="1108"/>
      <c r="T139" s="1108"/>
      <c r="U139" s="1108"/>
      <c r="V139" s="1108"/>
      <c r="W139" s="1108"/>
      <c r="X139" s="1108"/>
      <c r="Y139" s="1108"/>
      <c r="Z139" s="1108"/>
    </row>
    <row r="140" spans="1:26" ht="18" customHeight="1" x14ac:dyDescent="0.35">
      <c r="A140" s="1108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9"/>
      <c r="L140" s="1109"/>
      <c r="M140" s="1109"/>
      <c r="N140" s="1108"/>
      <c r="O140" s="1108"/>
      <c r="P140" s="1108"/>
      <c r="Q140" s="1108"/>
      <c r="R140" s="1108"/>
      <c r="S140" s="1108"/>
      <c r="T140" s="1108"/>
      <c r="U140" s="1108"/>
      <c r="V140" s="1108"/>
      <c r="W140" s="1108"/>
      <c r="X140" s="1108"/>
      <c r="Y140" s="1108"/>
      <c r="Z140" s="1108"/>
    </row>
    <row r="141" spans="1:26" ht="18" customHeight="1" x14ac:dyDescent="0.35">
      <c r="A141" s="1108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9"/>
      <c r="L141" s="1109"/>
      <c r="M141" s="1109"/>
      <c r="N141" s="1108"/>
      <c r="O141" s="1108"/>
      <c r="P141" s="1108"/>
      <c r="Q141" s="1108"/>
      <c r="R141" s="1108"/>
      <c r="S141" s="1108"/>
      <c r="T141" s="1108"/>
      <c r="U141" s="1108"/>
      <c r="V141" s="1108"/>
      <c r="W141" s="1108"/>
      <c r="X141" s="1108"/>
      <c r="Y141" s="1108"/>
      <c r="Z141" s="1108"/>
    </row>
    <row r="142" spans="1:26" ht="18" customHeight="1" x14ac:dyDescent="0.35">
      <c r="A142" s="1108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9"/>
      <c r="L142" s="1109"/>
      <c r="M142" s="1109"/>
      <c r="N142" s="1108"/>
      <c r="O142" s="1108"/>
      <c r="P142" s="1108"/>
      <c r="Q142" s="1108"/>
      <c r="R142" s="1108"/>
      <c r="S142" s="1108"/>
      <c r="T142" s="1108"/>
      <c r="U142" s="1108"/>
      <c r="V142" s="1108"/>
      <c r="W142" s="1108"/>
      <c r="X142" s="1108"/>
      <c r="Y142" s="1108"/>
      <c r="Z142" s="1108"/>
    </row>
    <row r="143" spans="1:26" ht="18" customHeight="1" x14ac:dyDescent="0.35">
      <c r="A143" s="1108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9"/>
      <c r="L143" s="1109"/>
      <c r="M143" s="1109"/>
      <c r="N143" s="1108"/>
      <c r="O143" s="1108"/>
      <c r="P143" s="1108"/>
      <c r="Q143" s="1108"/>
      <c r="R143" s="1108"/>
      <c r="S143" s="1108"/>
      <c r="T143" s="1108"/>
      <c r="U143" s="1108"/>
      <c r="V143" s="1108"/>
      <c r="W143" s="1108"/>
      <c r="X143" s="1108"/>
      <c r="Y143" s="1108"/>
      <c r="Z143" s="1108"/>
    </row>
    <row r="144" spans="1:26" ht="18" customHeight="1" x14ac:dyDescent="0.35">
      <c r="A144" s="1108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9"/>
      <c r="L144" s="1109"/>
      <c r="M144" s="1109"/>
      <c r="N144" s="1108"/>
      <c r="O144" s="1108"/>
      <c r="P144" s="1108"/>
      <c r="Q144" s="1108"/>
      <c r="R144" s="1108"/>
      <c r="S144" s="1108"/>
      <c r="T144" s="1108"/>
      <c r="U144" s="1108"/>
      <c r="V144" s="1108"/>
      <c r="W144" s="1108"/>
      <c r="X144" s="1108"/>
      <c r="Y144" s="1108"/>
      <c r="Z144" s="1108"/>
    </row>
    <row r="145" spans="1:26" ht="18" customHeight="1" x14ac:dyDescent="0.35">
      <c r="A145" s="1108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9"/>
      <c r="L145" s="1109"/>
      <c r="M145" s="1109"/>
      <c r="N145" s="1108"/>
      <c r="O145" s="1108"/>
      <c r="P145" s="1108"/>
      <c r="Q145" s="1108"/>
      <c r="R145" s="1108"/>
      <c r="S145" s="1108"/>
      <c r="T145" s="1108"/>
      <c r="U145" s="1108"/>
      <c r="V145" s="1108"/>
      <c r="W145" s="1108"/>
      <c r="X145" s="1108"/>
      <c r="Y145" s="1108"/>
      <c r="Z145" s="1108"/>
    </row>
    <row r="146" spans="1:26" ht="18" customHeight="1" x14ac:dyDescent="0.35">
      <c r="A146" s="1108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9"/>
      <c r="L146" s="1109"/>
      <c r="M146" s="1109"/>
      <c r="N146" s="1108"/>
      <c r="O146" s="1108"/>
      <c r="P146" s="1108"/>
      <c r="Q146" s="1108"/>
      <c r="R146" s="1108"/>
      <c r="S146" s="1108"/>
      <c r="T146" s="1108"/>
      <c r="U146" s="1108"/>
      <c r="V146" s="1108"/>
      <c r="W146" s="1108"/>
      <c r="X146" s="1108"/>
      <c r="Y146" s="1108"/>
      <c r="Z146" s="1108"/>
    </row>
    <row r="147" spans="1:26" ht="18" customHeight="1" x14ac:dyDescent="0.35">
      <c r="A147" s="1108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9"/>
      <c r="L147" s="1109"/>
      <c r="M147" s="1109"/>
      <c r="N147" s="1108"/>
      <c r="O147" s="1108"/>
      <c r="P147" s="1108"/>
      <c r="Q147" s="1108"/>
      <c r="R147" s="1108"/>
      <c r="S147" s="1108"/>
      <c r="T147" s="1108"/>
      <c r="U147" s="1108"/>
      <c r="V147" s="1108"/>
      <c r="W147" s="1108"/>
      <c r="X147" s="1108"/>
      <c r="Y147" s="1108"/>
      <c r="Z147" s="1108"/>
    </row>
    <row r="148" spans="1:26" ht="18" customHeight="1" x14ac:dyDescent="0.35">
      <c r="A148" s="1108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9"/>
      <c r="L148" s="1109"/>
      <c r="M148" s="1109"/>
      <c r="N148" s="1108"/>
      <c r="O148" s="1108"/>
      <c r="P148" s="1108"/>
      <c r="Q148" s="1108"/>
      <c r="R148" s="1108"/>
      <c r="S148" s="1108"/>
      <c r="T148" s="1108"/>
      <c r="U148" s="1108"/>
      <c r="V148" s="1108"/>
      <c r="W148" s="1108"/>
      <c r="X148" s="1108"/>
      <c r="Y148" s="1108"/>
      <c r="Z148" s="1108"/>
    </row>
    <row r="149" spans="1:26" ht="18" customHeight="1" x14ac:dyDescent="0.35">
      <c r="A149" s="1108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9"/>
      <c r="L149" s="1109"/>
      <c r="M149" s="1109"/>
      <c r="N149" s="1108"/>
      <c r="O149" s="1108"/>
      <c r="P149" s="1108"/>
      <c r="Q149" s="1108"/>
      <c r="R149" s="1108"/>
      <c r="S149" s="1108"/>
      <c r="T149" s="1108"/>
      <c r="U149" s="1108"/>
      <c r="V149" s="1108"/>
      <c r="W149" s="1108"/>
      <c r="X149" s="1108"/>
      <c r="Y149" s="1108"/>
      <c r="Z149" s="1108"/>
    </row>
    <row r="150" spans="1:26" ht="18" customHeight="1" x14ac:dyDescent="0.35">
      <c r="A150" s="1108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9"/>
      <c r="L150" s="1109"/>
      <c r="M150" s="1109"/>
      <c r="N150" s="1108"/>
      <c r="O150" s="1108"/>
      <c r="P150" s="1108"/>
      <c r="Q150" s="1108"/>
      <c r="R150" s="1108"/>
      <c r="S150" s="1108"/>
      <c r="T150" s="1108"/>
      <c r="U150" s="1108"/>
      <c r="V150" s="1108"/>
      <c r="W150" s="1108"/>
      <c r="X150" s="1108"/>
      <c r="Y150" s="1108"/>
      <c r="Z150" s="1108"/>
    </row>
    <row r="151" spans="1:26" ht="18" customHeight="1" x14ac:dyDescent="0.35">
      <c r="A151" s="1108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9"/>
      <c r="L151" s="1109"/>
      <c r="M151" s="1109"/>
      <c r="N151" s="1108"/>
      <c r="O151" s="1108"/>
      <c r="P151" s="1108"/>
      <c r="Q151" s="1108"/>
      <c r="R151" s="1108"/>
      <c r="S151" s="1108"/>
      <c r="T151" s="1108"/>
      <c r="U151" s="1108"/>
      <c r="V151" s="1108"/>
      <c r="W151" s="1108"/>
      <c r="X151" s="1108"/>
      <c r="Y151" s="1108"/>
      <c r="Z151" s="1108"/>
    </row>
    <row r="152" spans="1:26" ht="18" customHeight="1" x14ac:dyDescent="0.35">
      <c r="A152" s="1108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9"/>
      <c r="L152" s="1109"/>
      <c r="M152" s="1109"/>
      <c r="N152" s="1108"/>
      <c r="O152" s="1108"/>
      <c r="P152" s="1108"/>
      <c r="Q152" s="1108"/>
      <c r="R152" s="1108"/>
      <c r="S152" s="1108"/>
      <c r="T152" s="1108"/>
      <c r="U152" s="1108"/>
      <c r="V152" s="1108"/>
      <c r="W152" s="1108"/>
      <c r="X152" s="1108"/>
      <c r="Y152" s="1108"/>
      <c r="Z152" s="1108"/>
    </row>
    <row r="153" spans="1:26" ht="18" customHeight="1" x14ac:dyDescent="0.35">
      <c r="A153" s="1108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9"/>
      <c r="L153" s="1109"/>
      <c r="M153" s="1109"/>
      <c r="N153" s="1108"/>
      <c r="O153" s="1108"/>
      <c r="P153" s="1108"/>
      <c r="Q153" s="1108"/>
      <c r="R153" s="1108"/>
      <c r="S153" s="1108"/>
      <c r="T153" s="1108"/>
      <c r="U153" s="1108"/>
      <c r="V153" s="1108"/>
      <c r="W153" s="1108"/>
      <c r="X153" s="1108"/>
      <c r="Y153" s="1108"/>
      <c r="Z153" s="1108"/>
    </row>
    <row r="154" spans="1:26" ht="18" customHeight="1" x14ac:dyDescent="0.35">
      <c r="A154" s="1108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9"/>
      <c r="L154" s="1109"/>
      <c r="M154" s="1109"/>
      <c r="N154" s="1108"/>
      <c r="O154" s="1108"/>
      <c r="P154" s="1108"/>
      <c r="Q154" s="1108"/>
      <c r="R154" s="1108"/>
      <c r="S154" s="1108"/>
      <c r="T154" s="1108"/>
      <c r="U154" s="1108"/>
      <c r="V154" s="1108"/>
      <c r="W154" s="1108"/>
      <c r="X154" s="1108"/>
      <c r="Y154" s="1108"/>
      <c r="Z154" s="1108"/>
    </row>
    <row r="155" spans="1:26" ht="18" customHeight="1" x14ac:dyDescent="0.35">
      <c r="A155" s="1108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9"/>
      <c r="L155" s="1109"/>
      <c r="M155" s="1109"/>
      <c r="N155" s="1108"/>
      <c r="O155" s="1108"/>
      <c r="P155" s="1108"/>
      <c r="Q155" s="1108"/>
      <c r="R155" s="1108"/>
      <c r="S155" s="1108"/>
      <c r="T155" s="1108"/>
      <c r="U155" s="1108"/>
      <c r="V155" s="1108"/>
      <c r="W155" s="1108"/>
      <c r="X155" s="1108"/>
      <c r="Y155" s="1108"/>
      <c r="Z155" s="1108"/>
    </row>
    <row r="156" spans="1:26" ht="18" customHeight="1" x14ac:dyDescent="0.35">
      <c r="A156" s="1108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9"/>
      <c r="L156" s="1109"/>
      <c r="M156" s="1109"/>
      <c r="N156" s="1108"/>
      <c r="O156" s="1108"/>
      <c r="P156" s="1108"/>
      <c r="Q156" s="1108"/>
      <c r="R156" s="1108"/>
      <c r="S156" s="1108"/>
      <c r="T156" s="1108"/>
      <c r="U156" s="1108"/>
      <c r="V156" s="1108"/>
      <c r="W156" s="1108"/>
      <c r="X156" s="1108"/>
      <c r="Y156" s="1108"/>
      <c r="Z156" s="1108"/>
    </row>
    <row r="157" spans="1:26" ht="18" customHeight="1" x14ac:dyDescent="0.35">
      <c r="A157" s="1108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9"/>
      <c r="L157" s="1109"/>
      <c r="M157" s="1109"/>
      <c r="N157" s="1108"/>
      <c r="O157" s="1108"/>
      <c r="P157" s="1108"/>
      <c r="Q157" s="1108"/>
      <c r="R157" s="1108"/>
      <c r="S157" s="1108"/>
      <c r="T157" s="1108"/>
      <c r="U157" s="1108"/>
      <c r="V157" s="1108"/>
      <c r="W157" s="1108"/>
      <c r="X157" s="1108"/>
      <c r="Y157" s="1108"/>
      <c r="Z157" s="1108"/>
    </row>
    <row r="158" spans="1:26" ht="18" customHeight="1" x14ac:dyDescent="0.35">
      <c r="A158" s="1108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9"/>
      <c r="L158" s="1109"/>
      <c r="M158" s="1109"/>
      <c r="N158" s="1108"/>
      <c r="O158" s="1108"/>
      <c r="P158" s="1108"/>
      <c r="Q158" s="1108"/>
      <c r="R158" s="1108"/>
      <c r="S158" s="1108"/>
      <c r="T158" s="1108"/>
      <c r="U158" s="1108"/>
      <c r="V158" s="1108"/>
      <c r="W158" s="1108"/>
      <c r="X158" s="1108"/>
      <c r="Y158" s="1108"/>
      <c r="Z158" s="1108"/>
    </row>
    <row r="159" spans="1:26" ht="18" customHeight="1" x14ac:dyDescent="0.35">
      <c r="A159" s="1108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9"/>
      <c r="L159" s="1109"/>
      <c r="M159" s="1109"/>
      <c r="N159" s="1108"/>
      <c r="O159" s="1108"/>
      <c r="P159" s="1108"/>
      <c r="Q159" s="1108"/>
      <c r="R159" s="1108"/>
      <c r="S159" s="1108"/>
      <c r="T159" s="1108"/>
      <c r="U159" s="1108"/>
      <c r="V159" s="1108"/>
      <c r="W159" s="1108"/>
      <c r="X159" s="1108"/>
      <c r="Y159" s="1108"/>
      <c r="Z159" s="1108"/>
    </row>
    <row r="160" spans="1:26" ht="18" customHeight="1" x14ac:dyDescent="0.35">
      <c r="A160" s="1108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9"/>
      <c r="L160" s="1109"/>
      <c r="M160" s="1109"/>
      <c r="N160" s="1108"/>
      <c r="O160" s="1108"/>
      <c r="P160" s="1108"/>
      <c r="Q160" s="1108"/>
      <c r="R160" s="1108"/>
      <c r="S160" s="1108"/>
      <c r="T160" s="1108"/>
      <c r="U160" s="1108"/>
      <c r="V160" s="1108"/>
      <c r="W160" s="1108"/>
      <c r="X160" s="1108"/>
      <c r="Y160" s="1108"/>
      <c r="Z160" s="1108"/>
    </row>
    <row r="161" spans="1:26" ht="18" customHeight="1" x14ac:dyDescent="0.35">
      <c r="A161" s="1108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9"/>
      <c r="L161" s="1109"/>
      <c r="M161" s="1109"/>
      <c r="N161" s="1108"/>
      <c r="O161" s="1108"/>
      <c r="P161" s="1108"/>
      <c r="Q161" s="1108"/>
      <c r="R161" s="1108"/>
      <c r="S161" s="1108"/>
      <c r="T161" s="1108"/>
      <c r="U161" s="1108"/>
      <c r="V161" s="1108"/>
      <c r="W161" s="1108"/>
      <c r="X161" s="1108"/>
      <c r="Y161" s="1108"/>
      <c r="Z161" s="1108"/>
    </row>
    <row r="162" spans="1:26" ht="18" customHeight="1" x14ac:dyDescent="0.35">
      <c r="A162" s="1108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9"/>
      <c r="L162" s="1109"/>
      <c r="M162" s="1109"/>
      <c r="N162" s="1108"/>
      <c r="O162" s="1108"/>
      <c r="P162" s="1108"/>
      <c r="Q162" s="1108"/>
      <c r="R162" s="1108"/>
      <c r="S162" s="1108"/>
      <c r="T162" s="1108"/>
      <c r="U162" s="1108"/>
      <c r="V162" s="1108"/>
      <c r="W162" s="1108"/>
      <c r="X162" s="1108"/>
      <c r="Y162" s="1108"/>
      <c r="Z162" s="1108"/>
    </row>
    <row r="163" spans="1:26" ht="18" customHeight="1" x14ac:dyDescent="0.35">
      <c r="A163" s="1108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9"/>
      <c r="L163" s="1109"/>
      <c r="M163" s="1109"/>
      <c r="N163" s="1108"/>
      <c r="O163" s="1108"/>
      <c r="P163" s="1108"/>
      <c r="Q163" s="1108"/>
      <c r="R163" s="1108"/>
      <c r="S163" s="1108"/>
      <c r="T163" s="1108"/>
      <c r="U163" s="1108"/>
      <c r="V163" s="1108"/>
      <c r="W163" s="1108"/>
      <c r="X163" s="1108"/>
      <c r="Y163" s="1108"/>
      <c r="Z163" s="1108"/>
    </row>
    <row r="164" spans="1:26" ht="18" customHeight="1" x14ac:dyDescent="0.35">
      <c r="A164" s="1108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9"/>
      <c r="L164" s="1109"/>
      <c r="M164" s="1109"/>
      <c r="N164" s="1108"/>
      <c r="O164" s="1108"/>
      <c r="P164" s="1108"/>
      <c r="Q164" s="1108"/>
      <c r="R164" s="1108"/>
      <c r="S164" s="1108"/>
      <c r="T164" s="1108"/>
      <c r="U164" s="1108"/>
      <c r="V164" s="1108"/>
      <c r="W164" s="1108"/>
      <c r="X164" s="1108"/>
      <c r="Y164" s="1108"/>
      <c r="Z164" s="1108"/>
    </row>
    <row r="165" spans="1:26" ht="18" customHeight="1" x14ac:dyDescent="0.35">
      <c r="A165" s="1108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9"/>
      <c r="L165" s="1109"/>
      <c r="M165" s="1109"/>
      <c r="N165" s="1108"/>
      <c r="O165" s="1108"/>
      <c r="P165" s="1108"/>
      <c r="Q165" s="1108"/>
      <c r="R165" s="1108"/>
      <c r="S165" s="1108"/>
      <c r="T165" s="1108"/>
      <c r="U165" s="1108"/>
      <c r="V165" s="1108"/>
      <c r="W165" s="1108"/>
      <c r="X165" s="1108"/>
      <c r="Y165" s="1108"/>
      <c r="Z165" s="1108"/>
    </row>
    <row r="166" spans="1:26" ht="18" customHeight="1" x14ac:dyDescent="0.35">
      <c r="A166" s="1108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9"/>
      <c r="L166" s="1109"/>
      <c r="M166" s="1109"/>
      <c r="N166" s="1108"/>
      <c r="O166" s="1108"/>
      <c r="P166" s="1108"/>
      <c r="Q166" s="1108"/>
      <c r="R166" s="1108"/>
      <c r="S166" s="1108"/>
      <c r="T166" s="1108"/>
      <c r="U166" s="1108"/>
      <c r="V166" s="1108"/>
      <c r="W166" s="1108"/>
      <c r="X166" s="1108"/>
      <c r="Y166" s="1108"/>
      <c r="Z166" s="1108"/>
    </row>
    <row r="167" spans="1:26" ht="18" customHeight="1" x14ac:dyDescent="0.35">
      <c r="A167" s="1108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9"/>
      <c r="L167" s="1109"/>
      <c r="M167" s="1109"/>
      <c r="N167" s="1108"/>
      <c r="O167" s="1108"/>
      <c r="P167" s="1108"/>
      <c r="Q167" s="1108"/>
      <c r="R167" s="1108"/>
      <c r="S167" s="1108"/>
      <c r="T167" s="1108"/>
      <c r="U167" s="1108"/>
      <c r="V167" s="1108"/>
      <c r="W167" s="1108"/>
      <c r="X167" s="1108"/>
      <c r="Y167" s="1108"/>
      <c r="Z167" s="1108"/>
    </row>
    <row r="168" spans="1:26" ht="18" customHeight="1" x14ac:dyDescent="0.35">
      <c r="A168" s="1108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9"/>
      <c r="L168" s="1109"/>
      <c r="M168" s="1109"/>
      <c r="N168" s="1108"/>
      <c r="O168" s="1108"/>
      <c r="P168" s="1108"/>
      <c r="Q168" s="1108"/>
      <c r="R168" s="1108"/>
      <c r="S168" s="1108"/>
      <c r="T168" s="1108"/>
      <c r="U168" s="1108"/>
      <c r="V168" s="1108"/>
      <c r="W168" s="1108"/>
      <c r="X168" s="1108"/>
      <c r="Y168" s="1108"/>
      <c r="Z168" s="1108"/>
    </row>
    <row r="169" spans="1:26" ht="18" customHeight="1" x14ac:dyDescent="0.35">
      <c r="A169" s="1108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9"/>
      <c r="L169" s="1109"/>
      <c r="M169" s="1109"/>
      <c r="N169" s="1108"/>
      <c r="O169" s="1108"/>
      <c r="P169" s="1108"/>
      <c r="Q169" s="1108"/>
      <c r="R169" s="1108"/>
      <c r="S169" s="1108"/>
      <c r="T169" s="1108"/>
      <c r="U169" s="1108"/>
      <c r="V169" s="1108"/>
      <c r="W169" s="1108"/>
      <c r="X169" s="1108"/>
      <c r="Y169" s="1108"/>
      <c r="Z169" s="1108"/>
    </row>
    <row r="170" spans="1:26" ht="18" customHeight="1" x14ac:dyDescent="0.35">
      <c r="A170" s="1108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9"/>
      <c r="L170" s="1109"/>
      <c r="M170" s="1109"/>
      <c r="N170" s="1108"/>
      <c r="O170" s="1108"/>
      <c r="P170" s="1108"/>
      <c r="Q170" s="1108"/>
      <c r="R170" s="1108"/>
      <c r="S170" s="1108"/>
      <c r="T170" s="1108"/>
      <c r="U170" s="1108"/>
      <c r="V170" s="1108"/>
      <c r="W170" s="1108"/>
      <c r="X170" s="1108"/>
      <c r="Y170" s="1108"/>
      <c r="Z170" s="1108"/>
    </row>
    <row r="171" spans="1:26" ht="18" customHeight="1" x14ac:dyDescent="0.35">
      <c r="A171" s="1108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9"/>
      <c r="L171" s="1109"/>
      <c r="M171" s="1109"/>
      <c r="N171" s="1108"/>
      <c r="O171" s="1108"/>
      <c r="P171" s="1108"/>
      <c r="Q171" s="1108"/>
      <c r="R171" s="1108"/>
      <c r="S171" s="1108"/>
      <c r="T171" s="1108"/>
      <c r="U171" s="1108"/>
      <c r="V171" s="1108"/>
      <c r="W171" s="1108"/>
      <c r="X171" s="1108"/>
      <c r="Y171" s="1108"/>
      <c r="Z171" s="1108"/>
    </row>
    <row r="172" spans="1:26" ht="18" customHeight="1" x14ac:dyDescent="0.35">
      <c r="A172" s="1108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9"/>
      <c r="L172" s="1109"/>
      <c r="M172" s="1109"/>
      <c r="N172" s="1108"/>
      <c r="O172" s="1108"/>
      <c r="P172" s="1108"/>
      <c r="Q172" s="1108"/>
      <c r="R172" s="1108"/>
      <c r="S172" s="1108"/>
      <c r="T172" s="1108"/>
      <c r="U172" s="1108"/>
      <c r="V172" s="1108"/>
      <c r="W172" s="1108"/>
      <c r="X172" s="1108"/>
      <c r="Y172" s="1108"/>
      <c r="Z172" s="1108"/>
    </row>
    <row r="173" spans="1:26" ht="18" customHeight="1" x14ac:dyDescent="0.35">
      <c r="A173" s="1108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9"/>
      <c r="L173" s="1109"/>
      <c r="M173" s="1109"/>
      <c r="N173" s="1108"/>
      <c r="O173" s="1108"/>
      <c r="P173" s="1108"/>
      <c r="Q173" s="1108"/>
      <c r="R173" s="1108"/>
      <c r="S173" s="1108"/>
      <c r="T173" s="1108"/>
      <c r="U173" s="1108"/>
      <c r="V173" s="1108"/>
      <c r="W173" s="1108"/>
      <c r="X173" s="1108"/>
      <c r="Y173" s="1108"/>
      <c r="Z173" s="1108"/>
    </row>
    <row r="174" spans="1:26" ht="18" customHeight="1" x14ac:dyDescent="0.35">
      <c r="A174" s="1108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9"/>
      <c r="L174" s="1109"/>
      <c r="M174" s="1109"/>
      <c r="N174" s="1108"/>
      <c r="O174" s="1108"/>
      <c r="P174" s="1108"/>
      <c r="Q174" s="1108"/>
      <c r="R174" s="1108"/>
      <c r="S174" s="1108"/>
      <c r="T174" s="1108"/>
      <c r="U174" s="1108"/>
      <c r="V174" s="1108"/>
      <c r="W174" s="1108"/>
      <c r="X174" s="1108"/>
      <c r="Y174" s="1108"/>
      <c r="Z174" s="1108"/>
    </row>
    <row r="175" spans="1:26" ht="18" customHeight="1" x14ac:dyDescent="0.35">
      <c r="A175" s="1108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9"/>
      <c r="L175" s="1109"/>
      <c r="M175" s="1109"/>
      <c r="N175" s="1108"/>
      <c r="O175" s="1108"/>
      <c r="P175" s="1108"/>
      <c r="Q175" s="1108"/>
      <c r="R175" s="1108"/>
      <c r="S175" s="1108"/>
      <c r="T175" s="1108"/>
      <c r="U175" s="1108"/>
      <c r="V175" s="1108"/>
      <c r="W175" s="1108"/>
      <c r="X175" s="1108"/>
      <c r="Y175" s="1108"/>
      <c r="Z175" s="1108"/>
    </row>
    <row r="176" spans="1:26" ht="18" customHeight="1" x14ac:dyDescent="0.35">
      <c r="A176" s="1108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9"/>
      <c r="L176" s="1109"/>
      <c r="M176" s="1109"/>
      <c r="N176" s="1108"/>
      <c r="O176" s="1108"/>
      <c r="P176" s="1108"/>
      <c r="Q176" s="1108"/>
      <c r="R176" s="1108"/>
      <c r="S176" s="1108"/>
      <c r="T176" s="1108"/>
      <c r="U176" s="1108"/>
      <c r="V176" s="1108"/>
      <c r="W176" s="1108"/>
      <c r="X176" s="1108"/>
      <c r="Y176" s="1108"/>
      <c r="Z176" s="1108"/>
    </row>
    <row r="177" spans="1:26" ht="18" customHeight="1" x14ac:dyDescent="0.35">
      <c r="A177" s="1108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9"/>
      <c r="L177" s="1109"/>
      <c r="M177" s="1109"/>
      <c r="N177" s="1108"/>
      <c r="O177" s="1108"/>
      <c r="P177" s="1108"/>
      <c r="Q177" s="1108"/>
      <c r="R177" s="1108"/>
      <c r="S177" s="1108"/>
      <c r="T177" s="1108"/>
      <c r="U177" s="1108"/>
      <c r="V177" s="1108"/>
      <c r="W177" s="1108"/>
      <c r="X177" s="1108"/>
      <c r="Y177" s="1108"/>
      <c r="Z177" s="1108"/>
    </row>
    <row r="178" spans="1:26" ht="18" customHeight="1" x14ac:dyDescent="0.35">
      <c r="A178" s="1108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9"/>
      <c r="L178" s="1109"/>
      <c r="M178" s="1109"/>
      <c r="N178" s="1108"/>
      <c r="O178" s="1108"/>
      <c r="P178" s="1108"/>
      <c r="Q178" s="1108"/>
      <c r="R178" s="1108"/>
      <c r="S178" s="1108"/>
      <c r="T178" s="1108"/>
      <c r="U178" s="1108"/>
      <c r="V178" s="1108"/>
      <c r="W178" s="1108"/>
      <c r="X178" s="1108"/>
      <c r="Y178" s="1108"/>
      <c r="Z178" s="1108"/>
    </row>
    <row r="179" spans="1:26" ht="18" customHeight="1" x14ac:dyDescent="0.35">
      <c r="A179" s="1108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9"/>
      <c r="L179" s="1109"/>
      <c r="M179" s="1109"/>
      <c r="N179" s="1108"/>
      <c r="O179" s="1108"/>
      <c r="P179" s="1108"/>
      <c r="Q179" s="1108"/>
      <c r="R179" s="1108"/>
      <c r="S179" s="1108"/>
      <c r="T179" s="1108"/>
      <c r="U179" s="1108"/>
      <c r="V179" s="1108"/>
      <c r="W179" s="1108"/>
      <c r="X179" s="1108"/>
      <c r="Y179" s="1108"/>
      <c r="Z179" s="1108"/>
    </row>
    <row r="180" spans="1:26" ht="18" customHeight="1" x14ac:dyDescent="0.35">
      <c r="A180" s="1108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9"/>
      <c r="L180" s="1109"/>
      <c r="M180" s="1109"/>
      <c r="N180" s="1108"/>
      <c r="O180" s="1108"/>
      <c r="P180" s="1108"/>
      <c r="Q180" s="1108"/>
      <c r="R180" s="1108"/>
      <c r="S180" s="1108"/>
      <c r="T180" s="1108"/>
      <c r="U180" s="1108"/>
      <c r="V180" s="1108"/>
      <c r="W180" s="1108"/>
      <c r="X180" s="1108"/>
      <c r="Y180" s="1108"/>
      <c r="Z180" s="1108"/>
    </row>
    <row r="181" spans="1:26" ht="18" customHeight="1" x14ac:dyDescent="0.35">
      <c r="A181" s="1108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9"/>
      <c r="L181" s="1109"/>
      <c r="M181" s="1109"/>
      <c r="N181" s="1108"/>
      <c r="O181" s="1108"/>
      <c r="P181" s="1108"/>
      <c r="Q181" s="1108"/>
      <c r="R181" s="1108"/>
      <c r="S181" s="1108"/>
      <c r="T181" s="1108"/>
      <c r="U181" s="1108"/>
      <c r="V181" s="1108"/>
      <c r="W181" s="1108"/>
      <c r="X181" s="1108"/>
      <c r="Y181" s="1108"/>
      <c r="Z181" s="1108"/>
    </row>
    <row r="182" spans="1:26" ht="18" customHeight="1" x14ac:dyDescent="0.35">
      <c r="A182" s="1108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9"/>
      <c r="L182" s="1109"/>
      <c r="M182" s="1109"/>
      <c r="N182" s="1108"/>
      <c r="O182" s="1108"/>
      <c r="P182" s="1108"/>
      <c r="Q182" s="1108"/>
      <c r="R182" s="1108"/>
      <c r="S182" s="1108"/>
      <c r="T182" s="1108"/>
      <c r="U182" s="1108"/>
      <c r="V182" s="1108"/>
      <c r="W182" s="1108"/>
      <c r="X182" s="1108"/>
      <c r="Y182" s="1108"/>
      <c r="Z182" s="1108"/>
    </row>
    <row r="183" spans="1:26" ht="18" customHeight="1" x14ac:dyDescent="0.35">
      <c r="A183" s="1108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9"/>
      <c r="L183" s="1109"/>
      <c r="M183" s="1109"/>
      <c r="N183" s="1108"/>
      <c r="O183" s="1108"/>
      <c r="P183" s="1108"/>
      <c r="Q183" s="1108"/>
      <c r="R183" s="1108"/>
      <c r="S183" s="1108"/>
      <c r="T183" s="1108"/>
      <c r="U183" s="1108"/>
      <c r="V183" s="1108"/>
      <c r="W183" s="1108"/>
      <c r="X183" s="1108"/>
      <c r="Y183" s="1108"/>
      <c r="Z183" s="1108"/>
    </row>
    <row r="184" spans="1:26" ht="18" customHeight="1" x14ac:dyDescent="0.35">
      <c r="A184" s="1108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9"/>
      <c r="L184" s="1109"/>
      <c r="M184" s="1109"/>
      <c r="N184" s="1108"/>
      <c r="O184" s="1108"/>
      <c r="P184" s="1108"/>
      <c r="Q184" s="1108"/>
      <c r="R184" s="1108"/>
      <c r="S184" s="1108"/>
      <c r="T184" s="1108"/>
      <c r="U184" s="1108"/>
      <c r="V184" s="1108"/>
      <c r="W184" s="1108"/>
      <c r="X184" s="1108"/>
      <c r="Y184" s="1108"/>
      <c r="Z184" s="1108"/>
    </row>
    <row r="185" spans="1:26" ht="18" customHeight="1" x14ac:dyDescent="0.35">
      <c r="A185" s="1108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9"/>
      <c r="L185" s="1109"/>
      <c r="M185" s="1109"/>
      <c r="N185" s="1108"/>
      <c r="O185" s="1108"/>
      <c r="P185" s="1108"/>
      <c r="Q185" s="1108"/>
      <c r="R185" s="1108"/>
      <c r="S185" s="1108"/>
      <c r="T185" s="1108"/>
      <c r="U185" s="1108"/>
      <c r="V185" s="1108"/>
      <c r="W185" s="1108"/>
      <c r="X185" s="1108"/>
      <c r="Y185" s="1108"/>
      <c r="Z185" s="1108"/>
    </row>
    <row r="186" spans="1:26" ht="18" customHeight="1" x14ac:dyDescent="0.35">
      <c r="A186" s="1108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9"/>
      <c r="L186" s="1109"/>
      <c r="M186" s="1109"/>
      <c r="N186" s="1108"/>
      <c r="O186" s="1108"/>
      <c r="P186" s="1108"/>
      <c r="Q186" s="1108"/>
      <c r="R186" s="1108"/>
      <c r="S186" s="1108"/>
      <c r="T186" s="1108"/>
      <c r="U186" s="1108"/>
      <c r="V186" s="1108"/>
      <c r="W186" s="1108"/>
      <c r="X186" s="1108"/>
      <c r="Y186" s="1108"/>
      <c r="Z186" s="1108"/>
    </row>
    <row r="187" spans="1:26" ht="18" customHeight="1" x14ac:dyDescent="0.35">
      <c r="A187" s="1108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9"/>
      <c r="L187" s="1109"/>
      <c r="M187" s="1109"/>
      <c r="N187" s="1108"/>
      <c r="O187" s="1108"/>
      <c r="P187" s="1108"/>
      <c r="Q187" s="1108"/>
      <c r="R187" s="1108"/>
      <c r="S187" s="1108"/>
      <c r="T187" s="1108"/>
      <c r="U187" s="1108"/>
      <c r="V187" s="1108"/>
      <c r="W187" s="1108"/>
      <c r="X187" s="1108"/>
      <c r="Y187" s="1108"/>
      <c r="Z187" s="1108"/>
    </row>
    <row r="188" spans="1:26" ht="18" customHeight="1" x14ac:dyDescent="0.35">
      <c r="A188" s="1108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9"/>
      <c r="L188" s="1109"/>
      <c r="M188" s="1109"/>
      <c r="N188" s="1108"/>
      <c r="O188" s="1108"/>
      <c r="P188" s="1108"/>
      <c r="Q188" s="1108"/>
      <c r="R188" s="1108"/>
      <c r="S188" s="1108"/>
      <c r="T188" s="1108"/>
      <c r="U188" s="1108"/>
      <c r="V188" s="1108"/>
      <c r="W188" s="1108"/>
      <c r="X188" s="1108"/>
      <c r="Y188" s="1108"/>
      <c r="Z188" s="1108"/>
    </row>
    <row r="189" spans="1:26" ht="18" customHeight="1" x14ac:dyDescent="0.35">
      <c r="A189" s="1108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9"/>
      <c r="L189" s="1109"/>
      <c r="M189" s="1109"/>
      <c r="N189" s="1108"/>
      <c r="O189" s="1108"/>
      <c r="P189" s="1108"/>
      <c r="Q189" s="1108"/>
      <c r="R189" s="1108"/>
      <c r="S189" s="1108"/>
      <c r="T189" s="1108"/>
      <c r="U189" s="1108"/>
      <c r="V189" s="1108"/>
      <c r="W189" s="1108"/>
      <c r="X189" s="1108"/>
      <c r="Y189" s="1108"/>
      <c r="Z189" s="1108"/>
    </row>
    <row r="190" spans="1:26" ht="18" customHeight="1" x14ac:dyDescent="0.35">
      <c r="A190" s="1108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9"/>
      <c r="L190" s="1109"/>
      <c r="M190" s="1109"/>
      <c r="N190" s="1108"/>
      <c r="O190" s="1108"/>
      <c r="P190" s="1108"/>
      <c r="Q190" s="1108"/>
      <c r="R190" s="1108"/>
      <c r="S190" s="1108"/>
      <c r="T190" s="1108"/>
      <c r="U190" s="1108"/>
      <c r="V190" s="1108"/>
      <c r="W190" s="1108"/>
      <c r="X190" s="1108"/>
      <c r="Y190" s="1108"/>
      <c r="Z190" s="1108"/>
    </row>
    <row r="191" spans="1:26" ht="18" customHeight="1" x14ac:dyDescent="0.35">
      <c r="A191" s="1108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9"/>
      <c r="L191" s="1109"/>
      <c r="M191" s="1109"/>
      <c r="N191" s="1108"/>
      <c r="O191" s="1108"/>
      <c r="P191" s="1108"/>
      <c r="Q191" s="1108"/>
      <c r="R191" s="1108"/>
      <c r="S191" s="1108"/>
      <c r="T191" s="1108"/>
      <c r="U191" s="1108"/>
      <c r="V191" s="1108"/>
      <c r="W191" s="1108"/>
      <c r="X191" s="1108"/>
      <c r="Y191" s="1108"/>
      <c r="Z191" s="1108"/>
    </row>
    <row r="192" spans="1:26" ht="18" customHeight="1" x14ac:dyDescent="0.35">
      <c r="A192" s="1108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9"/>
      <c r="L192" s="1109"/>
      <c r="M192" s="1109"/>
      <c r="N192" s="1108"/>
      <c r="O192" s="1108"/>
      <c r="P192" s="1108"/>
      <c r="Q192" s="1108"/>
      <c r="R192" s="1108"/>
      <c r="S192" s="1108"/>
      <c r="T192" s="1108"/>
      <c r="U192" s="1108"/>
      <c r="V192" s="1108"/>
      <c r="W192" s="1108"/>
      <c r="X192" s="1108"/>
      <c r="Y192" s="1108"/>
      <c r="Z192" s="1108"/>
    </row>
    <row r="193" spans="1:26" ht="18" customHeight="1" x14ac:dyDescent="0.35">
      <c r="A193" s="1108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9"/>
      <c r="L193" s="1109"/>
      <c r="M193" s="1109"/>
      <c r="N193" s="1108"/>
      <c r="O193" s="1108"/>
      <c r="P193" s="1108"/>
      <c r="Q193" s="1108"/>
      <c r="R193" s="1108"/>
      <c r="S193" s="1108"/>
      <c r="T193" s="1108"/>
      <c r="U193" s="1108"/>
      <c r="V193" s="1108"/>
      <c r="W193" s="1108"/>
      <c r="X193" s="1108"/>
      <c r="Y193" s="1108"/>
      <c r="Z193" s="1108"/>
    </row>
    <row r="194" spans="1:26" ht="18" customHeight="1" x14ac:dyDescent="0.35">
      <c r="A194" s="1108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9"/>
      <c r="L194" s="1109"/>
      <c r="M194" s="1109"/>
      <c r="N194" s="1108"/>
      <c r="O194" s="1108"/>
      <c r="P194" s="1108"/>
      <c r="Q194" s="1108"/>
      <c r="R194" s="1108"/>
      <c r="S194" s="1108"/>
      <c r="T194" s="1108"/>
      <c r="U194" s="1108"/>
      <c r="V194" s="1108"/>
      <c r="W194" s="1108"/>
      <c r="X194" s="1108"/>
      <c r="Y194" s="1108"/>
      <c r="Z194" s="1108"/>
    </row>
    <row r="195" spans="1:26" ht="18" customHeight="1" x14ac:dyDescent="0.35">
      <c r="A195" s="1108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9"/>
      <c r="L195" s="1109"/>
      <c r="M195" s="1109"/>
      <c r="N195" s="1108"/>
      <c r="O195" s="1108"/>
      <c r="P195" s="1108"/>
      <c r="Q195" s="1108"/>
      <c r="R195" s="1108"/>
      <c r="S195" s="1108"/>
      <c r="T195" s="1108"/>
      <c r="U195" s="1108"/>
      <c r="V195" s="1108"/>
      <c r="W195" s="1108"/>
      <c r="X195" s="1108"/>
      <c r="Y195" s="1108"/>
      <c r="Z195" s="1108"/>
    </row>
    <row r="196" spans="1:26" ht="18" customHeight="1" x14ac:dyDescent="0.35">
      <c r="A196" s="1108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9"/>
      <c r="L196" s="1109"/>
      <c r="M196" s="1109"/>
      <c r="N196" s="1108"/>
      <c r="O196" s="1108"/>
      <c r="P196" s="1108"/>
      <c r="Q196" s="1108"/>
      <c r="R196" s="1108"/>
      <c r="S196" s="1108"/>
      <c r="T196" s="1108"/>
      <c r="U196" s="1108"/>
      <c r="V196" s="1108"/>
      <c r="W196" s="1108"/>
      <c r="X196" s="1108"/>
      <c r="Y196" s="1108"/>
      <c r="Z196" s="1108"/>
    </row>
    <row r="197" spans="1:26" ht="18" customHeight="1" x14ac:dyDescent="0.35">
      <c r="A197" s="1108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9"/>
      <c r="L197" s="1109"/>
      <c r="M197" s="1109"/>
      <c r="N197" s="1108"/>
      <c r="O197" s="1108"/>
      <c r="P197" s="1108"/>
      <c r="Q197" s="1108"/>
      <c r="R197" s="1108"/>
      <c r="S197" s="1108"/>
      <c r="T197" s="1108"/>
      <c r="U197" s="1108"/>
      <c r="V197" s="1108"/>
      <c r="W197" s="1108"/>
      <c r="X197" s="1108"/>
      <c r="Y197" s="1108"/>
      <c r="Z197" s="1108"/>
    </row>
    <row r="198" spans="1:26" ht="18" customHeight="1" x14ac:dyDescent="0.35">
      <c r="A198" s="1108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9"/>
      <c r="L198" s="1109"/>
      <c r="M198" s="1109"/>
      <c r="N198" s="1108"/>
      <c r="O198" s="1108"/>
      <c r="P198" s="1108"/>
      <c r="Q198" s="1108"/>
      <c r="R198" s="1108"/>
      <c r="S198" s="1108"/>
      <c r="T198" s="1108"/>
      <c r="U198" s="1108"/>
      <c r="V198" s="1108"/>
      <c r="W198" s="1108"/>
      <c r="X198" s="1108"/>
      <c r="Y198" s="1108"/>
      <c r="Z198" s="1108"/>
    </row>
    <row r="199" spans="1:26" ht="18" customHeight="1" x14ac:dyDescent="0.35">
      <c r="A199" s="1108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9"/>
      <c r="L199" s="1109"/>
      <c r="M199" s="1109"/>
      <c r="N199" s="1108"/>
      <c r="O199" s="1108"/>
      <c r="P199" s="1108"/>
      <c r="Q199" s="1108"/>
      <c r="R199" s="1108"/>
      <c r="S199" s="1108"/>
      <c r="T199" s="1108"/>
      <c r="U199" s="1108"/>
      <c r="V199" s="1108"/>
      <c r="W199" s="1108"/>
      <c r="X199" s="1108"/>
      <c r="Y199" s="1108"/>
      <c r="Z199" s="1108"/>
    </row>
    <row r="200" spans="1:26" ht="18" customHeight="1" x14ac:dyDescent="0.35">
      <c r="A200" s="1108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9"/>
      <c r="L200" s="1109"/>
      <c r="M200" s="1109"/>
      <c r="N200" s="1108"/>
      <c r="O200" s="1108"/>
      <c r="P200" s="1108"/>
      <c r="Q200" s="1108"/>
      <c r="R200" s="1108"/>
      <c r="S200" s="1108"/>
      <c r="T200" s="1108"/>
      <c r="U200" s="1108"/>
      <c r="V200" s="1108"/>
      <c r="W200" s="1108"/>
      <c r="X200" s="1108"/>
      <c r="Y200" s="1108"/>
      <c r="Z200" s="1108"/>
    </row>
    <row r="201" spans="1:26" ht="18" customHeight="1" x14ac:dyDescent="0.35">
      <c r="A201" s="1108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9"/>
      <c r="L201" s="1109"/>
      <c r="M201" s="1109"/>
      <c r="N201" s="1108"/>
      <c r="O201" s="1108"/>
      <c r="P201" s="1108"/>
      <c r="Q201" s="1108"/>
      <c r="R201" s="1108"/>
      <c r="S201" s="1108"/>
      <c r="T201" s="1108"/>
      <c r="U201" s="1108"/>
      <c r="V201" s="1108"/>
      <c r="W201" s="1108"/>
      <c r="X201" s="1108"/>
      <c r="Y201" s="1108"/>
      <c r="Z201" s="1108"/>
    </row>
    <row r="202" spans="1:26" ht="18" customHeight="1" x14ac:dyDescent="0.35">
      <c r="A202" s="1108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9"/>
      <c r="L202" s="1109"/>
      <c r="M202" s="1109"/>
      <c r="N202" s="1108"/>
      <c r="O202" s="1108"/>
      <c r="P202" s="1108"/>
      <c r="Q202" s="1108"/>
      <c r="R202" s="1108"/>
      <c r="S202" s="1108"/>
      <c r="T202" s="1108"/>
      <c r="U202" s="1108"/>
      <c r="V202" s="1108"/>
      <c r="W202" s="1108"/>
      <c r="X202" s="1108"/>
      <c r="Y202" s="1108"/>
      <c r="Z202" s="1108"/>
    </row>
    <row r="203" spans="1:26" ht="18" customHeight="1" x14ac:dyDescent="0.35">
      <c r="A203" s="1108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9"/>
      <c r="L203" s="1109"/>
      <c r="M203" s="1109"/>
      <c r="N203" s="1108"/>
      <c r="O203" s="1108"/>
      <c r="P203" s="1108"/>
      <c r="Q203" s="1108"/>
      <c r="R203" s="1108"/>
      <c r="S203" s="1108"/>
      <c r="T203" s="1108"/>
      <c r="U203" s="1108"/>
      <c r="V203" s="1108"/>
      <c r="W203" s="1108"/>
      <c r="X203" s="1108"/>
      <c r="Y203" s="1108"/>
      <c r="Z203" s="1108"/>
    </row>
    <row r="204" spans="1:26" ht="18" customHeight="1" x14ac:dyDescent="0.35">
      <c r="A204" s="1108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9"/>
      <c r="L204" s="1109"/>
      <c r="M204" s="1109"/>
      <c r="N204" s="1108"/>
      <c r="O204" s="1108"/>
      <c r="P204" s="1108"/>
      <c r="Q204" s="1108"/>
      <c r="R204" s="1108"/>
      <c r="S204" s="1108"/>
      <c r="T204" s="1108"/>
      <c r="U204" s="1108"/>
      <c r="V204" s="1108"/>
      <c r="W204" s="1108"/>
      <c r="X204" s="1108"/>
      <c r="Y204" s="1108"/>
      <c r="Z204" s="1108"/>
    </row>
    <row r="205" spans="1:26" ht="18" customHeight="1" x14ac:dyDescent="0.35">
      <c r="A205" s="1108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9"/>
      <c r="L205" s="1109"/>
      <c r="M205" s="1109"/>
      <c r="N205" s="1108"/>
      <c r="O205" s="1108"/>
      <c r="P205" s="1108"/>
      <c r="Q205" s="1108"/>
      <c r="R205" s="1108"/>
      <c r="S205" s="1108"/>
      <c r="T205" s="1108"/>
      <c r="U205" s="1108"/>
      <c r="V205" s="1108"/>
      <c r="W205" s="1108"/>
      <c r="X205" s="1108"/>
      <c r="Y205" s="1108"/>
      <c r="Z205" s="1108"/>
    </row>
    <row r="206" spans="1:26" ht="18" customHeight="1" x14ac:dyDescent="0.35">
      <c r="A206" s="1108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9"/>
      <c r="L206" s="1109"/>
      <c r="M206" s="1109"/>
      <c r="N206" s="1108"/>
      <c r="O206" s="1108"/>
      <c r="P206" s="1108"/>
      <c r="Q206" s="1108"/>
      <c r="R206" s="1108"/>
      <c r="S206" s="1108"/>
      <c r="T206" s="1108"/>
      <c r="U206" s="1108"/>
      <c r="V206" s="1108"/>
      <c r="W206" s="1108"/>
      <c r="X206" s="1108"/>
      <c r="Y206" s="1108"/>
      <c r="Z206" s="1108"/>
    </row>
    <row r="207" spans="1:26" ht="18" customHeight="1" x14ac:dyDescent="0.35">
      <c r="A207" s="1108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9"/>
      <c r="L207" s="1109"/>
      <c r="M207" s="1109"/>
      <c r="N207" s="1108"/>
      <c r="O207" s="1108"/>
      <c r="P207" s="1108"/>
      <c r="Q207" s="1108"/>
      <c r="R207" s="1108"/>
      <c r="S207" s="1108"/>
      <c r="T207" s="1108"/>
      <c r="U207" s="1108"/>
      <c r="V207" s="1108"/>
      <c r="W207" s="1108"/>
      <c r="X207" s="1108"/>
      <c r="Y207" s="1108"/>
      <c r="Z207" s="1108"/>
    </row>
    <row r="208" spans="1:26" ht="18" customHeight="1" x14ac:dyDescent="0.35">
      <c r="A208" s="1108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9"/>
      <c r="L208" s="1109"/>
      <c r="M208" s="1109"/>
      <c r="N208" s="1108"/>
      <c r="O208" s="1108"/>
      <c r="P208" s="1108"/>
      <c r="Q208" s="1108"/>
      <c r="R208" s="1108"/>
      <c r="S208" s="1108"/>
      <c r="T208" s="1108"/>
      <c r="U208" s="1108"/>
      <c r="V208" s="1108"/>
      <c r="W208" s="1108"/>
      <c r="X208" s="1108"/>
      <c r="Y208" s="1108"/>
      <c r="Z208" s="1108"/>
    </row>
    <row r="209" spans="1:26" ht="18" customHeight="1" x14ac:dyDescent="0.35">
      <c r="A209" s="1108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9"/>
      <c r="L209" s="1109"/>
      <c r="M209" s="1109"/>
      <c r="N209" s="1108"/>
      <c r="O209" s="1108"/>
      <c r="P209" s="1108"/>
      <c r="Q209" s="1108"/>
      <c r="R209" s="1108"/>
      <c r="S209" s="1108"/>
      <c r="T209" s="1108"/>
      <c r="U209" s="1108"/>
      <c r="V209" s="1108"/>
      <c r="W209" s="1108"/>
      <c r="X209" s="1108"/>
      <c r="Y209" s="1108"/>
      <c r="Z209" s="1108"/>
    </row>
    <row r="210" spans="1:26" ht="18" customHeight="1" x14ac:dyDescent="0.35">
      <c r="A210" s="1108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9"/>
      <c r="L210" s="1109"/>
      <c r="M210" s="1109"/>
      <c r="N210" s="1108"/>
      <c r="O210" s="1108"/>
      <c r="P210" s="1108"/>
      <c r="Q210" s="1108"/>
      <c r="R210" s="1108"/>
      <c r="S210" s="1108"/>
      <c r="T210" s="1108"/>
      <c r="U210" s="1108"/>
      <c r="V210" s="1108"/>
      <c r="W210" s="1108"/>
      <c r="X210" s="1108"/>
      <c r="Y210" s="1108"/>
      <c r="Z210" s="1108"/>
    </row>
    <row r="211" spans="1:26" ht="18" customHeight="1" x14ac:dyDescent="0.35">
      <c r="A211" s="1108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9"/>
      <c r="L211" s="1109"/>
      <c r="M211" s="1109"/>
      <c r="N211" s="1108"/>
      <c r="O211" s="1108"/>
      <c r="P211" s="1108"/>
      <c r="Q211" s="1108"/>
      <c r="R211" s="1108"/>
      <c r="S211" s="1108"/>
      <c r="T211" s="1108"/>
      <c r="U211" s="1108"/>
      <c r="V211" s="1108"/>
      <c r="W211" s="1108"/>
      <c r="X211" s="1108"/>
      <c r="Y211" s="1108"/>
      <c r="Z211" s="1108"/>
    </row>
    <row r="212" spans="1:26" ht="18" customHeight="1" x14ac:dyDescent="0.35">
      <c r="A212" s="1108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9"/>
      <c r="L212" s="1109"/>
      <c r="M212" s="1109"/>
      <c r="N212" s="1108"/>
      <c r="O212" s="1108"/>
      <c r="P212" s="1108"/>
      <c r="Q212" s="1108"/>
      <c r="R212" s="1108"/>
      <c r="S212" s="1108"/>
      <c r="T212" s="1108"/>
      <c r="U212" s="1108"/>
      <c r="V212" s="1108"/>
      <c r="W212" s="1108"/>
      <c r="X212" s="1108"/>
      <c r="Y212" s="1108"/>
      <c r="Z212" s="1108"/>
    </row>
    <row r="213" spans="1:26" ht="18" customHeight="1" x14ac:dyDescent="0.35">
      <c r="A213" s="1108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9"/>
      <c r="L213" s="1109"/>
      <c r="M213" s="1109"/>
      <c r="N213" s="1108"/>
      <c r="O213" s="1108"/>
      <c r="P213" s="1108"/>
      <c r="Q213" s="1108"/>
      <c r="R213" s="1108"/>
      <c r="S213" s="1108"/>
      <c r="T213" s="1108"/>
      <c r="U213" s="1108"/>
      <c r="V213" s="1108"/>
      <c r="W213" s="1108"/>
      <c r="X213" s="1108"/>
      <c r="Y213" s="1108"/>
      <c r="Z213" s="1108"/>
    </row>
    <row r="214" spans="1:26" ht="18" customHeight="1" x14ac:dyDescent="0.35">
      <c r="A214" s="1108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9"/>
      <c r="L214" s="1109"/>
      <c r="M214" s="1109"/>
      <c r="N214" s="1108"/>
      <c r="O214" s="1108"/>
      <c r="P214" s="1108"/>
      <c r="Q214" s="1108"/>
      <c r="R214" s="1108"/>
      <c r="S214" s="1108"/>
      <c r="T214" s="1108"/>
      <c r="U214" s="1108"/>
      <c r="V214" s="1108"/>
      <c r="W214" s="1108"/>
      <c r="X214" s="1108"/>
      <c r="Y214" s="1108"/>
      <c r="Z214" s="1108"/>
    </row>
    <row r="215" spans="1:26" ht="18" customHeight="1" x14ac:dyDescent="0.35">
      <c r="A215" s="1108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9"/>
      <c r="L215" s="1109"/>
      <c r="M215" s="1109"/>
      <c r="N215" s="1108"/>
      <c r="O215" s="1108"/>
      <c r="P215" s="1108"/>
      <c r="Q215" s="1108"/>
      <c r="R215" s="1108"/>
      <c r="S215" s="1108"/>
      <c r="T215" s="1108"/>
      <c r="U215" s="1108"/>
      <c r="V215" s="1108"/>
      <c r="W215" s="1108"/>
      <c r="X215" s="1108"/>
      <c r="Y215" s="1108"/>
      <c r="Z215" s="1108"/>
    </row>
    <row r="216" spans="1:26" ht="18" customHeight="1" x14ac:dyDescent="0.35">
      <c r="A216" s="1108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9"/>
      <c r="L216" s="1109"/>
      <c r="M216" s="1109"/>
      <c r="N216" s="1108"/>
      <c r="O216" s="1108"/>
      <c r="P216" s="1108"/>
      <c r="Q216" s="1108"/>
      <c r="R216" s="1108"/>
      <c r="S216" s="1108"/>
      <c r="T216" s="1108"/>
      <c r="U216" s="1108"/>
      <c r="V216" s="1108"/>
      <c r="W216" s="1108"/>
      <c r="X216" s="1108"/>
      <c r="Y216" s="1108"/>
      <c r="Z216" s="1108"/>
    </row>
    <row r="217" spans="1:26" ht="18" customHeight="1" x14ac:dyDescent="0.35">
      <c r="A217" s="1108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9"/>
      <c r="L217" s="1109"/>
      <c r="M217" s="1109"/>
      <c r="N217" s="1108"/>
      <c r="O217" s="1108"/>
      <c r="P217" s="1108"/>
      <c r="Q217" s="1108"/>
      <c r="R217" s="1108"/>
      <c r="S217" s="1108"/>
      <c r="T217" s="1108"/>
      <c r="U217" s="1108"/>
      <c r="V217" s="1108"/>
      <c r="W217" s="1108"/>
      <c r="X217" s="1108"/>
      <c r="Y217" s="1108"/>
      <c r="Z217" s="1108"/>
    </row>
    <row r="218" spans="1:26" ht="18" customHeight="1" x14ac:dyDescent="0.35">
      <c r="A218" s="1108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9"/>
      <c r="L218" s="1109"/>
      <c r="M218" s="1109"/>
      <c r="N218" s="1108"/>
      <c r="O218" s="1108"/>
      <c r="P218" s="1108"/>
      <c r="Q218" s="1108"/>
      <c r="R218" s="1108"/>
      <c r="S218" s="1108"/>
      <c r="T218" s="1108"/>
      <c r="U218" s="1108"/>
      <c r="V218" s="1108"/>
      <c r="W218" s="1108"/>
      <c r="X218" s="1108"/>
      <c r="Y218" s="1108"/>
      <c r="Z218" s="1108"/>
    </row>
    <row r="219" spans="1:26" ht="18" customHeight="1" x14ac:dyDescent="0.35">
      <c r="A219" s="1108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9"/>
      <c r="L219" s="1109"/>
      <c r="M219" s="1109"/>
      <c r="N219" s="1108"/>
      <c r="O219" s="1108"/>
      <c r="P219" s="1108"/>
      <c r="Q219" s="1108"/>
      <c r="R219" s="1108"/>
      <c r="S219" s="1108"/>
      <c r="T219" s="1108"/>
      <c r="U219" s="1108"/>
      <c r="V219" s="1108"/>
      <c r="W219" s="1108"/>
      <c r="X219" s="1108"/>
      <c r="Y219" s="1108"/>
      <c r="Z219" s="1108"/>
    </row>
    <row r="220" spans="1:26" ht="18" customHeight="1" x14ac:dyDescent="0.35">
      <c r="A220" s="1108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9"/>
      <c r="L220" s="1109"/>
      <c r="M220" s="1109"/>
      <c r="N220" s="1108"/>
      <c r="O220" s="1108"/>
      <c r="P220" s="1108"/>
      <c r="Q220" s="1108"/>
      <c r="R220" s="1108"/>
      <c r="S220" s="1108"/>
      <c r="T220" s="1108"/>
      <c r="U220" s="1108"/>
      <c r="V220" s="1108"/>
      <c r="W220" s="1108"/>
      <c r="X220" s="1108"/>
      <c r="Y220" s="1108"/>
      <c r="Z220" s="1108"/>
    </row>
    <row r="221" spans="1:26" ht="18" customHeight="1" x14ac:dyDescent="0.35">
      <c r="A221" s="1108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9"/>
      <c r="L221" s="1109"/>
      <c r="M221" s="1109"/>
      <c r="N221" s="1108"/>
      <c r="O221" s="1108"/>
      <c r="P221" s="1108"/>
      <c r="Q221" s="1108"/>
      <c r="R221" s="1108"/>
      <c r="S221" s="1108"/>
      <c r="T221" s="1108"/>
      <c r="U221" s="1108"/>
      <c r="V221" s="1108"/>
      <c r="W221" s="1108"/>
      <c r="X221" s="1108"/>
      <c r="Y221" s="1108"/>
      <c r="Z221" s="1108"/>
    </row>
    <row r="222" spans="1:26" ht="18" customHeight="1" x14ac:dyDescent="0.35">
      <c r="A222" s="1108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9"/>
      <c r="L222" s="1109"/>
      <c r="M222" s="1109"/>
      <c r="N222" s="1108"/>
      <c r="O222" s="1108"/>
      <c r="P222" s="1108"/>
      <c r="Q222" s="1108"/>
      <c r="R222" s="1108"/>
      <c r="S222" s="1108"/>
      <c r="T222" s="1108"/>
      <c r="U222" s="1108"/>
      <c r="V222" s="1108"/>
      <c r="W222" s="1108"/>
      <c r="X222" s="1108"/>
      <c r="Y222" s="1108"/>
      <c r="Z222" s="1108"/>
    </row>
    <row r="223" spans="1:26" ht="18" customHeight="1" x14ac:dyDescent="0.35">
      <c r="A223" s="1108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9"/>
      <c r="L223" s="1109"/>
      <c r="M223" s="1109"/>
      <c r="N223" s="1108"/>
      <c r="O223" s="1108"/>
      <c r="P223" s="1108"/>
      <c r="Q223" s="1108"/>
      <c r="R223" s="1108"/>
      <c r="S223" s="1108"/>
      <c r="T223" s="1108"/>
      <c r="U223" s="1108"/>
      <c r="V223" s="1108"/>
      <c r="W223" s="1108"/>
      <c r="X223" s="1108"/>
      <c r="Y223" s="1108"/>
      <c r="Z223" s="1108"/>
    </row>
    <row r="224" spans="1:26" ht="18" customHeight="1" x14ac:dyDescent="0.35">
      <c r="A224" s="1108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9"/>
      <c r="L224" s="1109"/>
      <c r="M224" s="1109"/>
      <c r="N224" s="1108"/>
      <c r="O224" s="1108"/>
      <c r="P224" s="1108"/>
      <c r="Q224" s="1108"/>
      <c r="R224" s="1108"/>
      <c r="S224" s="1108"/>
      <c r="T224" s="1108"/>
      <c r="U224" s="1108"/>
      <c r="V224" s="1108"/>
      <c r="W224" s="1108"/>
      <c r="X224" s="1108"/>
      <c r="Y224" s="1108"/>
      <c r="Z224" s="1108"/>
    </row>
    <row r="225" spans="1:26" ht="18" customHeight="1" x14ac:dyDescent="0.35">
      <c r="A225" s="1108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9"/>
      <c r="L225" s="1109"/>
      <c r="M225" s="1109"/>
      <c r="N225" s="1108"/>
      <c r="O225" s="1108"/>
      <c r="P225" s="1108"/>
      <c r="Q225" s="1108"/>
      <c r="R225" s="1108"/>
      <c r="S225" s="1108"/>
      <c r="T225" s="1108"/>
      <c r="U225" s="1108"/>
      <c r="V225" s="1108"/>
      <c r="W225" s="1108"/>
      <c r="X225" s="1108"/>
      <c r="Y225" s="1108"/>
      <c r="Z225" s="1108"/>
    </row>
    <row r="226" spans="1:26" ht="18" customHeight="1" x14ac:dyDescent="0.35">
      <c r="A226" s="1108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9"/>
      <c r="L226" s="1109"/>
      <c r="M226" s="1109"/>
      <c r="N226" s="1108"/>
      <c r="O226" s="1108"/>
      <c r="P226" s="1108"/>
      <c r="Q226" s="1108"/>
      <c r="R226" s="1108"/>
      <c r="S226" s="1108"/>
      <c r="T226" s="1108"/>
      <c r="U226" s="1108"/>
      <c r="V226" s="1108"/>
      <c r="W226" s="1108"/>
      <c r="X226" s="1108"/>
      <c r="Y226" s="1108"/>
      <c r="Z226" s="1108"/>
    </row>
    <row r="227" spans="1:26" ht="18" customHeight="1" x14ac:dyDescent="0.35">
      <c r="A227" s="1108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9"/>
      <c r="L227" s="1109"/>
      <c r="M227" s="1109"/>
      <c r="N227" s="1108"/>
      <c r="O227" s="1108"/>
      <c r="P227" s="1108"/>
      <c r="Q227" s="1108"/>
      <c r="R227" s="1108"/>
      <c r="S227" s="1108"/>
      <c r="T227" s="1108"/>
      <c r="U227" s="1108"/>
      <c r="V227" s="1108"/>
      <c r="W227" s="1108"/>
      <c r="X227" s="1108"/>
      <c r="Y227" s="1108"/>
      <c r="Z227" s="1108"/>
    </row>
    <row r="228" spans="1:26" ht="18" customHeight="1" x14ac:dyDescent="0.35">
      <c r="A228" s="1108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9"/>
      <c r="L228" s="1109"/>
      <c r="M228" s="1109"/>
      <c r="N228" s="1108"/>
      <c r="O228" s="1108"/>
      <c r="P228" s="1108"/>
      <c r="Q228" s="1108"/>
      <c r="R228" s="1108"/>
      <c r="S228" s="1108"/>
      <c r="T228" s="1108"/>
      <c r="U228" s="1108"/>
      <c r="V228" s="1108"/>
      <c r="W228" s="1108"/>
      <c r="X228" s="1108"/>
      <c r="Y228" s="1108"/>
      <c r="Z228" s="1108"/>
    </row>
    <row r="229" spans="1:26" ht="18" customHeight="1" x14ac:dyDescent="0.35">
      <c r="A229" s="1108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9"/>
      <c r="L229" s="1109"/>
      <c r="M229" s="1109"/>
      <c r="N229" s="1108"/>
      <c r="O229" s="1108"/>
      <c r="P229" s="1108"/>
      <c r="Q229" s="1108"/>
      <c r="R229" s="1108"/>
      <c r="S229" s="1108"/>
      <c r="T229" s="1108"/>
      <c r="U229" s="1108"/>
      <c r="V229" s="1108"/>
      <c r="W229" s="1108"/>
      <c r="X229" s="1108"/>
      <c r="Y229" s="1108"/>
      <c r="Z229" s="1108"/>
    </row>
    <row r="230" spans="1:26" ht="18" customHeight="1" x14ac:dyDescent="0.35">
      <c r="A230" s="1108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9"/>
      <c r="L230" s="1109"/>
      <c r="M230" s="1109"/>
      <c r="N230" s="1108"/>
      <c r="O230" s="1108"/>
      <c r="P230" s="1108"/>
      <c r="Q230" s="1108"/>
      <c r="R230" s="1108"/>
      <c r="S230" s="1108"/>
      <c r="T230" s="1108"/>
      <c r="U230" s="1108"/>
      <c r="V230" s="1108"/>
      <c r="W230" s="1108"/>
      <c r="X230" s="1108"/>
      <c r="Y230" s="1108"/>
      <c r="Z230" s="1108"/>
    </row>
    <row r="231" spans="1:26" ht="18" customHeight="1" x14ac:dyDescent="0.35">
      <c r="A231" s="1108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9"/>
      <c r="L231" s="1109"/>
      <c r="M231" s="1109"/>
      <c r="N231" s="1108"/>
      <c r="O231" s="1108"/>
      <c r="P231" s="1108"/>
      <c r="Q231" s="1108"/>
      <c r="R231" s="1108"/>
      <c r="S231" s="1108"/>
      <c r="T231" s="1108"/>
      <c r="U231" s="1108"/>
      <c r="V231" s="1108"/>
      <c r="W231" s="1108"/>
      <c r="X231" s="1108"/>
      <c r="Y231" s="1108"/>
      <c r="Z231" s="1108"/>
    </row>
    <row r="232" spans="1:26" ht="18" customHeight="1" x14ac:dyDescent="0.35">
      <c r="A232" s="1108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9"/>
      <c r="L232" s="1109"/>
      <c r="M232" s="1109"/>
      <c r="N232" s="1108"/>
      <c r="O232" s="1108"/>
      <c r="P232" s="1108"/>
      <c r="Q232" s="1108"/>
      <c r="R232" s="1108"/>
      <c r="S232" s="1108"/>
      <c r="T232" s="1108"/>
      <c r="U232" s="1108"/>
      <c r="V232" s="1108"/>
      <c r="W232" s="1108"/>
      <c r="X232" s="1108"/>
      <c r="Y232" s="1108"/>
      <c r="Z232" s="1108"/>
    </row>
    <row r="233" spans="1:26" ht="18" customHeight="1" x14ac:dyDescent="0.35">
      <c r="A233" s="1108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9"/>
      <c r="L233" s="1109"/>
      <c r="M233" s="1109"/>
      <c r="N233" s="1108"/>
      <c r="O233" s="1108"/>
      <c r="P233" s="1108"/>
      <c r="Q233" s="1108"/>
      <c r="R233" s="1108"/>
      <c r="S233" s="1108"/>
      <c r="T233" s="1108"/>
      <c r="U233" s="1108"/>
      <c r="V233" s="1108"/>
      <c r="W233" s="1108"/>
      <c r="X233" s="1108"/>
      <c r="Y233" s="1108"/>
      <c r="Z233" s="1108"/>
    </row>
    <row r="234" spans="1:26" ht="18" customHeight="1" x14ac:dyDescent="0.35">
      <c r="A234" s="1108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9"/>
      <c r="L234" s="1109"/>
      <c r="M234" s="1109"/>
      <c r="N234" s="1108"/>
      <c r="O234" s="1108"/>
      <c r="P234" s="1108"/>
      <c r="Q234" s="1108"/>
      <c r="R234" s="1108"/>
      <c r="S234" s="1108"/>
      <c r="T234" s="1108"/>
      <c r="U234" s="1108"/>
      <c r="V234" s="1108"/>
      <c r="W234" s="1108"/>
      <c r="X234" s="1108"/>
      <c r="Y234" s="1108"/>
      <c r="Z234" s="1108"/>
    </row>
    <row r="235" spans="1:26" ht="18" customHeight="1" x14ac:dyDescent="0.35">
      <c r="A235" s="1108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9"/>
      <c r="L235" s="1109"/>
      <c r="M235" s="1109"/>
      <c r="N235" s="1108"/>
      <c r="O235" s="1108"/>
      <c r="P235" s="1108"/>
      <c r="Q235" s="1108"/>
      <c r="R235" s="1108"/>
      <c r="S235" s="1108"/>
      <c r="T235" s="1108"/>
      <c r="U235" s="1108"/>
      <c r="V235" s="1108"/>
      <c r="W235" s="1108"/>
      <c r="X235" s="1108"/>
      <c r="Y235" s="1108"/>
      <c r="Z235" s="1108"/>
    </row>
    <row r="236" spans="1:26" ht="18" customHeight="1" x14ac:dyDescent="0.35">
      <c r="A236" s="1108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9"/>
      <c r="L236" s="1109"/>
      <c r="M236" s="1109"/>
      <c r="N236" s="1108"/>
      <c r="O236" s="1108"/>
      <c r="P236" s="1108"/>
      <c r="Q236" s="1108"/>
      <c r="R236" s="1108"/>
      <c r="S236" s="1108"/>
      <c r="T236" s="1108"/>
      <c r="U236" s="1108"/>
      <c r="V236" s="1108"/>
      <c r="W236" s="1108"/>
      <c r="X236" s="1108"/>
      <c r="Y236" s="1108"/>
      <c r="Z236" s="1108"/>
    </row>
    <row r="237" spans="1:26" ht="18" customHeight="1" x14ac:dyDescent="0.35">
      <c r="A237" s="1108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9"/>
      <c r="L237" s="1109"/>
      <c r="M237" s="1109"/>
      <c r="N237" s="1108"/>
      <c r="O237" s="1108"/>
      <c r="P237" s="1108"/>
      <c r="Q237" s="1108"/>
      <c r="R237" s="1108"/>
      <c r="S237" s="1108"/>
      <c r="T237" s="1108"/>
      <c r="U237" s="1108"/>
      <c r="V237" s="1108"/>
      <c r="W237" s="1108"/>
      <c r="X237" s="1108"/>
      <c r="Y237" s="1108"/>
      <c r="Z237" s="1108"/>
    </row>
    <row r="238" spans="1:26" ht="18" customHeight="1" x14ac:dyDescent="0.35">
      <c r="A238" s="1108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9"/>
      <c r="L238" s="1109"/>
      <c r="M238" s="1109"/>
      <c r="N238" s="1108"/>
      <c r="O238" s="1108"/>
      <c r="P238" s="1108"/>
      <c r="Q238" s="1108"/>
      <c r="R238" s="1108"/>
      <c r="S238" s="1108"/>
      <c r="T238" s="1108"/>
      <c r="U238" s="1108"/>
      <c r="V238" s="1108"/>
      <c r="W238" s="1108"/>
      <c r="X238" s="1108"/>
      <c r="Y238" s="1108"/>
      <c r="Z238" s="1108"/>
    </row>
    <row r="239" spans="1:26" ht="18" customHeight="1" x14ac:dyDescent="0.35">
      <c r="A239" s="1108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9"/>
      <c r="L239" s="1109"/>
      <c r="M239" s="1109"/>
      <c r="N239" s="1108"/>
      <c r="O239" s="1108"/>
      <c r="P239" s="1108"/>
      <c r="Q239" s="1108"/>
      <c r="R239" s="1108"/>
      <c r="S239" s="1108"/>
      <c r="T239" s="1108"/>
      <c r="U239" s="1108"/>
      <c r="V239" s="1108"/>
      <c r="W239" s="1108"/>
      <c r="X239" s="1108"/>
      <c r="Y239" s="1108"/>
      <c r="Z239" s="1108"/>
    </row>
    <row r="240" spans="1:26" ht="18" customHeight="1" x14ac:dyDescent="0.35">
      <c r="A240" s="1108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9"/>
      <c r="L240" s="1109"/>
      <c r="M240" s="1109"/>
      <c r="N240" s="1108"/>
      <c r="O240" s="1108"/>
      <c r="P240" s="1108"/>
      <c r="Q240" s="1108"/>
      <c r="R240" s="1108"/>
      <c r="S240" s="1108"/>
      <c r="T240" s="1108"/>
      <c r="U240" s="1108"/>
      <c r="V240" s="1108"/>
      <c r="W240" s="1108"/>
      <c r="X240" s="1108"/>
      <c r="Y240" s="1108"/>
      <c r="Z240" s="1108"/>
    </row>
    <row r="241" spans="1:26" ht="18" customHeight="1" x14ac:dyDescent="0.35">
      <c r="A241" s="1108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9"/>
      <c r="L241" s="1109"/>
      <c r="M241" s="1109"/>
      <c r="N241" s="1108"/>
      <c r="O241" s="1108"/>
      <c r="P241" s="1108"/>
      <c r="Q241" s="1108"/>
      <c r="R241" s="1108"/>
      <c r="S241" s="1108"/>
      <c r="T241" s="1108"/>
      <c r="U241" s="1108"/>
      <c r="V241" s="1108"/>
      <c r="W241" s="1108"/>
      <c r="X241" s="1108"/>
      <c r="Y241" s="1108"/>
      <c r="Z241" s="1108"/>
    </row>
    <row r="242" spans="1:26" ht="18" customHeight="1" x14ac:dyDescent="0.35">
      <c r="A242" s="1108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9"/>
      <c r="L242" s="1109"/>
      <c r="M242" s="1109"/>
      <c r="N242" s="1108"/>
      <c r="O242" s="1108"/>
      <c r="P242" s="1108"/>
      <c r="Q242" s="1108"/>
      <c r="R242" s="1108"/>
      <c r="S242" s="1108"/>
      <c r="T242" s="1108"/>
      <c r="U242" s="1108"/>
      <c r="V242" s="1108"/>
      <c r="W242" s="1108"/>
      <c r="X242" s="1108"/>
      <c r="Y242" s="1108"/>
      <c r="Z242" s="1108"/>
    </row>
    <row r="243" spans="1:26" ht="18" customHeight="1" x14ac:dyDescent="0.35">
      <c r="A243" s="1108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9"/>
      <c r="L243" s="1109"/>
      <c r="M243" s="1109"/>
      <c r="N243" s="1108"/>
      <c r="O243" s="1108"/>
      <c r="P243" s="1108"/>
      <c r="Q243" s="1108"/>
      <c r="R243" s="1108"/>
      <c r="S243" s="1108"/>
      <c r="T243" s="1108"/>
      <c r="U243" s="1108"/>
      <c r="V243" s="1108"/>
      <c r="W243" s="1108"/>
      <c r="X243" s="1108"/>
      <c r="Y243" s="1108"/>
      <c r="Z243" s="1108"/>
    </row>
    <row r="244" spans="1:26" ht="18" customHeight="1" x14ac:dyDescent="0.35">
      <c r="A244" s="1108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9"/>
      <c r="L244" s="1109"/>
      <c r="M244" s="1109"/>
      <c r="N244" s="1108"/>
      <c r="O244" s="1108"/>
      <c r="P244" s="1108"/>
      <c r="Q244" s="1108"/>
      <c r="R244" s="1108"/>
      <c r="S244" s="1108"/>
      <c r="T244" s="1108"/>
      <c r="U244" s="1108"/>
      <c r="V244" s="1108"/>
      <c r="W244" s="1108"/>
      <c r="X244" s="1108"/>
      <c r="Y244" s="1108"/>
      <c r="Z244" s="1108"/>
    </row>
    <row r="245" spans="1:26" ht="18" customHeight="1" x14ac:dyDescent="0.35">
      <c r="A245" s="1108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9"/>
      <c r="L245" s="1109"/>
      <c r="M245" s="1109"/>
      <c r="N245" s="1108"/>
      <c r="O245" s="1108"/>
      <c r="P245" s="1108"/>
      <c r="Q245" s="1108"/>
      <c r="R245" s="1108"/>
      <c r="S245" s="1108"/>
      <c r="T245" s="1108"/>
      <c r="U245" s="1108"/>
      <c r="V245" s="1108"/>
      <c r="W245" s="1108"/>
      <c r="X245" s="1108"/>
      <c r="Y245" s="1108"/>
      <c r="Z245" s="1108"/>
    </row>
    <row r="246" spans="1:26" ht="18" customHeight="1" x14ac:dyDescent="0.35">
      <c r="A246" s="1108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9"/>
      <c r="L246" s="1109"/>
      <c r="M246" s="1109"/>
      <c r="N246" s="1108"/>
      <c r="O246" s="1108"/>
      <c r="P246" s="1108"/>
      <c r="Q246" s="1108"/>
      <c r="R246" s="1108"/>
      <c r="S246" s="1108"/>
      <c r="T246" s="1108"/>
      <c r="U246" s="1108"/>
      <c r="V246" s="1108"/>
      <c r="W246" s="1108"/>
      <c r="X246" s="1108"/>
      <c r="Y246" s="1108"/>
      <c r="Z246" s="1108"/>
    </row>
    <row r="247" spans="1:26" ht="18" customHeight="1" x14ac:dyDescent="0.35">
      <c r="A247" s="1108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9"/>
      <c r="L247" s="1109"/>
      <c r="M247" s="1109"/>
      <c r="N247" s="1108"/>
      <c r="O247" s="1108"/>
      <c r="P247" s="1108"/>
      <c r="Q247" s="1108"/>
      <c r="R247" s="1108"/>
      <c r="S247" s="1108"/>
      <c r="T247" s="1108"/>
      <c r="U247" s="1108"/>
      <c r="V247" s="1108"/>
      <c r="W247" s="1108"/>
      <c r="X247" s="1108"/>
      <c r="Y247" s="1108"/>
      <c r="Z247" s="1108"/>
    </row>
    <row r="248" spans="1:26" ht="18" customHeight="1" x14ac:dyDescent="0.35">
      <c r="A248" s="1108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9"/>
      <c r="L248" s="1109"/>
      <c r="M248" s="1109"/>
      <c r="N248" s="1108"/>
      <c r="O248" s="1108"/>
      <c r="P248" s="1108"/>
      <c r="Q248" s="1108"/>
      <c r="R248" s="1108"/>
      <c r="S248" s="1108"/>
      <c r="T248" s="1108"/>
      <c r="U248" s="1108"/>
      <c r="V248" s="1108"/>
      <c r="W248" s="1108"/>
      <c r="X248" s="1108"/>
      <c r="Y248" s="1108"/>
      <c r="Z248" s="1108"/>
    </row>
    <row r="249" spans="1:26" ht="18" customHeight="1" x14ac:dyDescent="0.35">
      <c r="A249" s="1108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9"/>
      <c r="L249" s="1109"/>
      <c r="M249" s="1109"/>
      <c r="N249" s="1108"/>
      <c r="O249" s="1108"/>
      <c r="P249" s="1108"/>
      <c r="Q249" s="1108"/>
      <c r="R249" s="1108"/>
      <c r="S249" s="1108"/>
      <c r="T249" s="1108"/>
      <c r="U249" s="1108"/>
      <c r="V249" s="1108"/>
      <c r="W249" s="1108"/>
      <c r="X249" s="1108"/>
      <c r="Y249" s="1108"/>
      <c r="Z249" s="1108"/>
    </row>
    <row r="250" spans="1:26" ht="18" customHeight="1" x14ac:dyDescent="0.35">
      <c r="A250" s="1108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9"/>
      <c r="L250" s="1109"/>
      <c r="M250" s="1109"/>
      <c r="N250" s="1108"/>
      <c r="O250" s="1108"/>
      <c r="P250" s="1108"/>
      <c r="Q250" s="1108"/>
      <c r="R250" s="1108"/>
      <c r="S250" s="1108"/>
      <c r="T250" s="1108"/>
      <c r="U250" s="1108"/>
      <c r="V250" s="1108"/>
      <c r="W250" s="1108"/>
      <c r="X250" s="1108"/>
      <c r="Y250" s="1108"/>
      <c r="Z250" s="1108"/>
    </row>
    <row r="251" spans="1:26" ht="18" customHeight="1" x14ac:dyDescent="0.35">
      <c r="A251" s="1108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9"/>
      <c r="L251" s="1109"/>
      <c r="M251" s="1109"/>
      <c r="N251" s="1108"/>
      <c r="O251" s="1108"/>
      <c r="P251" s="1108"/>
      <c r="Q251" s="1108"/>
      <c r="R251" s="1108"/>
      <c r="S251" s="1108"/>
      <c r="T251" s="1108"/>
      <c r="U251" s="1108"/>
      <c r="V251" s="1108"/>
      <c r="W251" s="1108"/>
      <c r="X251" s="1108"/>
      <c r="Y251" s="1108"/>
      <c r="Z251" s="1108"/>
    </row>
    <row r="252" spans="1:26" ht="18" customHeight="1" x14ac:dyDescent="0.35">
      <c r="A252" s="1108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9"/>
      <c r="L252" s="1109"/>
      <c r="M252" s="1109"/>
      <c r="N252" s="1108"/>
      <c r="O252" s="1108"/>
      <c r="P252" s="1108"/>
      <c r="Q252" s="1108"/>
      <c r="R252" s="1108"/>
      <c r="S252" s="1108"/>
      <c r="T252" s="1108"/>
      <c r="U252" s="1108"/>
      <c r="V252" s="1108"/>
      <c r="W252" s="1108"/>
      <c r="X252" s="1108"/>
      <c r="Y252" s="1108"/>
      <c r="Z252" s="1108"/>
    </row>
    <row r="253" spans="1:26" ht="18" customHeight="1" x14ac:dyDescent="0.35">
      <c r="A253" s="1108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9"/>
      <c r="L253" s="1109"/>
      <c r="M253" s="1109"/>
      <c r="N253" s="1108"/>
      <c r="O253" s="1108"/>
      <c r="P253" s="1108"/>
      <c r="Q253" s="1108"/>
      <c r="R253" s="1108"/>
      <c r="S253" s="1108"/>
      <c r="T253" s="1108"/>
      <c r="U253" s="1108"/>
      <c r="V253" s="1108"/>
      <c r="W253" s="1108"/>
      <c r="X253" s="1108"/>
      <c r="Y253" s="1108"/>
      <c r="Z253" s="1108"/>
    </row>
    <row r="254" spans="1:26" ht="18" customHeight="1" x14ac:dyDescent="0.35">
      <c r="A254" s="1108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9"/>
      <c r="L254" s="1109"/>
      <c r="M254" s="1109"/>
      <c r="N254" s="1108"/>
      <c r="O254" s="1108"/>
      <c r="P254" s="1108"/>
      <c r="Q254" s="1108"/>
      <c r="R254" s="1108"/>
      <c r="S254" s="1108"/>
      <c r="T254" s="1108"/>
      <c r="U254" s="1108"/>
      <c r="V254" s="1108"/>
      <c r="W254" s="1108"/>
      <c r="X254" s="1108"/>
      <c r="Y254" s="1108"/>
      <c r="Z254" s="1108"/>
    </row>
    <row r="255" spans="1:26" ht="18" customHeight="1" x14ac:dyDescent="0.35">
      <c r="A255" s="1108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9"/>
      <c r="L255" s="1109"/>
      <c r="M255" s="1109"/>
      <c r="N255" s="1108"/>
      <c r="O255" s="1108"/>
      <c r="P255" s="1108"/>
      <c r="Q255" s="1108"/>
      <c r="R255" s="1108"/>
      <c r="S255" s="1108"/>
      <c r="T255" s="1108"/>
      <c r="U255" s="1108"/>
      <c r="V255" s="1108"/>
      <c r="W255" s="1108"/>
      <c r="X255" s="1108"/>
      <c r="Y255" s="1108"/>
      <c r="Z255" s="1108"/>
    </row>
    <row r="256" spans="1:26" ht="18" customHeight="1" x14ac:dyDescent="0.35">
      <c r="A256" s="1108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9"/>
      <c r="L256" s="1109"/>
      <c r="M256" s="1109"/>
      <c r="N256" s="1108"/>
      <c r="O256" s="1108"/>
      <c r="P256" s="1108"/>
      <c r="Q256" s="1108"/>
      <c r="R256" s="1108"/>
      <c r="S256" s="1108"/>
      <c r="T256" s="1108"/>
      <c r="U256" s="1108"/>
      <c r="V256" s="1108"/>
      <c r="W256" s="1108"/>
      <c r="X256" s="1108"/>
      <c r="Y256" s="1108"/>
      <c r="Z256" s="1108"/>
    </row>
    <row r="257" spans="1:26" ht="18" customHeight="1" x14ac:dyDescent="0.35">
      <c r="A257" s="1108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9"/>
      <c r="L257" s="1109"/>
      <c r="M257" s="1109"/>
      <c r="N257" s="1108"/>
      <c r="O257" s="1108"/>
      <c r="P257" s="1108"/>
      <c r="Q257" s="1108"/>
      <c r="R257" s="1108"/>
      <c r="S257" s="1108"/>
      <c r="T257" s="1108"/>
      <c r="U257" s="1108"/>
      <c r="V257" s="1108"/>
      <c r="W257" s="1108"/>
      <c r="X257" s="1108"/>
      <c r="Y257" s="1108"/>
      <c r="Z257" s="1108"/>
    </row>
    <row r="258" spans="1:26" ht="18" customHeight="1" x14ac:dyDescent="0.35">
      <c r="A258" s="1108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9"/>
      <c r="L258" s="1109"/>
      <c r="M258" s="1109"/>
      <c r="N258" s="1108"/>
      <c r="O258" s="1108"/>
      <c r="P258" s="1108"/>
      <c r="Q258" s="1108"/>
      <c r="R258" s="1108"/>
      <c r="S258" s="1108"/>
      <c r="T258" s="1108"/>
      <c r="U258" s="1108"/>
      <c r="V258" s="1108"/>
      <c r="W258" s="1108"/>
      <c r="X258" s="1108"/>
      <c r="Y258" s="1108"/>
      <c r="Z258" s="1108"/>
    </row>
    <row r="259" spans="1:26" ht="18" customHeight="1" x14ac:dyDescent="0.35">
      <c r="A259" s="1108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9"/>
      <c r="L259" s="1109"/>
      <c r="M259" s="1109"/>
      <c r="N259" s="1108"/>
      <c r="O259" s="1108"/>
      <c r="P259" s="1108"/>
      <c r="Q259" s="1108"/>
      <c r="R259" s="1108"/>
      <c r="S259" s="1108"/>
      <c r="T259" s="1108"/>
      <c r="U259" s="1108"/>
      <c r="V259" s="1108"/>
      <c r="W259" s="1108"/>
      <c r="X259" s="1108"/>
      <c r="Y259" s="1108"/>
      <c r="Z259" s="1108"/>
    </row>
    <row r="260" spans="1:26" ht="18" customHeight="1" x14ac:dyDescent="0.35">
      <c r="A260" s="1108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9"/>
      <c r="L260" s="1109"/>
      <c r="M260" s="1109"/>
      <c r="N260" s="1108"/>
      <c r="O260" s="1108"/>
      <c r="P260" s="1108"/>
      <c r="Q260" s="1108"/>
      <c r="R260" s="1108"/>
      <c r="S260" s="1108"/>
      <c r="T260" s="1108"/>
      <c r="U260" s="1108"/>
      <c r="V260" s="1108"/>
      <c r="W260" s="1108"/>
      <c r="X260" s="1108"/>
      <c r="Y260" s="1108"/>
      <c r="Z260" s="1108"/>
    </row>
    <row r="261" spans="1:26" ht="18" customHeight="1" x14ac:dyDescent="0.35">
      <c r="A261" s="1108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9"/>
      <c r="L261" s="1109"/>
      <c r="M261" s="1109"/>
      <c r="N261" s="1108"/>
      <c r="O261" s="1108"/>
      <c r="P261" s="1108"/>
      <c r="Q261" s="1108"/>
      <c r="R261" s="1108"/>
      <c r="S261" s="1108"/>
      <c r="T261" s="1108"/>
      <c r="U261" s="1108"/>
      <c r="V261" s="1108"/>
      <c r="W261" s="1108"/>
      <c r="X261" s="1108"/>
      <c r="Y261" s="1108"/>
      <c r="Z261" s="1108"/>
    </row>
    <row r="262" spans="1:26" ht="18" customHeight="1" x14ac:dyDescent="0.35">
      <c r="A262" s="1108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9"/>
      <c r="L262" s="1109"/>
      <c r="M262" s="1109"/>
      <c r="N262" s="1108"/>
      <c r="O262" s="1108"/>
      <c r="P262" s="1108"/>
      <c r="Q262" s="1108"/>
      <c r="R262" s="1108"/>
      <c r="S262" s="1108"/>
      <c r="T262" s="1108"/>
      <c r="U262" s="1108"/>
      <c r="V262" s="1108"/>
      <c r="W262" s="1108"/>
      <c r="X262" s="1108"/>
      <c r="Y262" s="1108"/>
      <c r="Z262" s="1108"/>
    </row>
    <row r="263" spans="1:26" ht="18" customHeight="1" x14ac:dyDescent="0.35">
      <c r="A263" s="1108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9"/>
      <c r="L263" s="1109"/>
      <c r="M263" s="1109"/>
      <c r="N263" s="1108"/>
      <c r="O263" s="1108"/>
      <c r="P263" s="1108"/>
      <c r="Q263" s="1108"/>
      <c r="R263" s="1108"/>
      <c r="S263" s="1108"/>
      <c r="T263" s="1108"/>
      <c r="U263" s="1108"/>
      <c r="V263" s="1108"/>
      <c r="W263" s="1108"/>
      <c r="X263" s="1108"/>
      <c r="Y263" s="1108"/>
      <c r="Z263" s="1108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09"/>
  <sheetViews>
    <sheetView topLeftCell="A96" zoomScale="87" workbookViewId="0">
      <selection activeCell="G113" sqref="G113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93"/>
      <c r="E1" s="1394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2">
        <v>1</v>
      </c>
      <c r="B3" s="1063" t="s">
        <v>260</v>
      </c>
      <c r="C3" s="1064" t="s">
        <v>87</v>
      </c>
      <c r="D3" s="1064" t="s">
        <v>92</v>
      </c>
      <c r="E3" s="1065">
        <v>46006</v>
      </c>
      <c r="F3" s="1066">
        <v>35.088999999999999</v>
      </c>
      <c r="G3" s="1015" t="s">
        <v>668</v>
      </c>
      <c r="H3" s="1065">
        <v>46011</v>
      </c>
      <c r="I3" s="1067" t="s">
        <v>667</v>
      </c>
      <c r="J3" s="1064">
        <v>35</v>
      </c>
    </row>
    <row r="4" spans="1:10" s="284" customFormat="1" ht="13.5" customHeight="1" x14ac:dyDescent="0.3">
      <c r="A4" s="1062">
        <f>A3+1</f>
        <v>2</v>
      </c>
      <c r="B4" s="1062" t="s">
        <v>272</v>
      </c>
      <c r="C4" s="1064" t="s">
        <v>87</v>
      </c>
      <c r="D4" s="1062" t="s">
        <v>543</v>
      </c>
      <c r="E4" s="1068">
        <v>46013</v>
      </c>
      <c r="F4" s="1066">
        <v>35.088999999999999</v>
      </c>
      <c r="G4" s="1015" t="s">
        <v>668</v>
      </c>
      <c r="H4" s="1069">
        <v>46018</v>
      </c>
      <c r="I4" s="1067" t="s">
        <v>667</v>
      </c>
      <c r="J4" s="1064">
        <v>35</v>
      </c>
    </row>
    <row r="5" spans="1:10" s="284" customFormat="1" ht="13.5" customHeight="1" x14ac:dyDescent="0.3">
      <c r="A5" s="1062">
        <f t="shared" ref="A5:A68" si="0">A4+1</f>
        <v>3</v>
      </c>
      <c r="B5" s="1063" t="s">
        <v>322</v>
      </c>
      <c r="C5" s="1064" t="s">
        <v>87</v>
      </c>
      <c r="D5" s="1064" t="s">
        <v>92</v>
      </c>
      <c r="E5" s="1065">
        <v>46013</v>
      </c>
      <c r="F5" s="1066">
        <v>35.088999999999999</v>
      </c>
      <c r="G5" s="1015" t="s">
        <v>668</v>
      </c>
      <c r="H5" s="1016">
        <v>46022</v>
      </c>
      <c r="I5" s="1067" t="s">
        <v>695</v>
      </c>
      <c r="J5" s="1064">
        <v>49</v>
      </c>
    </row>
    <row r="6" spans="1:10" s="284" customFormat="1" ht="13.5" customHeight="1" x14ac:dyDescent="0.3">
      <c r="A6" s="1062">
        <f t="shared" si="0"/>
        <v>4</v>
      </c>
      <c r="B6" s="1070" t="s">
        <v>267</v>
      </c>
      <c r="C6" s="1064" t="s">
        <v>87</v>
      </c>
      <c r="D6" s="1062" t="s">
        <v>543</v>
      </c>
      <c r="E6" s="1071">
        <v>46016</v>
      </c>
      <c r="F6" s="1066">
        <v>35.088999999999999</v>
      </c>
      <c r="G6" s="1015" t="s">
        <v>668</v>
      </c>
      <c r="H6" s="1071">
        <v>46032</v>
      </c>
      <c r="I6" s="1067" t="s">
        <v>667</v>
      </c>
      <c r="J6" s="1064">
        <v>35</v>
      </c>
    </row>
    <row r="7" spans="1:10" s="284" customFormat="1" ht="13.2" customHeight="1" x14ac:dyDescent="0.3">
      <c r="A7" s="1062">
        <f t="shared" si="0"/>
        <v>5</v>
      </c>
      <c r="B7" s="1070" t="s">
        <v>321</v>
      </c>
      <c r="C7" s="1064" t="s">
        <v>87</v>
      </c>
      <c r="D7" s="1062" t="s">
        <v>543</v>
      </c>
      <c r="E7" s="1072">
        <v>46016</v>
      </c>
      <c r="F7" s="1066">
        <v>35.088999999999999</v>
      </c>
      <c r="G7" s="1015" t="s">
        <v>668</v>
      </c>
      <c r="H7" s="1071">
        <v>46030</v>
      </c>
      <c r="I7" s="1067" t="s">
        <v>695</v>
      </c>
      <c r="J7" s="1064">
        <v>49</v>
      </c>
    </row>
    <row r="8" spans="1:10" s="284" customFormat="1" ht="13.2" customHeight="1" x14ac:dyDescent="0.3">
      <c r="A8" s="1062">
        <f t="shared" si="0"/>
        <v>6</v>
      </c>
      <c r="B8" s="1070" t="s">
        <v>266</v>
      </c>
      <c r="C8" s="1070" t="s">
        <v>95</v>
      </c>
      <c r="D8" s="1062" t="s">
        <v>543</v>
      </c>
      <c r="E8" s="1072">
        <v>46024</v>
      </c>
      <c r="F8" s="1073">
        <v>41.88</v>
      </c>
      <c r="G8" s="1015" t="s">
        <v>668</v>
      </c>
      <c r="H8" s="1071">
        <v>46032</v>
      </c>
      <c r="I8" s="1067" t="s">
        <v>667</v>
      </c>
      <c r="J8" s="1064">
        <v>35</v>
      </c>
    </row>
    <row r="9" spans="1:10" s="284" customFormat="1" ht="13.5" customHeight="1" x14ac:dyDescent="0.3">
      <c r="A9" s="1062">
        <f t="shared" si="0"/>
        <v>7</v>
      </c>
      <c r="B9" s="1070" t="s">
        <v>319</v>
      </c>
      <c r="C9" s="1064" t="s">
        <v>87</v>
      </c>
      <c r="D9" s="1062" t="s">
        <v>543</v>
      </c>
      <c r="E9" s="1072">
        <v>46023</v>
      </c>
      <c r="F9" s="1066">
        <v>35.088999999999999</v>
      </c>
      <c r="G9" s="1015" t="s">
        <v>668</v>
      </c>
      <c r="H9" s="1071">
        <v>46035</v>
      </c>
      <c r="I9" s="1067" t="s">
        <v>695</v>
      </c>
      <c r="J9" s="1064">
        <v>49</v>
      </c>
    </row>
    <row r="10" spans="1:10" s="284" customFormat="1" ht="13.5" customHeight="1" x14ac:dyDescent="0.3">
      <c r="A10" s="1062">
        <f t="shared" si="0"/>
        <v>8</v>
      </c>
      <c r="B10" s="1070" t="s">
        <v>268</v>
      </c>
      <c r="C10" s="1064" t="s">
        <v>87</v>
      </c>
      <c r="D10" s="1062" t="s">
        <v>543</v>
      </c>
      <c r="E10" s="1072">
        <v>46031</v>
      </c>
      <c r="F10" s="1066">
        <v>35.088999999999999</v>
      </c>
      <c r="G10" s="1015" t="s">
        <v>668</v>
      </c>
      <c r="H10" s="1071">
        <v>46036</v>
      </c>
      <c r="I10" s="1067" t="s">
        <v>667</v>
      </c>
      <c r="J10" s="1064">
        <v>35</v>
      </c>
    </row>
    <row r="11" spans="1:10" s="284" customFormat="1" ht="13.2" customHeight="1" x14ac:dyDescent="0.3">
      <c r="A11" s="1062">
        <f t="shared" si="0"/>
        <v>9</v>
      </c>
      <c r="B11" s="1070" t="s">
        <v>323</v>
      </c>
      <c r="C11" s="1064" t="s">
        <v>87</v>
      </c>
      <c r="D11" s="1062" t="s">
        <v>543</v>
      </c>
      <c r="E11" s="1072">
        <v>46029</v>
      </c>
      <c r="F11" s="1066">
        <v>35.088999999999999</v>
      </c>
      <c r="G11" s="1015" t="s">
        <v>668</v>
      </c>
      <c r="H11" s="1071">
        <v>46038</v>
      </c>
      <c r="I11" s="1074" t="s">
        <v>671</v>
      </c>
      <c r="J11" s="1070">
        <v>21</v>
      </c>
    </row>
    <row r="12" spans="1:10" s="284" customFormat="1" ht="13.5" customHeight="1" x14ac:dyDescent="0.3">
      <c r="A12" s="1062">
        <f t="shared" si="0"/>
        <v>10</v>
      </c>
      <c r="B12" s="1070" t="s">
        <v>86</v>
      </c>
      <c r="C12" s="1064" t="s">
        <v>87</v>
      </c>
      <c r="D12" s="1070" t="s">
        <v>88</v>
      </c>
      <c r="E12" s="1017">
        <v>46033</v>
      </c>
      <c r="F12" s="1066">
        <v>35.088999999999999</v>
      </c>
      <c r="G12" s="1015" t="s">
        <v>668</v>
      </c>
      <c r="H12" s="1071">
        <v>46038</v>
      </c>
      <c r="I12" s="1074" t="s">
        <v>694</v>
      </c>
      <c r="J12" s="1070">
        <v>31</v>
      </c>
    </row>
    <row r="13" spans="1:10" s="284" customFormat="1" ht="13.2" customHeight="1" x14ac:dyDescent="0.3">
      <c r="A13" s="1062">
        <f t="shared" si="0"/>
        <v>11</v>
      </c>
      <c r="B13" s="1070" t="s">
        <v>96</v>
      </c>
      <c r="C13" s="1070" t="s">
        <v>87</v>
      </c>
      <c r="D13" s="1070" t="s">
        <v>693</v>
      </c>
      <c r="E13" s="1017">
        <v>46037</v>
      </c>
      <c r="F13" s="1066">
        <v>35.088999999999999</v>
      </c>
      <c r="G13" s="1015" t="s">
        <v>668</v>
      </c>
      <c r="H13" s="1071">
        <v>46042</v>
      </c>
      <c r="I13" s="1074" t="s">
        <v>694</v>
      </c>
      <c r="J13" s="1070">
        <v>31</v>
      </c>
    </row>
    <row r="14" spans="1:10" s="284" customFormat="1" ht="13.5" customHeight="1" x14ac:dyDescent="0.3">
      <c r="A14" s="1062">
        <f t="shared" si="0"/>
        <v>12</v>
      </c>
      <c r="B14" s="1070" t="s">
        <v>274</v>
      </c>
      <c r="C14" s="1070" t="s">
        <v>95</v>
      </c>
      <c r="D14" s="1070" t="s">
        <v>543</v>
      </c>
      <c r="E14" s="1072">
        <v>46037</v>
      </c>
      <c r="F14" s="1073">
        <v>41.88</v>
      </c>
      <c r="G14" s="1015" t="s">
        <v>668</v>
      </c>
      <c r="H14" s="1071">
        <v>46043</v>
      </c>
      <c r="I14" s="1067" t="s">
        <v>667</v>
      </c>
      <c r="J14" s="1064">
        <v>35</v>
      </c>
    </row>
    <row r="15" spans="1:10" s="284" customFormat="1" ht="13.5" customHeight="1" x14ac:dyDescent="0.3">
      <c r="A15" s="1062">
        <f t="shared" si="0"/>
        <v>13</v>
      </c>
      <c r="B15" s="1070" t="s">
        <v>326</v>
      </c>
      <c r="C15" s="1070" t="s">
        <v>87</v>
      </c>
      <c r="D15" s="1070" t="s">
        <v>92</v>
      </c>
      <c r="E15" s="1017">
        <v>46039</v>
      </c>
      <c r="F15" s="1066">
        <v>35.088999999999999</v>
      </c>
      <c r="G15" s="1015" t="s">
        <v>668</v>
      </c>
      <c r="H15" s="1071">
        <v>46043</v>
      </c>
      <c r="I15" s="1074" t="s">
        <v>671</v>
      </c>
      <c r="J15" s="1070">
        <v>21</v>
      </c>
    </row>
    <row r="16" spans="1:10" s="284" customFormat="1" ht="13.5" customHeight="1" x14ac:dyDescent="0.3">
      <c r="A16" s="1062">
        <f t="shared" si="0"/>
        <v>14</v>
      </c>
      <c r="B16" s="1070" t="s">
        <v>343</v>
      </c>
      <c r="C16" s="1070" t="s">
        <v>87</v>
      </c>
      <c r="D16" s="1070" t="s">
        <v>543</v>
      </c>
      <c r="E16" s="1017">
        <v>46038</v>
      </c>
      <c r="F16" s="1066">
        <v>35.088999999999999</v>
      </c>
      <c r="G16" s="1015" t="s">
        <v>668</v>
      </c>
      <c r="H16" s="1071">
        <v>46043</v>
      </c>
      <c r="I16" s="1074" t="s">
        <v>697</v>
      </c>
      <c r="J16" s="1070">
        <v>32</v>
      </c>
    </row>
    <row r="17" spans="1:10" s="284" customFormat="1" ht="13.5" customHeight="1" x14ac:dyDescent="0.3">
      <c r="A17" s="1062">
        <f t="shared" si="0"/>
        <v>15</v>
      </c>
      <c r="B17" s="1070" t="s">
        <v>399</v>
      </c>
      <c r="C17" s="1070" t="s">
        <v>87</v>
      </c>
      <c r="D17" s="1070" t="s">
        <v>92</v>
      </c>
      <c r="E17" s="1017">
        <v>46039</v>
      </c>
      <c r="F17" s="1066">
        <v>35.088999999999999</v>
      </c>
      <c r="G17" s="1015" t="s">
        <v>668</v>
      </c>
      <c r="H17" s="1071">
        <v>46043</v>
      </c>
      <c r="I17" s="1075" t="s">
        <v>696</v>
      </c>
      <c r="J17" s="1070">
        <v>45</v>
      </c>
    </row>
    <row r="18" spans="1:10" s="284" customFormat="1" ht="13.5" customHeight="1" x14ac:dyDescent="0.3">
      <c r="A18" s="1062">
        <f t="shared" si="0"/>
        <v>16</v>
      </c>
      <c r="B18" s="1070" t="s">
        <v>344</v>
      </c>
      <c r="C18" s="1064" t="s">
        <v>87</v>
      </c>
      <c r="D18" s="1070" t="s">
        <v>543</v>
      </c>
      <c r="E18" s="1017">
        <v>46041</v>
      </c>
      <c r="F18" s="1066">
        <v>35.088999999999999</v>
      </c>
      <c r="G18" s="1015" t="s">
        <v>668</v>
      </c>
      <c r="H18" s="1071">
        <v>46046</v>
      </c>
      <c r="I18" s="1074" t="s">
        <v>697</v>
      </c>
      <c r="J18" s="1070">
        <v>32</v>
      </c>
    </row>
    <row r="19" spans="1:10" s="284" customFormat="1" ht="13.5" customHeight="1" x14ac:dyDescent="0.3">
      <c r="A19" s="1062">
        <f t="shared" si="0"/>
        <v>17</v>
      </c>
      <c r="B19" s="1070" t="s">
        <v>94</v>
      </c>
      <c r="C19" s="1070" t="s">
        <v>95</v>
      </c>
      <c r="D19" s="1070" t="s">
        <v>542</v>
      </c>
      <c r="E19" s="1017">
        <v>46041</v>
      </c>
      <c r="F19" s="1073">
        <v>41.88</v>
      </c>
      <c r="G19" s="1015" t="s">
        <v>668</v>
      </c>
      <c r="H19" s="1071">
        <v>46047</v>
      </c>
      <c r="I19" s="1074" t="s">
        <v>694</v>
      </c>
      <c r="J19" s="1070">
        <v>31</v>
      </c>
    </row>
    <row r="20" spans="1:10" s="284" customFormat="1" ht="13.5" customHeight="1" x14ac:dyDescent="0.3">
      <c r="A20" s="1062">
        <f t="shared" si="0"/>
        <v>18</v>
      </c>
      <c r="B20" s="1070" t="s">
        <v>275</v>
      </c>
      <c r="C20" s="1064" t="s">
        <v>87</v>
      </c>
      <c r="D20" s="1070" t="s">
        <v>543</v>
      </c>
      <c r="E20" s="1072">
        <v>46044</v>
      </c>
      <c r="F20" s="1066">
        <v>35.088999999999999</v>
      </c>
      <c r="G20" s="1015" t="s">
        <v>668</v>
      </c>
      <c r="H20" s="1071">
        <v>46049</v>
      </c>
      <c r="I20" s="1074" t="s">
        <v>667</v>
      </c>
      <c r="J20" s="1064">
        <v>35</v>
      </c>
    </row>
    <row r="21" spans="1:10" s="284" customFormat="1" ht="13.5" customHeight="1" x14ac:dyDescent="0.3">
      <c r="A21" s="1062">
        <f t="shared" si="0"/>
        <v>19</v>
      </c>
      <c r="B21" s="1070" t="s">
        <v>398</v>
      </c>
      <c r="C21" s="1070" t="s">
        <v>87</v>
      </c>
      <c r="D21" s="1070" t="s">
        <v>92</v>
      </c>
      <c r="E21" s="1017">
        <v>46045</v>
      </c>
      <c r="F21" s="1066">
        <v>35.088999999999999</v>
      </c>
      <c r="G21" s="1015" t="s">
        <v>668</v>
      </c>
      <c r="H21" s="1071">
        <v>46049</v>
      </c>
      <c r="I21" s="1075" t="s">
        <v>696</v>
      </c>
      <c r="J21" s="1070">
        <v>45</v>
      </c>
    </row>
    <row r="22" spans="1:10" s="284" customFormat="1" ht="13.5" customHeight="1" x14ac:dyDescent="0.3">
      <c r="A22" s="1062">
        <f t="shared" si="0"/>
        <v>20</v>
      </c>
      <c r="B22" s="1070" t="s">
        <v>342</v>
      </c>
      <c r="C22" s="1070" t="s">
        <v>95</v>
      </c>
      <c r="D22" s="1070" t="s">
        <v>543</v>
      </c>
      <c r="E22" s="1017">
        <v>46047</v>
      </c>
      <c r="F22" s="1073">
        <v>41.88</v>
      </c>
      <c r="G22" s="1015" t="s">
        <v>668</v>
      </c>
      <c r="H22" s="1071">
        <v>46050</v>
      </c>
      <c r="I22" s="1074" t="s">
        <v>697</v>
      </c>
      <c r="J22" s="1070">
        <v>32</v>
      </c>
    </row>
    <row r="23" spans="1:10" s="284" customFormat="1" ht="13.5" customHeight="1" x14ac:dyDescent="0.3">
      <c r="A23" s="1062">
        <f t="shared" si="0"/>
        <v>21</v>
      </c>
      <c r="B23" s="1070" t="s">
        <v>395</v>
      </c>
      <c r="C23" s="1064" t="s">
        <v>87</v>
      </c>
      <c r="D23" s="1062" t="s">
        <v>543</v>
      </c>
      <c r="E23" s="1072">
        <v>46034</v>
      </c>
      <c r="F23" s="1066">
        <v>35.088999999999999</v>
      </c>
      <c r="G23" s="1015" t="s">
        <v>668</v>
      </c>
      <c r="H23" s="1071">
        <v>46051</v>
      </c>
      <c r="I23" s="1067" t="s">
        <v>695</v>
      </c>
      <c r="J23" s="1064">
        <v>49</v>
      </c>
    </row>
    <row r="24" spans="1:10" s="284" customFormat="1" ht="13.5" customHeight="1" x14ac:dyDescent="0.3">
      <c r="A24" s="1062">
        <f t="shared" si="0"/>
        <v>22</v>
      </c>
      <c r="B24" s="1070" t="s">
        <v>329</v>
      </c>
      <c r="C24" s="1070" t="s">
        <v>91</v>
      </c>
      <c r="D24" s="1070" t="s">
        <v>543</v>
      </c>
      <c r="E24" s="1017">
        <v>46048</v>
      </c>
      <c r="F24" s="1073">
        <v>36.771000000000001</v>
      </c>
      <c r="G24" s="1015" t="s">
        <v>668</v>
      </c>
      <c r="H24" s="1071">
        <v>46052</v>
      </c>
      <c r="I24" s="1074" t="s">
        <v>671</v>
      </c>
      <c r="J24" s="1070">
        <v>21</v>
      </c>
    </row>
    <row r="25" spans="1:10" s="284" customFormat="1" ht="13.5" customHeight="1" x14ac:dyDescent="0.3">
      <c r="A25" s="1062">
        <f t="shared" si="0"/>
        <v>23</v>
      </c>
      <c r="B25" s="1070" t="s">
        <v>334</v>
      </c>
      <c r="C25" s="1070" t="s">
        <v>95</v>
      </c>
      <c r="D25" s="1070" t="s">
        <v>92</v>
      </c>
      <c r="E25" s="1017">
        <v>46049</v>
      </c>
      <c r="F25" s="1073">
        <v>41.88</v>
      </c>
      <c r="G25" s="1015" t="s">
        <v>668</v>
      </c>
      <c r="H25" s="1071">
        <v>46053</v>
      </c>
      <c r="I25" s="1074" t="s">
        <v>694</v>
      </c>
      <c r="J25" s="1070">
        <v>31</v>
      </c>
    </row>
    <row r="26" spans="1:10" s="284" customFormat="1" ht="14.4" customHeight="1" x14ac:dyDescent="0.3">
      <c r="A26" s="1062">
        <f t="shared" si="0"/>
        <v>24</v>
      </c>
      <c r="B26" s="1070" t="s">
        <v>402</v>
      </c>
      <c r="C26" s="1070" t="s">
        <v>91</v>
      </c>
      <c r="D26" s="1070" t="s">
        <v>92</v>
      </c>
      <c r="E26" s="1072">
        <v>46049</v>
      </c>
      <c r="F26" s="1073">
        <v>36.771000000000001</v>
      </c>
      <c r="G26" s="1015" t="s">
        <v>668</v>
      </c>
      <c r="H26" s="1071">
        <v>46053</v>
      </c>
      <c r="I26" s="1067" t="s">
        <v>696</v>
      </c>
      <c r="J26" s="1070">
        <v>45</v>
      </c>
    </row>
    <row r="27" spans="1:10" s="284" customFormat="1" ht="13.5" customHeight="1" x14ac:dyDescent="0.3">
      <c r="A27" s="1062">
        <f t="shared" si="0"/>
        <v>25</v>
      </c>
      <c r="B27" s="1070" t="s">
        <v>277</v>
      </c>
      <c r="C27" s="1070" t="s">
        <v>87</v>
      </c>
      <c r="D27" s="1070" t="s">
        <v>92</v>
      </c>
      <c r="E27" s="1072">
        <v>46049</v>
      </c>
      <c r="F27" s="1066">
        <v>35.088999999999999</v>
      </c>
      <c r="G27" s="1015" t="s">
        <v>668</v>
      </c>
      <c r="H27" s="1071">
        <v>46055</v>
      </c>
      <c r="I27" s="1067" t="s">
        <v>667</v>
      </c>
      <c r="J27" s="1064">
        <v>35</v>
      </c>
    </row>
    <row r="28" spans="1:10" s="284" customFormat="1" ht="13.5" customHeight="1" x14ac:dyDescent="0.3">
      <c r="A28" s="1062">
        <f t="shared" si="0"/>
        <v>26</v>
      </c>
      <c r="B28" s="1070" t="s">
        <v>396</v>
      </c>
      <c r="C28" s="1070" t="s">
        <v>87</v>
      </c>
      <c r="D28" s="1070" t="s">
        <v>92</v>
      </c>
      <c r="E28" s="1072">
        <v>46052</v>
      </c>
      <c r="F28" s="1066">
        <v>35.088999999999999</v>
      </c>
      <c r="G28" s="1015" t="s">
        <v>668</v>
      </c>
      <c r="H28" s="1071">
        <v>46056</v>
      </c>
      <c r="I28" s="1067" t="s">
        <v>695</v>
      </c>
      <c r="J28" s="1064">
        <v>49</v>
      </c>
    </row>
    <row r="29" spans="1:10" s="284" customFormat="1" ht="13.5" customHeight="1" x14ac:dyDescent="0.3">
      <c r="A29" s="1062">
        <f t="shared" si="0"/>
        <v>27</v>
      </c>
      <c r="B29" s="1018" t="s">
        <v>348</v>
      </c>
      <c r="C29" s="1062" t="s">
        <v>87</v>
      </c>
      <c r="D29" s="1018" t="s">
        <v>686</v>
      </c>
      <c r="E29" s="1072">
        <v>46053</v>
      </c>
      <c r="F29" s="1066">
        <v>35.088999999999999</v>
      </c>
      <c r="G29" s="1015" t="s">
        <v>668</v>
      </c>
      <c r="H29" s="1071">
        <v>46056</v>
      </c>
      <c r="I29" s="1074" t="s">
        <v>697</v>
      </c>
      <c r="J29" s="1070">
        <v>32</v>
      </c>
    </row>
    <row r="30" spans="1:10" s="284" customFormat="1" ht="13.5" customHeight="1" x14ac:dyDescent="0.3">
      <c r="A30" s="1062">
        <f t="shared" si="0"/>
        <v>28</v>
      </c>
      <c r="B30" s="1018" t="s">
        <v>335</v>
      </c>
      <c r="C30" s="1062" t="s">
        <v>109</v>
      </c>
      <c r="D30" s="1018" t="s">
        <v>92</v>
      </c>
      <c r="E30" s="1072">
        <v>46054</v>
      </c>
      <c r="F30" s="1066">
        <v>43.575000000000003</v>
      </c>
      <c r="G30" s="1015" t="s">
        <v>668</v>
      </c>
      <c r="H30" s="1071">
        <v>46057</v>
      </c>
      <c r="I30" s="1074" t="s">
        <v>694</v>
      </c>
      <c r="J30" s="1070">
        <v>31</v>
      </c>
    </row>
    <row r="31" spans="1:10" s="284" customFormat="1" ht="13.5" customHeight="1" x14ac:dyDescent="0.3">
      <c r="A31" s="1062">
        <f t="shared" si="0"/>
        <v>29</v>
      </c>
      <c r="B31" s="1070" t="s">
        <v>345</v>
      </c>
      <c r="C31" s="1070" t="s">
        <v>109</v>
      </c>
      <c r="D31" s="1070" t="s">
        <v>543</v>
      </c>
      <c r="E31" s="1072">
        <v>46050</v>
      </c>
      <c r="F31" s="1066">
        <v>43.575000000000003</v>
      </c>
      <c r="G31" s="1015" t="s">
        <v>668</v>
      </c>
      <c r="H31" s="1071">
        <v>46058</v>
      </c>
      <c r="I31" s="1074" t="s">
        <v>697</v>
      </c>
      <c r="J31" s="1070">
        <v>32</v>
      </c>
    </row>
    <row r="32" spans="1:10" s="284" customFormat="1" ht="13.2" customHeight="1" x14ac:dyDescent="0.3">
      <c r="A32" s="1062">
        <f t="shared" si="0"/>
        <v>30</v>
      </c>
      <c r="B32" s="1018" t="s">
        <v>401</v>
      </c>
      <c r="C32" s="1062" t="s">
        <v>91</v>
      </c>
      <c r="D32" s="1018" t="s">
        <v>542</v>
      </c>
      <c r="E32" s="1072">
        <v>46052</v>
      </c>
      <c r="F32" s="1073">
        <v>36.771000000000001</v>
      </c>
      <c r="G32" s="1015" t="s">
        <v>668</v>
      </c>
      <c r="H32" s="1071">
        <v>46058</v>
      </c>
      <c r="I32" s="1067" t="s">
        <v>696</v>
      </c>
      <c r="J32" s="1070">
        <v>45</v>
      </c>
    </row>
    <row r="33" spans="1:10" s="284" customFormat="1" ht="13.5" customHeight="1" x14ac:dyDescent="0.3">
      <c r="A33" s="1062">
        <f t="shared" si="0"/>
        <v>31</v>
      </c>
      <c r="B33" s="1019" t="s">
        <v>261</v>
      </c>
      <c r="C33" s="1062" t="s">
        <v>87</v>
      </c>
      <c r="D33" s="1018" t="s">
        <v>88</v>
      </c>
      <c r="E33" s="1072">
        <v>46059</v>
      </c>
      <c r="F33" s="1066">
        <v>35.088999999999999</v>
      </c>
      <c r="G33" s="1015" t="s">
        <v>668</v>
      </c>
      <c r="H33" s="1071">
        <v>46062</v>
      </c>
      <c r="I33" s="1074" t="s">
        <v>694</v>
      </c>
      <c r="J33" s="1070">
        <v>35</v>
      </c>
    </row>
    <row r="34" spans="1:10" s="284" customFormat="1" ht="13.2" customHeight="1" x14ac:dyDescent="0.3">
      <c r="A34" s="1062">
        <f t="shared" si="0"/>
        <v>32</v>
      </c>
      <c r="B34" s="1070" t="s">
        <v>394</v>
      </c>
      <c r="C34" s="1070" t="s">
        <v>87</v>
      </c>
      <c r="D34" s="1070" t="s">
        <v>92</v>
      </c>
      <c r="E34" s="1072">
        <v>46361</v>
      </c>
      <c r="F34" s="1066">
        <v>35.088999999999999</v>
      </c>
      <c r="G34" s="1015" t="s">
        <v>668</v>
      </c>
      <c r="H34" s="1071">
        <v>46062</v>
      </c>
      <c r="I34" s="1067" t="s">
        <v>695</v>
      </c>
      <c r="J34" s="1064">
        <v>49</v>
      </c>
    </row>
    <row r="35" spans="1:10" s="284" customFormat="1" ht="13.5" customHeight="1" x14ac:dyDescent="0.3">
      <c r="A35" s="1062">
        <f t="shared" si="0"/>
        <v>33</v>
      </c>
      <c r="B35" s="1070" t="s">
        <v>465</v>
      </c>
      <c r="C35" s="1070" t="s">
        <v>559</v>
      </c>
      <c r="D35" s="1018" t="s">
        <v>92</v>
      </c>
      <c r="E35" s="1072">
        <v>46058</v>
      </c>
      <c r="F35" s="1066">
        <v>54.72</v>
      </c>
      <c r="G35" s="1015" t="s">
        <v>668</v>
      </c>
      <c r="H35" s="1071">
        <v>46063</v>
      </c>
      <c r="I35" s="1074" t="s">
        <v>697</v>
      </c>
      <c r="J35" s="1070">
        <v>32</v>
      </c>
    </row>
    <row r="36" spans="1:10" s="284" customFormat="1" ht="13.5" customHeight="1" x14ac:dyDescent="0.3">
      <c r="A36" s="1062">
        <f t="shared" si="0"/>
        <v>34</v>
      </c>
      <c r="B36" s="1070" t="s">
        <v>259</v>
      </c>
      <c r="C36" s="1064" t="s">
        <v>87</v>
      </c>
      <c r="D36" s="1076" t="s">
        <v>543</v>
      </c>
      <c r="E36" s="1072">
        <v>46056</v>
      </c>
      <c r="F36" s="1066">
        <v>35.088999999999999</v>
      </c>
      <c r="G36" s="1015" t="s">
        <v>668</v>
      </c>
      <c r="H36" s="1071">
        <v>46064</v>
      </c>
      <c r="I36" s="1067" t="s">
        <v>667</v>
      </c>
      <c r="J36" s="1064">
        <v>35</v>
      </c>
    </row>
    <row r="37" spans="1:10" s="284" customFormat="1" ht="13.5" customHeight="1" x14ac:dyDescent="0.3">
      <c r="A37" s="1062">
        <f t="shared" si="0"/>
        <v>35</v>
      </c>
      <c r="B37" s="1019" t="s">
        <v>410</v>
      </c>
      <c r="C37" s="1062" t="s">
        <v>87</v>
      </c>
      <c r="D37" s="1018" t="s">
        <v>92</v>
      </c>
      <c r="E37" s="1072">
        <v>46058</v>
      </c>
      <c r="F37" s="1066">
        <v>35.088999999999999</v>
      </c>
      <c r="G37" s="1015" t="s">
        <v>668</v>
      </c>
      <c r="H37" s="1071">
        <v>46065</v>
      </c>
      <c r="I37" s="1067" t="s">
        <v>696</v>
      </c>
      <c r="J37" s="1070">
        <v>45</v>
      </c>
    </row>
    <row r="38" spans="1:10" s="284" customFormat="1" ht="13.5" customHeight="1" x14ac:dyDescent="0.3">
      <c r="A38" s="1062">
        <f t="shared" si="0"/>
        <v>36</v>
      </c>
      <c r="B38" s="1070" t="s">
        <v>262</v>
      </c>
      <c r="C38" s="1070" t="s">
        <v>95</v>
      </c>
      <c r="D38" s="1070" t="s">
        <v>543</v>
      </c>
      <c r="E38" s="1072">
        <v>46063</v>
      </c>
      <c r="F38" s="1073">
        <v>41.88</v>
      </c>
      <c r="G38" s="1015" t="s">
        <v>668</v>
      </c>
      <c r="H38" s="1071">
        <v>46066</v>
      </c>
      <c r="I38" s="1074" t="s">
        <v>694</v>
      </c>
      <c r="J38" s="1070">
        <v>31</v>
      </c>
    </row>
    <row r="39" spans="1:10" s="284" customFormat="1" ht="13.5" customHeight="1" x14ac:dyDescent="0.3">
      <c r="A39" s="1062">
        <f t="shared" si="0"/>
        <v>37</v>
      </c>
      <c r="B39" s="1070" t="s">
        <v>93</v>
      </c>
      <c r="C39" s="1062" t="s">
        <v>87</v>
      </c>
      <c r="D39" s="1018" t="s">
        <v>92</v>
      </c>
      <c r="E39" s="1072">
        <v>46063</v>
      </c>
      <c r="F39" s="1066">
        <v>35.088999999999999</v>
      </c>
      <c r="G39" s="1015" t="s">
        <v>668</v>
      </c>
      <c r="H39" s="1071">
        <v>46066</v>
      </c>
      <c r="I39" s="1074" t="s">
        <v>697</v>
      </c>
      <c r="J39" s="1070">
        <v>32</v>
      </c>
    </row>
    <row r="40" spans="1:10" s="284" customFormat="1" ht="13.5" customHeight="1" x14ac:dyDescent="0.3">
      <c r="A40" s="1062">
        <f t="shared" si="0"/>
        <v>38</v>
      </c>
      <c r="B40" s="1018" t="s">
        <v>397</v>
      </c>
      <c r="C40" s="1062" t="s">
        <v>87</v>
      </c>
      <c r="D40" s="1018" t="s">
        <v>543</v>
      </c>
      <c r="E40" s="1072">
        <v>46053</v>
      </c>
      <c r="F40" s="1066">
        <v>35.088999999999999</v>
      </c>
      <c r="G40" s="1015" t="s">
        <v>668</v>
      </c>
      <c r="H40" s="1071">
        <v>46069</v>
      </c>
      <c r="I40" s="1067" t="s">
        <v>695</v>
      </c>
      <c r="J40" s="1070">
        <v>49</v>
      </c>
    </row>
    <row r="41" spans="1:10" s="284" customFormat="1" ht="13.5" customHeight="1" x14ac:dyDescent="0.3">
      <c r="A41" s="1062">
        <f t="shared" si="0"/>
        <v>39</v>
      </c>
      <c r="B41" s="1070" t="s">
        <v>615</v>
      </c>
      <c r="C41" s="1062" t="s">
        <v>87</v>
      </c>
      <c r="D41" s="1018" t="s">
        <v>543</v>
      </c>
      <c r="E41" s="1072">
        <v>46065</v>
      </c>
      <c r="F41" s="1066">
        <v>35.088999999999999</v>
      </c>
      <c r="G41" s="1015" t="s">
        <v>668</v>
      </c>
      <c r="H41" s="1071">
        <v>46069</v>
      </c>
      <c r="I41" s="1067" t="s">
        <v>696</v>
      </c>
      <c r="J41" s="1070">
        <v>45</v>
      </c>
    </row>
    <row r="42" spans="1:10" s="284" customFormat="1" ht="13.5" customHeight="1" x14ac:dyDescent="0.3">
      <c r="A42" s="1062">
        <f t="shared" si="0"/>
        <v>40</v>
      </c>
      <c r="B42" s="1062" t="s">
        <v>626</v>
      </c>
      <c r="C42" s="1062" t="s">
        <v>87</v>
      </c>
      <c r="D42" s="1062" t="s">
        <v>92</v>
      </c>
      <c r="E42" s="1068">
        <v>46067</v>
      </c>
      <c r="F42" s="1066">
        <v>35.088999999999999</v>
      </c>
      <c r="G42" s="1015" t="s">
        <v>668</v>
      </c>
      <c r="H42" s="1071">
        <v>46070</v>
      </c>
      <c r="I42" s="1067" t="s">
        <v>697</v>
      </c>
      <c r="J42" s="1070">
        <v>32</v>
      </c>
    </row>
    <row r="43" spans="1:10" s="284" customFormat="1" ht="13.5" customHeight="1" x14ac:dyDescent="0.3">
      <c r="A43" s="1062">
        <f t="shared" si="0"/>
        <v>41</v>
      </c>
      <c r="B43" s="1070" t="s">
        <v>251</v>
      </c>
      <c r="C43" s="1062" t="s">
        <v>87</v>
      </c>
      <c r="D43" s="1018" t="s">
        <v>543</v>
      </c>
      <c r="E43" s="1072">
        <v>46067</v>
      </c>
      <c r="F43" s="1066">
        <v>35.088999999999999</v>
      </c>
      <c r="G43" s="1015" t="s">
        <v>668</v>
      </c>
      <c r="H43" s="1071">
        <v>46070</v>
      </c>
      <c r="I43" s="1067" t="s">
        <v>694</v>
      </c>
      <c r="J43" s="1070">
        <v>35</v>
      </c>
    </row>
    <row r="44" spans="1:10" s="284" customFormat="1" ht="13.5" customHeight="1" x14ac:dyDescent="0.3">
      <c r="A44" s="1062">
        <f t="shared" si="0"/>
        <v>42</v>
      </c>
      <c r="B44" s="1070" t="s">
        <v>627</v>
      </c>
      <c r="C44" s="1062" t="s">
        <v>87</v>
      </c>
      <c r="D44" s="1018" t="s">
        <v>542</v>
      </c>
      <c r="E44" s="1072">
        <v>46068</v>
      </c>
      <c r="F44" s="1066">
        <v>35.088999999999999</v>
      </c>
      <c r="G44" s="1015" t="s">
        <v>668</v>
      </c>
      <c r="H44" s="1071">
        <v>46072</v>
      </c>
      <c r="I44" s="1067" t="s">
        <v>697</v>
      </c>
      <c r="J44" s="1070">
        <v>32</v>
      </c>
    </row>
    <row r="45" spans="1:10" s="284" customFormat="1" ht="13.5" customHeight="1" x14ac:dyDescent="0.3">
      <c r="A45" s="1062">
        <f t="shared" si="0"/>
        <v>43</v>
      </c>
      <c r="B45" s="1070" t="s">
        <v>260</v>
      </c>
      <c r="C45" s="1062" t="s">
        <v>559</v>
      </c>
      <c r="D45" s="1018" t="s">
        <v>543</v>
      </c>
      <c r="E45" s="1072">
        <v>46065</v>
      </c>
      <c r="F45" s="1066">
        <v>54.72</v>
      </c>
      <c r="G45" s="1015" t="s">
        <v>668</v>
      </c>
      <c r="H45" s="1071">
        <v>46073</v>
      </c>
      <c r="I45" s="1067" t="s">
        <v>667</v>
      </c>
      <c r="J45" s="1070">
        <v>35</v>
      </c>
    </row>
    <row r="46" spans="1:10" s="284" customFormat="1" ht="13.5" customHeight="1" x14ac:dyDescent="0.3">
      <c r="A46" s="1062">
        <f t="shared" si="0"/>
        <v>44</v>
      </c>
      <c r="B46" s="1062" t="s">
        <v>409</v>
      </c>
      <c r="C46" s="1062" t="s">
        <v>87</v>
      </c>
      <c r="D46" s="1062" t="s">
        <v>543</v>
      </c>
      <c r="E46" s="1068">
        <v>46069</v>
      </c>
      <c r="F46" s="1066">
        <v>35.088999999999999</v>
      </c>
      <c r="G46" s="1015" t="s">
        <v>668</v>
      </c>
      <c r="H46" s="1071">
        <v>46073</v>
      </c>
      <c r="I46" s="1067" t="s">
        <v>696</v>
      </c>
      <c r="J46" s="1070">
        <v>45</v>
      </c>
    </row>
    <row r="47" spans="1:10" s="284" customFormat="1" ht="13.5" customHeight="1" x14ac:dyDescent="0.3">
      <c r="A47" s="1062">
        <f t="shared" si="0"/>
        <v>45</v>
      </c>
      <c r="B47" s="1070" t="s">
        <v>419</v>
      </c>
      <c r="C47" s="1062" t="s">
        <v>687</v>
      </c>
      <c r="D47" s="1018" t="s">
        <v>92</v>
      </c>
      <c r="E47" s="1072">
        <v>46070</v>
      </c>
      <c r="F47" s="1066">
        <v>54.72</v>
      </c>
      <c r="G47" s="1015" t="s">
        <v>668</v>
      </c>
      <c r="H47" s="1071">
        <v>46074</v>
      </c>
      <c r="I47" s="1067" t="s">
        <v>694</v>
      </c>
      <c r="J47" s="1070">
        <v>35</v>
      </c>
    </row>
    <row r="48" spans="1:10" s="284" customFormat="1" ht="13.5" customHeight="1" x14ac:dyDescent="0.3">
      <c r="A48" s="1062">
        <f t="shared" si="0"/>
        <v>46</v>
      </c>
      <c r="B48" s="1070" t="s">
        <v>624</v>
      </c>
      <c r="C48" s="1062" t="s">
        <v>87</v>
      </c>
      <c r="D48" s="1018" t="s">
        <v>92</v>
      </c>
      <c r="E48" s="1072">
        <v>46073</v>
      </c>
      <c r="F48" s="1066">
        <v>35.088999999999999</v>
      </c>
      <c r="G48" s="1015" t="s">
        <v>668</v>
      </c>
      <c r="H48" s="1071">
        <v>46075</v>
      </c>
      <c r="I48" s="1067" t="s">
        <v>697</v>
      </c>
      <c r="J48" s="1070">
        <v>32</v>
      </c>
    </row>
    <row r="49" spans="1:10" s="284" customFormat="1" ht="13.5" customHeight="1" x14ac:dyDescent="0.3">
      <c r="A49" s="1062">
        <f t="shared" si="0"/>
        <v>47</v>
      </c>
      <c r="B49" s="1070" t="s">
        <v>405</v>
      </c>
      <c r="C49" s="1062" t="s">
        <v>87</v>
      </c>
      <c r="D49" s="1018" t="s">
        <v>92</v>
      </c>
      <c r="E49" s="1072">
        <v>46061</v>
      </c>
      <c r="F49" s="1066">
        <v>35.088999999999999</v>
      </c>
      <c r="G49" s="1015" t="s">
        <v>668</v>
      </c>
      <c r="H49" s="1071">
        <v>46077</v>
      </c>
      <c r="I49" s="1067" t="s">
        <v>696</v>
      </c>
      <c r="J49" s="1070">
        <v>45</v>
      </c>
    </row>
    <row r="50" spans="1:10" s="284" customFormat="1" ht="13.5" customHeight="1" x14ac:dyDescent="0.3">
      <c r="A50" s="1062">
        <f t="shared" si="0"/>
        <v>48</v>
      </c>
      <c r="B50" s="1020" t="s">
        <v>625</v>
      </c>
      <c r="C50" s="1062" t="s">
        <v>87</v>
      </c>
      <c r="D50" s="1018" t="s">
        <v>92</v>
      </c>
      <c r="E50" s="1072">
        <v>46075</v>
      </c>
      <c r="F50" s="1066">
        <v>35.088999999999999</v>
      </c>
      <c r="G50" s="1015" t="s">
        <v>668</v>
      </c>
      <c r="H50" s="1071">
        <v>46077</v>
      </c>
      <c r="I50" s="1067" t="s">
        <v>697</v>
      </c>
      <c r="J50" s="1070">
        <v>32</v>
      </c>
    </row>
    <row r="51" spans="1:10" s="284" customFormat="1" ht="13.5" customHeight="1" x14ac:dyDescent="0.3">
      <c r="A51" s="1062">
        <f t="shared" si="0"/>
        <v>49</v>
      </c>
      <c r="B51" s="1020" t="s">
        <v>243</v>
      </c>
      <c r="C51" s="1062" t="s">
        <v>214</v>
      </c>
      <c r="D51" s="1018" t="s">
        <v>92</v>
      </c>
      <c r="E51" s="1072">
        <v>46075</v>
      </c>
      <c r="F51" s="1073">
        <v>36.771000000000001</v>
      </c>
      <c r="G51" s="1015" t="s">
        <v>668</v>
      </c>
      <c r="H51" s="1071">
        <v>46078</v>
      </c>
      <c r="I51" s="1067" t="s">
        <v>694</v>
      </c>
      <c r="J51" s="1070">
        <v>40</v>
      </c>
    </row>
    <row r="52" spans="1:10" s="284" customFormat="1" ht="13.5" customHeight="1" x14ac:dyDescent="0.3">
      <c r="A52" s="1062">
        <f t="shared" si="0"/>
        <v>50</v>
      </c>
      <c r="B52" s="1020" t="s">
        <v>255</v>
      </c>
      <c r="C52" s="1062" t="s">
        <v>91</v>
      </c>
      <c r="D52" s="1018" t="s">
        <v>543</v>
      </c>
      <c r="E52" s="1072">
        <v>46073</v>
      </c>
      <c r="F52" s="1073">
        <v>36.771000000000001</v>
      </c>
      <c r="G52" s="1015" t="s">
        <v>668</v>
      </c>
      <c r="H52" s="1077">
        <v>46079</v>
      </c>
      <c r="I52" s="1078" t="s">
        <v>667</v>
      </c>
      <c r="J52" s="1079">
        <v>30</v>
      </c>
    </row>
    <row r="53" spans="1:10" s="284" customFormat="1" ht="13.5" customHeight="1" x14ac:dyDescent="0.3">
      <c r="A53" s="1062">
        <f t="shared" si="0"/>
        <v>51</v>
      </c>
      <c r="B53" s="1070" t="s">
        <v>623</v>
      </c>
      <c r="C53" s="1021" t="s">
        <v>87</v>
      </c>
      <c r="D53" s="1018" t="s">
        <v>92</v>
      </c>
      <c r="E53" s="1072">
        <v>46077</v>
      </c>
      <c r="F53" s="1066">
        <v>35.088999999999999</v>
      </c>
      <c r="G53" s="1022" t="s">
        <v>668</v>
      </c>
      <c r="H53" s="1071">
        <v>46080</v>
      </c>
      <c r="I53" s="1067" t="s">
        <v>697</v>
      </c>
      <c r="J53" s="1070">
        <v>32</v>
      </c>
    </row>
    <row r="54" spans="1:10" ht="14.4" x14ac:dyDescent="0.3">
      <c r="A54" s="1062">
        <f t="shared" si="0"/>
        <v>52</v>
      </c>
      <c r="B54" s="1070" t="s">
        <v>328</v>
      </c>
      <c r="C54" s="1021" t="s">
        <v>87</v>
      </c>
      <c r="D54" s="1018" t="s">
        <v>92</v>
      </c>
      <c r="E54" s="1072">
        <v>46077</v>
      </c>
      <c r="F54" s="1066">
        <v>35.088999999999999</v>
      </c>
      <c r="G54" s="1022" t="s">
        <v>668</v>
      </c>
      <c r="H54" s="1071">
        <v>46081</v>
      </c>
      <c r="I54" s="1074" t="s">
        <v>737</v>
      </c>
      <c r="J54" s="1070">
        <v>24</v>
      </c>
    </row>
    <row r="55" spans="1:10" ht="14.4" x14ac:dyDescent="0.3">
      <c r="A55" s="1062">
        <f t="shared" si="0"/>
        <v>53</v>
      </c>
      <c r="B55" s="1023" t="s">
        <v>244</v>
      </c>
      <c r="C55" s="1062" t="s">
        <v>87</v>
      </c>
      <c r="D55" s="1018" t="s">
        <v>543</v>
      </c>
      <c r="E55" s="1072">
        <v>46078</v>
      </c>
      <c r="F55" s="1066">
        <v>35.088999999999999</v>
      </c>
      <c r="G55" s="1022" t="s">
        <v>668</v>
      </c>
      <c r="H55" s="1071">
        <v>46081</v>
      </c>
      <c r="I55" s="1074" t="s">
        <v>694</v>
      </c>
      <c r="J55" s="1070">
        <v>40</v>
      </c>
    </row>
    <row r="56" spans="1:10" ht="13.8" customHeight="1" x14ac:dyDescent="0.3">
      <c r="A56" s="1062">
        <f t="shared" si="0"/>
        <v>54</v>
      </c>
      <c r="B56" s="1062" t="s">
        <v>617</v>
      </c>
      <c r="C56" s="1062" t="s">
        <v>87</v>
      </c>
      <c r="D56" s="1062" t="s">
        <v>543</v>
      </c>
      <c r="E56" s="1024">
        <v>46080</v>
      </c>
      <c r="F56" s="1066">
        <v>35.088999999999999</v>
      </c>
      <c r="G56" s="1022" t="s">
        <v>668</v>
      </c>
      <c r="H56" s="1024">
        <v>46083</v>
      </c>
      <c r="I56" s="1067" t="s">
        <v>697</v>
      </c>
      <c r="J56" s="1070">
        <v>32</v>
      </c>
    </row>
    <row r="57" spans="1:10" ht="13.8" customHeight="1" x14ac:dyDescent="0.3">
      <c r="A57" s="1062">
        <f t="shared" si="0"/>
        <v>55</v>
      </c>
      <c r="B57" s="1023" t="s">
        <v>483</v>
      </c>
      <c r="C57" s="1062" t="s">
        <v>559</v>
      </c>
      <c r="D57" s="1018" t="s">
        <v>543</v>
      </c>
      <c r="E57" s="1071">
        <v>46073</v>
      </c>
      <c r="F57" s="1066">
        <v>54.72</v>
      </c>
      <c r="G57" s="1022" t="s">
        <v>668</v>
      </c>
      <c r="H57" s="1071">
        <v>46084</v>
      </c>
      <c r="I57" s="1067" t="s">
        <v>696</v>
      </c>
      <c r="J57" s="1070">
        <v>45</v>
      </c>
    </row>
    <row r="58" spans="1:10" ht="13.8" customHeight="1" x14ac:dyDescent="0.3">
      <c r="A58" s="1080">
        <f t="shared" si="0"/>
        <v>56</v>
      </c>
      <c r="B58" s="1079" t="s">
        <v>236</v>
      </c>
      <c r="C58" s="1079" t="s">
        <v>91</v>
      </c>
      <c r="D58" s="1025" t="s">
        <v>92</v>
      </c>
      <c r="E58" s="1026">
        <v>46081</v>
      </c>
      <c r="F58" s="1081">
        <v>36.771000000000001</v>
      </c>
      <c r="G58" s="1027" t="s">
        <v>668</v>
      </c>
      <c r="H58" s="1077">
        <v>46086</v>
      </c>
      <c r="I58" s="1082" t="s">
        <v>694</v>
      </c>
      <c r="J58" s="1079">
        <v>40</v>
      </c>
    </row>
    <row r="59" spans="1:10" ht="14.4" x14ac:dyDescent="0.3">
      <c r="A59" s="1062">
        <f t="shared" si="0"/>
        <v>57</v>
      </c>
      <c r="B59" s="1018" t="s">
        <v>256</v>
      </c>
      <c r="C59" s="1062" t="s">
        <v>87</v>
      </c>
      <c r="D59" s="1018" t="s">
        <v>92</v>
      </c>
      <c r="E59" s="1071">
        <v>46078</v>
      </c>
      <c r="F59" s="1066">
        <v>35.088999999999999</v>
      </c>
      <c r="G59" s="1027" t="s">
        <v>668</v>
      </c>
      <c r="H59" s="1071">
        <v>46089</v>
      </c>
      <c r="I59" s="1067" t="s">
        <v>667</v>
      </c>
      <c r="J59" s="1070">
        <v>30</v>
      </c>
    </row>
    <row r="60" spans="1:10" ht="13.8" customHeight="1" x14ac:dyDescent="0.3">
      <c r="A60" s="1062">
        <f t="shared" si="0"/>
        <v>58</v>
      </c>
      <c r="B60" s="1070" t="s">
        <v>341</v>
      </c>
      <c r="C60" s="1021" t="s">
        <v>87</v>
      </c>
      <c r="D60" s="1018" t="s">
        <v>92</v>
      </c>
      <c r="E60" s="1071">
        <v>46077</v>
      </c>
      <c r="F60" s="1066">
        <v>35.088999999999999</v>
      </c>
      <c r="G60" s="1015" t="s">
        <v>668</v>
      </c>
      <c r="H60" s="1071">
        <v>46090</v>
      </c>
      <c r="I60" s="1074" t="s">
        <v>737</v>
      </c>
      <c r="J60" s="1070">
        <v>24</v>
      </c>
    </row>
    <row r="61" spans="1:10" ht="13.8" customHeight="1" x14ac:dyDescent="0.3">
      <c r="A61" s="1062">
        <f t="shared" si="0"/>
        <v>59</v>
      </c>
      <c r="B61" s="1070" t="s">
        <v>347</v>
      </c>
      <c r="C61" s="1062" t="s">
        <v>109</v>
      </c>
      <c r="D61" s="1018" t="s">
        <v>665</v>
      </c>
      <c r="E61" s="1071">
        <v>46089</v>
      </c>
      <c r="F61" s="1066">
        <v>43.575000000000003</v>
      </c>
      <c r="G61" s="1015" t="s">
        <v>668</v>
      </c>
      <c r="H61" s="1071">
        <v>46092</v>
      </c>
      <c r="I61" s="1074" t="s">
        <v>694</v>
      </c>
      <c r="J61" s="1070">
        <v>40</v>
      </c>
    </row>
    <row r="62" spans="1:10" ht="13.8" customHeight="1" x14ac:dyDescent="0.3">
      <c r="A62" s="1062">
        <f t="shared" si="0"/>
        <v>60</v>
      </c>
      <c r="B62" s="1070" t="s">
        <v>406</v>
      </c>
      <c r="C62" s="1062" t="s">
        <v>87</v>
      </c>
      <c r="D62" s="1018" t="s">
        <v>92</v>
      </c>
      <c r="E62" s="1071">
        <v>46091</v>
      </c>
      <c r="F62" s="1066">
        <v>35.088999999999999</v>
      </c>
      <c r="G62" s="1015" t="s">
        <v>668</v>
      </c>
      <c r="H62" s="1071">
        <v>46097</v>
      </c>
      <c r="I62" s="1074" t="s">
        <v>737</v>
      </c>
      <c r="J62" s="1070">
        <v>24</v>
      </c>
    </row>
    <row r="63" spans="1:10" ht="13.8" customHeight="1" x14ac:dyDescent="0.3">
      <c r="A63" s="1062">
        <f t="shared" si="0"/>
        <v>61</v>
      </c>
      <c r="B63" s="1070" t="s">
        <v>618</v>
      </c>
      <c r="C63" s="1062" t="s">
        <v>87</v>
      </c>
      <c r="D63" s="1018" t="s">
        <v>92</v>
      </c>
      <c r="E63" s="1071">
        <v>46094</v>
      </c>
      <c r="F63" s="1066">
        <v>35.088999999999999</v>
      </c>
      <c r="G63" s="1015" t="s">
        <v>668</v>
      </c>
      <c r="H63" s="1071">
        <v>46097</v>
      </c>
      <c r="I63" s="1074" t="s">
        <v>694</v>
      </c>
      <c r="J63" s="1070">
        <v>40</v>
      </c>
    </row>
    <row r="64" spans="1:10" ht="13.8" customHeight="1" x14ac:dyDescent="0.3">
      <c r="A64" s="1062">
        <f t="shared" si="0"/>
        <v>62</v>
      </c>
      <c r="B64" s="1018" t="s">
        <v>253</v>
      </c>
      <c r="C64" s="1062" t="s">
        <v>87</v>
      </c>
      <c r="D64" s="1018" t="s">
        <v>543</v>
      </c>
      <c r="E64" s="1071">
        <v>46092</v>
      </c>
      <c r="F64" s="1066">
        <v>35.088999999999999</v>
      </c>
      <c r="G64" s="1015" t="s">
        <v>668</v>
      </c>
      <c r="H64" s="1071">
        <v>46099</v>
      </c>
      <c r="I64" s="1067" t="s">
        <v>667</v>
      </c>
      <c r="J64" s="1070">
        <v>30</v>
      </c>
    </row>
    <row r="65" spans="1:10" ht="14.4" x14ac:dyDescent="0.3">
      <c r="A65" s="1062">
        <f t="shared" si="0"/>
        <v>63</v>
      </c>
      <c r="B65" s="1028" t="s">
        <v>619</v>
      </c>
      <c r="C65" s="1029" t="s">
        <v>87</v>
      </c>
      <c r="D65" s="1018" t="s">
        <v>92</v>
      </c>
      <c r="E65" s="1071">
        <v>46097</v>
      </c>
      <c r="F65" s="1066">
        <v>35.088999999999999</v>
      </c>
      <c r="G65" s="1015" t="s">
        <v>668</v>
      </c>
      <c r="H65" s="1071">
        <v>46101</v>
      </c>
      <c r="I65" s="1074" t="s">
        <v>694</v>
      </c>
      <c r="J65" s="1070">
        <v>40</v>
      </c>
    </row>
    <row r="66" spans="1:10" ht="13.8" customHeight="1" x14ac:dyDescent="0.3">
      <c r="A66" s="1062">
        <f t="shared" si="0"/>
        <v>64</v>
      </c>
      <c r="B66" s="1028" t="s">
        <v>407</v>
      </c>
      <c r="C66" s="1062" t="s">
        <v>91</v>
      </c>
      <c r="D66" s="1018" t="s">
        <v>92</v>
      </c>
      <c r="E66" s="1071">
        <v>46097</v>
      </c>
      <c r="F66" s="1073">
        <v>36.771000000000001</v>
      </c>
      <c r="G66" s="1015" t="s">
        <v>668</v>
      </c>
      <c r="H66" s="1071">
        <v>45739</v>
      </c>
      <c r="I66" s="1074" t="s">
        <v>737</v>
      </c>
      <c r="J66" s="1079">
        <v>24</v>
      </c>
    </row>
    <row r="67" spans="1:10" ht="14.4" x14ac:dyDescent="0.3">
      <c r="A67" s="1062">
        <f t="shared" si="0"/>
        <v>65</v>
      </c>
      <c r="B67" s="1083" t="s">
        <v>257</v>
      </c>
      <c r="C67" s="1062" t="s">
        <v>91</v>
      </c>
      <c r="D67" s="1070" t="s">
        <v>665</v>
      </c>
      <c r="E67" s="1071">
        <v>46099</v>
      </c>
      <c r="F67" s="1073">
        <v>36.771000000000001</v>
      </c>
      <c r="G67" s="1015" t="s">
        <v>668</v>
      </c>
      <c r="H67" s="1071">
        <v>46106</v>
      </c>
      <c r="I67" s="1067" t="s">
        <v>667</v>
      </c>
      <c r="J67" s="1079">
        <v>24</v>
      </c>
    </row>
    <row r="68" spans="1:10" ht="13.8" customHeight="1" x14ac:dyDescent="0.3">
      <c r="A68" s="1062">
        <f t="shared" si="0"/>
        <v>66</v>
      </c>
      <c r="B68" s="1019" t="s">
        <v>404</v>
      </c>
      <c r="C68" s="1062" t="s">
        <v>87</v>
      </c>
      <c r="D68" s="1018" t="s">
        <v>92</v>
      </c>
      <c r="E68" s="1071">
        <v>46101</v>
      </c>
      <c r="F68" s="1066">
        <v>35.088999999999999</v>
      </c>
      <c r="G68" s="1015" t="s">
        <v>668</v>
      </c>
      <c r="H68" s="1071">
        <v>46110</v>
      </c>
      <c r="I68" s="1074" t="s">
        <v>737</v>
      </c>
      <c r="J68" s="1070">
        <v>24</v>
      </c>
    </row>
    <row r="69" spans="1:10" ht="13.8" customHeight="1" x14ac:dyDescent="0.3">
      <c r="A69" s="1062">
        <f t="shared" ref="A69:A109" si="1">A68+1</f>
        <v>67</v>
      </c>
      <c r="B69" s="1070" t="s">
        <v>246</v>
      </c>
      <c r="C69" s="1062" t="s">
        <v>87</v>
      </c>
      <c r="D69" s="1070" t="s">
        <v>665</v>
      </c>
      <c r="E69" s="1071">
        <v>46107</v>
      </c>
      <c r="F69" s="1066">
        <v>35.088999999999999</v>
      </c>
      <c r="G69" s="1015" t="s">
        <v>668</v>
      </c>
      <c r="H69" s="1071">
        <v>46113</v>
      </c>
      <c r="I69" s="1067" t="s">
        <v>667</v>
      </c>
      <c r="J69" s="1079">
        <v>30</v>
      </c>
    </row>
    <row r="70" spans="1:10" ht="13.8" customHeight="1" x14ac:dyDescent="0.3">
      <c r="A70" s="1062">
        <f t="shared" si="1"/>
        <v>68</v>
      </c>
      <c r="B70" s="1018" t="s">
        <v>408</v>
      </c>
      <c r="C70" s="1062" t="s">
        <v>87</v>
      </c>
      <c r="D70" s="1018" t="s">
        <v>92</v>
      </c>
      <c r="E70" s="1071">
        <v>46111</v>
      </c>
      <c r="F70" s="1066">
        <v>35.088999999999999</v>
      </c>
      <c r="G70" s="1015" t="s">
        <v>668</v>
      </c>
      <c r="H70" s="1071">
        <v>46085</v>
      </c>
      <c r="I70" s="1084" t="s">
        <v>737</v>
      </c>
      <c r="J70" s="1070">
        <v>24</v>
      </c>
    </row>
    <row r="71" spans="1:10" ht="13.8" customHeight="1" x14ac:dyDescent="0.3">
      <c r="A71" s="1062">
        <f t="shared" si="1"/>
        <v>69</v>
      </c>
      <c r="B71" s="1070" t="s">
        <v>247</v>
      </c>
      <c r="C71" s="1062" t="s">
        <v>87</v>
      </c>
      <c r="D71" s="1018" t="s">
        <v>543</v>
      </c>
      <c r="E71" s="1071" t="s">
        <v>768</v>
      </c>
      <c r="F71" s="1066">
        <v>35.088999999999999</v>
      </c>
      <c r="G71" s="1015" t="s">
        <v>668</v>
      </c>
      <c r="H71" s="1071">
        <v>46119</v>
      </c>
      <c r="I71" s="1085" t="s">
        <v>667</v>
      </c>
      <c r="J71" s="1070">
        <v>30</v>
      </c>
    </row>
    <row r="72" spans="1:10" ht="13.8" customHeight="1" x14ac:dyDescent="0.3">
      <c r="A72" s="1062">
        <f t="shared" si="1"/>
        <v>70</v>
      </c>
      <c r="B72" s="1030" t="s">
        <v>482</v>
      </c>
      <c r="C72" s="1086" t="s">
        <v>687</v>
      </c>
      <c r="D72" s="1025" t="s">
        <v>92</v>
      </c>
      <c r="E72" s="1077">
        <v>46117</v>
      </c>
      <c r="F72" s="1087">
        <v>54.72</v>
      </c>
      <c r="G72" s="1031" t="s">
        <v>668</v>
      </c>
      <c r="H72" s="1077">
        <v>46124</v>
      </c>
      <c r="I72" s="1088" t="s">
        <v>737</v>
      </c>
      <c r="J72" s="1079">
        <v>24</v>
      </c>
    </row>
    <row r="73" spans="1:10" ht="13.8" customHeight="1" x14ac:dyDescent="0.3">
      <c r="A73" s="1089">
        <f t="shared" si="1"/>
        <v>71</v>
      </c>
      <c r="B73" s="1062" t="s">
        <v>431</v>
      </c>
      <c r="C73" s="1090" t="s">
        <v>687</v>
      </c>
      <c r="D73" s="1032" t="s">
        <v>92</v>
      </c>
      <c r="E73" s="1071">
        <v>46147</v>
      </c>
      <c r="F73" s="1066">
        <v>54.72</v>
      </c>
      <c r="G73" s="1015" t="s">
        <v>668</v>
      </c>
      <c r="H73" s="1071">
        <v>46160</v>
      </c>
      <c r="I73" s="1074" t="s">
        <v>667</v>
      </c>
      <c r="J73" s="1070">
        <v>24</v>
      </c>
    </row>
    <row r="74" spans="1:10" ht="13.8" customHeight="1" x14ac:dyDescent="0.3">
      <c r="A74" s="1089">
        <f t="shared" si="1"/>
        <v>72</v>
      </c>
      <c r="B74" s="1033" t="s">
        <v>430</v>
      </c>
      <c r="C74" s="1033" t="s">
        <v>670</v>
      </c>
      <c r="D74" s="1034" t="s">
        <v>92</v>
      </c>
      <c r="E74" s="1035">
        <v>46161</v>
      </c>
      <c r="F74" s="1033">
        <v>62.500999999999998</v>
      </c>
      <c r="G74" s="1015" t="s">
        <v>668</v>
      </c>
      <c r="H74" s="1071">
        <v>46175</v>
      </c>
      <c r="I74" s="1074" t="s">
        <v>667</v>
      </c>
      <c r="J74" s="1079">
        <v>24</v>
      </c>
    </row>
    <row r="75" spans="1:10" ht="13.8" customHeight="1" x14ac:dyDescent="0.3">
      <c r="A75" s="1089">
        <f t="shared" si="1"/>
        <v>73</v>
      </c>
      <c r="B75" s="1033" t="s">
        <v>220</v>
      </c>
      <c r="C75" s="1033" t="s">
        <v>87</v>
      </c>
      <c r="D75" s="1034" t="s">
        <v>92</v>
      </c>
      <c r="E75" s="1035">
        <v>46179</v>
      </c>
      <c r="F75" s="1033">
        <v>35.088999999999999</v>
      </c>
      <c r="G75" s="1015" t="s">
        <v>668</v>
      </c>
      <c r="H75" s="1071">
        <v>46185</v>
      </c>
      <c r="I75" s="1084" t="s">
        <v>964</v>
      </c>
      <c r="J75" s="1070">
        <v>30</v>
      </c>
    </row>
    <row r="76" spans="1:10" ht="14.4" x14ac:dyDescent="0.3">
      <c r="A76" s="1089">
        <f t="shared" si="1"/>
        <v>74</v>
      </c>
      <c r="B76" s="1018" t="s">
        <v>278</v>
      </c>
      <c r="C76" s="1062" t="s">
        <v>95</v>
      </c>
      <c r="D76" s="1018" t="s">
        <v>543</v>
      </c>
      <c r="E76" s="1071">
        <v>46176</v>
      </c>
      <c r="F76" s="1073">
        <v>41.88</v>
      </c>
      <c r="G76" s="1015" t="s">
        <v>668</v>
      </c>
      <c r="H76" s="1036">
        <v>46186</v>
      </c>
      <c r="I76" s="1074" t="s">
        <v>962</v>
      </c>
      <c r="J76" s="1070">
        <v>31</v>
      </c>
    </row>
    <row r="77" spans="1:10" ht="14.4" x14ac:dyDescent="0.3">
      <c r="A77" s="1089">
        <f t="shared" si="1"/>
        <v>75</v>
      </c>
      <c r="B77" s="1028" t="s">
        <v>237</v>
      </c>
      <c r="C77" s="1091" t="s">
        <v>87</v>
      </c>
      <c r="D77" s="1018" t="s">
        <v>665</v>
      </c>
      <c r="E77" s="1071">
        <v>46182</v>
      </c>
      <c r="F77" s="1066">
        <v>35.088999999999999</v>
      </c>
      <c r="G77" s="1015" t="s">
        <v>668</v>
      </c>
      <c r="H77" s="1037">
        <v>46189</v>
      </c>
      <c r="I77" s="1074" t="s">
        <v>966</v>
      </c>
      <c r="J77" s="1070">
        <v>32</v>
      </c>
    </row>
    <row r="78" spans="1:10" ht="17.399999999999999" customHeight="1" x14ac:dyDescent="0.3">
      <c r="A78" s="1062">
        <f t="shared" si="1"/>
        <v>76</v>
      </c>
      <c r="B78" s="1028" t="s">
        <v>222</v>
      </c>
      <c r="C78" s="1062" t="s">
        <v>87</v>
      </c>
      <c r="D78" s="1018" t="s">
        <v>92</v>
      </c>
      <c r="E78" s="1071">
        <v>46181</v>
      </c>
      <c r="F78" s="1066">
        <v>35.088999999999999</v>
      </c>
      <c r="G78" s="1015" t="s">
        <v>668</v>
      </c>
      <c r="H78" s="1071">
        <v>46181</v>
      </c>
      <c r="I78" s="1074" t="s">
        <v>965</v>
      </c>
      <c r="J78" s="1070">
        <v>30</v>
      </c>
    </row>
    <row r="79" spans="1:10" ht="14.4" x14ac:dyDescent="0.3">
      <c r="A79" s="1062">
        <f t="shared" si="1"/>
        <v>77</v>
      </c>
      <c r="B79" s="1092" t="s">
        <v>298</v>
      </c>
      <c r="C79" s="1091" t="s">
        <v>95</v>
      </c>
      <c r="D79" s="1018" t="s">
        <v>92</v>
      </c>
      <c r="E79" s="1071">
        <v>46183</v>
      </c>
      <c r="F79" s="1066">
        <v>35.088999999999999</v>
      </c>
      <c r="G79" s="1015" t="s">
        <v>668</v>
      </c>
      <c r="H79" s="1071">
        <v>46192</v>
      </c>
      <c r="I79" s="1074" t="s">
        <v>694</v>
      </c>
      <c r="J79" s="1070">
        <v>30</v>
      </c>
    </row>
    <row r="80" spans="1:10" ht="14.4" x14ac:dyDescent="0.3">
      <c r="A80" s="1062">
        <f t="shared" si="1"/>
        <v>78</v>
      </c>
      <c r="B80" s="1028" t="s">
        <v>223</v>
      </c>
      <c r="C80" s="1029" t="s">
        <v>87</v>
      </c>
      <c r="D80" s="1018" t="s">
        <v>542</v>
      </c>
      <c r="E80" s="1071">
        <v>46186</v>
      </c>
      <c r="F80" s="1066">
        <v>35.088999999999999</v>
      </c>
      <c r="G80" s="1015" t="s">
        <v>668</v>
      </c>
      <c r="H80" s="1071">
        <v>46192</v>
      </c>
      <c r="I80" s="1074" t="s">
        <v>964</v>
      </c>
      <c r="J80" s="1070">
        <v>30</v>
      </c>
    </row>
    <row r="81" spans="1:10" ht="14.4" x14ac:dyDescent="0.3">
      <c r="A81" s="1062">
        <f t="shared" si="1"/>
        <v>79</v>
      </c>
      <c r="B81" s="1062" t="s">
        <v>258</v>
      </c>
      <c r="C81" s="1091" t="s">
        <v>91</v>
      </c>
      <c r="D81" s="1018" t="s">
        <v>88</v>
      </c>
      <c r="E81" s="1071">
        <v>46187</v>
      </c>
      <c r="F81" s="1073">
        <v>36.771000000000001</v>
      </c>
      <c r="G81" s="1015" t="s">
        <v>668</v>
      </c>
      <c r="H81" s="1071">
        <v>46193</v>
      </c>
      <c r="I81" s="1074" t="s">
        <v>962</v>
      </c>
      <c r="J81" s="1070">
        <v>30</v>
      </c>
    </row>
    <row r="82" spans="1:10" ht="14.4" x14ac:dyDescent="0.3">
      <c r="A82" s="1062">
        <f t="shared" si="1"/>
        <v>80</v>
      </c>
      <c r="B82" s="1028" t="s">
        <v>235</v>
      </c>
      <c r="C82" s="1091" t="s">
        <v>87</v>
      </c>
      <c r="D82" s="1018" t="s">
        <v>92</v>
      </c>
      <c r="E82" s="1071">
        <v>46189</v>
      </c>
      <c r="F82" s="1066">
        <v>35.088999999999999</v>
      </c>
      <c r="G82" s="1015" t="s">
        <v>668</v>
      </c>
      <c r="H82" s="1037">
        <v>46196</v>
      </c>
      <c r="I82" s="1074" t="s">
        <v>966</v>
      </c>
      <c r="J82" s="1070">
        <v>32</v>
      </c>
    </row>
    <row r="83" spans="1:10" ht="14.4" x14ac:dyDescent="0.3">
      <c r="A83" s="1062">
        <f t="shared" si="1"/>
        <v>81</v>
      </c>
      <c r="B83" s="1092" t="s">
        <v>296</v>
      </c>
      <c r="C83" s="1091" t="s">
        <v>87</v>
      </c>
      <c r="D83" s="1018" t="s">
        <v>92</v>
      </c>
      <c r="E83" s="1071">
        <v>46192</v>
      </c>
      <c r="F83" s="1066">
        <v>35.088999999999999</v>
      </c>
      <c r="G83" s="1015" t="s">
        <v>668</v>
      </c>
      <c r="H83" s="1037">
        <v>46196</v>
      </c>
      <c r="I83" s="1074" t="s">
        <v>694</v>
      </c>
      <c r="J83" s="1070">
        <v>30</v>
      </c>
    </row>
    <row r="84" spans="1:10" ht="14.4" x14ac:dyDescent="0.3">
      <c r="A84" s="1062">
        <f t="shared" si="1"/>
        <v>82</v>
      </c>
      <c r="B84" s="1018" t="s">
        <v>225</v>
      </c>
      <c r="C84" s="1038" t="s">
        <v>87</v>
      </c>
      <c r="D84" s="1039" t="s">
        <v>665</v>
      </c>
      <c r="E84" s="1077">
        <v>46193</v>
      </c>
      <c r="F84" s="1087">
        <v>35.088999999999999</v>
      </c>
      <c r="G84" s="1031" t="s">
        <v>668</v>
      </c>
      <c r="H84" s="1040">
        <v>46198</v>
      </c>
      <c r="I84" s="1082" t="s">
        <v>964</v>
      </c>
      <c r="J84" s="1070">
        <v>30</v>
      </c>
    </row>
    <row r="85" spans="1:10" ht="14.4" x14ac:dyDescent="0.3">
      <c r="A85" s="1062">
        <f t="shared" si="1"/>
        <v>83</v>
      </c>
      <c r="B85" s="1062" t="s">
        <v>226</v>
      </c>
      <c r="C85" s="1091" t="s">
        <v>91</v>
      </c>
      <c r="D85" s="1018" t="s">
        <v>92</v>
      </c>
      <c r="E85" s="1071">
        <v>46192</v>
      </c>
      <c r="F85" s="1073">
        <v>36.771000000000001</v>
      </c>
      <c r="G85" s="1015" t="s">
        <v>668</v>
      </c>
      <c r="H85" s="1036">
        <v>46198</v>
      </c>
      <c r="I85" s="1074" t="s">
        <v>965</v>
      </c>
      <c r="J85" s="1070">
        <v>30</v>
      </c>
    </row>
    <row r="86" spans="1:10" ht="14.4" x14ac:dyDescent="0.3">
      <c r="A86" s="1093">
        <f t="shared" si="1"/>
        <v>84</v>
      </c>
      <c r="B86" s="1094" t="s">
        <v>306</v>
      </c>
      <c r="C86" s="1095" t="s">
        <v>95</v>
      </c>
      <c r="D86" s="1041" t="s">
        <v>92</v>
      </c>
      <c r="E86" s="1096">
        <v>46188</v>
      </c>
      <c r="F86" s="1097">
        <v>41.88</v>
      </c>
      <c r="G86" s="1042" t="s">
        <v>668</v>
      </c>
      <c r="H86" s="1043">
        <v>46199</v>
      </c>
      <c r="I86" s="1044" t="s">
        <v>971</v>
      </c>
      <c r="J86" s="1045">
        <v>30</v>
      </c>
    </row>
    <row r="87" spans="1:10" ht="14.4" x14ac:dyDescent="0.3">
      <c r="A87" s="1093">
        <f t="shared" si="1"/>
        <v>85</v>
      </c>
      <c r="B87" s="1093" t="s">
        <v>307</v>
      </c>
      <c r="C87" s="1098" t="s">
        <v>109</v>
      </c>
      <c r="D87" s="1046" t="s">
        <v>92</v>
      </c>
      <c r="E87" s="1096">
        <v>46188</v>
      </c>
      <c r="F87" s="1097">
        <v>43.575000000000003</v>
      </c>
      <c r="G87" s="1042" t="s">
        <v>668</v>
      </c>
      <c r="H87" s="1096">
        <v>46201</v>
      </c>
      <c r="I87" s="1047" t="s">
        <v>970</v>
      </c>
      <c r="J87" s="1099">
        <v>30</v>
      </c>
    </row>
    <row r="88" spans="1:10" ht="14.4" x14ac:dyDescent="0.3">
      <c r="A88" s="1093">
        <f t="shared" si="1"/>
        <v>86</v>
      </c>
      <c r="B88" s="1093" t="s">
        <v>263</v>
      </c>
      <c r="C88" s="1098" t="s">
        <v>87</v>
      </c>
      <c r="D88" s="1046" t="s">
        <v>92</v>
      </c>
      <c r="E88" s="1096">
        <v>46194</v>
      </c>
      <c r="F88" s="1097">
        <v>35.088999999999999</v>
      </c>
      <c r="G88" s="1042" t="s">
        <v>668</v>
      </c>
      <c r="H88" s="1096">
        <v>46201</v>
      </c>
      <c r="I88" s="1100" t="s">
        <v>962</v>
      </c>
      <c r="J88" s="1099">
        <v>30</v>
      </c>
    </row>
    <row r="89" spans="1:10" ht="14.4" x14ac:dyDescent="0.3">
      <c r="A89" s="1093">
        <f t="shared" si="1"/>
        <v>87</v>
      </c>
      <c r="B89" s="1093" t="s">
        <v>440</v>
      </c>
      <c r="C89" s="1098" t="s">
        <v>238</v>
      </c>
      <c r="D89" s="1046" t="s">
        <v>92</v>
      </c>
      <c r="E89" s="1096">
        <v>46197</v>
      </c>
      <c r="F89" s="1048">
        <v>54.72</v>
      </c>
      <c r="G89" s="1042" t="s">
        <v>668</v>
      </c>
      <c r="H89" s="1096">
        <v>46201</v>
      </c>
      <c r="I89" s="1100" t="s">
        <v>694</v>
      </c>
      <c r="J89" s="1099">
        <v>30</v>
      </c>
    </row>
    <row r="90" spans="1:10" ht="14.4" x14ac:dyDescent="0.3">
      <c r="A90" s="1093">
        <f t="shared" si="1"/>
        <v>88</v>
      </c>
      <c r="B90" s="1092" t="s">
        <v>239</v>
      </c>
      <c r="C90" s="1091" t="s">
        <v>109</v>
      </c>
      <c r="D90" s="1018" t="s">
        <v>92</v>
      </c>
      <c r="E90" s="1071">
        <v>46197</v>
      </c>
      <c r="F90" s="1066">
        <v>43.575000000000003</v>
      </c>
      <c r="G90" s="1042" t="s">
        <v>668</v>
      </c>
      <c r="H90" s="1071">
        <v>46203</v>
      </c>
      <c r="I90" s="1074" t="s">
        <v>966</v>
      </c>
      <c r="J90" s="1070">
        <v>30</v>
      </c>
    </row>
    <row r="91" spans="1:10" ht="14.4" x14ac:dyDescent="0.3">
      <c r="A91" s="1093">
        <f t="shared" si="1"/>
        <v>89</v>
      </c>
      <c r="B91" s="1062" t="s">
        <v>203</v>
      </c>
      <c r="C91" s="1091" t="s">
        <v>95</v>
      </c>
      <c r="D91" s="1018" t="s">
        <v>92</v>
      </c>
      <c r="E91" s="1071">
        <v>46199</v>
      </c>
      <c r="F91" s="1073">
        <v>41.88</v>
      </c>
      <c r="G91" s="1042" t="s">
        <v>668</v>
      </c>
      <c r="H91" s="1071">
        <v>46206</v>
      </c>
      <c r="I91" s="1074" t="s">
        <v>965</v>
      </c>
      <c r="J91" s="1070">
        <v>30</v>
      </c>
    </row>
    <row r="92" spans="1:10" ht="14.4" x14ac:dyDescent="0.3">
      <c r="A92" s="1093">
        <f t="shared" si="1"/>
        <v>90</v>
      </c>
      <c r="B92" s="1092" t="s">
        <v>444</v>
      </c>
      <c r="C92" s="1090" t="s">
        <v>669</v>
      </c>
      <c r="D92" s="1032" t="s">
        <v>665</v>
      </c>
      <c r="E92" s="1103">
        <v>46200</v>
      </c>
      <c r="F92" s="1070"/>
      <c r="G92" s="1042" t="s">
        <v>668</v>
      </c>
      <c r="H92" s="1071">
        <v>46207</v>
      </c>
      <c r="I92" s="1050" t="s">
        <v>971</v>
      </c>
      <c r="J92" s="1070">
        <v>30</v>
      </c>
    </row>
    <row r="93" spans="1:10" ht="14.4" x14ac:dyDescent="0.3">
      <c r="A93" s="1062">
        <f t="shared" si="1"/>
        <v>91</v>
      </c>
      <c r="B93" s="1062" t="s">
        <v>265</v>
      </c>
      <c r="C93" s="1091" t="s">
        <v>87</v>
      </c>
      <c r="D93" s="1018" t="s">
        <v>88</v>
      </c>
      <c r="E93" s="1065">
        <v>46202</v>
      </c>
      <c r="F93" s="1066">
        <v>35.088999999999999</v>
      </c>
      <c r="G93" s="1104" t="s">
        <v>668</v>
      </c>
      <c r="H93" s="1037">
        <v>46208</v>
      </c>
      <c r="I93" s="1067" t="s">
        <v>962</v>
      </c>
      <c r="J93" s="1064">
        <v>30</v>
      </c>
    </row>
    <row r="94" spans="1:10" ht="14.4" x14ac:dyDescent="0.3">
      <c r="A94" s="1062">
        <f t="shared" si="1"/>
        <v>92</v>
      </c>
      <c r="B94" s="1092" t="s">
        <v>441</v>
      </c>
      <c r="C94" s="1091" t="s">
        <v>580</v>
      </c>
      <c r="D94" s="1018" t="s">
        <v>92</v>
      </c>
      <c r="E94" s="1065">
        <v>46202</v>
      </c>
      <c r="F94" s="1105">
        <v>75.19</v>
      </c>
      <c r="G94" s="1104" t="s">
        <v>668</v>
      </c>
      <c r="H94" s="1037">
        <v>46208</v>
      </c>
      <c r="I94" s="1106" t="s">
        <v>694</v>
      </c>
      <c r="J94" s="1064">
        <v>30</v>
      </c>
    </row>
    <row r="95" spans="1:10" ht="14.4" x14ac:dyDescent="0.3">
      <c r="A95" s="1062">
        <f t="shared" si="1"/>
        <v>93</v>
      </c>
      <c r="B95" s="1028" t="s">
        <v>233</v>
      </c>
      <c r="C95" s="1091" t="s">
        <v>91</v>
      </c>
      <c r="D95" s="1018" t="s">
        <v>92</v>
      </c>
      <c r="E95" s="1065">
        <v>46204</v>
      </c>
      <c r="F95" s="1066">
        <v>36.771000000000001</v>
      </c>
      <c r="G95" s="1104" t="s">
        <v>668</v>
      </c>
      <c r="H95" s="1037">
        <v>46209</v>
      </c>
      <c r="I95" s="1067" t="s">
        <v>966</v>
      </c>
      <c r="J95" s="1064">
        <v>30</v>
      </c>
    </row>
    <row r="96" spans="1:10" ht="14.4" x14ac:dyDescent="0.3">
      <c r="A96" s="1062">
        <f t="shared" si="1"/>
        <v>94</v>
      </c>
      <c r="B96" s="1028" t="s">
        <v>417</v>
      </c>
      <c r="C96" s="1091" t="s">
        <v>759</v>
      </c>
      <c r="D96" s="1107" t="s">
        <v>542</v>
      </c>
      <c r="E96" s="1065">
        <v>45834</v>
      </c>
      <c r="F96" s="1064">
        <v>62.500999999999998</v>
      </c>
      <c r="G96" s="1104" t="s">
        <v>668</v>
      </c>
      <c r="H96" s="1037">
        <v>46209</v>
      </c>
      <c r="I96" s="1067" t="s">
        <v>964</v>
      </c>
      <c r="J96" s="1064">
        <v>30</v>
      </c>
    </row>
    <row r="97" spans="1:10" ht="17.399999999999999" customHeight="1" x14ac:dyDescent="0.3">
      <c r="A97" s="1062">
        <f t="shared" si="1"/>
        <v>95</v>
      </c>
      <c r="B97" s="1062" t="s">
        <v>202</v>
      </c>
      <c r="C97" s="1091" t="s">
        <v>87</v>
      </c>
      <c r="D97" s="1018" t="s">
        <v>92</v>
      </c>
      <c r="E97" s="1071">
        <v>46207</v>
      </c>
      <c r="F97" s="1066">
        <v>35.088999999999999</v>
      </c>
      <c r="G97" s="1104" t="s">
        <v>668</v>
      </c>
      <c r="H97" s="1071">
        <v>46211</v>
      </c>
      <c r="I97" s="1074" t="s">
        <v>965</v>
      </c>
      <c r="J97" s="1070">
        <v>30</v>
      </c>
    </row>
    <row r="98" spans="1:10" ht="14.4" x14ac:dyDescent="0.3">
      <c r="A98" s="1062">
        <f t="shared" si="1"/>
        <v>96</v>
      </c>
      <c r="B98" s="1092" t="s">
        <v>308</v>
      </c>
      <c r="C98" s="1091" t="s">
        <v>87</v>
      </c>
      <c r="D98" s="1018" t="s">
        <v>92</v>
      </c>
      <c r="E98" s="1071">
        <v>46202</v>
      </c>
      <c r="F98" s="1066">
        <v>35.088999999999999</v>
      </c>
      <c r="G98" s="1104" t="s">
        <v>668</v>
      </c>
      <c r="H98" s="1071">
        <v>46212</v>
      </c>
      <c r="I98" s="1101" t="s">
        <v>970</v>
      </c>
      <c r="J98" s="1070">
        <v>30</v>
      </c>
    </row>
    <row r="99" spans="1:10" ht="14.4" x14ac:dyDescent="0.3">
      <c r="A99" s="1062">
        <f t="shared" si="1"/>
        <v>97</v>
      </c>
      <c r="B99" s="1028" t="s">
        <v>234</v>
      </c>
      <c r="C99" s="1091" t="s">
        <v>214</v>
      </c>
      <c r="D99" s="1018" t="s">
        <v>92</v>
      </c>
      <c r="E99" s="1071">
        <v>46210</v>
      </c>
      <c r="F99" s="1081">
        <v>36.771000000000001</v>
      </c>
      <c r="G99" s="1104" t="s">
        <v>668</v>
      </c>
      <c r="H99" s="1071">
        <v>46214</v>
      </c>
      <c r="I99" s="1074" t="s">
        <v>966</v>
      </c>
      <c r="J99" s="1070">
        <v>30</v>
      </c>
    </row>
    <row r="100" spans="1:10" ht="14.4" x14ac:dyDescent="0.3">
      <c r="A100" s="1062">
        <f t="shared" si="1"/>
        <v>98</v>
      </c>
      <c r="B100" s="1062" t="s">
        <v>264</v>
      </c>
      <c r="C100" s="1091" t="s">
        <v>87</v>
      </c>
      <c r="D100" s="1018" t="s">
        <v>665</v>
      </c>
      <c r="E100" s="1071">
        <v>46209</v>
      </c>
      <c r="F100" s="1066">
        <v>35.088999999999999</v>
      </c>
      <c r="G100" s="1104" t="s">
        <v>668</v>
      </c>
      <c r="H100" s="1071">
        <v>46214</v>
      </c>
      <c r="I100" s="1074" t="s">
        <v>962</v>
      </c>
      <c r="J100" s="1070">
        <v>30</v>
      </c>
    </row>
    <row r="101" spans="1:10" ht="14.4" x14ac:dyDescent="0.3">
      <c r="A101" s="1062">
        <f t="shared" si="1"/>
        <v>99</v>
      </c>
      <c r="B101" s="1102" t="s">
        <v>481</v>
      </c>
      <c r="C101" s="1102" t="s">
        <v>670</v>
      </c>
      <c r="D101" s="1070" t="s">
        <v>92</v>
      </c>
      <c r="E101" s="1071">
        <v>46212</v>
      </c>
      <c r="F101" s="1070">
        <v>62.500999999999998</v>
      </c>
      <c r="G101" s="1104" t="s">
        <v>668</v>
      </c>
      <c r="H101" s="1065">
        <v>46215</v>
      </c>
      <c r="I101" s="1074" t="s">
        <v>694</v>
      </c>
      <c r="J101" s="1070">
        <v>30</v>
      </c>
    </row>
    <row r="102" spans="1:10" ht="14.4" x14ac:dyDescent="0.3">
      <c r="A102" s="1062">
        <f t="shared" si="1"/>
        <v>100</v>
      </c>
      <c r="B102" s="1102" t="s">
        <v>391</v>
      </c>
      <c r="C102" s="1102" t="s">
        <v>91</v>
      </c>
      <c r="D102" s="1070" t="s">
        <v>88</v>
      </c>
      <c r="E102" s="1071">
        <v>46210</v>
      </c>
      <c r="F102" s="1073">
        <v>36.771000000000001</v>
      </c>
      <c r="G102" s="1104" t="s">
        <v>668</v>
      </c>
      <c r="H102" s="1065">
        <v>46215</v>
      </c>
      <c r="I102" s="1050" t="s">
        <v>971</v>
      </c>
      <c r="J102" s="1070">
        <v>30</v>
      </c>
    </row>
    <row r="103" spans="1:10" ht="14.4" x14ac:dyDescent="0.3">
      <c r="A103" s="1062">
        <f t="shared" si="1"/>
        <v>101</v>
      </c>
      <c r="B103" s="1102" t="s">
        <v>208</v>
      </c>
      <c r="C103" s="1102" t="s">
        <v>87</v>
      </c>
      <c r="D103" s="1102" t="s">
        <v>92</v>
      </c>
      <c r="E103" s="1230">
        <v>46210</v>
      </c>
      <c r="F103" s="1102">
        <v>35.088999999999999</v>
      </c>
      <c r="G103" s="1104" t="s">
        <v>668</v>
      </c>
      <c r="H103" s="1230">
        <v>46216</v>
      </c>
      <c r="I103" s="1050" t="s">
        <v>964</v>
      </c>
      <c r="J103" s="1102">
        <v>30</v>
      </c>
    </row>
    <row r="104" spans="1:10" ht="14.4" x14ac:dyDescent="0.3">
      <c r="A104" s="1062">
        <f t="shared" si="1"/>
        <v>102</v>
      </c>
      <c r="B104" s="1102" t="s">
        <v>228</v>
      </c>
      <c r="C104" s="1102" t="s">
        <v>91</v>
      </c>
      <c r="D104" s="1102" t="s">
        <v>92</v>
      </c>
      <c r="E104" s="1230">
        <v>46212</v>
      </c>
      <c r="F104" s="1102">
        <v>36.771000000000001</v>
      </c>
      <c r="G104" s="1104" t="s">
        <v>668</v>
      </c>
      <c r="H104" s="1230">
        <v>46217</v>
      </c>
      <c r="I104" s="1050" t="s">
        <v>965</v>
      </c>
      <c r="J104" s="1102">
        <v>30</v>
      </c>
    </row>
    <row r="105" spans="1:10" ht="14.4" x14ac:dyDescent="0.3">
      <c r="A105" s="1062">
        <f t="shared" si="1"/>
        <v>103</v>
      </c>
      <c r="B105" s="1102" t="s">
        <v>389</v>
      </c>
      <c r="C105" s="1102" t="s">
        <v>87</v>
      </c>
      <c r="D105" s="1102" t="s">
        <v>92</v>
      </c>
      <c r="E105" s="1230">
        <v>46216</v>
      </c>
      <c r="F105" s="1102">
        <v>35.088999999999999</v>
      </c>
      <c r="G105" s="1104" t="s">
        <v>668</v>
      </c>
      <c r="H105" s="1230">
        <v>46219</v>
      </c>
      <c r="I105" s="1050" t="s">
        <v>694</v>
      </c>
      <c r="J105" s="1102">
        <v>30</v>
      </c>
    </row>
    <row r="106" spans="1:10" ht="14.4" x14ac:dyDescent="0.3">
      <c r="A106" s="1062">
        <f t="shared" si="1"/>
        <v>104</v>
      </c>
      <c r="B106" s="1102" t="s">
        <v>390</v>
      </c>
      <c r="C106" s="1102" t="s">
        <v>87</v>
      </c>
      <c r="D106" s="1102" t="s">
        <v>92</v>
      </c>
      <c r="E106" s="1230">
        <v>46216</v>
      </c>
      <c r="F106" s="1102">
        <v>35.088999999999999</v>
      </c>
      <c r="G106" s="1104" t="s">
        <v>668</v>
      </c>
      <c r="H106" s="1230">
        <v>46219</v>
      </c>
      <c r="I106" s="1050" t="s">
        <v>971</v>
      </c>
      <c r="J106" s="1102">
        <v>30</v>
      </c>
    </row>
    <row r="107" spans="1:10" ht="17.399999999999999" customHeight="1" x14ac:dyDescent="0.35">
      <c r="A107" s="1062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6">
        <v>35.088999999999999</v>
      </c>
      <c r="G107" s="1104" t="s">
        <v>668</v>
      </c>
      <c r="H107" s="1546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2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6">
        <v>35.088999999999999</v>
      </c>
      <c r="G108" s="1104" t="s">
        <v>668</v>
      </c>
      <c r="H108" s="1546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2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4" t="s">
        <v>668</v>
      </c>
      <c r="H109" s="1546">
        <v>46222</v>
      </c>
      <c r="I109" s="1008" t="s">
        <v>966</v>
      </c>
      <c r="J109" s="894">
        <v>30</v>
      </c>
    </row>
  </sheetData>
  <mergeCells count="1">
    <mergeCell ref="D1:E1"/>
  </mergeCells>
  <conditionalFormatting sqref="B54:B55">
    <cfRule type="duplicateValues" dxfId="33" priority="35"/>
  </conditionalFormatting>
  <conditionalFormatting sqref="B72">
    <cfRule type="duplicateValues" dxfId="32" priority="34"/>
  </conditionalFormatting>
  <conditionalFormatting sqref="B73">
    <cfRule type="duplicateValues" dxfId="31" priority="33"/>
  </conditionalFormatting>
  <conditionalFormatting sqref="B76">
    <cfRule type="duplicateValues" dxfId="30" priority="32"/>
  </conditionalFormatting>
  <conditionalFormatting sqref="B77">
    <cfRule type="duplicateValues" dxfId="29" priority="31"/>
  </conditionalFormatting>
  <conditionalFormatting sqref="B78">
    <cfRule type="duplicateValues" dxfId="28" priority="30"/>
  </conditionalFormatting>
  <conditionalFormatting sqref="B79">
    <cfRule type="duplicateValues" dxfId="27" priority="29"/>
  </conditionalFormatting>
  <conditionalFormatting sqref="B80">
    <cfRule type="duplicateValues" dxfId="26" priority="28"/>
  </conditionalFormatting>
  <conditionalFormatting sqref="B81">
    <cfRule type="duplicateValues" dxfId="25" priority="27"/>
  </conditionalFormatting>
  <conditionalFormatting sqref="B82">
    <cfRule type="duplicateValues" dxfId="24" priority="25"/>
  </conditionalFormatting>
  <conditionalFormatting sqref="B83">
    <cfRule type="duplicateValues" dxfId="23" priority="26"/>
  </conditionalFormatting>
  <conditionalFormatting sqref="B84">
    <cfRule type="duplicateValues" dxfId="22" priority="24"/>
  </conditionalFormatting>
  <conditionalFormatting sqref="B85">
    <cfRule type="duplicateValues" dxfId="21" priority="23"/>
  </conditionalFormatting>
  <conditionalFormatting sqref="B86">
    <cfRule type="duplicateValues" dxfId="20" priority="22"/>
  </conditionalFormatting>
  <conditionalFormatting sqref="B87">
    <cfRule type="duplicateValues" dxfId="19" priority="21"/>
  </conditionalFormatting>
  <conditionalFormatting sqref="B88">
    <cfRule type="duplicateValues" dxfId="18" priority="20"/>
  </conditionalFormatting>
  <conditionalFormatting sqref="B89">
    <cfRule type="duplicateValues" dxfId="17" priority="19"/>
  </conditionalFormatting>
  <conditionalFormatting sqref="B90">
    <cfRule type="duplicateValues" dxfId="16" priority="18"/>
  </conditionalFormatting>
  <conditionalFormatting sqref="B91">
    <cfRule type="duplicateValues" dxfId="15" priority="17"/>
  </conditionalFormatting>
  <conditionalFormatting sqref="B92">
    <cfRule type="duplicateValues" dxfId="14" priority="16"/>
  </conditionalFormatting>
  <conditionalFormatting sqref="B93">
    <cfRule type="duplicateValues" dxfId="13" priority="15"/>
  </conditionalFormatting>
  <conditionalFormatting sqref="B94">
    <cfRule type="duplicateValues" dxfId="12" priority="14"/>
  </conditionalFormatting>
  <conditionalFormatting sqref="B95">
    <cfRule type="duplicateValues" dxfId="11" priority="12"/>
  </conditionalFormatting>
  <conditionalFormatting sqref="B96">
    <cfRule type="duplicateValues" dxfId="10" priority="13"/>
  </conditionalFormatting>
  <conditionalFormatting sqref="B97">
    <cfRule type="duplicateValues" dxfId="9" priority="11"/>
  </conditionalFormatting>
  <conditionalFormatting sqref="B98">
    <cfRule type="duplicateValues" dxfId="8" priority="10"/>
  </conditionalFormatting>
  <conditionalFormatting sqref="B99">
    <cfRule type="duplicateValues" dxfId="7" priority="9"/>
  </conditionalFormatting>
  <conditionalFormatting sqref="B100">
    <cfRule type="duplicateValues" dxfId="6" priority="8"/>
  </conditionalFormatting>
  <conditionalFormatting sqref="B107">
    <cfRule type="duplicateValues" dxfId="5" priority="3"/>
  </conditionalFormatting>
  <conditionalFormatting sqref="B108">
    <cfRule type="duplicateValues" dxfId="4" priority="2"/>
  </conditionalFormatting>
  <conditionalFormatting sqref="B109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A24" sqref="A24:XFD24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5" t="s">
        <v>484</v>
      </c>
      <c r="C2" s="1396"/>
      <c r="D2" s="1396"/>
      <c r="E2" s="1396"/>
      <c r="F2" s="1396"/>
      <c r="G2" s="1396"/>
      <c r="H2" s="1396"/>
      <c r="I2" s="1396"/>
      <c r="J2" s="1396"/>
      <c r="K2" s="1397"/>
    </row>
    <row r="3" spans="2:11" ht="14.25" customHeight="1" x14ac:dyDescent="0.3">
      <c r="B3" s="1398"/>
      <c r="C3" s="1242"/>
      <c r="D3" s="1242"/>
      <c r="E3" s="1242"/>
      <c r="F3" s="1242"/>
      <c r="G3" s="1242"/>
      <c r="H3" s="1243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9" t="s">
        <v>495</v>
      </c>
      <c r="C12" s="1400"/>
      <c r="D12" s="1400"/>
      <c r="E12" s="1400"/>
      <c r="F12" s="1400"/>
      <c r="G12" s="1400"/>
      <c r="H12" s="1400"/>
      <c r="I12" s="1401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61" zoomScale="72" zoomScaleNormal="78" zoomScaleSheetLayoutView="70" workbookViewId="0">
      <selection activeCell="X76" sqref="X76:X77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513" t="s">
        <v>160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4"/>
      <c r="Q1" s="1514"/>
      <c r="R1" s="1514"/>
      <c r="S1" s="1514"/>
      <c r="T1" s="1514"/>
      <c r="U1" s="1514"/>
      <c r="V1" s="1514"/>
      <c r="W1" s="1514"/>
      <c r="X1" s="1514"/>
      <c r="Y1" s="1515"/>
    </row>
    <row r="2" spans="1:28" ht="15" thickBot="1" x14ac:dyDescent="0.35">
      <c r="A2" s="1516" t="s">
        <v>551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7"/>
      <c r="N2" s="1517"/>
      <c r="O2" s="1517"/>
      <c r="P2" s="1517"/>
      <c r="Q2" s="1517"/>
      <c r="R2" s="1517"/>
      <c r="S2" s="1517"/>
      <c r="T2" s="1517"/>
      <c r="U2" s="1517"/>
      <c r="V2" s="1517"/>
      <c r="W2" s="1517"/>
      <c r="X2" s="1517"/>
      <c r="Y2" s="1518"/>
    </row>
    <row r="3" spans="1:28" ht="14.25" customHeight="1" thickBot="1" x14ac:dyDescent="0.35">
      <c r="A3" s="461"/>
      <c r="B3" s="1519" t="s">
        <v>161</v>
      </c>
      <c r="C3" s="1520"/>
      <c r="D3" s="520">
        <f>Z16</f>
        <v>168</v>
      </c>
      <c r="E3" s="521" t="s">
        <v>552</v>
      </c>
      <c r="F3" s="1521" t="s">
        <v>162</v>
      </c>
      <c r="G3" s="1520"/>
      <c r="H3" s="522">
        <f>AA16</f>
        <v>107</v>
      </c>
      <c r="I3" s="549" t="s">
        <v>552</v>
      </c>
      <c r="J3" s="1522" t="s">
        <v>163</v>
      </c>
      <c r="K3" s="1520"/>
      <c r="L3" s="522">
        <f>AB16</f>
        <v>128</v>
      </c>
      <c r="M3" s="524" t="s">
        <v>552</v>
      </c>
      <c r="N3" s="1521" t="s">
        <v>164</v>
      </c>
      <c r="O3" s="1520"/>
      <c r="P3" s="525" t="s">
        <v>553</v>
      </c>
      <c r="Q3" s="523">
        <v>113.292</v>
      </c>
      <c r="R3" s="1521" t="s">
        <v>165</v>
      </c>
      <c r="S3" s="1520"/>
      <c r="T3" s="520" t="s">
        <v>554</v>
      </c>
      <c r="U3" s="523">
        <v>113.292</v>
      </c>
      <c r="V3" s="526" t="s">
        <v>166</v>
      </c>
      <c r="W3" s="1523">
        <f ca="1">TODAY()</f>
        <v>46222</v>
      </c>
      <c r="X3" s="1524"/>
      <c r="Y3" s="462"/>
    </row>
    <row r="4" spans="1:28" ht="14.25" customHeight="1" x14ac:dyDescent="0.3">
      <c r="A4" s="461"/>
      <c r="B4" s="1505" t="s">
        <v>167</v>
      </c>
      <c r="C4" s="1508" t="s">
        <v>23</v>
      </c>
      <c r="D4" s="1511">
        <v>0</v>
      </c>
      <c r="E4" s="1511" t="s">
        <v>169</v>
      </c>
      <c r="F4" s="1511">
        <v>6</v>
      </c>
      <c r="G4" s="1512" t="s">
        <v>171</v>
      </c>
      <c r="H4" s="1493" t="s">
        <v>172</v>
      </c>
      <c r="I4" s="1494" t="s">
        <v>115</v>
      </c>
      <c r="J4" s="358"/>
      <c r="K4" s="358"/>
      <c r="L4" s="359"/>
      <c r="M4" s="1497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506"/>
      <c r="C5" s="1509"/>
      <c r="D5" s="1391"/>
      <c r="E5" s="1391"/>
      <c r="F5" s="1391"/>
      <c r="G5" s="1391"/>
      <c r="H5" s="1391"/>
      <c r="I5" s="1495"/>
      <c r="J5" s="667" t="s">
        <v>173</v>
      </c>
      <c r="K5" s="668"/>
      <c r="L5" s="364"/>
      <c r="M5" s="1498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499"/>
      <c r="W5" s="1385"/>
      <c r="X5" s="528"/>
      <c r="Y5" s="462"/>
    </row>
    <row r="6" spans="1:28" ht="14.25" customHeight="1" thickBot="1" x14ac:dyDescent="0.35">
      <c r="A6" s="461"/>
      <c r="B6" s="1507"/>
      <c r="C6" s="1510"/>
      <c r="D6" s="1392"/>
      <c r="E6" s="1392"/>
      <c r="F6" s="1392"/>
      <c r="G6" s="1392"/>
      <c r="H6" s="1392"/>
      <c r="I6" s="1496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500" t="s">
        <v>183</v>
      </c>
      <c r="K7" s="1502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504"/>
      <c r="W7" s="1385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501"/>
      <c r="K8" s="1503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525" t="s">
        <v>699</v>
      </c>
      <c r="W13" s="1385"/>
      <c r="X13" s="533"/>
      <c r="Y13" s="462"/>
      <c r="Z13" s="1482" t="s">
        <v>45</v>
      </c>
      <c r="AA13" s="1484" t="s">
        <v>106</v>
      </c>
      <c r="AB13" s="1486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488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483"/>
      <c r="AA14" s="1485"/>
      <c r="AB14" s="1487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89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90" t="s">
        <v>199</v>
      </c>
      <c r="C16" s="1491"/>
      <c r="D16" s="1491"/>
      <c r="E16" s="1491"/>
      <c r="F16" s="1491"/>
      <c r="G16" s="1492"/>
      <c r="H16" s="380">
        <f>D3</f>
        <v>168</v>
      </c>
      <c r="I16" s="381">
        <f>292-H16</f>
        <v>124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168</v>
      </c>
      <c r="AA16" s="406">
        <f>SUM(AA18:AA254)</f>
        <v>107</v>
      </c>
      <c r="AB16" s="407">
        <f>SUM(AB18:AB254)</f>
        <v>128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26" t="s">
        <v>928</v>
      </c>
      <c r="C21" s="389">
        <v>411</v>
      </c>
      <c r="D21" s="1421" t="s">
        <v>773</v>
      </c>
      <c r="E21" s="390">
        <v>432</v>
      </c>
      <c r="F21" s="1417" t="s">
        <v>773</v>
      </c>
      <c r="G21" s="390">
        <v>411</v>
      </c>
      <c r="H21" s="1417" t="s">
        <v>773</v>
      </c>
      <c r="I21" s="390">
        <v>432</v>
      </c>
      <c r="J21" s="1421" t="s">
        <v>773</v>
      </c>
      <c r="K21" s="390">
        <v>411</v>
      </c>
      <c r="L21" s="1421" t="s">
        <v>773</v>
      </c>
      <c r="M21" s="390">
        <v>432</v>
      </c>
      <c r="N21" s="1421" t="s">
        <v>773</v>
      </c>
      <c r="O21" s="390">
        <v>411</v>
      </c>
      <c r="P21" s="1417" t="s">
        <v>773</v>
      </c>
      <c r="Q21" s="390">
        <v>374.43700000000001</v>
      </c>
      <c r="R21" s="1426" t="s">
        <v>931</v>
      </c>
      <c r="S21" s="390">
        <v>376.00299999999999</v>
      </c>
      <c r="T21" s="1417" t="s">
        <v>931</v>
      </c>
      <c r="U21" s="390">
        <v>405</v>
      </c>
      <c r="V21" s="1417" t="s">
        <v>931</v>
      </c>
      <c r="W21" s="390">
        <v>340</v>
      </c>
      <c r="X21" s="1417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427"/>
      <c r="C22" s="682"/>
      <c r="D22" s="1431"/>
      <c r="E22" s="682"/>
      <c r="F22" s="1418"/>
      <c r="G22" s="682"/>
      <c r="H22" s="1418"/>
      <c r="I22" s="682"/>
      <c r="J22" s="1431"/>
      <c r="K22" s="682"/>
      <c r="L22" s="1431"/>
      <c r="M22" s="682"/>
      <c r="N22" s="1431"/>
      <c r="O22" s="682"/>
      <c r="P22" s="1418"/>
      <c r="Q22" s="682"/>
      <c r="R22" s="1427"/>
      <c r="S22" s="682"/>
      <c r="T22" s="1418"/>
      <c r="U22" s="682"/>
      <c r="V22" s="1418"/>
      <c r="W22" s="682"/>
      <c r="X22" s="1418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421" t="s">
        <v>931</v>
      </c>
      <c r="C30" s="389">
        <v>399</v>
      </c>
      <c r="D30" s="1421" t="s">
        <v>931</v>
      </c>
      <c r="E30" s="390">
        <v>393</v>
      </c>
      <c r="F30" s="1421" t="s">
        <v>931</v>
      </c>
      <c r="G30" s="390">
        <v>370</v>
      </c>
      <c r="H30" s="1421" t="s">
        <v>931</v>
      </c>
      <c r="I30" s="390">
        <v>350</v>
      </c>
      <c r="J30" s="1476" t="s">
        <v>740</v>
      </c>
      <c r="K30" s="390">
        <v>395</v>
      </c>
      <c r="L30" s="1476" t="s">
        <v>740</v>
      </c>
      <c r="M30" s="390">
        <v>413</v>
      </c>
      <c r="N30" s="1476" t="s">
        <v>740</v>
      </c>
      <c r="O30" s="390">
        <v>366</v>
      </c>
      <c r="P30" s="1476" t="s">
        <v>740</v>
      </c>
      <c r="Q30" s="390">
        <v>377.77</v>
      </c>
      <c r="R30" s="1476" t="s">
        <v>740</v>
      </c>
      <c r="S30" s="390">
        <v>300</v>
      </c>
      <c r="T30" s="1417" t="s">
        <v>714</v>
      </c>
      <c r="U30" s="390">
        <v>393</v>
      </c>
      <c r="V30" s="1417" t="s">
        <v>714</v>
      </c>
      <c r="W30" s="390">
        <v>415</v>
      </c>
      <c r="X30" s="1417" t="s">
        <v>714</v>
      </c>
      <c r="Y30" s="467">
        <v>411</v>
      </c>
      <c r="Z30" s="457">
        <v>8</v>
      </c>
      <c r="AA30" s="408">
        <v>6</v>
      </c>
      <c r="AB30" s="413">
        <v>7</v>
      </c>
    </row>
    <row r="31" spans="1:39" ht="14.25" customHeight="1" x14ac:dyDescent="0.3">
      <c r="A31" s="461"/>
      <c r="B31" s="1431"/>
      <c r="C31" s="682"/>
      <c r="D31" s="1431"/>
      <c r="E31" s="682"/>
      <c r="F31" s="1431"/>
      <c r="G31" s="682"/>
      <c r="H31" s="1431"/>
      <c r="I31" s="682"/>
      <c r="J31" s="1477"/>
      <c r="K31" s="682"/>
      <c r="L31" s="1477"/>
      <c r="M31" s="682"/>
      <c r="N31" s="1477"/>
      <c r="O31" s="682"/>
      <c r="P31" s="1477"/>
      <c r="Q31" s="682"/>
      <c r="R31" s="1477"/>
      <c r="S31" s="682"/>
      <c r="T31" s="1418"/>
      <c r="U31" s="682"/>
      <c r="V31" s="1418"/>
      <c r="W31" s="682"/>
      <c r="X31" s="1418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26" t="s">
        <v>969</v>
      </c>
      <c r="C39" s="389">
        <v>378</v>
      </c>
      <c r="D39" s="1417" t="s">
        <v>969</v>
      </c>
      <c r="E39" s="390">
        <v>370</v>
      </c>
      <c r="F39" s="1417" t="s">
        <v>969</v>
      </c>
      <c r="G39" s="390">
        <v>370</v>
      </c>
      <c r="H39" s="1417" t="s">
        <v>969</v>
      </c>
      <c r="I39" s="390">
        <v>404</v>
      </c>
      <c r="J39" s="1417" t="s">
        <v>969</v>
      </c>
      <c r="K39" s="390">
        <v>374</v>
      </c>
      <c r="L39" s="1417" t="s">
        <v>969</v>
      </c>
      <c r="M39" s="390">
        <v>416</v>
      </c>
      <c r="N39" s="1417" t="s">
        <v>714</v>
      </c>
      <c r="O39" s="390">
        <v>425</v>
      </c>
      <c r="P39" s="1417" t="s">
        <v>714</v>
      </c>
      <c r="Q39" s="390">
        <v>411</v>
      </c>
      <c r="R39" s="1417" t="s">
        <v>714</v>
      </c>
      <c r="S39" s="390">
        <v>427</v>
      </c>
      <c r="T39" s="1417" t="s">
        <v>714</v>
      </c>
      <c r="U39" s="390">
        <v>370</v>
      </c>
      <c r="V39" s="1417" t="s">
        <v>714</v>
      </c>
      <c r="W39" s="390">
        <v>356</v>
      </c>
      <c r="X39" s="1426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27"/>
      <c r="C40" s="687"/>
      <c r="D40" s="1418"/>
      <c r="E40" s="687"/>
      <c r="F40" s="1418"/>
      <c r="G40" s="687"/>
      <c r="H40" s="1418"/>
      <c r="I40" s="687"/>
      <c r="J40" s="1418"/>
      <c r="K40" s="687"/>
      <c r="L40" s="1418"/>
      <c r="M40" s="687"/>
      <c r="N40" s="1418"/>
      <c r="O40" s="687"/>
      <c r="P40" s="1418"/>
      <c r="Q40" s="687"/>
      <c r="R40" s="1418"/>
      <c r="S40" s="687"/>
      <c r="T40" s="1418"/>
      <c r="U40" s="687"/>
      <c r="V40" s="1418"/>
      <c r="W40" s="687"/>
      <c r="X40" s="1481"/>
      <c r="Y40" s="468"/>
      <c r="Z40" s="458">
        <v>12</v>
      </c>
      <c r="AA40" s="409">
        <v>8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/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17" t="s">
        <v>714</v>
      </c>
      <c r="C48" s="389">
        <v>355</v>
      </c>
      <c r="D48" s="1417" t="s">
        <v>989</v>
      </c>
      <c r="E48" s="390">
        <v>348</v>
      </c>
      <c r="F48" s="1417" t="s">
        <v>969</v>
      </c>
      <c r="G48" s="390">
        <v>434</v>
      </c>
      <c r="H48" s="1444" t="s">
        <v>717</v>
      </c>
      <c r="I48" s="390">
        <v>401</v>
      </c>
      <c r="J48" s="1426" t="s">
        <v>714</v>
      </c>
      <c r="K48" s="390">
        <v>400</v>
      </c>
      <c r="L48" s="1417" t="s">
        <v>714</v>
      </c>
      <c r="M48" s="390">
        <v>413</v>
      </c>
      <c r="N48" s="1417" t="s">
        <v>714</v>
      </c>
      <c r="O48" s="390">
        <v>406</v>
      </c>
      <c r="P48" s="1417" t="s">
        <v>714</v>
      </c>
      <c r="Q48" s="390">
        <v>390</v>
      </c>
      <c r="R48" s="1417" t="s">
        <v>714</v>
      </c>
      <c r="S48" s="390">
        <v>390</v>
      </c>
      <c r="T48" s="1417" t="s">
        <v>714</v>
      </c>
      <c r="U48" s="390">
        <v>430</v>
      </c>
      <c r="V48" s="1421" t="s">
        <v>763</v>
      </c>
      <c r="W48" s="390">
        <v>332</v>
      </c>
      <c r="X48" s="1478" t="s">
        <v>991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18"/>
      <c r="C49" s="687"/>
      <c r="D49" s="1480"/>
      <c r="E49" s="687"/>
      <c r="F49" s="1418"/>
      <c r="G49" s="687"/>
      <c r="H49" s="1445"/>
      <c r="I49" s="687"/>
      <c r="J49" s="1427"/>
      <c r="K49" s="687"/>
      <c r="L49" s="1418"/>
      <c r="M49" s="687"/>
      <c r="N49" s="1418"/>
      <c r="O49" s="687"/>
      <c r="P49" s="1418"/>
      <c r="Q49" s="687"/>
      <c r="R49" s="1418"/>
      <c r="S49" s="687"/>
      <c r="T49" s="1418"/>
      <c r="U49" s="687"/>
      <c r="V49" s="1422"/>
      <c r="W49" s="687"/>
      <c r="X49" s="1479"/>
      <c r="Y49" s="468"/>
      <c r="Z49" s="458">
        <v>9</v>
      </c>
      <c r="AA49" s="409">
        <v>6</v>
      </c>
      <c r="AB49" s="414">
        <v>8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78" t="s">
        <v>991</v>
      </c>
      <c r="C57" s="389">
        <v>339</v>
      </c>
      <c r="D57" s="1417" t="s">
        <v>714</v>
      </c>
      <c r="E57" s="390">
        <v>365</v>
      </c>
      <c r="F57" s="1444" t="s">
        <v>717</v>
      </c>
      <c r="G57" s="390">
        <v>409</v>
      </c>
      <c r="H57" s="1417" t="s">
        <v>714</v>
      </c>
      <c r="I57" s="390">
        <v>340.46199999999999</v>
      </c>
      <c r="J57" s="1472" t="s">
        <v>932</v>
      </c>
      <c r="K57" s="390">
        <v>352</v>
      </c>
      <c r="L57" s="1417" t="s">
        <v>714</v>
      </c>
      <c r="M57" s="390">
        <v>419</v>
      </c>
      <c r="N57" s="1417" t="s">
        <v>714</v>
      </c>
      <c r="O57" s="390">
        <v>410</v>
      </c>
      <c r="P57" s="1417" t="s">
        <v>714</v>
      </c>
      <c r="Q57" s="390">
        <v>413</v>
      </c>
      <c r="R57" s="1417" t="s">
        <v>714</v>
      </c>
      <c r="S57" s="390">
        <v>407</v>
      </c>
      <c r="T57" s="1476" t="s">
        <v>740</v>
      </c>
      <c r="U57" s="390">
        <v>351</v>
      </c>
      <c r="V57" s="1417" t="s">
        <v>714</v>
      </c>
      <c r="W57" s="390">
        <v>405</v>
      </c>
      <c r="X57" s="1426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79"/>
      <c r="C58" s="687"/>
      <c r="D58" s="1418"/>
      <c r="E58" s="687"/>
      <c r="F58" s="1445"/>
      <c r="G58" s="687"/>
      <c r="H58" s="1418"/>
      <c r="I58" s="687"/>
      <c r="J58" s="1473"/>
      <c r="K58" s="687"/>
      <c r="L58" s="1418"/>
      <c r="M58" s="687"/>
      <c r="N58" s="1418"/>
      <c r="O58" s="687"/>
      <c r="P58" s="1418"/>
      <c r="Q58" s="687"/>
      <c r="R58" s="1418"/>
      <c r="S58" s="687"/>
      <c r="T58" s="1477"/>
      <c r="U58" s="687"/>
      <c r="V58" s="1418"/>
      <c r="W58" s="687"/>
      <c r="X58" s="1427"/>
      <c r="Y58" s="468"/>
      <c r="Z58" s="458">
        <v>10</v>
      </c>
      <c r="AA58" s="409">
        <v>8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17" t="s">
        <v>714</v>
      </c>
      <c r="C66" s="389">
        <v>439</v>
      </c>
      <c r="D66" s="1417" t="s">
        <v>714</v>
      </c>
      <c r="E66" s="390">
        <v>398</v>
      </c>
      <c r="F66" s="1417" t="s">
        <v>740</v>
      </c>
      <c r="G66" s="390">
        <v>445</v>
      </c>
      <c r="H66" s="1417" t="s">
        <v>740</v>
      </c>
      <c r="I66" s="390">
        <v>355</v>
      </c>
      <c r="J66" s="1417" t="s">
        <v>740</v>
      </c>
      <c r="K66" s="390">
        <v>445.64499999999998</v>
      </c>
      <c r="L66" s="1426" t="s">
        <v>740</v>
      </c>
      <c r="M66" s="390">
        <v>214.74199999999999</v>
      </c>
      <c r="N66" s="1426" t="s">
        <v>740</v>
      </c>
      <c r="O66" s="390">
        <v>498</v>
      </c>
      <c r="P66" s="1417" t="s">
        <v>714</v>
      </c>
      <c r="Q66" s="390">
        <v>325</v>
      </c>
      <c r="R66" s="1417" t="s">
        <v>714</v>
      </c>
      <c r="S66" s="390">
        <v>372</v>
      </c>
      <c r="T66" s="1417" t="s">
        <v>714</v>
      </c>
      <c r="U66" s="390">
        <v>393.05399999999997</v>
      </c>
      <c r="V66" s="1426" t="s">
        <v>714</v>
      </c>
      <c r="W66" s="390">
        <v>349</v>
      </c>
      <c r="X66" s="1417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18"/>
      <c r="C67" s="687"/>
      <c r="D67" s="1418"/>
      <c r="E67" s="687"/>
      <c r="F67" s="1418"/>
      <c r="G67" s="687"/>
      <c r="H67" s="1418"/>
      <c r="I67" s="687"/>
      <c r="J67" s="1418"/>
      <c r="K67" s="687"/>
      <c r="L67" s="1427"/>
      <c r="M67" s="687"/>
      <c r="N67" s="1427"/>
      <c r="O67" s="687"/>
      <c r="P67" s="1418"/>
      <c r="Q67" s="687"/>
      <c r="R67" s="1418"/>
      <c r="S67" s="687"/>
      <c r="T67" s="1418"/>
      <c r="U67" s="687" t="s">
        <v>718</v>
      </c>
      <c r="V67" s="1437"/>
      <c r="W67" s="687"/>
      <c r="X67" s="1418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17" t="s">
        <v>714</v>
      </c>
      <c r="C76" s="389">
        <v>386</v>
      </c>
      <c r="D76" s="1444" t="s">
        <v>717</v>
      </c>
      <c r="E76" s="390">
        <v>429</v>
      </c>
      <c r="F76" s="1417" t="s">
        <v>714</v>
      </c>
      <c r="G76" s="390">
        <v>377</v>
      </c>
      <c r="H76" s="1417" t="s">
        <v>714</v>
      </c>
      <c r="I76" s="390">
        <v>401.83699999999999</v>
      </c>
      <c r="J76" s="1472" t="s">
        <v>764</v>
      </c>
      <c r="K76" s="390">
        <v>402</v>
      </c>
      <c r="L76" s="1474"/>
      <c r="M76" s="390">
        <v>344</v>
      </c>
      <c r="N76" s="1417" t="s">
        <v>714</v>
      </c>
      <c r="O76" s="390">
        <v>399</v>
      </c>
      <c r="P76" s="1417" t="s">
        <v>714</v>
      </c>
      <c r="Q76" s="390">
        <v>439</v>
      </c>
      <c r="R76" s="1470" t="s">
        <v>767</v>
      </c>
      <c r="S76" s="390">
        <v>403</v>
      </c>
      <c r="T76" s="1410"/>
      <c r="U76" s="390">
        <v>480</v>
      </c>
      <c r="V76" s="1406" t="s">
        <v>556</v>
      </c>
      <c r="W76" s="390">
        <v>535</v>
      </c>
      <c r="X76" s="1446" t="s">
        <v>556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18"/>
      <c r="C77" s="687"/>
      <c r="D77" s="1445"/>
      <c r="E77" s="687"/>
      <c r="F77" s="1418"/>
      <c r="G77" s="687"/>
      <c r="H77" s="1418"/>
      <c r="I77" s="687"/>
      <c r="J77" s="1473"/>
      <c r="K77" s="687"/>
      <c r="L77" s="1475"/>
      <c r="M77" s="687"/>
      <c r="N77" s="1418"/>
      <c r="O77" s="687"/>
      <c r="P77" s="1418"/>
      <c r="Q77" s="687"/>
      <c r="R77" s="1471"/>
      <c r="S77" s="687"/>
      <c r="T77" s="1411"/>
      <c r="U77" s="687"/>
      <c r="V77" s="1443"/>
      <c r="W77" s="687"/>
      <c r="X77" s="1547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90"/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17" t="s">
        <v>714</v>
      </c>
      <c r="C86" s="389">
        <v>454.04700000000003</v>
      </c>
      <c r="D86" s="1410"/>
      <c r="E86" s="390">
        <v>247.49199999999999</v>
      </c>
      <c r="F86" s="1412"/>
      <c r="G86" s="390">
        <v>373</v>
      </c>
      <c r="H86" s="1432" t="s">
        <v>556</v>
      </c>
      <c r="I86" s="390">
        <v>401</v>
      </c>
      <c r="J86" s="1404"/>
      <c r="K86" s="390">
        <v>388</v>
      </c>
      <c r="L86" s="1432" t="s">
        <v>556</v>
      </c>
      <c r="M86" s="390">
        <v>328</v>
      </c>
      <c r="N86" s="1432" t="s">
        <v>556</v>
      </c>
      <c r="O86" s="390">
        <v>329.98200000000003</v>
      </c>
      <c r="P86" s="1412"/>
      <c r="Q86" s="390">
        <v>433</v>
      </c>
      <c r="R86" s="1466" t="s">
        <v>979</v>
      </c>
      <c r="S86" s="390">
        <v>410</v>
      </c>
      <c r="T86" s="1468" t="s">
        <v>979</v>
      </c>
      <c r="U86" s="390">
        <v>307</v>
      </c>
      <c r="V86" s="1432" t="s">
        <v>556</v>
      </c>
      <c r="W86" s="390">
        <v>461.92700000000002</v>
      </c>
      <c r="X86" s="1406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18"/>
      <c r="C87" s="687"/>
      <c r="D87" s="1411"/>
      <c r="E87" s="687"/>
      <c r="F87" s="1407"/>
      <c r="G87" s="687"/>
      <c r="H87" s="1450"/>
      <c r="I87" s="687"/>
      <c r="J87" s="1405"/>
      <c r="K87" s="687"/>
      <c r="L87" s="1450"/>
      <c r="M87" s="687"/>
      <c r="N87" s="1450"/>
      <c r="O87" s="687"/>
      <c r="P87" s="1465"/>
      <c r="Q87" s="687"/>
      <c r="R87" s="1467"/>
      <c r="S87" s="687"/>
      <c r="T87" s="1469"/>
      <c r="U87" s="687"/>
      <c r="V87" s="1450"/>
      <c r="W87" s="687"/>
      <c r="X87" s="1443"/>
      <c r="Y87" s="468"/>
      <c r="Z87" s="458">
        <v>2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681" t="s">
        <v>556</v>
      </c>
      <c r="U90" s="392"/>
      <c r="V90" s="392"/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06" t="s">
        <v>556</v>
      </c>
      <c r="C96" s="389">
        <v>401</v>
      </c>
      <c r="D96" s="1421" t="s">
        <v>767</v>
      </c>
      <c r="E96" s="390">
        <v>350</v>
      </c>
      <c r="F96" s="1417" t="s">
        <v>767</v>
      </c>
      <c r="G96" s="390">
        <v>335</v>
      </c>
      <c r="H96" s="1417" t="s">
        <v>767</v>
      </c>
      <c r="I96" s="390">
        <v>313.49</v>
      </c>
      <c r="J96" s="1423" t="s">
        <v>767</v>
      </c>
      <c r="K96" s="390">
        <v>421</v>
      </c>
      <c r="L96" s="1423" t="s">
        <v>767</v>
      </c>
      <c r="M96" s="390">
        <v>465.81799999999998</v>
      </c>
      <c r="N96" s="1423" t="s">
        <v>767</v>
      </c>
      <c r="O96" s="390">
        <v>352</v>
      </c>
      <c r="P96" s="1417" t="s">
        <v>767</v>
      </c>
      <c r="Q96" s="390">
        <v>403</v>
      </c>
      <c r="R96" s="1432" t="s">
        <v>556</v>
      </c>
      <c r="S96" s="390">
        <v>373</v>
      </c>
      <c r="T96" s="1432" t="s">
        <v>556</v>
      </c>
      <c r="U96" s="390">
        <v>362</v>
      </c>
      <c r="V96" s="1432" t="s">
        <v>556</v>
      </c>
      <c r="W96" s="390">
        <v>351.24</v>
      </c>
      <c r="X96" s="1423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43"/>
      <c r="C97" s="687"/>
      <c r="D97" s="1431"/>
      <c r="E97" s="687"/>
      <c r="F97" s="1418"/>
      <c r="G97" s="687"/>
      <c r="H97" s="1418"/>
      <c r="I97" s="687"/>
      <c r="J97" s="1424"/>
      <c r="K97" s="687"/>
      <c r="L97" s="1424"/>
      <c r="M97" s="687"/>
      <c r="N97" s="1424"/>
      <c r="O97" s="687"/>
      <c r="P97" s="1418"/>
      <c r="Q97" s="687"/>
      <c r="R97" s="1450"/>
      <c r="S97" s="687"/>
      <c r="T97" s="1450"/>
      <c r="U97" s="687"/>
      <c r="V97" s="1450"/>
      <c r="W97" s="687"/>
      <c r="X97" s="1459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32" t="s">
        <v>556</v>
      </c>
      <c r="C106" s="389">
        <v>375</v>
      </c>
      <c r="D106" s="1417" t="s">
        <v>767</v>
      </c>
      <c r="E106" s="390">
        <v>424.851</v>
      </c>
      <c r="F106" s="1426" t="s">
        <v>767</v>
      </c>
      <c r="G106" s="390">
        <v>414</v>
      </c>
      <c r="H106" s="1417" t="s">
        <v>767</v>
      </c>
      <c r="I106" s="390">
        <v>345</v>
      </c>
      <c r="J106" s="1417" t="s">
        <v>767</v>
      </c>
      <c r="K106" s="390">
        <v>502.62799999999999</v>
      </c>
      <c r="L106" s="1432" t="s">
        <v>556</v>
      </c>
      <c r="M106" s="390">
        <v>453</v>
      </c>
      <c r="N106" s="1417" t="s">
        <v>767</v>
      </c>
      <c r="O106" s="390">
        <v>388</v>
      </c>
      <c r="P106" s="1417" t="s">
        <v>767</v>
      </c>
      <c r="Q106" s="390">
        <v>317</v>
      </c>
      <c r="R106" s="1417" t="s">
        <v>767</v>
      </c>
      <c r="S106" s="390">
        <v>324</v>
      </c>
      <c r="T106" s="1417" t="s">
        <v>767</v>
      </c>
      <c r="U106" s="390">
        <v>484.98399999999998</v>
      </c>
      <c r="V106" s="1426" t="s">
        <v>985</v>
      </c>
      <c r="W106" s="390">
        <v>248.518</v>
      </c>
      <c r="X106" s="1426" t="s">
        <v>985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50"/>
      <c r="C107" s="687"/>
      <c r="D107" s="1418"/>
      <c r="E107" s="687"/>
      <c r="F107" s="1427"/>
      <c r="G107" s="687"/>
      <c r="H107" s="1418"/>
      <c r="I107" s="687"/>
      <c r="J107" s="1418"/>
      <c r="K107" s="687"/>
      <c r="L107" s="1450"/>
      <c r="M107" s="687"/>
      <c r="N107" s="1418"/>
      <c r="O107" s="687"/>
      <c r="P107" s="1418"/>
      <c r="Q107" s="687"/>
      <c r="R107" s="1418"/>
      <c r="S107" s="687"/>
      <c r="T107" s="1418"/>
      <c r="U107" s="687"/>
      <c r="V107" s="1427"/>
      <c r="W107" s="687"/>
      <c r="X107" s="1427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29"/>
      <c r="C111" s="1429"/>
      <c r="D111" s="1429"/>
      <c r="E111" s="1429"/>
      <c r="F111" s="1429"/>
      <c r="G111" s="1429"/>
      <c r="H111" s="1429"/>
      <c r="I111" s="1429"/>
      <c r="J111" s="1429"/>
      <c r="K111" s="1429"/>
      <c r="L111" s="1429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454"/>
      <c r="M112" s="1454"/>
      <c r="N112" s="1454"/>
      <c r="O112" s="1454"/>
      <c r="P112" s="1454"/>
      <c r="Q112" s="1454"/>
      <c r="R112" s="1454"/>
      <c r="S112" s="1454"/>
      <c r="T112" s="1454"/>
      <c r="U112" s="1454"/>
      <c r="V112" s="1454"/>
      <c r="W112" s="1454"/>
      <c r="X112" s="1454"/>
      <c r="Y112" s="1455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17" t="s">
        <v>767</v>
      </c>
      <c r="C116" s="389">
        <v>398.68400000000003</v>
      </c>
      <c r="D116" s="1423" t="s">
        <v>767</v>
      </c>
      <c r="E116" s="390">
        <v>435</v>
      </c>
      <c r="F116" s="1460" t="s">
        <v>722</v>
      </c>
      <c r="G116" s="390">
        <v>404</v>
      </c>
      <c r="H116" s="1462" t="s">
        <v>722</v>
      </c>
      <c r="I116" s="390">
        <v>374.35300000000001</v>
      </c>
      <c r="J116" s="1410"/>
      <c r="K116" s="390">
        <v>250.119</v>
      </c>
      <c r="L116" s="1406" t="s">
        <v>556</v>
      </c>
      <c r="M116" s="390">
        <v>398</v>
      </c>
      <c r="N116" s="1462" t="s">
        <v>767</v>
      </c>
      <c r="O116" s="390">
        <v>364</v>
      </c>
      <c r="P116" s="1462" t="s">
        <v>767</v>
      </c>
      <c r="Q116" s="390">
        <v>380</v>
      </c>
      <c r="R116" s="1462" t="s">
        <v>767</v>
      </c>
      <c r="S116" s="390">
        <v>459.27199999999999</v>
      </c>
      <c r="T116" s="1426" t="s">
        <v>985</v>
      </c>
      <c r="U116" s="390">
        <v>206.441</v>
      </c>
      <c r="V116" s="1406" t="s">
        <v>556</v>
      </c>
      <c r="W116" s="390">
        <v>385</v>
      </c>
      <c r="X116" s="1417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18"/>
      <c r="C117" s="687"/>
      <c r="D117" s="1459"/>
      <c r="E117" s="687"/>
      <c r="F117" s="1461"/>
      <c r="G117" s="687"/>
      <c r="H117" s="1414"/>
      <c r="I117" s="687"/>
      <c r="J117" s="1411"/>
      <c r="K117" s="687"/>
      <c r="L117" s="1443"/>
      <c r="M117" s="687"/>
      <c r="N117" s="1463"/>
      <c r="O117" s="687"/>
      <c r="P117" s="1463"/>
      <c r="Q117" s="687"/>
      <c r="R117" s="1463"/>
      <c r="S117" s="687"/>
      <c r="T117" s="1427"/>
      <c r="U117" s="687"/>
      <c r="V117" s="1464"/>
      <c r="W117" s="687"/>
      <c r="X117" s="1418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2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53"/>
      <c r="B122" s="1454"/>
      <c r="C122" s="1454"/>
      <c r="D122" s="1454"/>
      <c r="E122" s="1454"/>
      <c r="F122" s="1454"/>
      <c r="G122" s="1454"/>
      <c r="H122" s="1454"/>
      <c r="I122" s="1454"/>
      <c r="J122" s="1454"/>
      <c r="K122" s="1454"/>
      <c r="L122" s="1454"/>
      <c r="M122" s="1454"/>
      <c r="N122" s="1454"/>
      <c r="O122" s="1454"/>
      <c r="P122" s="1454"/>
      <c r="Q122" s="1454"/>
      <c r="R122" s="1454"/>
      <c r="S122" s="1454"/>
      <c r="T122" s="1454"/>
      <c r="U122" s="1454"/>
      <c r="V122" s="1454"/>
      <c r="W122" s="1454"/>
      <c r="X122" s="1454"/>
      <c r="Y122" s="1455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17" t="s">
        <v>89</v>
      </c>
      <c r="C126" s="389">
        <v>384</v>
      </c>
      <c r="D126" s="1417" t="s">
        <v>89</v>
      </c>
      <c r="E126" s="390">
        <v>400</v>
      </c>
      <c r="F126" s="1417" t="s">
        <v>660</v>
      </c>
      <c r="G126" s="390">
        <v>386</v>
      </c>
      <c r="H126" s="1417" t="s">
        <v>767</v>
      </c>
      <c r="I126" s="390">
        <v>398</v>
      </c>
      <c r="J126" s="1417" t="s">
        <v>89</v>
      </c>
      <c r="K126" s="390">
        <v>393</v>
      </c>
      <c r="L126" s="1417" t="s">
        <v>660</v>
      </c>
      <c r="M126" s="390">
        <v>387</v>
      </c>
      <c r="N126" s="1417" t="s">
        <v>89</v>
      </c>
      <c r="O126" s="390">
        <v>378</v>
      </c>
      <c r="P126" s="1417" t="s">
        <v>89</v>
      </c>
      <c r="Q126" s="390">
        <v>410</v>
      </c>
      <c r="R126" s="1417" t="s">
        <v>660</v>
      </c>
      <c r="S126" s="390">
        <v>367.58</v>
      </c>
      <c r="T126" s="1446" t="s">
        <v>556</v>
      </c>
      <c r="U126" s="390">
        <v>396</v>
      </c>
      <c r="V126" s="1448" t="s">
        <v>556</v>
      </c>
      <c r="W126" s="390">
        <v>395</v>
      </c>
      <c r="X126" s="1402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18"/>
      <c r="C127" s="687"/>
      <c r="D127" s="1418"/>
      <c r="E127" s="687"/>
      <c r="F127" s="1418"/>
      <c r="G127" s="687"/>
      <c r="H127" s="1418"/>
      <c r="I127" s="687"/>
      <c r="J127" s="1418"/>
      <c r="K127" s="687"/>
      <c r="L127" s="1418"/>
      <c r="M127" s="687"/>
      <c r="N127" s="1418"/>
      <c r="O127" s="687"/>
      <c r="P127" s="1418"/>
      <c r="Q127" s="687"/>
      <c r="R127" s="1418"/>
      <c r="S127" s="687"/>
      <c r="T127" s="1447"/>
      <c r="U127" s="687"/>
      <c r="V127" s="1449"/>
      <c r="W127" s="687"/>
      <c r="X127" s="1403"/>
      <c r="Y127" s="468"/>
      <c r="Z127" s="458">
        <v>9</v>
      </c>
      <c r="AA127" s="409">
        <v>6</v>
      </c>
      <c r="AB127" s="414">
        <v>6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392"/>
      <c r="U130" s="392"/>
      <c r="V130" s="392"/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53"/>
      <c r="B132" s="1454"/>
      <c r="C132" s="1454"/>
      <c r="D132" s="1454"/>
      <c r="E132" s="1454"/>
      <c r="F132" s="1454"/>
      <c r="G132" s="1454"/>
      <c r="H132" s="1454"/>
      <c r="I132" s="1454"/>
      <c r="J132" s="1454"/>
      <c r="K132" s="1454"/>
      <c r="L132" s="1454"/>
      <c r="M132" s="1454"/>
      <c r="N132" s="1454"/>
      <c r="O132" s="1454"/>
      <c r="P132" s="1454"/>
      <c r="Q132" s="1454"/>
      <c r="R132" s="1454"/>
      <c r="S132" s="1454"/>
      <c r="T132" s="1454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17" t="s">
        <v>89</v>
      </c>
      <c r="C136" s="389">
        <v>350.09</v>
      </c>
      <c r="D136" s="1412"/>
      <c r="E136" s="390">
        <v>364</v>
      </c>
      <c r="F136" s="1417" t="s">
        <v>89</v>
      </c>
      <c r="G136" s="390">
        <v>452</v>
      </c>
      <c r="H136" s="1417" t="s">
        <v>89</v>
      </c>
      <c r="I136" s="390">
        <v>392</v>
      </c>
      <c r="J136" s="1417" t="s">
        <v>89</v>
      </c>
      <c r="K136" s="390">
        <v>369.64499999999998</v>
      </c>
      <c r="L136" s="1406" t="s">
        <v>556</v>
      </c>
      <c r="M136" s="390">
        <v>446</v>
      </c>
      <c r="N136" s="1417" t="s">
        <v>89</v>
      </c>
      <c r="O136" s="390">
        <v>386</v>
      </c>
      <c r="P136" s="1402"/>
      <c r="Q136" s="390">
        <v>451</v>
      </c>
      <c r="R136" s="1410"/>
      <c r="S136" s="390">
        <v>428.50400000000002</v>
      </c>
      <c r="T136" s="1417" t="s">
        <v>89</v>
      </c>
      <c r="U136" s="390">
        <v>354.49599999999998</v>
      </c>
      <c r="V136" s="1417" t="s">
        <v>89</v>
      </c>
      <c r="W136" s="390">
        <v>430.20699999999999</v>
      </c>
      <c r="X136" s="1406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18"/>
      <c r="C137" s="687"/>
      <c r="D137" s="1407"/>
      <c r="E137" s="687"/>
      <c r="F137" s="1418"/>
      <c r="G137" s="687"/>
      <c r="H137" s="1418"/>
      <c r="I137" s="687"/>
      <c r="J137" s="1418"/>
      <c r="K137" s="687"/>
      <c r="L137" s="1443"/>
      <c r="M137" s="687"/>
      <c r="N137" s="1418"/>
      <c r="O137" s="687"/>
      <c r="P137" s="1403"/>
      <c r="Q137" s="687"/>
      <c r="R137" s="1411"/>
      <c r="S137" s="687"/>
      <c r="T137" s="1418"/>
      <c r="U137" s="687"/>
      <c r="V137" s="1418"/>
      <c r="W137" s="687"/>
      <c r="X137" s="1443"/>
      <c r="Y137" s="468"/>
      <c r="Z137" s="458">
        <v>7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17" t="s">
        <v>89</v>
      </c>
      <c r="C145" s="389">
        <v>415</v>
      </c>
      <c r="D145" s="1417" t="s">
        <v>89</v>
      </c>
      <c r="E145" s="390">
        <v>399</v>
      </c>
      <c r="F145" s="1402"/>
      <c r="G145" s="390">
        <v>436.29500000000002</v>
      </c>
      <c r="H145" s="1456"/>
      <c r="I145" s="390">
        <v>437</v>
      </c>
      <c r="J145" s="1417" t="s">
        <v>89</v>
      </c>
      <c r="K145" s="390">
        <v>406</v>
      </c>
      <c r="L145" s="1432" t="s">
        <v>556</v>
      </c>
      <c r="M145" s="390">
        <v>437.79599999999999</v>
      </c>
      <c r="N145" s="1426" t="s">
        <v>89</v>
      </c>
      <c r="O145" s="390">
        <v>412</v>
      </c>
      <c r="P145" s="1417" t="s">
        <v>89</v>
      </c>
      <c r="Q145" s="390">
        <v>356.62799999999999</v>
      </c>
      <c r="R145" s="1432" t="s">
        <v>556</v>
      </c>
      <c r="S145" s="390">
        <v>384.62400000000002</v>
      </c>
      <c r="T145" s="1451" t="s">
        <v>89</v>
      </c>
      <c r="U145" s="390">
        <v>391</v>
      </c>
      <c r="V145" s="1417" t="s">
        <v>725</v>
      </c>
      <c r="W145" s="390">
        <v>436</v>
      </c>
      <c r="X145" s="1438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18"/>
      <c r="C146" s="687"/>
      <c r="D146" s="1418"/>
      <c r="E146" s="687"/>
      <c r="F146" s="1403"/>
      <c r="G146" s="687"/>
      <c r="H146" s="1457"/>
      <c r="I146" s="687"/>
      <c r="J146" s="1418"/>
      <c r="K146" s="687"/>
      <c r="L146" s="1458"/>
      <c r="M146" s="687"/>
      <c r="N146" s="1437"/>
      <c r="O146" s="687"/>
      <c r="P146" s="1418"/>
      <c r="Q146" s="687"/>
      <c r="R146" s="1450"/>
      <c r="S146" s="687"/>
      <c r="T146" s="1452"/>
      <c r="U146" s="687"/>
      <c r="V146" s="1418"/>
      <c r="W146" s="687"/>
      <c r="X146" s="1440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17" t="s">
        <v>660</v>
      </c>
      <c r="C154" s="389">
        <v>359</v>
      </c>
      <c r="D154" s="1417" t="s">
        <v>660</v>
      </c>
      <c r="E154" s="390">
        <v>439</v>
      </c>
      <c r="F154" s="1417" t="s">
        <v>660</v>
      </c>
      <c r="G154" s="390">
        <v>393</v>
      </c>
      <c r="H154" s="1425" t="s">
        <v>727</v>
      </c>
      <c r="I154" s="390">
        <v>314.94900000000001</v>
      </c>
      <c r="J154" s="1441" t="s">
        <v>89</v>
      </c>
      <c r="K154" s="390">
        <v>437.00099999999998</v>
      </c>
      <c r="L154" s="1425" t="s">
        <v>726</v>
      </c>
      <c r="M154" s="390">
        <v>399</v>
      </c>
      <c r="N154" s="1425" t="s">
        <v>726</v>
      </c>
      <c r="O154" s="390">
        <v>303</v>
      </c>
      <c r="P154" s="1444" t="s">
        <v>717</v>
      </c>
      <c r="Q154" s="390">
        <v>337</v>
      </c>
      <c r="R154" s="1444" t="s">
        <v>717</v>
      </c>
      <c r="S154" s="390">
        <v>339.16899999999998</v>
      </c>
      <c r="T154" s="1406" t="s">
        <v>556</v>
      </c>
      <c r="U154" s="390">
        <v>400</v>
      </c>
      <c r="V154" s="1404"/>
      <c r="W154" s="390">
        <v>358.84899999999999</v>
      </c>
      <c r="X154" s="1406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18"/>
      <c r="C155" s="687"/>
      <c r="D155" s="1418"/>
      <c r="E155" s="687"/>
      <c r="F155" s="1418"/>
      <c r="G155" s="687"/>
      <c r="H155" s="1418"/>
      <c r="I155" s="687"/>
      <c r="J155" s="1442"/>
      <c r="K155" s="687"/>
      <c r="L155" s="1418"/>
      <c r="M155" s="687"/>
      <c r="N155" s="1418"/>
      <c r="O155" s="687"/>
      <c r="P155" s="1445"/>
      <c r="Q155" s="687"/>
      <c r="R155" s="1445"/>
      <c r="S155" s="687"/>
      <c r="T155" s="1443"/>
      <c r="U155" s="687"/>
      <c r="V155" s="1405"/>
      <c r="W155" s="687"/>
      <c r="X155" s="1407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12"/>
      <c r="C163" s="389">
        <v>287.35199999999998</v>
      </c>
      <c r="D163" s="1412"/>
      <c r="E163" s="390">
        <v>416</v>
      </c>
      <c r="F163" s="1435" t="s">
        <v>89</v>
      </c>
      <c r="G163" s="390">
        <v>352.35399999999998</v>
      </c>
      <c r="H163" s="1426" t="s">
        <v>89</v>
      </c>
      <c r="I163" s="390">
        <v>361</v>
      </c>
      <c r="J163" s="1438"/>
      <c r="K163" s="390">
        <v>426</v>
      </c>
      <c r="L163" s="1438"/>
      <c r="M163" s="390">
        <v>394</v>
      </c>
      <c r="N163" s="1438"/>
      <c r="O163" s="390">
        <v>384</v>
      </c>
      <c r="P163" s="1404" t="s">
        <v>556</v>
      </c>
      <c r="Q163" s="390">
        <v>414</v>
      </c>
      <c r="R163" s="1412"/>
      <c r="S163" s="390">
        <v>480</v>
      </c>
      <c r="T163" s="1412"/>
      <c r="U163" s="390">
        <v>395</v>
      </c>
      <c r="V163" s="1404"/>
      <c r="W163" s="390">
        <v>329</v>
      </c>
      <c r="X163" s="1404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07"/>
      <c r="C164" s="687"/>
      <c r="D164" s="1407"/>
      <c r="E164" s="687"/>
      <c r="F164" s="1436"/>
      <c r="G164" s="687"/>
      <c r="H164" s="1437"/>
      <c r="I164" s="687"/>
      <c r="J164" s="1439"/>
      <c r="K164" s="687"/>
      <c r="L164" s="1440"/>
      <c r="M164" s="687"/>
      <c r="N164" s="1440"/>
      <c r="O164" s="687"/>
      <c r="P164" s="1405"/>
      <c r="Q164" s="687"/>
      <c r="R164" s="1407"/>
      <c r="S164" s="687"/>
      <c r="T164" s="1407"/>
      <c r="U164" s="687"/>
      <c r="V164" s="1405"/>
      <c r="W164" s="687"/>
      <c r="X164" s="1405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12"/>
      <c r="C172" s="389">
        <v>467</v>
      </c>
      <c r="D172" s="1412"/>
      <c r="E172" s="390">
        <v>443</v>
      </c>
      <c r="F172" s="1404"/>
      <c r="G172" s="390">
        <v>310.74299999999999</v>
      </c>
      <c r="H172" s="1412"/>
      <c r="I172" s="390">
        <v>479</v>
      </c>
      <c r="J172" s="1432" t="s">
        <v>556</v>
      </c>
      <c r="K172" s="390">
        <v>321</v>
      </c>
      <c r="L172" s="1402"/>
      <c r="M172" s="390">
        <v>506</v>
      </c>
      <c r="N172" s="1412"/>
      <c r="O172" s="390">
        <v>421.20699999999999</v>
      </c>
      <c r="P172" s="1412"/>
      <c r="Q172" s="390">
        <v>421</v>
      </c>
      <c r="R172" s="1417" t="s">
        <v>728</v>
      </c>
      <c r="S172" s="390">
        <v>406</v>
      </c>
      <c r="T172" s="1433"/>
      <c r="U172" s="390">
        <v>435</v>
      </c>
      <c r="V172" s="1412"/>
      <c r="W172" s="390">
        <v>532.75900000000001</v>
      </c>
      <c r="X172" s="1406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07"/>
      <c r="C173" s="687"/>
      <c r="D173" s="1407"/>
      <c r="E173" s="687"/>
      <c r="F173" s="1405"/>
      <c r="G173" s="687"/>
      <c r="H173" s="1407"/>
      <c r="I173" s="687"/>
      <c r="J173" s="1405"/>
      <c r="K173" s="687"/>
      <c r="L173" s="1403"/>
      <c r="M173" s="687"/>
      <c r="N173" s="1407"/>
      <c r="O173" s="687"/>
      <c r="P173" s="1407"/>
      <c r="Q173" s="687"/>
      <c r="R173" s="1418"/>
      <c r="S173" s="687"/>
      <c r="T173" s="1434"/>
      <c r="U173" s="687"/>
      <c r="V173" s="1407"/>
      <c r="W173" s="687"/>
      <c r="X173" s="1407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12"/>
      <c r="C182" s="389">
        <v>484</v>
      </c>
      <c r="D182" s="1406" t="s">
        <v>556</v>
      </c>
      <c r="E182" s="390">
        <v>611</v>
      </c>
      <c r="F182" s="1412"/>
      <c r="G182" s="390">
        <v>367</v>
      </c>
      <c r="H182" s="1432" t="s">
        <v>556</v>
      </c>
      <c r="I182" s="390">
        <v>468.584</v>
      </c>
      <c r="J182" s="1404"/>
      <c r="K182" s="390">
        <v>371.416</v>
      </c>
      <c r="L182" s="1404"/>
      <c r="M182" s="390">
        <v>370</v>
      </c>
      <c r="N182" s="1402"/>
      <c r="O182" s="390">
        <v>327</v>
      </c>
      <c r="P182" s="1404"/>
      <c r="Q182" s="390">
        <v>318</v>
      </c>
      <c r="R182" s="1404"/>
      <c r="S182" s="390">
        <v>339.76900000000001</v>
      </c>
      <c r="T182" s="1410"/>
      <c r="U182" s="390">
        <v>395.99900000000002</v>
      </c>
      <c r="V182" s="1421" t="s">
        <v>767</v>
      </c>
      <c r="W182" s="390">
        <v>377</v>
      </c>
      <c r="X182" s="1402"/>
      <c r="Y182" s="467">
        <v>398</v>
      </c>
      <c r="Z182" s="458"/>
      <c r="AA182" s="409"/>
      <c r="AB182" s="414"/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07"/>
      <c r="C183" s="687"/>
      <c r="D183" s="1407"/>
      <c r="E183" s="687"/>
      <c r="F183" s="1407"/>
      <c r="G183" s="687"/>
      <c r="H183" s="1405"/>
      <c r="I183" s="687"/>
      <c r="J183" s="1405"/>
      <c r="K183" s="687"/>
      <c r="L183" s="1405"/>
      <c r="M183" s="687"/>
      <c r="N183" s="1403"/>
      <c r="O183" s="687"/>
      <c r="P183" s="1405"/>
      <c r="Q183" s="687"/>
      <c r="R183" s="1405"/>
      <c r="S183" s="687"/>
      <c r="T183" s="1411"/>
      <c r="U183" s="687"/>
      <c r="V183" s="1431"/>
      <c r="W183" s="687"/>
      <c r="X183" s="1403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429"/>
      <c r="U187" s="1429"/>
      <c r="V187" s="1429"/>
      <c r="W187" s="1429"/>
      <c r="X187" s="1429"/>
      <c r="Y187" s="1430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02"/>
      <c r="C191" s="389">
        <v>393</v>
      </c>
      <c r="D191" s="1402"/>
      <c r="E191" s="390">
        <v>373.66</v>
      </c>
      <c r="F191" s="1426" t="s">
        <v>767</v>
      </c>
      <c r="G191" s="390">
        <v>363</v>
      </c>
      <c r="H191" s="1417" t="s">
        <v>767</v>
      </c>
      <c r="I191" s="390">
        <v>349</v>
      </c>
      <c r="J191" s="1417" t="s">
        <v>767</v>
      </c>
      <c r="K191" s="390">
        <v>386</v>
      </c>
      <c r="L191" s="1417" t="s">
        <v>767</v>
      </c>
      <c r="M191" s="390">
        <v>390</v>
      </c>
      <c r="N191" s="1417" t="s">
        <v>767</v>
      </c>
      <c r="O191" s="390">
        <v>417</v>
      </c>
      <c r="P191" s="1417" t="s">
        <v>767</v>
      </c>
      <c r="Q191" s="390">
        <v>422.99700000000001</v>
      </c>
      <c r="R191" s="1426" t="s">
        <v>767</v>
      </c>
      <c r="S191" s="390">
        <v>340</v>
      </c>
      <c r="T191" s="1417" t="s">
        <v>767</v>
      </c>
      <c r="U191" s="390">
        <v>365</v>
      </c>
      <c r="V191" s="1417" t="s">
        <v>767</v>
      </c>
      <c r="W191" s="390">
        <v>403</v>
      </c>
      <c r="X191" s="1417" t="s">
        <v>767</v>
      </c>
      <c r="Y191" s="467">
        <v>382</v>
      </c>
      <c r="Z191" s="458">
        <v>10</v>
      </c>
      <c r="AA191" s="409">
        <v>4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03"/>
      <c r="C192" s="687"/>
      <c r="D192" s="1403"/>
      <c r="E192" s="687"/>
      <c r="F192" s="1427"/>
      <c r="G192" s="687"/>
      <c r="H192" s="1418"/>
      <c r="I192" s="687"/>
      <c r="J192" s="1418"/>
      <c r="K192" s="687"/>
      <c r="L192" s="1418"/>
      <c r="M192" s="687"/>
      <c r="N192" s="1418"/>
      <c r="O192" s="687"/>
      <c r="P192" s="1418"/>
      <c r="Q192" s="687"/>
      <c r="R192" s="1427"/>
      <c r="S192" s="687"/>
      <c r="T192" s="1418"/>
      <c r="U192" s="687"/>
      <c r="V192" s="1418"/>
      <c r="W192" s="687"/>
      <c r="X192" s="1418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28"/>
      <c r="C196" s="1428"/>
      <c r="D196" s="1428"/>
      <c r="E196" s="1428"/>
      <c r="F196" s="1428"/>
      <c r="G196" s="1428"/>
      <c r="H196" s="1428"/>
      <c r="I196" s="1428"/>
      <c r="J196" s="1428"/>
      <c r="K196" s="1428"/>
      <c r="L196" s="1428"/>
      <c r="M196" s="1428"/>
      <c r="N196" s="1428"/>
      <c r="O196" s="1428"/>
      <c r="P196" s="1428"/>
      <c r="Q196" s="1428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17" t="s">
        <v>767</v>
      </c>
      <c r="C200" s="389">
        <v>395</v>
      </c>
      <c r="D200" s="1417" t="s">
        <v>767</v>
      </c>
      <c r="E200" s="390">
        <v>385</v>
      </c>
      <c r="F200" s="1425" t="s">
        <v>730</v>
      </c>
      <c r="G200" s="390">
        <v>381</v>
      </c>
      <c r="H200" s="1425" t="s">
        <v>730</v>
      </c>
      <c r="I200" s="390">
        <v>395</v>
      </c>
      <c r="J200" s="1425" t="s">
        <v>730</v>
      </c>
      <c r="K200" s="390">
        <v>403</v>
      </c>
      <c r="L200" s="1425" t="s">
        <v>730</v>
      </c>
      <c r="M200" s="390">
        <v>383</v>
      </c>
      <c r="N200" s="1425" t="s">
        <v>730</v>
      </c>
      <c r="O200" s="390">
        <v>386</v>
      </c>
      <c r="P200" s="1425" t="s">
        <v>730</v>
      </c>
      <c r="Q200" s="390">
        <v>397</v>
      </c>
      <c r="R200" s="1425" t="s">
        <v>730</v>
      </c>
      <c r="S200" s="390">
        <v>370.834</v>
      </c>
      <c r="T200" s="1426" t="s">
        <v>762</v>
      </c>
      <c r="U200" s="390">
        <v>422</v>
      </c>
      <c r="V200" s="1417" t="s">
        <v>731</v>
      </c>
      <c r="W200" s="390">
        <v>417</v>
      </c>
      <c r="X200" s="1417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18"/>
      <c r="C201" s="687"/>
      <c r="D201" s="1418"/>
      <c r="E201" s="687"/>
      <c r="F201" s="1418"/>
      <c r="G201" s="687"/>
      <c r="H201" s="1418"/>
      <c r="I201" s="687"/>
      <c r="J201" s="1418"/>
      <c r="K201" s="687"/>
      <c r="L201" s="1418"/>
      <c r="M201" s="687"/>
      <c r="N201" s="1418"/>
      <c r="O201" s="687"/>
      <c r="P201" s="1418"/>
      <c r="Q201" s="687"/>
      <c r="R201" s="1418"/>
      <c r="S201" s="687"/>
      <c r="T201" s="1427"/>
      <c r="U201" s="687"/>
      <c r="V201" s="1418"/>
      <c r="W201" s="687"/>
      <c r="X201" s="1418"/>
      <c r="Y201" s="468"/>
      <c r="Z201" s="458">
        <v>12</v>
      </c>
      <c r="AA201" s="409">
        <v>9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17" t="s">
        <v>731</v>
      </c>
      <c r="C209" s="389">
        <v>421</v>
      </c>
      <c r="D209" s="1417" t="s">
        <v>731</v>
      </c>
      <c r="E209" s="390">
        <v>419</v>
      </c>
      <c r="F209" s="1417" t="s">
        <v>731</v>
      </c>
      <c r="G209" s="390">
        <v>402</v>
      </c>
      <c r="H209" s="1413" t="s">
        <v>685</v>
      </c>
      <c r="I209" s="390">
        <v>402</v>
      </c>
      <c r="J209" s="1413" t="s">
        <v>685</v>
      </c>
      <c r="K209" s="390">
        <v>411</v>
      </c>
      <c r="L209" s="1413" t="s">
        <v>685</v>
      </c>
      <c r="M209" s="390">
        <v>355.16899999999998</v>
      </c>
      <c r="N209" s="1417" t="s">
        <v>731</v>
      </c>
      <c r="O209" s="390">
        <v>390</v>
      </c>
      <c r="P209" s="1417" t="s">
        <v>728</v>
      </c>
      <c r="Q209" s="390">
        <v>380</v>
      </c>
      <c r="R209" s="1417" t="s">
        <v>728</v>
      </c>
      <c r="S209" s="390">
        <v>390</v>
      </c>
      <c r="T209" s="1417" t="s">
        <v>728</v>
      </c>
      <c r="U209" s="390">
        <v>398</v>
      </c>
      <c r="V209" s="1417" t="s">
        <v>767</v>
      </c>
      <c r="W209" s="390">
        <v>406</v>
      </c>
      <c r="X209" s="1417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18"/>
      <c r="C210" s="687"/>
      <c r="D210" s="1418"/>
      <c r="E210" s="687"/>
      <c r="F210" s="1418"/>
      <c r="G210" s="687"/>
      <c r="H210" s="1414"/>
      <c r="I210" s="687"/>
      <c r="J210" s="1414"/>
      <c r="K210" s="687"/>
      <c r="L210" s="1414"/>
      <c r="M210" s="687"/>
      <c r="N210" s="1418"/>
      <c r="O210" s="687"/>
      <c r="P210" s="1418"/>
      <c r="Q210" s="687"/>
      <c r="R210" s="1418"/>
      <c r="S210" s="687"/>
      <c r="T210" s="1418"/>
      <c r="U210" s="687"/>
      <c r="V210" s="1418"/>
      <c r="W210" s="687"/>
      <c r="X210" s="1418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17" t="s">
        <v>728</v>
      </c>
      <c r="C218" s="389">
        <v>392</v>
      </c>
      <c r="D218" s="1417" t="s">
        <v>728</v>
      </c>
      <c r="E218" s="390">
        <v>390</v>
      </c>
      <c r="F218" s="1419" t="s">
        <v>974</v>
      </c>
      <c r="G218" s="390">
        <v>401</v>
      </c>
      <c r="H218" s="1421" t="s">
        <v>767</v>
      </c>
      <c r="I218" s="390">
        <v>406.005</v>
      </c>
      <c r="J218" s="1423" t="s">
        <v>974</v>
      </c>
      <c r="K218" s="390">
        <v>385</v>
      </c>
      <c r="L218" s="1413" t="s">
        <v>685</v>
      </c>
      <c r="M218" s="390">
        <v>380</v>
      </c>
      <c r="N218" s="1413" t="s">
        <v>685</v>
      </c>
      <c r="O218" s="390">
        <v>380</v>
      </c>
      <c r="P218" s="1413" t="s">
        <v>685</v>
      </c>
      <c r="Q218" s="390">
        <v>382</v>
      </c>
      <c r="R218" s="1413" t="s">
        <v>685</v>
      </c>
      <c r="S218" s="390">
        <v>383.99099999999999</v>
      </c>
      <c r="T218" s="1413" t="s">
        <v>685</v>
      </c>
      <c r="U218" s="390">
        <v>392.29500000000002</v>
      </c>
      <c r="V218" s="1415"/>
      <c r="W218" s="390">
        <v>401.31</v>
      </c>
      <c r="X218" s="1410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18"/>
      <c r="C219" s="687"/>
      <c r="D219" s="1418"/>
      <c r="E219" s="687"/>
      <c r="F219" s="1420"/>
      <c r="G219" s="687"/>
      <c r="H219" s="1422"/>
      <c r="I219" s="687"/>
      <c r="J219" s="1424"/>
      <c r="K219" s="687"/>
      <c r="L219" s="1414"/>
      <c r="M219" s="687"/>
      <c r="N219" s="1414"/>
      <c r="O219" s="687"/>
      <c r="P219" s="1414"/>
      <c r="Q219" s="687"/>
      <c r="R219" s="1414"/>
      <c r="S219" s="687"/>
      <c r="T219" s="1414"/>
      <c r="U219" s="687"/>
      <c r="V219" s="1416"/>
      <c r="W219" s="687"/>
      <c r="X219" s="1411"/>
      <c r="Y219" s="468"/>
      <c r="Z219" s="458">
        <v>8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02"/>
      <c r="C227" s="389">
        <v>368</v>
      </c>
      <c r="D227" s="1402"/>
      <c r="E227" s="390">
        <v>440</v>
      </c>
      <c r="F227" s="1402"/>
      <c r="G227" s="390">
        <v>364.13200000000001</v>
      </c>
      <c r="H227" s="1410"/>
      <c r="I227" s="390">
        <v>407</v>
      </c>
      <c r="J227" s="1402"/>
      <c r="K227" s="390">
        <v>375</v>
      </c>
      <c r="L227" s="1402"/>
      <c r="M227" s="390">
        <v>313</v>
      </c>
      <c r="N227" s="1402"/>
      <c r="O227" s="390">
        <v>388</v>
      </c>
      <c r="P227" s="1404"/>
      <c r="Q227" s="390">
        <v>414</v>
      </c>
      <c r="R227" s="1404"/>
      <c r="S227" s="390">
        <v>385</v>
      </c>
      <c r="T227" s="1402"/>
      <c r="U227" s="390">
        <v>360</v>
      </c>
      <c r="V227" s="1402"/>
      <c r="W227" s="396">
        <v>382</v>
      </c>
      <c r="X227" s="1402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03"/>
      <c r="C228" s="687"/>
      <c r="D228" s="1403"/>
      <c r="E228" s="687"/>
      <c r="F228" s="1403"/>
      <c r="G228" s="687"/>
      <c r="H228" s="1411"/>
      <c r="I228" s="687"/>
      <c r="J228" s="1403"/>
      <c r="K228" s="687"/>
      <c r="L228" s="1403"/>
      <c r="M228" s="687"/>
      <c r="N228" s="1403"/>
      <c r="O228" s="687"/>
      <c r="P228" s="1405"/>
      <c r="Q228" s="687"/>
      <c r="R228" s="1405"/>
      <c r="S228" s="687"/>
      <c r="T228" s="1403"/>
      <c r="U228" s="687"/>
      <c r="V228" s="1403"/>
      <c r="W228" s="687"/>
      <c r="X228" s="1403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04"/>
      <c r="C236" s="389">
        <v>429</v>
      </c>
      <c r="D236" s="1402"/>
      <c r="E236" s="390">
        <v>383</v>
      </c>
      <c r="F236" s="1402"/>
      <c r="G236" s="390">
        <v>447.10700000000003</v>
      </c>
      <c r="H236" s="1406" t="s">
        <v>556</v>
      </c>
      <c r="I236" s="390">
        <v>416</v>
      </c>
      <c r="J236" s="1402"/>
      <c r="K236" s="390">
        <v>389</v>
      </c>
      <c r="L236" s="1402"/>
      <c r="M236" s="390">
        <v>380</v>
      </c>
      <c r="N236" s="1404"/>
      <c r="O236" s="390">
        <v>362.38400000000001</v>
      </c>
      <c r="P236" s="1412"/>
      <c r="Q236" s="390">
        <v>263.31</v>
      </c>
      <c r="R236" s="1410"/>
      <c r="S236" s="390">
        <v>393</v>
      </c>
      <c r="T236" s="1404"/>
      <c r="U236" s="390">
        <v>384.17</v>
      </c>
      <c r="V236" s="1410"/>
      <c r="W236" s="390">
        <v>348</v>
      </c>
      <c r="X236" s="1402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05"/>
      <c r="C237" s="687"/>
      <c r="D237" s="1403"/>
      <c r="E237" s="687"/>
      <c r="F237" s="1403"/>
      <c r="G237" s="687"/>
      <c r="H237" s="1407"/>
      <c r="I237" s="687"/>
      <c r="J237" s="1403"/>
      <c r="K237" s="687"/>
      <c r="L237" s="1403"/>
      <c r="M237" s="687"/>
      <c r="N237" s="1405"/>
      <c r="O237" s="687"/>
      <c r="P237" s="1407"/>
      <c r="Q237" s="687"/>
      <c r="R237" s="1411"/>
      <c r="S237" s="687"/>
      <c r="T237" s="1405"/>
      <c r="U237" s="687"/>
      <c r="V237" s="1411"/>
      <c r="W237" s="687"/>
      <c r="X237" s="1403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02"/>
      <c r="C245" s="389">
        <v>428.52600000000001</v>
      </c>
      <c r="D245" s="1408" t="s">
        <v>556</v>
      </c>
      <c r="E245" s="390">
        <v>194.62799999999999</v>
      </c>
      <c r="F245" s="1410"/>
      <c r="G245" s="390">
        <v>203.14099999999999</v>
      </c>
      <c r="H245" s="1410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03"/>
      <c r="C246" s="682"/>
      <c r="D246" s="1409"/>
      <c r="E246" s="682"/>
      <c r="F246" s="1411"/>
      <c r="G246" s="682"/>
      <c r="H246" s="1411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9" t="s">
        <v>773</v>
      </c>
      <c r="R255" s="723"/>
      <c r="S255" s="724" t="s">
        <v>937</v>
      </c>
      <c r="T255" s="862">
        <v>46125</v>
      </c>
      <c r="U255" s="723"/>
      <c r="V255" s="1060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A43" sqref="A43:XFD43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6" t="s">
        <v>114</v>
      </c>
      <c r="B1" s="1526"/>
      <c r="C1" s="1526"/>
      <c r="D1" s="1526"/>
      <c r="E1" s="1526"/>
      <c r="F1" s="1526"/>
      <c r="G1" s="1527" t="s">
        <v>817</v>
      </c>
      <c r="H1" s="1527"/>
      <c r="I1" s="1527"/>
      <c r="J1" s="1527"/>
      <c r="K1" s="1527"/>
      <c r="L1" s="1528" t="s">
        <v>816</v>
      </c>
      <c r="M1" s="1528"/>
      <c r="N1" s="1529" t="s">
        <v>815</v>
      </c>
      <c r="O1" s="1529"/>
      <c r="P1" s="1529"/>
      <c r="Q1" s="1529"/>
      <c r="R1" s="1529"/>
      <c r="S1" s="1529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994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994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793</v>
      </c>
      <c r="I15" s="564"/>
      <c r="J15" s="564"/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/>
      <c r="Q27" s="564"/>
      <c r="R27" s="563"/>
      <c r="S27" s="562"/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994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994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/>
      <c r="Q40" s="564"/>
      <c r="R40" s="563"/>
      <c r="S40" s="562"/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798</v>
      </c>
      <c r="I42" s="564"/>
      <c r="J42" s="564"/>
      <c r="K42" s="566"/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797</v>
      </c>
      <c r="I49" s="564"/>
      <c r="J49" s="564"/>
      <c r="K49" s="566"/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/>
      <c r="I50" s="564"/>
      <c r="J50" s="564"/>
      <c r="K50" s="566"/>
      <c r="L50" s="566"/>
      <c r="M50" s="564"/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979</v>
      </c>
      <c r="L55" s="566"/>
      <c r="M55" s="564"/>
      <c r="N55" s="568" t="s">
        <v>784</v>
      </c>
      <c r="O55" s="566">
        <v>54.72</v>
      </c>
      <c r="P55" s="566"/>
      <c r="Q55" s="564"/>
      <c r="R55" s="563"/>
      <c r="S55" s="562"/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/>
      <c r="I95" s="564"/>
      <c r="J95" s="564"/>
      <c r="K95" s="566"/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979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978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978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/>
      <c r="I144" s="564"/>
      <c r="J144" s="564"/>
      <c r="K144" s="566"/>
      <c r="L144" s="566"/>
      <c r="M144" s="564"/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542</v>
      </c>
      <c r="E145" s="566" t="s">
        <v>784</v>
      </c>
      <c r="F145" s="566" t="s">
        <v>784</v>
      </c>
      <c r="G145" s="566" t="s">
        <v>784</v>
      </c>
      <c r="H145" s="566"/>
      <c r="I145" s="564"/>
      <c r="J145" s="564"/>
      <c r="K145" s="566"/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/>
      <c r="I154" s="564"/>
      <c r="J154" s="564"/>
      <c r="K154" s="566"/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665</v>
      </c>
      <c r="E215" s="566" t="s">
        <v>780</v>
      </c>
      <c r="F215" s="566" t="s">
        <v>784</v>
      </c>
      <c r="G215" s="566" t="s">
        <v>784</v>
      </c>
      <c r="H215" s="566"/>
      <c r="I215" s="564"/>
      <c r="J215" s="564"/>
      <c r="K215" s="566"/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/>
      <c r="I217" s="564"/>
      <c r="J217" s="564"/>
      <c r="K217" s="566"/>
      <c r="L217" s="566"/>
      <c r="M217" s="564"/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/>
      <c r="Q223" s="564"/>
      <c r="R223" s="563"/>
      <c r="S223" s="562"/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/>
      <c r="Q224" s="564"/>
      <c r="R224" s="563"/>
      <c r="S224" s="562"/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/>
      <c r="Q225" s="564"/>
      <c r="R225" s="563"/>
      <c r="S225" s="562"/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/>
      <c r="Q226" s="564"/>
      <c r="R226" s="563"/>
      <c r="S226" s="562"/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994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994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994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994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/>
      <c r="Q231" s="564"/>
      <c r="R231" s="563"/>
      <c r="S231" s="562"/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/>
      <c r="Q232" s="564"/>
      <c r="R232" s="563"/>
      <c r="S232" s="562"/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92</v>
      </c>
      <c r="E258" s="566" t="s">
        <v>784</v>
      </c>
      <c r="F258" s="566" t="s">
        <v>784</v>
      </c>
      <c r="G258" s="566" t="s">
        <v>784</v>
      </c>
      <c r="H258" s="566"/>
      <c r="I258" s="564"/>
      <c r="J258" s="564"/>
      <c r="K258" s="566"/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30" t="s">
        <v>779</v>
      </c>
      <c r="B295" s="1530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8" sqref="K8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33" t="s">
        <v>921</v>
      </c>
      <c r="B1" s="1534"/>
      <c r="C1" s="1534"/>
      <c r="D1" s="1534"/>
      <c r="E1" s="1534"/>
      <c r="F1" s="1534"/>
      <c r="G1" s="1534"/>
      <c r="H1" s="1534"/>
      <c r="I1" s="1534"/>
      <c r="J1" s="1534"/>
      <c r="K1" s="1534"/>
      <c r="L1" s="1534"/>
      <c r="M1" s="1534"/>
      <c r="N1" s="1534"/>
      <c r="O1" s="1534"/>
      <c r="P1" s="1534"/>
      <c r="Q1" s="1534"/>
      <c r="R1" s="1534"/>
      <c r="S1" s="1534"/>
      <c r="T1" s="1534"/>
      <c r="U1" s="1534"/>
    </row>
    <row r="2" spans="1:21" ht="18" x14ac:dyDescent="0.25">
      <c r="A2" s="1535" t="s">
        <v>818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8</v>
      </c>
      <c r="H5" s="585">
        <f>F5-G5</f>
        <v>4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4</v>
      </c>
      <c r="H8" s="585">
        <f t="shared" si="2"/>
        <v>1</v>
      </c>
      <c r="I8" s="585"/>
      <c r="J8" s="588">
        <v>5</v>
      </c>
      <c r="K8" s="588">
        <v>2</v>
      </c>
      <c r="L8" s="585">
        <f t="shared" si="0"/>
        <v>3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6</v>
      </c>
      <c r="H9" s="585">
        <f t="shared" si="2"/>
        <v>1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0</v>
      </c>
      <c r="H10" s="585">
        <f t="shared" si="2"/>
        <v>1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11</v>
      </c>
      <c r="L12" s="585">
        <f t="shared" si="0"/>
        <v>2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1</v>
      </c>
      <c r="H19" s="585">
        <f t="shared" si="2"/>
        <v>3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9</v>
      </c>
      <c r="H33" s="585">
        <f t="shared" si="2"/>
        <v>2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1</v>
      </c>
      <c r="H34" s="585">
        <f t="shared" si="2"/>
        <v>3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3</v>
      </c>
      <c r="H36" s="585">
        <f t="shared" si="2"/>
        <v>3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/>
      <c r="H52" s="585">
        <f t="shared" si="2"/>
        <v>9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1</v>
      </c>
      <c r="H53" s="585">
        <f t="shared" si="2"/>
        <v>4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/>
      <c r="L54" s="585">
        <f t="shared" si="0"/>
        <v>6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10</v>
      </c>
      <c r="L55" s="585">
        <f t="shared" si="0"/>
        <v>3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8</v>
      </c>
      <c r="H57" s="585">
        <f t="shared" si="2"/>
        <v>2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7" t="s">
        <v>779</v>
      </c>
      <c r="C67" s="1537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168</v>
      </c>
      <c r="H67" s="602">
        <f t="shared" si="3"/>
        <v>122</v>
      </c>
      <c r="I67" s="602">
        <f t="shared" si="3"/>
        <v>9</v>
      </c>
      <c r="J67" s="602">
        <f t="shared" si="3"/>
        <v>292</v>
      </c>
      <c r="K67" s="602">
        <f t="shared" si="3"/>
        <v>107</v>
      </c>
      <c r="L67" s="602">
        <f t="shared" si="3"/>
        <v>185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38" t="s">
        <v>69</v>
      </c>
      <c r="B71" s="1540" t="s">
        <v>908</v>
      </c>
      <c r="C71" s="1531" t="s">
        <v>909</v>
      </c>
      <c r="D71" s="1532"/>
      <c r="E71" s="1531" t="s">
        <v>910</v>
      </c>
      <c r="F71" s="1532"/>
      <c r="G71" s="1542" t="s">
        <v>911</v>
      </c>
      <c r="H71" s="1543"/>
      <c r="I71" s="1531" t="s">
        <v>912</v>
      </c>
      <c r="J71" s="1532"/>
      <c r="K71" s="1531" t="s">
        <v>176</v>
      </c>
      <c r="L71" s="1532"/>
      <c r="M71" s="1531" t="s">
        <v>798</v>
      </c>
      <c r="N71" s="1532"/>
      <c r="O71" s="1531" t="s">
        <v>57</v>
      </c>
      <c r="P71" s="1532"/>
      <c r="Q71" s="1531" t="s">
        <v>50</v>
      </c>
      <c r="R71" s="1532"/>
      <c r="S71" s="610"/>
      <c r="T71" s="610"/>
    </row>
    <row r="72" spans="1:21" s="611" customFormat="1" ht="15.6" x14ac:dyDescent="0.3">
      <c r="A72" s="1539"/>
      <c r="B72" s="1541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84</v>
      </c>
      <c r="J80" s="566">
        <f>SUMIFS(K4:K66,Q4:Q66,"Narayanpet")</f>
        <v>52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84</v>
      </c>
      <c r="J81" s="566">
        <f>SUMIFS(K4:K66,Q4:Q66,"Vikarabad")</f>
        <v>55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168</v>
      </c>
      <c r="J82" s="636">
        <f>J80+J81</f>
        <v>107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2026-07-19T15:04:07Z</dcterms:modified>
</cp:coreProperties>
</file>